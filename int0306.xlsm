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540" windowWidth="18470" windowHeight="6450" tabRatio="722" firstSheet="2" activeTab="13"/>
  </bookViews>
  <sheets>
    <sheet name="int0904" sheetId="4" r:id="rId1"/>
    <sheet name="Sheet4" sheetId="5" r:id="rId2"/>
    <sheet name="怪しいデータを手直し" sheetId="3" r:id="rId3"/>
    <sheet name="生データ" sheetId="1" r:id="rId4"/>
    <sheet name="Sheet1" sheetId="2" r:id="rId5"/>
    <sheet name="Sheet7" sheetId="12" r:id="rId6"/>
    <sheet name="Sheet8" sheetId="13" r:id="rId7"/>
    <sheet name="Sheet9" sheetId="14" r:id="rId8"/>
    <sheet name="int0115" sheetId="9" r:id="rId9"/>
    <sheet name="sprout" sheetId="8" r:id="rId10"/>
    <sheet name="Sheet2" sheetId="6" r:id="rId11"/>
    <sheet name="Sheet5" sheetId="7" r:id="rId12"/>
    <sheet name="age_sprout" sheetId="15" r:id="rId13"/>
    <sheet name="age_data" sheetId="10" r:id="rId14"/>
  </sheets>
  <definedNames>
    <definedName name="_xlnm.Print_Titles" localSheetId="2">怪しいデータを手直し!$1:$1</definedName>
    <definedName name="_xlnm.Print_Titles" localSheetId="3">生データ!$1:$1</definedName>
  </definedNames>
  <calcPr calcId="145621"/>
  <pivotCaches>
    <pivotCache cacheId="0" r:id="rId15"/>
    <pivotCache cacheId="1" r:id="rId16"/>
  </pivotCaches>
</workbook>
</file>

<file path=xl/calcChain.xml><?xml version="1.0" encoding="utf-8"?>
<calcChain xmlns="http://schemas.openxmlformats.org/spreadsheetml/2006/main">
  <c r="T425" i="3" l="1"/>
  <c r="H132" i="10" l="1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3" i="10"/>
  <c r="H2" i="10"/>
  <c r="G729" i="9" l="1"/>
  <c r="F729" i="9"/>
  <c r="E729" i="9"/>
  <c r="D729" i="9"/>
  <c r="C729" i="9"/>
  <c r="B729" i="9"/>
  <c r="A729" i="9"/>
  <c r="G728" i="9"/>
  <c r="F728" i="9"/>
  <c r="E728" i="9"/>
  <c r="D728" i="9"/>
  <c r="C728" i="9"/>
  <c r="B728" i="9"/>
  <c r="A728" i="9"/>
  <c r="G727" i="9"/>
  <c r="F727" i="9"/>
  <c r="E727" i="9"/>
  <c r="D727" i="9"/>
  <c r="C727" i="9"/>
  <c r="B727" i="9"/>
  <c r="A727" i="9"/>
  <c r="G726" i="9"/>
  <c r="F726" i="9"/>
  <c r="E726" i="9"/>
  <c r="D726" i="9"/>
  <c r="C726" i="9"/>
  <c r="B726" i="9"/>
  <c r="A726" i="9"/>
  <c r="G725" i="9"/>
  <c r="F725" i="9"/>
  <c r="E725" i="9"/>
  <c r="D725" i="9"/>
  <c r="C725" i="9"/>
  <c r="B725" i="9"/>
  <c r="A725" i="9"/>
  <c r="G724" i="9"/>
  <c r="F724" i="9"/>
  <c r="E724" i="9"/>
  <c r="D724" i="9"/>
  <c r="C724" i="9"/>
  <c r="B724" i="9"/>
  <c r="A724" i="9"/>
  <c r="G723" i="9"/>
  <c r="F723" i="9"/>
  <c r="E723" i="9"/>
  <c r="D723" i="9"/>
  <c r="C723" i="9"/>
  <c r="B723" i="9"/>
  <c r="A723" i="9"/>
  <c r="G722" i="9"/>
  <c r="F722" i="9"/>
  <c r="E722" i="9"/>
  <c r="D722" i="9"/>
  <c r="C722" i="9"/>
  <c r="B722" i="9"/>
  <c r="A722" i="9"/>
  <c r="G721" i="9"/>
  <c r="F721" i="9"/>
  <c r="E721" i="9"/>
  <c r="D721" i="9"/>
  <c r="C721" i="9"/>
  <c r="B721" i="9"/>
  <c r="A721" i="9"/>
  <c r="G720" i="9"/>
  <c r="F720" i="9"/>
  <c r="E720" i="9"/>
  <c r="D720" i="9"/>
  <c r="C720" i="9"/>
  <c r="B720" i="9"/>
  <c r="A720" i="9"/>
  <c r="G719" i="9"/>
  <c r="F719" i="9"/>
  <c r="E719" i="9"/>
  <c r="D719" i="9"/>
  <c r="C719" i="9"/>
  <c r="B719" i="9"/>
  <c r="A719" i="9"/>
  <c r="G718" i="9"/>
  <c r="F718" i="9"/>
  <c r="E718" i="9"/>
  <c r="D718" i="9"/>
  <c r="C718" i="9"/>
  <c r="B718" i="9"/>
  <c r="A718" i="9"/>
  <c r="G717" i="9"/>
  <c r="F717" i="9"/>
  <c r="E717" i="9"/>
  <c r="D717" i="9"/>
  <c r="C717" i="9"/>
  <c r="B717" i="9"/>
  <c r="A717" i="9"/>
  <c r="G716" i="9"/>
  <c r="F716" i="9"/>
  <c r="E716" i="9"/>
  <c r="D716" i="9"/>
  <c r="C716" i="9"/>
  <c r="B716" i="9"/>
  <c r="A716" i="9"/>
  <c r="G715" i="9"/>
  <c r="F715" i="9"/>
  <c r="E715" i="9"/>
  <c r="D715" i="9"/>
  <c r="C715" i="9"/>
  <c r="B715" i="9"/>
  <c r="A715" i="9"/>
  <c r="G714" i="9"/>
  <c r="F714" i="9"/>
  <c r="E714" i="9"/>
  <c r="D714" i="9"/>
  <c r="C714" i="9"/>
  <c r="B714" i="9"/>
  <c r="A714" i="9"/>
  <c r="G713" i="9"/>
  <c r="F713" i="9"/>
  <c r="E713" i="9"/>
  <c r="D713" i="9"/>
  <c r="C713" i="9"/>
  <c r="B713" i="9"/>
  <c r="A713" i="9"/>
  <c r="G712" i="9"/>
  <c r="F712" i="9"/>
  <c r="E712" i="9"/>
  <c r="D712" i="9"/>
  <c r="C712" i="9"/>
  <c r="B712" i="9"/>
  <c r="A712" i="9"/>
  <c r="G711" i="9"/>
  <c r="F711" i="9"/>
  <c r="E711" i="9"/>
  <c r="D711" i="9"/>
  <c r="C711" i="9"/>
  <c r="B711" i="9"/>
  <c r="A711" i="9"/>
  <c r="G710" i="9"/>
  <c r="F710" i="9"/>
  <c r="E710" i="9"/>
  <c r="D710" i="9"/>
  <c r="C710" i="9"/>
  <c r="B710" i="9"/>
  <c r="A710" i="9"/>
  <c r="G709" i="9"/>
  <c r="F709" i="9"/>
  <c r="E709" i="9"/>
  <c r="D709" i="9"/>
  <c r="C709" i="9"/>
  <c r="B709" i="9"/>
  <c r="A709" i="9"/>
  <c r="G708" i="9"/>
  <c r="F708" i="9"/>
  <c r="E708" i="9"/>
  <c r="D708" i="9"/>
  <c r="C708" i="9"/>
  <c r="B708" i="9"/>
  <c r="A708" i="9"/>
  <c r="G707" i="9"/>
  <c r="F707" i="9"/>
  <c r="E707" i="9"/>
  <c r="D707" i="9"/>
  <c r="C707" i="9"/>
  <c r="B707" i="9"/>
  <c r="A707" i="9"/>
  <c r="G706" i="9"/>
  <c r="F706" i="9"/>
  <c r="E706" i="9"/>
  <c r="D706" i="9"/>
  <c r="C706" i="9"/>
  <c r="B706" i="9"/>
  <c r="A706" i="9"/>
  <c r="G705" i="9"/>
  <c r="F705" i="9"/>
  <c r="E705" i="9"/>
  <c r="D705" i="9"/>
  <c r="C705" i="9"/>
  <c r="B705" i="9"/>
  <c r="A705" i="9"/>
  <c r="G704" i="9"/>
  <c r="F704" i="9"/>
  <c r="E704" i="9"/>
  <c r="D704" i="9"/>
  <c r="C704" i="9"/>
  <c r="B704" i="9"/>
  <c r="A704" i="9"/>
  <c r="G703" i="9"/>
  <c r="F703" i="9"/>
  <c r="E703" i="9"/>
  <c r="D703" i="9"/>
  <c r="C703" i="9"/>
  <c r="B703" i="9"/>
  <c r="A703" i="9"/>
  <c r="G702" i="9"/>
  <c r="F702" i="9"/>
  <c r="E702" i="9"/>
  <c r="D702" i="9"/>
  <c r="C702" i="9"/>
  <c r="B702" i="9"/>
  <c r="A702" i="9"/>
  <c r="G701" i="9"/>
  <c r="F701" i="9"/>
  <c r="E701" i="9"/>
  <c r="D701" i="9"/>
  <c r="C701" i="9"/>
  <c r="B701" i="9"/>
  <c r="A701" i="9"/>
  <c r="G700" i="9"/>
  <c r="F700" i="9"/>
  <c r="E700" i="9"/>
  <c r="D700" i="9"/>
  <c r="C700" i="9"/>
  <c r="B700" i="9"/>
  <c r="A700" i="9"/>
  <c r="G699" i="9"/>
  <c r="F699" i="9"/>
  <c r="E699" i="9"/>
  <c r="D699" i="9"/>
  <c r="C699" i="9"/>
  <c r="B699" i="9"/>
  <c r="A699" i="9"/>
  <c r="G698" i="9"/>
  <c r="F698" i="9"/>
  <c r="E698" i="9"/>
  <c r="D698" i="9"/>
  <c r="C698" i="9"/>
  <c r="B698" i="9"/>
  <c r="A698" i="9"/>
  <c r="G697" i="9"/>
  <c r="F697" i="9"/>
  <c r="E697" i="9"/>
  <c r="D697" i="9"/>
  <c r="C697" i="9"/>
  <c r="B697" i="9"/>
  <c r="A697" i="9"/>
  <c r="G696" i="9"/>
  <c r="F696" i="9"/>
  <c r="E696" i="9"/>
  <c r="D696" i="9"/>
  <c r="C696" i="9"/>
  <c r="B696" i="9"/>
  <c r="A696" i="9"/>
  <c r="G695" i="9"/>
  <c r="F695" i="9"/>
  <c r="E695" i="9"/>
  <c r="D695" i="9"/>
  <c r="C695" i="9"/>
  <c r="B695" i="9"/>
  <c r="A695" i="9"/>
  <c r="G694" i="9"/>
  <c r="F694" i="9"/>
  <c r="E694" i="9"/>
  <c r="D694" i="9"/>
  <c r="C694" i="9"/>
  <c r="B694" i="9"/>
  <c r="A694" i="9"/>
  <c r="G693" i="9"/>
  <c r="F693" i="9"/>
  <c r="E693" i="9"/>
  <c r="D693" i="9"/>
  <c r="C693" i="9"/>
  <c r="B693" i="9"/>
  <c r="A693" i="9"/>
  <c r="G692" i="9"/>
  <c r="F692" i="9"/>
  <c r="E692" i="9"/>
  <c r="D692" i="9"/>
  <c r="C692" i="9"/>
  <c r="B692" i="9"/>
  <c r="A692" i="9"/>
  <c r="G691" i="9"/>
  <c r="F691" i="9"/>
  <c r="E691" i="9"/>
  <c r="D691" i="9"/>
  <c r="C691" i="9"/>
  <c r="B691" i="9"/>
  <c r="A691" i="9"/>
  <c r="G690" i="9"/>
  <c r="F690" i="9"/>
  <c r="E690" i="9"/>
  <c r="D690" i="9"/>
  <c r="C690" i="9"/>
  <c r="B690" i="9"/>
  <c r="A690" i="9"/>
  <c r="G689" i="9"/>
  <c r="F689" i="9"/>
  <c r="E689" i="9"/>
  <c r="D689" i="9"/>
  <c r="C689" i="9"/>
  <c r="B689" i="9"/>
  <c r="A689" i="9"/>
  <c r="G688" i="9"/>
  <c r="F688" i="9"/>
  <c r="E688" i="9"/>
  <c r="D688" i="9"/>
  <c r="C688" i="9"/>
  <c r="B688" i="9"/>
  <c r="A688" i="9"/>
  <c r="G687" i="9"/>
  <c r="F687" i="9"/>
  <c r="E687" i="9"/>
  <c r="D687" i="9"/>
  <c r="C687" i="9"/>
  <c r="B687" i="9"/>
  <c r="A687" i="9"/>
  <c r="G686" i="9"/>
  <c r="F686" i="9"/>
  <c r="E686" i="9"/>
  <c r="D686" i="9"/>
  <c r="C686" i="9"/>
  <c r="B686" i="9"/>
  <c r="A686" i="9"/>
  <c r="G685" i="9"/>
  <c r="F685" i="9"/>
  <c r="E685" i="9"/>
  <c r="D685" i="9"/>
  <c r="C685" i="9"/>
  <c r="B685" i="9"/>
  <c r="A685" i="9"/>
  <c r="G684" i="9"/>
  <c r="F684" i="9"/>
  <c r="E684" i="9"/>
  <c r="D684" i="9"/>
  <c r="C684" i="9"/>
  <c r="B684" i="9"/>
  <c r="A684" i="9"/>
  <c r="G683" i="9"/>
  <c r="F683" i="9"/>
  <c r="E683" i="9"/>
  <c r="D683" i="9"/>
  <c r="C683" i="9"/>
  <c r="B683" i="9"/>
  <c r="A683" i="9"/>
  <c r="G682" i="9"/>
  <c r="F682" i="9"/>
  <c r="E682" i="9"/>
  <c r="D682" i="9"/>
  <c r="C682" i="9"/>
  <c r="B682" i="9"/>
  <c r="A682" i="9"/>
  <c r="G681" i="9"/>
  <c r="F681" i="9"/>
  <c r="E681" i="9"/>
  <c r="D681" i="9"/>
  <c r="C681" i="9"/>
  <c r="B681" i="9"/>
  <c r="A681" i="9"/>
  <c r="G680" i="9"/>
  <c r="F680" i="9"/>
  <c r="E680" i="9"/>
  <c r="D680" i="9"/>
  <c r="C680" i="9"/>
  <c r="B680" i="9"/>
  <c r="A680" i="9"/>
  <c r="G679" i="9"/>
  <c r="F679" i="9"/>
  <c r="E679" i="9"/>
  <c r="D679" i="9"/>
  <c r="C679" i="9"/>
  <c r="B679" i="9"/>
  <c r="A679" i="9"/>
  <c r="G678" i="9"/>
  <c r="F678" i="9"/>
  <c r="E678" i="9"/>
  <c r="D678" i="9"/>
  <c r="C678" i="9"/>
  <c r="B678" i="9"/>
  <c r="A678" i="9"/>
  <c r="G677" i="9"/>
  <c r="F677" i="9"/>
  <c r="E677" i="9"/>
  <c r="D677" i="9"/>
  <c r="C677" i="9"/>
  <c r="B677" i="9"/>
  <c r="A677" i="9"/>
  <c r="G676" i="9"/>
  <c r="F676" i="9"/>
  <c r="E676" i="9"/>
  <c r="D676" i="9"/>
  <c r="C676" i="9"/>
  <c r="B676" i="9"/>
  <c r="A676" i="9"/>
  <c r="G675" i="9"/>
  <c r="F675" i="9"/>
  <c r="E675" i="9"/>
  <c r="D675" i="9"/>
  <c r="C675" i="9"/>
  <c r="B675" i="9"/>
  <c r="A675" i="9"/>
  <c r="G674" i="9"/>
  <c r="F674" i="9"/>
  <c r="E674" i="9"/>
  <c r="D674" i="9"/>
  <c r="C674" i="9"/>
  <c r="B674" i="9"/>
  <c r="A674" i="9"/>
  <c r="G673" i="9"/>
  <c r="F673" i="9"/>
  <c r="E673" i="9"/>
  <c r="D673" i="9"/>
  <c r="C673" i="9"/>
  <c r="B673" i="9"/>
  <c r="A673" i="9"/>
  <c r="G672" i="9"/>
  <c r="F672" i="9"/>
  <c r="E672" i="9"/>
  <c r="D672" i="9"/>
  <c r="C672" i="9"/>
  <c r="B672" i="9"/>
  <c r="A672" i="9"/>
  <c r="G671" i="9"/>
  <c r="F671" i="9"/>
  <c r="E671" i="9"/>
  <c r="D671" i="9"/>
  <c r="C671" i="9"/>
  <c r="B671" i="9"/>
  <c r="A671" i="9"/>
  <c r="G670" i="9"/>
  <c r="F670" i="9"/>
  <c r="E670" i="9"/>
  <c r="D670" i="9"/>
  <c r="C670" i="9"/>
  <c r="B670" i="9"/>
  <c r="A670" i="9"/>
  <c r="G669" i="9"/>
  <c r="F669" i="9"/>
  <c r="E669" i="9"/>
  <c r="D669" i="9"/>
  <c r="C669" i="9"/>
  <c r="B669" i="9"/>
  <c r="A669" i="9"/>
  <c r="G668" i="9"/>
  <c r="F668" i="9"/>
  <c r="E668" i="9"/>
  <c r="D668" i="9"/>
  <c r="C668" i="9"/>
  <c r="B668" i="9"/>
  <c r="A668" i="9"/>
  <c r="G667" i="9"/>
  <c r="F667" i="9"/>
  <c r="E667" i="9"/>
  <c r="D667" i="9"/>
  <c r="C667" i="9"/>
  <c r="B667" i="9"/>
  <c r="A667" i="9"/>
  <c r="G666" i="9"/>
  <c r="F666" i="9"/>
  <c r="E666" i="9"/>
  <c r="D666" i="9"/>
  <c r="C666" i="9"/>
  <c r="B666" i="9"/>
  <c r="A666" i="9"/>
  <c r="G665" i="9"/>
  <c r="F665" i="9"/>
  <c r="E665" i="9"/>
  <c r="D665" i="9"/>
  <c r="C665" i="9"/>
  <c r="B665" i="9"/>
  <c r="A665" i="9"/>
  <c r="G664" i="9"/>
  <c r="F664" i="9"/>
  <c r="E664" i="9"/>
  <c r="D664" i="9"/>
  <c r="C664" i="9"/>
  <c r="B664" i="9"/>
  <c r="A664" i="9"/>
  <c r="G663" i="9"/>
  <c r="F663" i="9"/>
  <c r="E663" i="9"/>
  <c r="D663" i="9"/>
  <c r="C663" i="9"/>
  <c r="B663" i="9"/>
  <c r="A663" i="9"/>
  <c r="G662" i="9"/>
  <c r="F662" i="9"/>
  <c r="E662" i="9"/>
  <c r="D662" i="9"/>
  <c r="C662" i="9"/>
  <c r="B662" i="9"/>
  <c r="A662" i="9"/>
  <c r="G661" i="9"/>
  <c r="F661" i="9"/>
  <c r="E661" i="9"/>
  <c r="D661" i="9"/>
  <c r="C661" i="9"/>
  <c r="B661" i="9"/>
  <c r="A661" i="9"/>
  <c r="G660" i="9"/>
  <c r="F660" i="9"/>
  <c r="E660" i="9"/>
  <c r="D660" i="9"/>
  <c r="C660" i="9"/>
  <c r="B660" i="9"/>
  <c r="A660" i="9"/>
  <c r="G659" i="9"/>
  <c r="F659" i="9"/>
  <c r="E659" i="9"/>
  <c r="D659" i="9"/>
  <c r="C659" i="9"/>
  <c r="B659" i="9"/>
  <c r="A659" i="9"/>
  <c r="G658" i="9"/>
  <c r="F658" i="9"/>
  <c r="E658" i="9"/>
  <c r="D658" i="9"/>
  <c r="C658" i="9"/>
  <c r="B658" i="9"/>
  <c r="A658" i="9"/>
  <c r="G657" i="9"/>
  <c r="F657" i="9"/>
  <c r="E657" i="9"/>
  <c r="D657" i="9"/>
  <c r="C657" i="9"/>
  <c r="B657" i="9"/>
  <c r="A657" i="9"/>
  <c r="G656" i="9"/>
  <c r="F656" i="9"/>
  <c r="E656" i="9"/>
  <c r="D656" i="9"/>
  <c r="C656" i="9"/>
  <c r="B656" i="9"/>
  <c r="A656" i="9"/>
  <c r="G655" i="9"/>
  <c r="F655" i="9"/>
  <c r="E655" i="9"/>
  <c r="D655" i="9"/>
  <c r="C655" i="9"/>
  <c r="B655" i="9"/>
  <c r="A655" i="9"/>
  <c r="G654" i="9"/>
  <c r="F654" i="9"/>
  <c r="E654" i="9"/>
  <c r="D654" i="9"/>
  <c r="C654" i="9"/>
  <c r="B654" i="9"/>
  <c r="A654" i="9"/>
  <c r="G653" i="9"/>
  <c r="F653" i="9"/>
  <c r="E653" i="9"/>
  <c r="D653" i="9"/>
  <c r="C653" i="9"/>
  <c r="B653" i="9"/>
  <c r="A653" i="9"/>
  <c r="G652" i="9"/>
  <c r="F652" i="9"/>
  <c r="E652" i="9"/>
  <c r="D652" i="9"/>
  <c r="C652" i="9"/>
  <c r="B652" i="9"/>
  <c r="A652" i="9"/>
  <c r="G651" i="9"/>
  <c r="F651" i="9"/>
  <c r="E651" i="9"/>
  <c r="D651" i="9"/>
  <c r="C651" i="9"/>
  <c r="B651" i="9"/>
  <c r="A651" i="9"/>
  <c r="G650" i="9"/>
  <c r="F650" i="9"/>
  <c r="E650" i="9"/>
  <c r="D650" i="9"/>
  <c r="C650" i="9"/>
  <c r="B650" i="9"/>
  <c r="A650" i="9"/>
  <c r="G649" i="9"/>
  <c r="F649" i="9"/>
  <c r="E649" i="9"/>
  <c r="D649" i="9"/>
  <c r="C649" i="9"/>
  <c r="B649" i="9"/>
  <c r="A649" i="9"/>
  <c r="G648" i="9"/>
  <c r="F648" i="9"/>
  <c r="E648" i="9"/>
  <c r="D648" i="9"/>
  <c r="C648" i="9"/>
  <c r="B648" i="9"/>
  <c r="A648" i="9"/>
  <c r="G647" i="9"/>
  <c r="F647" i="9"/>
  <c r="E647" i="9"/>
  <c r="D647" i="9"/>
  <c r="C647" i="9"/>
  <c r="B647" i="9"/>
  <c r="A647" i="9"/>
  <c r="G646" i="9"/>
  <c r="F646" i="9"/>
  <c r="E646" i="9"/>
  <c r="D646" i="9"/>
  <c r="C646" i="9"/>
  <c r="B646" i="9"/>
  <c r="A646" i="9"/>
  <c r="G645" i="9"/>
  <c r="F645" i="9"/>
  <c r="E645" i="9"/>
  <c r="D645" i="9"/>
  <c r="C645" i="9"/>
  <c r="B645" i="9"/>
  <c r="A645" i="9"/>
  <c r="G644" i="9"/>
  <c r="F644" i="9"/>
  <c r="E644" i="9"/>
  <c r="D644" i="9"/>
  <c r="C644" i="9"/>
  <c r="B644" i="9"/>
  <c r="A644" i="9"/>
  <c r="G643" i="9"/>
  <c r="F643" i="9"/>
  <c r="E643" i="9"/>
  <c r="D643" i="9"/>
  <c r="C643" i="9"/>
  <c r="B643" i="9"/>
  <c r="A643" i="9"/>
  <c r="G642" i="9"/>
  <c r="F642" i="9"/>
  <c r="E642" i="9"/>
  <c r="D642" i="9"/>
  <c r="C642" i="9"/>
  <c r="B642" i="9"/>
  <c r="A642" i="9"/>
  <c r="G641" i="9"/>
  <c r="F641" i="9"/>
  <c r="E641" i="9"/>
  <c r="D641" i="9"/>
  <c r="C641" i="9"/>
  <c r="B641" i="9"/>
  <c r="A641" i="9"/>
  <c r="G640" i="9"/>
  <c r="F640" i="9"/>
  <c r="E640" i="9"/>
  <c r="D640" i="9"/>
  <c r="C640" i="9"/>
  <c r="B640" i="9"/>
  <c r="A640" i="9"/>
  <c r="G639" i="9"/>
  <c r="F639" i="9"/>
  <c r="E639" i="9"/>
  <c r="D639" i="9"/>
  <c r="C639" i="9"/>
  <c r="B639" i="9"/>
  <c r="A639" i="9"/>
  <c r="G638" i="9"/>
  <c r="F638" i="9"/>
  <c r="E638" i="9"/>
  <c r="D638" i="9"/>
  <c r="C638" i="9"/>
  <c r="B638" i="9"/>
  <c r="A638" i="9"/>
  <c r="G637" i="9"/>
  <c r="F637" i="9"/>
  <c r="E637" i="9"/>
  <c r="D637" i="9"/>
  <c r="C637" i="9"/>
  <c r="B637" i="9"/>
  <c r="A637" i="9"/>
  <c r="G636" i="9"/>
  <c r="F636" i="9"/>
  <c r="E636" i="9"/>
  <c r="D636" i="9"/>
  <c r="C636" i="9"/>
  <c r="B636" i="9"/>
  <c r="A636" i="9"/>
  <c r="G635" i="9"/>
  <c r="F635" i="9"/>
  <c r="E635" i="9"/>
  <c r="D635" i="9"/>
  <c r="C635" i="9"/>
  <c r="B635" i="9"/>
  <c r="A635" i="9"/>
  <c r="G634" i="9"/>
  <c r="F634" i="9"/>
  <c r="E634" i="9"/>
  <c r="D634" i="9"/>
  <c r="C634" i="9"/>
  <c r="B634" i="9"/>
  <c r="A634" i="9"/>
  <c r="G633" i="9"/>
  <c r="F633" i="9"/>
  <c r="E633" i="9"/>
  <c r="D633" i="9"/>
  <c r="C633" i="9"/>
  <c r="B633" i="9"/>
  <c r="A633" i="9"/>
  <c r="G632" i="9"/>
  <c r="F632" i="9"/>
  <c r="E632" i="9"/>
  <c r="D632" i="9"/>
  <c r="C632" i="9"/>
  <c r="B632" i="9"/>
  <c r="A632" i="9"/>
  <c r="G631" i="9"/>
  <c r="F631" i="9"/>
  <c r="E631" i="9"/>
  <c r="D631" i="9"/>
  <c r="C631" i="9"/>
  <c r="B631" i="9"/>
  <c r="A631" i="9"/>
  <c r="G630" i="9"/>
  <c r="F630" i="9"/>
  <c r="E630" i="9"/>
  <c r="D630" i="9"/>
  <c r="C630" i="9"/>
  <c r="B630" i="9"/>
  <c r="A630" i="9"/>
  <c r="G629" i="9"/>
  <c r="F629" i="9"/>
  <c r="E629" i="9"/>
  <c r="D629" i="9"/>
  <c r="C629" i="9"/>
  <c r="B629" i="9"/>
  <c r="A629" i="9"/>
  <c r="G628" i="9"/>
  <c r="F628" i="9"/>
  <c r="E628" i="9"/>
  <c r="D628" i="9"/>
  <c r="C628" i="9"/>
  <c r="B628" i="9"/>
  <c r="A628" i="9"/>
  <c r="G627" i="9"/>
  <c r="F627" i="9"/>
  <c r="E627" i="9"/>
  <c r="D627" i="9"/>
  <c r="C627" i="9"/>
  <c r="B627" i="9"/>
  <c r="A627" i="9"/>
  <c r="G626" i="9"/>
  <c r="F626" i="9"/>
  <c r="E626" i="9"/>
  <c r="D626" i="9"/>
  <c r="C626" i="9"/>
  <c r="B626" i="9"/>
  <c r="A626" i="9"/>
  <c r="G625" i="9"/>
  <c r="F625" i="9"/>
  <c r="E625" i="9"/>
  <c r="D625" i="9"/>
  <c r="C625" i="9"/>
  <c r="B625" i="9"/>
  <c r="A625" i="9"/>
  <c r="G624" i="9"/>
  <c r="F624" i="9"/>
  <c r="E624" i="9"/>
  <c r="D624" i="9"/>
  <c r="C624" i="9"/>
  <c r="B624" i="9"/>
  <c r="A624" i="9"/>
  <c r="G623" i="9"/>
  <c r="F623" i="9"/>
  <c r="E623" i="9"/>
  <c r="D623" i="9"/>
  <c r="C623" i="9"/>
  <c r="B623" i="9"/>
  <c r="A623" i="9"/>
  <c r="G622" i="9"/>
  <c r="F622" i="9"/>
  <c r="E622" i="9"/>
  <c r="D622" i="9"/>
  <c r="C622" i="9"/>
  <c r="B622" i="9"/>
  <c r="A622" i="9"/>
  <c r="G621" i="9"/>
  <c r="F621" i="9"/>
  <c r="E621" i="9"/>
  <c r="D621" i="9"/>
  <c r="C621" i="9"/>
  <c r="B621" i="9"/>
  <c r="A621" i="9"/>
  <c r="G620" i="9"/>
  <c r="F620" i="9"/>
  <c r="E620" i="9"/>
  <c r="D620" i="9"/>
  <c r="C620" i="9"/>
  <c r="B620" i="9"/>
  <c r="A620" i="9"/>
  <c r="G619" i="9"/>
  <c r="F619" i="9"/>
  <c r="E619" i="9"/>
  <c r="D619" i="9"/>
  <c r="C619" i="9"/>
  <c r="B619" i="9"/>
  <c r="A619" i="9"/>
  <c r="G618" i="9"/>
  <c r="F618" i="9"/>
  <c r="E618" i="9"/>
  <c r="D618" i="9"/>
  <c r="C618" i="9"/>
  <c r="B618" i="9"/>
  <c r="A618" i="9"/>
  <c r="G617" i="9"/>
  <c r="F617" i="9"/>
  <c r="E617" i="9"/>
  <c r="D617" i="9"/>
  <c r="C617" i="9"/>
  <c r="B617" i="9"/>
  <c r="A617" i="9"/>
  <c r="G616" i="9"/>
  <c r="F616" i="9"/>
  <c r="E616" i="9"/>
  <c r="D616" i="9"/>
  <c r="C616" i="9"/>
  <c r="B616" i="9"/>
  <c r="A616" i="9"/>
  <c r="G615" i="9"/>
  <c r="F615" i="9"/>
  <c r="E615" i="9"/>
  <c r="D615" i="9"/>
  <c r="C615" i="9"/>
  <c r="B615" i="9"/>
  <c r="A615" i="9"/>
  <c r="G614" i="9"/>
  <c r="F614" i="9"/>
  <c r="E614" i="9"/>
  <c r="D614" i="9"/>
  <c r="C614" i="9"/>
  <c r="B614" i="9"/>
  <c r="A614" i="9"/>
  <c r="G613" i="9"/>
  <c r="F613" i="9"/>
  <c r="E613" i="9"/>
  <c r="D613" i="9"/>
  <c r="C613" i="9"/>
  <c r="B613" i="9"/>
  <c r="A613" i="9"/>
  <c r="G612" i="9"/>
  <c r="F612" i="9"/>
  <c r="E612" i="9"/>
  <c r="D612" i="9"/>
  <c r="C612" i="9"/>
  <c r="B612" i="9"/>
  <c r="A612" i="9"/>
  <c r="G611" i="9"/>
  <c r="F611" i="9"/>
  <c r="E611" i="9"/>
  <c r="D611" i="9"/>
  <c r="C611" i="9"/>
  <c r="B611" i="9"/>
  <c r="A611" i="9"/>
  <c r="G610" i="9"/>
  <c r="F610" i="9"/>
  <c r="E610" i="9"/>
  <c r="D610" i="9"/>
  <c r="C610" i="9"/>
  <c r="B610" i="9"/>
  <c r="A610" i="9"/>
  <c r="G609" i="9"/>
  <c r="F609" i="9"/>
  <c r="E609" i="9"/>
  <c r="D609" i="9"/>
  <c r="C609" i="9"/>
  <c r="B609" i="9"/>
  <c r="A609" i="9"/>
  <c r="G608" i="9"/>
  <c r="F608" i="9"/>
  <c r="E608" i="9"/>
  <c r="D608" i="9"/>
  <c r="C608" i="9"/>
  <c r="B608" i="9"/>
  <c r="A608" i="9"/>
  <c r="G607" i="9"/>
  <c r="F607" i="9"/>
  <c r="E607" i="9"/>
  <c r="D607" i="9"/>
  <c r="C607" i="9"/>
  <c r="B607" i="9"/>
  <c r="A607" i="9"/>
  <c r="G606" i="9"/>
  <c r="F606" i="9"/>
  <c r="E606" i="9"/>
  <c r="D606" i="9"/>
  <c r="C606" i="9"/>
  <c r="B606" i="9"/>
  <c r="A606" i="9"/>
  <c r="G605" i="9"/>
  <c r="F605" i="9"/>
  <c r="E605" i="9"/>
  <c r="D605" i="9"/>
  <c r="C605" i="9"/>
  <c r="B605" i="9"/>
  <c r="A605" i="9"/>
  <c r="G604" i="9"/>
  <c r="F604" i="9"/>
  <c r="E604" i="9"/>
  <c r="D604" i="9"/>
  <c r="C604" i="9"/>
  <c r="B604" i="9"/>
  <c r="A604" i="9"/>
  <c r="G603" i="9"/>
  <c r="F603" i="9"/>
  <c r="E603" i="9"/>
  <c r="D603" i="9"/>
  <c r="C603" i="9"/>
  <c r="B603" i="9"/>
  <c r="A603" i="9"/>
  <c r="G602" i="9"/>
  <c r="F602" i="9"/>
  <c r="E602" i="9"/>
  <c r="D602" i="9"/>
  <c r="C602" i="9"/>
  <c r="B602" i="9"/>
  <c r="A602" i="9"/>
  <c r="G601" i="9"/>
  <c r="F601" i="9"/>
  <c r="E601" i="9"/>
  <c r="D601" i="9"/>
  <c r="C601" i="9"/>
  <c r="B601" i="9"/>
  <c r="A601" i="9"/>
  <c r="G600" i="9"/>
  <c r="F600" i="9"/>
  <c r="E600" i="9"/>
  <c r="D600" i="9"/>
  <c r="C600" i="9"/>
  <c r="B600" i="9"/>
  <c r="A600" i="9"/>
  <c r="G599" i="9"/>
  <c r="F599" i="9"/>
  <c r="E599" i="9"/>
  <c r="D599" i="9"/>
  <c r="C599" i="9"/>
  <c r="B599" i="9"/>
  <c r="A599" i="9"/>
  <c r="G598" i="9"/>
  <c r="F598" i="9"/>
  <c r="E598" i="9"/>
  <c r="D598" i="9"/>
  <c r="C598" i="9"/>
  <c r="B598" i="9"/>
  <c r="A598" i="9"/>
  <c r="G597" i="9"/>
  <c r="F597" i="9"/>
  <c r="E597" i="9"/>
  <c r="D597" i="9"/>
  <c r="C597" i="9"/>
  <c r="B597" i="9"/>
  <c r="A597" i="9"/>
  <c r="G596" i="9"/>
  <c r="F596" i="9"/>
  <c r="E596" i="9"/>
  <c r="D596" i="9"/>
  <c r="C596" i="9"/>
  <c r="B596" i="9"/>
  <c r="A596" i="9"/>
  <c r="G595" i="9"/>
  <c r="F595" i="9"/>
  <c r="E595" i="9"/>
  <c r="D595" i="9"/>
  <c r="C595" i="9"/>
  <c r="B595" i="9"/>
  <c r="A595" i="9"/>
  <c r="G594" i="9"/>
  <c r="F594" i="9"/>
  <c r="E594" i="9"/>
  <c r="D594" i="9"/>
  <c r="C594" i="9"/>
  <c r="B594" i="9"/>
  <c r="A594" i="9"/>
  <c r="G593" i="9"/>
  <c r="F593" i="9"/>
  <c r="E593" i="9"/>
  <c r="D593" i="9"/>
  <c r="C593" i="9"/>
  <c r="B593" i="9"/>
  <c r="A593" i="9"/>
  <c r="G592" i="9"/>
  <c r="F592" i="9"/>
  <c r="E592" i="9"/>
  <c r="D592" i="9"/>
  <c r="C592" i="9"/>
  <c r="B592" i="9"/>
  <c r="A592" i="9"/>
  <c r="G591" i="9"/>
  <c r="F591" i="9"/>
  <c r="E591" i="9"/>
  <c r="D591" i="9"/>
  <c r="C591" i="9"/>
  <c r="B591" i="9"/>
  <c r="A591" i="9"/>
  <c r="G590" i="9"/>
  <c r="F590" i="9"/>
  <c r="E590" i="9"/>
  <c r="D590" i="9"/>
  <c r="C590" i="9"/>
  <c r="B590" i="9"/>
  <c r="A590" i="9"/>
  <c r="G589" i="9"/>
  <c r="F589" i="9"/>
  <c r="E589" i="9"/>
  <c r="D589" i="9"/>
  <c r="C589" i="9"/>
  <c r="B589" i="9"/>
  <c r="A589" i="9"/>
  <c r="G588" i="9"/>
  <c r="F588" i="9"/>
  <c r="E588" i="9"/>
  <c r="D588" i="9"/>
  <c r="C588" i="9"/>
  <c r="B588" i="9"/>
  <c r="A588" i="9"/>
  <c r="G587" i="9"/>
  <c r="F587" i="9"/>
  <c r="E587" i="9"/>
  <c r="D587" i="9"/>
  <c r="C587" i="9"/>
  <c r="B587" i="9"/>
  <c r="A587" i="9"/>
  <c r="G586" i="9"/>
  <c r="F586" i="9"/>
  <c r="E586" i="9"/>
  <c r="D586" i="9"/>
  <c r="C586" i="9"/>
  <c r="B586" i="9"/>
  <c r="A586" i="9"/>
  <c r="G585" i="9"/>
  <c r="F585" i="9"/>
  <c r="E585" i="9"/>
  <c r="D585" i="9"/>
  <c r="C585" i="9"/>
  <c r="B585" i="9"/>
  <c r="A585" i="9"/>
  <c r="G584" i="9"/>
  <c r="F584" i="9"/>
  <c r="E584" i="9"/>
  <c r="D584" i="9"/>
  <c r="C584" i="9"/>
  <c r="B584" i="9"/>
  <c r="A584" i="9"/>
  <c r="G583" i="9"/>
  <c r="F583" i="9"/>
  <c r="E583" i="9"/>
  <c r="D583" i="9"/>
  <c r="C583" i="9"/>
  <c r="B583" i="9"/>
  <c r="A583" i="9"/>
  <c r="G582" i="9"/>
  <c r="F582" i="9"/>
  <c r="E582" i="9"/>
  <c r="D582" i="9"/>
  <c r="C582" i="9"/>
  <c r="B582" i="9"/>
  <c r="A582" i="9"/>
  <c r="G581" i="9"/>
  <c r="F581" i="9"/>
  <c r="E581" i="9"/>
  <c r="D581" i="9"/>
  <c r="C581" i="9"/>
  <c r="B581" i="9"/>
  <c r="A581" i="9"/>
  <c r="G580" i="9"/>
  <c r="F580" i="9"/>
  <c r="E580" i="9"/>
  <c r="D580" i="9"/>
  <c r="C580" i="9"/>
  <c r="B580" i="9"/>
  <c r="A580" i="9"/>
  <c r="G579" i="9"/>
  <c r="F579" i="9"/>
  <c r="E579" i="9"/>
  <c r="D579" i="9"/>
  <c r="C579" i="9"/>
  <c r="B579" i="9"/>
  <c r="A579" i="9"/>
  <c r="G578" i="9"/>
  <c r="F578" i="9"/>
  <c r="E578" i="9"/>
  <c r="D578" i="9"/>
  <c r="C578" i="9"/>
  <c r="B578" i="9"/>
  <c r="A578" i="9"/>
  <c r="G577" i="9"/>
  <c r="F577" i="9"/>
  <c r="E577" i="9"/>
  <c r="D577" i="9"/>
  <c r="C577" i="9"/>
  <c r="B577" i="9"/>
  <c r="A577" i="9"/>
  <c r="G576" i="9"/>
  <c r="F576" i="9"/>
  <c r="E576" i="9"/>
  <c r="D576" i="9"/>
  <c r="C576" i="9"/>
  <c r="B576" i="9"/>
  <c r="A576" i="9"/>
  <c r="G575" i="9"/>
  <c r="F575" i="9"/>
  <c r="E575" i="9"/>
  <c r="D575" i="9"/>
  <c r="C575" i="9"/>
  <c r="B575" i="9"/>
  <c r="A575" i="9"/>
  <c r="G574" i="9"/>
  <c r="F574" i="9"/>
  <c r="E574" i="9"/>
  <c r="D574" i="9"/>
  <c r="C574" i="9"/>
  <c r="B574" i="9"/>
  <c r="A574" i="9"/>
  <c r="G573" i="9"/>
  <c r="F573" i="9"/>
  <c r="E573" i="9"/>
  <c r="D573" i="9"/>
  <c r="C573" i="9"/>
  <c r="B573" i="9"/>
  <c r="A573" i="9"/>
  <c r="G572" i="9"/>
  <c r="F572" i="9"/>
  <c r="E572" i="9"/>
  <c r="D572" i="9"/>
  <c r="C572" i="9"/>
  <c r="B572" i="9"/>
  <c r="A572" i="9"/>
  <c r="G571" i="9"/>
  <c r="F571" i="9"/>
  <c r="E571" i="9"/>
  <c r="D571" i="9"/>
  <c r="C571" i="9"/>
  <c r="B571" i="9"/>
  <c r="A571" i="9"/>
  <c r="G570" i="9"/>
  <c r="F570" i="9"/>
  <c r="E570" i="9"/>
  <c r="D570" i="9"/>
  <c r="C570" i="9"/>
  <c r="B570" i="9"/>
  <c r="A570" i="9"/>
  <c r="G569" i="9"/>
  <c r="F569" i="9"/>
  <c r="E569" i="9"/>
  <c r="D569" i="9"/>
  <c r="C569" i="9"/>
  <c r="B569" i="9"/>
  <c r="A569" i="9"/>
  <c r="G568" i="9"/>
  <c r="F568" i="9"/>
  <c r="E568" i="9"/>
  <c r="D568" i="9"/>
  <c r="C568" i="9"/>
  <c r="B568" i="9"/>
  <c r="A568" i="9"/>
  <c r="G567" i="9"/>
  <c r="F567" i="9"/>
  <c r="E567" i="9"/>
  <c r="D567" i="9"/>
  <c r="C567" i="9"/>
  <c r="B567" i="9"/>
  <c r="A567" i="9"/>
  <c r="G566" i="9"/>
  <c r="F566" i="9"/>
  <c r="E566" i="9"/>
  <c r="D566" i="9"/>
  <c r="C566" i="9"/>
  <c r="B566" i="9"/>
  <c r="A566" i="9"/>
  <c r="G565" i="9"/>
  <c r="F565" i="9"/>
  <c r="E565" i="9"/>
  <c r="D565" i="9"/>
  <c r="C565" i="9"/>
  <c r="B565" i="9"/>
  <c r="A565" i="9"/>
  <c r="G564" i="9"/>
  <c r="F564" i="9"/>
  <c r="E564" i="9"/>
  <c r="D564" i="9"/>
  <c r="C564" i="9"/>
  <c r="B564" i="9"/>
  <c r="A564" i="9"/>
  <c r="G563" i="9"/>
  <c r="F563" i="9"/>
  <c r="E563" i="9"/>
  <c r="D563" i="9"/>
  <c r="C563" i="9"/>
  <c r="B563" i="9"/>
  <c r="A563" i="9"/>
  <c r="G562" i="9"/>
  <c r="F562" i="9"/>
  <c r="E562" i="9"/>
  <c r="D562" i="9"/>
  <c r="C562" i="9"/>
  <c r="B562" i="9"/>
  <c r="A562" i="9"/>
  <c r="G561" i="9"/>
  <c r="F561" i="9"/>
  <c r="E561" i="9"/>
  <c r="D561" i="9"/>
  <c r="C561" i="9"/>
  <c r="B561" i="9"/>
  <c r="A561" i="9"/>
  <c r="G560" i="9"/>
  <c r="F560" i="9"/>
  <c r="E560" i="9"/>
  <c r="D560" i="9"/>
  <c r="C560" i="9"/>
  <c r="B560" i="9"/>
  <c r="A560" i="9"/>
  <c r="G559" i="9"/>
  <c r="F559" i="9"/>
  <c r="E559" i="9"/>
  <c r="D559" i="9"/>
  <c r="C559" i="9"/>
  <c r="B559" i="9"/>
  <c r="A559" i="9"/>
  <c r="G558" i="9"/>
  <c r="F558" i="9"/>
  <c r="E558" i="9"/>
  <c r="D558" i="9"/>
  <c r="C558" i="9"/>
  <c r="B558" i="9"/>
  <c r="A558" i="9"/>
  <c r="G557" i="9"/>
  <c r="F557" i="9"/>
  <c r="E557" i="9"/>
  <c r="D557" i="9"/>
  <c r="C557" i="9"/>
  <c r="B557" i="9"/>
  <c r="A557" i="9"/>
  <c r="G556" i="9"/>
  <c r="F556" i="9"/>
  <c r="E556" i="9"/>
  <c r="D556" i="9"/>
  <c r="C556" i="9"/>
  <c r="B556" i="9"/>
  <c r="A556" i="9"/>
  <c r="G555" i="9"/>
  <c r="F555" i="9"/>
  <c r="E555" i="9"/>
  <c r="D555" i="9"/>
  <c r="C555" i="9"/>
  <c r="B555" i="9"/>
  <c r="A555" i="9"/>
  <c r="G554" i="9"/>
  <c r="F554" i="9"/>
  <c r="E554" i="9"/>
  <c r="D554" i="9"/>
  <c r="C554" i="9"/>
  <c r="B554" i="9"/>
  <c r="A554" i="9"/>
  <c r="G553" i="9"/>
  <c r="F553" i="9"/>
  <c r="E553" i="9"/>
  <c r="D553" i="9"/>
  <c r="C553" i="9"/>
  <c r="B553" i="9"/>
  <c r="A553" i="9"/>
  <c r="G552" i="9"/>
  <c r="F552" i="9"/>
  <c r="E552" i="9"/>
  <c r="D552" i="9"/>
  <c r="C552" i="9"/>
  <c r="B552" i="9"/>
  <c r="A552" i="9"/>
  <c r="G551" i="9"/>
  <c r="F551" i="9"/>
  <c r="E551" i="9"/>
  <c r="D551" i="9"/>
  <c r="C551" i="9"/>
  <c r="B551" i="9"/>
  <c r="A551" i="9"/>
  <c r="G550" i="9"/>
  <c r="F550" i="9"/>
  <c r="E550" i="9"/>
  <c r="D550" i="9"/>
  <c r="C550" i="9"/>
  <c r="B550" i="9"/>
  <c r="A550" i="9"/>
  <c r="G549" i="9"/>
  <c r="F549" i="9"/>
  <c r="E549" i="9"/>
  <c r="D549" i="9"/>
  <c r="C549" i="9"/>
  <c r="B549" i="9"/>
  <c r="A549" i="9"/>
  <c r="G548" i="9"/>
  <c r="F548" i="9"/>
  <c r="E548" i="9"/>
  <c r="D548" i="9"/>
  <c r="C548" i="9"/>
  <c r="B548" i="9"/>
  <c r="A548" i="9"/>
  <c r="G547" i="9"/>
  <c r="F547" i="9"/>
  <c r="E547" i="9"/>
  <c r="D547" i="9"/>
  <c r="C547" i="9"/>
  <c r="B547" i="9"/>
  <c r="A547" i="9"/>
  <c r="G546" i="9"/>
  <c r="F546" i="9"/>
  <c r="E546" i="9"/>
  <c r="D546" i="9"/>
  <c r="C546" i="9"/>
  <c r="B546" i="9"/>
  <c r="A546" i="9"/>
  <c r="G545" i="9"/>
  <c r="F545" i="9"/>
  <c r="E545" i="9"/>
  <c r="D545" i="9"/>
  <c r="C545" i="9"/>
  <c r="B545" i="9"/>
  <c r="A545" i="9"/>
  <c r="G544" i="9"/>
  <c r="F544" i="9"/>
  <c r="E544" i="9"/>
  <c r="D544" i="9"/>
  <c r="C544" i="9"/>
  <c r="B544" i="9"/>
  <c r="A544" i="9"/>
  <c r="G543" i="9"/>
  <c r="F543" i="9"/>
  <c r="E543" i="9"/>
  <c r="D543" i="9"/>
  <c r="C543" i="9"/>
  <c r="B543" i="9"/>
  <c r="A543" i="9"/>
  <c r="G542" i="9"/>
  <c r="F542" i="9"/>
  <c r="E542" i="9"/>
  <c r="D542" i="9"/>
  <c r="C542" i="9"/>
  <c r="B542" i="9"/>
  <c r="A542" i="9"/>
  <c r="G541" i="9"/>
  <c r="F541" i="9"/>
  <c r="E541" i="9"/>
  <c r="D541" i="9"/>
  <c r="C541" i="9"/>
  <c r="B541" i="9"/>
  <c r="A541" i="9"/>
  <c r="G540" i="9"/>
  <c r="F540" i="9"/>
  <c r="E540" i="9"/>
  <c r="D540" i="9"/>
  <c r="C540" i="9"/>
  <c r="B540" i="9"/>
  <c r="A540" i="9"/>
  <c r="G539" i="9"/>
  <c r="F539" i="9"/>
  <c r="E539" i="9"/>
  <c r="D539" i="9"/>
  <c r="C539" i="9"/>
  <c r="B539" i="9"/>
  <c r="A539" i="9"/>
  <c r="G538" i="9"/>
  <c r="F538" i="9"/>
  <c r="E538" i="9"/>
  <c r="D538" i="9"/>
  <c r="C538" i="9"/>
  <c r="B538" i="9"/>
  <c r="A538" i="9"/>
  <c r="G537" i="9"/>
  <c r="F537" i="9"/>
  <c r="E537" i="9"/>
  <c r="D537" i="9"/>
  <c r="C537" i="9"/>
  <c r="B537" i="9"/>
  <c r="A537" i="9"/>
  <c r="G536" i="9"/>
  <c r="F536" i="9"/>
  <c r="E536" i="9"/>
  <c r="D536" i="9"/>
  <c r="C536" i="9"/>
  <c r="B536" i="9"/>
  <c r="A536" i="9"/>
  <c r="G535" i="9"/>
  <c r="F535" i="9"/>
  <c r="E535" i="9"/>
  <c r="D535" i="9"/>
  <c r="C535" i="9"/>
  <c r="B535" i="9"/>
  <c r="A535" i="9"/>
  <c r="G534" i="9"/>
  <c r="F534" i="9"/>
  <c r="E534" i="9"/>
  <c r="D534" i="9"/>
  <c r="C534" i="9"/>
  <c r="B534" i="9"/>
  <c r="A534" i="9"/>
  <c r="G533" i="9"/>
  <c r="F533" i="9"/>
  <c r="E533" i="9"/>
  <c r="D533" i="9"/>
  <c r="C533" i="9"/>
  <c r="B533" i="9"/>
  <c r="A533" i="9"/>
  <c r="G532" i="9"/>
  <c r="F532" i="9"/>
  <c r="E532" i="9"/>
  <c r="D532" i="9"/>
  <c r="C532" i="9"/>
  <c r="B532" i="9"/>
  <c r="A532" i="9"/>
  <c r="G531" i="9"/>
  <c r="F531" i="9"/>
  <c r="E531" i="9"/>
  <c r="D531" i="9"/>
  <c r="C531" i="9"/>
  <c r="B531" i="9"/>
  <c r="A531" i="9"/>
  <c r="G530" i="9"/>
  <c r="F530" i="9"/>
  <c r="E530" i="9"/>
  <c r="D530" i="9"/>
  <c r="C530" i="9"/>
  <c r="B530" i="9"/>
  <c r="A530" i="9"/>
  <c r="G529" i="9"/>
  <c r="F529" i="9"/>
  <c r="E529" i="9"/>
  <c r="D529" i="9"/>
  <c r="C529" i="9"/>
  <c r="B529" i="9"/>
  <c r="A529" i="9"/>
  <c r="G528" i="9"/>
  <c r="F528" i="9"/>
  <c r="E528" i="9"/>
  <c r="D528" i="9"/>
  <c r="C528" i="9"/>
  <c r="B528" i="9"/>
  <c r="A528" i="9"/>
  <c r="G527" i="9"/>
  <c r="F527" i="9"/>
  <c r="E527" i="9"/>
  <c r="D527" i="9"/>
  <c r="C527" i="9"/>
  <c r="B527" i="9"/>
  <c r="A527" i="9"/>
  <c r="G526" i="9"/>
  <c r="F526" i="9"/>
  <c r="E526" i="9"/>
  <c r="D526" i="9"/>
  <c r="C526" i="9"/>
  <c r="B526" i="9"/>
  <c r="A526" i="9"/>
  <c r="G525" i="9"/>
  <c r="F525" i="9"/>
  <c r="E525" i="9"/>
  <c r="D525" i="9"/>
  <c r="C525" i="9"/>
  <c r="B525" i="9"/>
  <c r="A525" i="9"/>
  <c r="G524" i="9"/>
  <c r="F524" i="9"/>
  <c r="E524" i="9"/>
  <c r="D524" i="9"/>
  <c r="C524" i="9"/>
  <c r="B524" i="9"/>
  <c r="A524" i="9"/>
  <c r="G523" i="9"/>
  <c r="F523" i="9"/>
  <c r="E523" i="9"/>
  <c r="D523" i="9"/>
  <c r="C523" i="9"/>
  <c r="B523" i="9"/>
  <c r="A523" i="9"/>
  <c r="G522" i="9"/>
  <c r="F522" i="9"/>
  <c r="E522" i="9"/>
  <c r="D522" i="9"/>
  <c r="C522" i="9"/>
  <c r="B522" i="9"/>
  <c r="A522" i="9"/>
  <c r="G521" i="9"/>
  <c r="F521" i="9"/>
  <c r="E521" i="9"/>
  <c r="D521" i="9"/>
  <c r="C521" i="9"/>
  <c r="B521" i="9"/>
  <c r="A521" i="9"/>
  <c r="G520" i="9"/>
  <c r="F520" i="9"/>
  <c r="E520" i="9"/>
  <c r="D520" i="9"/>
  <c r="C520" i="9"/>
  <c r="B520" i="9"/>
  <c r="A520" i="9"/>
  <c r="G519" i="9"/>
  <c r="F519" i="9"/>
  <c r="E519" i="9"/>
  <c r="D519" i="9"/>
  <c r="C519" i="9"/>
  <c r="B519" i="9"/>
  <c r="A519" i="9"/>
  <c r="G518" i="9"/>
  <c r="F518" i="9"/>
  <c r="E518" i="9"/>
  <c r="D518" i="9"/>
  <c r="C518" i="9"/>
  <c r="B518" i="9"/>
  <c r="A518" i="9"/>
  <c r="G517" i="9"/>
  <c r="F517" i="9"/>
  <c r="E517" i="9"/>
  <c r="D517" i="9"/>
  <c r="C517" i="9"/>
  <c r="B517" i="9"/>
  <c r="A517" i="9"/>
  <c r="G516" i="9"/>
  <c r="F516" i="9"/>
  <c r="E516" i="9"/>
  <c r="D516" i="9"/>
  <c r="C516" i="9"/>
  <c r="B516" i="9"/>
  <c r="A516" i="9"/>
  <c r="G515" i="9"/>
  <c r="F515" i="9"/>
  <c r="E515" i="9"/>
  <c r="D515" i="9"/>
  <c r="C515" i="9"/>
  <c r="B515" i="9"/>
  <c r="A515" i="9"/>
  <c r="G514" i="9"/>
  <c r="F514" i="9"/>
  <c r="E514" i="9"/>
  <c r="D514" i="9"/>
  <c r="C514" i="9"/>
  <c r="B514" i="9"/>
  <c r="A514" i="9"/>
  <c r="G513" i="9"/>
  <c r="F513" i="9"/>
  <c r="E513" i="9"/>
  <c r="D513" i="9"/>
  <c r="C513" i="9"/>
  <c r="B513" i="9"/>
  <c r="A513" i="9"/>
  <c r="G512" i="9"/>
  <c r="F512" i="9"/>
  <c r="E512" i="9"/>
  <c r="D512" i="9"/>
  <c r="C512" i="9"/>
  <c r="B512" i="9"/>
  <c r="A512" i="9"/>
  <c r="G511" i="9"/>
  <c r="F511" i="9"/>
  <c r="E511" i="9"/>
  <c r="D511" i="9"/>
  <c r="C511" i="9"/>
  <c r="B511" i="9"/>
  <c r="A511" i="9"/>
  <c r="G510" i="9"/>
  <c r="F510" i="9"/>
  <c r="E510" i="9"/>
  <c r="D510" i="9"/>
  <c r="C510" i="9"/>
  <c r="B510" i="9"/>
  <c r="A510" i="9"/>
  <c r="G509" i="9"/>
  <c r="F509" i="9"/>
  <c r="E509" i="9"/>
  <c r="D509" i="9"/>
  <c r="C509" i="9"/>
  <c r="B509" i="9"/>
  <c r="A509" i="9"/>
  <c r="G508" i="9"/>
  <c r="F508" i="9"/>
  <c r="E508" i="9"/>
  <c r="D508" i="9"/>
  <c r="C508" i="9"/>
  <c r="B508" i="9"/>
  <c r="A508" i="9"/>
  <c r="G507" i="9"/>
  <c r="F507" i="9"/>
  <c r="E507" i="9"/>
  <c r="D507" i="9"/>
  <c r="C507" i="9"/>
  <c r="B507" i="9"/>
  <c r="A507" i="9"/>
  <c r="G506" i="9"/>
  <c r="F506" i="9"/>
  <c r="E506" i="9"/>
  <c r="D506" i="9"/>
  <c r="C506" i="9"/>
  <c r="B506" i="9"/>
  <c r="A506" i="9"/>
  <c r="G505" i="9"/>
  <c r="F505" i="9"/>
  <c r="E505" i="9"/>
  <c r="D505" i="9"/>
  <c r="C505" i="9"/>
  <c r="B505" i="9"/>
  <c r="A505" i="9"/>
  <c r="G504" i="9"/>
  <c r="F504" i="9"/>
  <c r="E504" i="9"/>
  <c r="D504" i="9"/>
  <c r="C504" i="9"/>
  <c r="B504" i="9"/>
  <c r="A504" i="9"/>
  <c r="G503" i="9"/>
  <c r="F503" i="9"/>
  <c r="E503" i="9"/>
  <c r="D503" i="9"/>
  <c r="C503" i="9"/>
  <c r="B503" i="9"/>
  <c r="A503" i="9"/>
  <c r="G502" i="9"/>
  <c r="F502" i="9"/>
  <c r="E502" i="9"/>
  <c r="D502" i="9"/>
  <c r="C502" i="9"/>
  <c r="B502" i="9"/>
  <c r="A502" i="9"/>
  <c r="G501" i="9"/>
  <c r="F501" i="9"/>
  <c r="E501" i="9"/>
  <c r="D501" i="9"/>
  <c r="C501" i="9"/>
  <c r="B501" i="9"/>
  <c r="A501" i="9"/>
  <c r="G500" i="9"/>
  <c r="F500" i="9"/>
  <c r="E500" i="9"/>
  <c r="D500" i="9"/>
  <c r="C500" i="9"/>
  <c r="B500" i="9"/>
  <c r="A500" i="9"/>
  <c r="G499" i="9"/>
  <c r="F499" i="9"/>
  <c r="E499" i="9"/>
  <c r="D499" i="9"/>
  <c r="C499" i="9"/>
  <c r="B499" i="9"/>
  <c r="A499" i="9"/>
  <c r="G498" i="9"/>
  <c r="F498" i="9"/>
  <c r="E498" i="9"/>
  <c r="D498" i="9"/>
  <c r="C498" i="9"/>
  <c r="B498" i="9"/>
  <c r="A498" i="9"/>
  <c r="G497" i="9"/>
  <c r="F497" i="9"/>
  <c r="E497" i="9"/>
  <c r="D497" i="9"/>
  <c r="C497" i="9"/>
  <c r="B497" i="9"/>
  <c r="A497" i="9"/>
  <c r="G496" i="9"/>
  <c r="F496" i="9"/>
  <c r="E496" i="9"/>
  <c r="D496" i="9"/>
  <c r="C496" i="9"/>
  <c r="B496" i="9"/>
  <c r="A496" i="9"/>
  <c r="G495" i="9"/>
  <c r="F495" i="9"/>
  <c r="E495" i="9"/>
  <c r="D495" i="9"/>
  <c r="C495" i="9"/>
  <c r="B495" i="9"/>
  <c r="A495" i="9"/>
  <c r="G494" i="9"/>
  <c r="F494" i="9"/>
  <c r="E494" i="9"/>
  <c r="D494" i="9"/>
  <c r="C494" i="9"/>
  <c r="B494" i="9"/>
  <c r="A494" i="9"/>
  <c r="G493" i="9"/>
  <c r="F493" i="9"/>
  <c r="E493" i="9"/>
  <c r="D493" i="9"/>
  <c r="C493" i="9"/>
  <c r="B493" i="9"/>
  <c r="A493" i="9"/>
  <c r="G492" i="9"/>
  <c r="F492" i="9"/>
  <c r="E492" i="9"/>
  <c r="D492" i="9"/>
  <c r="C492" i="9"/>
  <c r="B492" i="9"/>
  <c r="A492" i="9"/>
  <c r="G491" i="9"/>
  <c r="F491" i="9"/>
  <c r="E491" i="9"/>
  <c r="D491" i="9"/>
  <c r="C491" i="9"/>
  <c r="B491" i="9"/>
  <c r="A491" i="9"/>
  <c r="G490" i="9"/>
  <c r="F490" i="9"/>
  <c r="E490" i="9"/>
  <c r="D490" i="9"/>
  <c r="C490" i="9"/>
  <c r="B490" i="9"/>
  <c r="A490" i="9"/>
  <c r="G489" i="9"/>
  <c r="F489" i="9"/>
  <c r="E489" i="9"/>
  <c r="D489" i="9"/>
  <c r="C489" i="9"/>
  <c r="B489" i="9"/>
  <c r="A489" i="9"/>
  <c r="G488" i="9"/>
  <c r="F488" i="9"/>
  <c r="E488" i="9"/>
  <c r="D488" i="9"/>
  <c r="C488" i="9"/>
  <c r="B488" i="9"/>
  <c r="A488" i="9"/>
  <c r="G487" i="9"/>
  <c r="F487" i="9"/>
  <c r="E487" i="9"/>
  <c r="D487" i="9"/>
  <c r="C487" i="9"/>
  <c r="B487" i="9"/>
  <c r="A487" i="9"/>
  <c r="G486" i="9"/>
  <c r="F486" i="9"/>
  <c r="E486" i="9"/>
  <c r="D486" i="9"/>
  <c r="C486" i="9"/>
  <c r="B486" i="9"/>
  <c r="A486" i="9"/>
  <c r="G485" i="9"/>
  <c r="F485" i="9"/>
  <c r="E485" i="9"/>
  <c r="D485" i="9"/>
  <c r="C485" i="9"/>
  <c r="B485" i="9"/>
  <c r="A485" i="9"/>
  <c r="G484" i="9"/>
  <c r="F484" i="9"/>
  <c r="E484" i="9"/>
  <c r="D484" i="9"/>
  <c r="C484" i="9"/>
  <c r="B484" i="9"/>
  <c r="A484" i="9"/>
  <c r="G483" i="9"/>
  <c r="F483" i="9"/>
  <c r="E483" i="9"/>
  <c r="D483" i="9"/>
  <c r="C483" i="9"/>
  <c r="B483" i="9"/>
  <c r="A483" i="9"/>
  <c r="G482" i="9"/>
  <c r="F482" i="9"/>
  <c r="E482" i="9"/>
  <c r="D482" i="9"/>
  <c r="C482" i="9"/>
  <c r="B482" i="9"/>
  <c r="A482" i="9"/>
  <c r="G481" i="9"/>
  <c r="F481" i="9"/>
  <c r="E481" i="9"/>
  <c r="D481" i="9"/>
  <c r="C481" i="9"/>
  <c r="B481" i="9"/>
  <c r="A481" i="9"/>
  <c r="G480" i="9"/>
  <c r="F480" i="9"/>
  <c r="E480" i="9"/>
  <c r="D480" i="9"/>
  <c r="C480" i="9"/>
  <c r="B480" i="9"/>
  <c r="A480" i="9"/>
  <c r="G479" i="9"/>
  <c r="F479" i="9"/>
  <c r="E479" i="9"/>
  <c r="D479" i="9"/>
  <c r="C479" i="9"/>
  <c r="B479" i="9"/>
  <c r="A479" i="9"/>
  <c r="G478" i="9"/>
  <c r="F478" i="9"/>
  <c r="E478" i="9"/>
  <c r="D478" i="9"/>
  <c r="C478" i="9"/>
  <c r="B478" i="9"/>
  <c r="A478" i="9"/>
  <c r="G477" i="9"/>
  <c r="F477" i="9"/>
  <c r="E477" i="9"/>
  <c r="D477" i="9"/>
  <c r="C477" i="9"/>
  <c r="B477" i="9"/>
  <c r="A477" i="9"/>
  <c r="G476" i="9"/>
  <c r="F476" i="9"/>
  <c r="E476" i="9"/>
  <c r="D476" i="9"/>
  <c r="C476" i="9"/>
  <c r="B476" i="9"/>
  <c r="A476" i="9"/>
  <c r="G475" i="9"/>
  <c r="F475" i="9"/>
  <c r="E475" i="9"/>
  <c r="D475" i="9"/>
  <c r="C475" i="9"/>
  <c r="B475" i="9"/>
  <c r="A475" i="9"/>
  <c r="G474" i="9"/>
  <c r="F474" i="9"/>
  <c r="E474" i="9"/>
  <c r="D474" i="9"/>
  <c r="C474" i="9"/>
  <c r="B474" i="9"/>
  <c r="A474" i="9"/>
  <c r="G473" i="9"/>
  <c r="F473" i="9"/>
  <c r="E473" i="9"/>
  <c r="D473" i="9"/>
  <c r="C473" i="9"/>
  <c r="B473" i="9"/>
  <c r="A473" i="9"/>
  <c r="G472" i="9"/>
  <c r="F472" i="9"/>
  <c r="E472" i="9"/>
  <c r="D472" i="9"/>
  <c r="C472" i="9"/>
  <c r="B472" i="9"/>
  <c r="A472" i="9"/>
  <c r="G471" i="9"/>
  <c r="F471" i="9"/>
  <c r="E471" i="9"/>
  <c r="D471" i="9"/>
  <c r="C471" i="9"/>
  <c r="B471" i="9"/>
  <c r="A471" i="9"/>
  <c r="G470" i="9"/>
  <c r="F470" i="9"/>
  <c r="E470" i="9"/>
  <c r="D470" i="9"/>
  <c r="C470" i="9"/>
  <c r="B470" i="9"/>
  <c r="A470" i="9"/>
  <c r="G469" i="9"/>
  <c r="F469" i="9"/>
  <c r="E469" i="9"/>
  <c r="D469" i="9"/>
  <c r="C469" i="9"/>
  <c r="B469" i="9"/>
  <c r="A469" i="9"/>
  <c r="G468" i="9"/>
  <c r="F468" i="9"/>
  <c r="E468" i="9"/>
  <c r="D468" i="9"/>
  <c r="C468" i="9"/>
  <c r="B468" i="9"/>
  <c r="A468" i="9"/>
  <c r="G467" i="9"/>
  <c r="F467" i="9"/>
  <c r="E467" i="9"/>
  <c r="D467" i="9"/>
  <c r="C467" i="9"/>
  <c r="B467" i="9"/>
  <c r="A467" i="9"/>
  <c r="G466" i="9"/>
  <c r="F466" i="9"/>
  <c r="E466" i="9"/>
  <c r="D466" i="9"/>
  <c r="C466" i="9"/>
  <c r="B466" i="9"/>
  <c r="A466" i="9"/>
  <c r="G465" i="9"/>
  <c r="F465" i="9"/>
  <c r="E465" i="9"/>
  <c r="D465" i="9"/>
  <c r="C465" i="9"/>
  <c r="B465" i="9"/>
  <c r="A465" i="9"/>
  <c r="G464" i="9"/>
  <c r="F464" i="9"/>
  <c r="E464" i="9"/>
  <c r="D464" i="9"/>
  <c r="C464" i="9"/>
  <c r="B464" i="9"/>
  <c r="A464" i="9"/>
  <c r="G463" i="9"/>
  <c r="F463" i="9"/>
  <c r="E463" i="9"/>
  <c r="D463" i="9"/>
  <c r="C463" i="9"/>
  <c r="B463" i="9"/>
  <c r="A463" i="9"/>
  <c r="G462" i="9"/>
  <c r="F462" i="9"/>
  <c r="E462" i="9"/>
  <c r="D462" i="9"/>
  <c r="C462" i="9"/>
  <c r="B462" i="9"/>
  <c r="A462" i="9"/>
  <c r="G461" i="9"/>
  <c r="F461" i="9"/>
  <c r="E461" i="9"/>
  <c r="D461" i="9"/>
  <c r="C461" i="9"/>
  <c r="B461" i="9"/>
  <c r="A461" i="9"/>
  <c r="G460" i="9"/>
  <c r="F460" i="9"/>
  <c r="E460" i="9"/>
  <c r="D460" i="9"/>
  <c r="C460" i="9"/>
  <c r="B460" i="9"/>
  <c r="A460" i="9"/>
  <c r="G459" i="9"/>
  <c r="F459" i="9"/>
  <c r="E459" i="9"/>
  <c r="D459" i="9"/>
  <c r="C459" i="9"/>
  <c r="B459" i="9"/>
  <c r="A459" i="9"/>
  <c r="G458" i="9"/>
  <c r="F458" i="9"/>
  <c r="E458" i="9"/>
  <c r="D458" i="9"/>
  <c r="C458" i="9"/>
  <c r="B458" i="9"/>
  <c r="A458" i="9"/>
  <c r="G457" i="9"/>
  <c r="F457" i="9"/>
  <c r="E457" i="9"/>
  <c r="D457" i="9"/>
  <c r="C457" i="9"/>
  <c r="B457" i="9"/>
  <c r="A457" i="9"/>
  <c r="G456" i="9"/>
  <c r="F456" i="9"/>
  <c r="E456" i="9"/>
  <c r="D456" i="9"/>
  <c r="C456" i="9"/>
  <c r="B456" i="9"/>
  <c r="A456" i="9"/>
  <c r="G455" i="9"/>
  <c r="F455" i="9"/>
  <c r="E455" i="9"/>
  <c r="D455" i="9"/>
  <c r="C455" i="9"/>
  <c r="B455" i="9"/>
  <c r="A455" i="9"/>
  <c r="G454" i="9"/>
  <c r="F454" i="9"/>
  <c r="E454" i="9"/>
  <c r="D454" i="9"/>
  <c r="C454" i="9"/>
  <c r="B454" i="9"/>
  <c r="A454" i="9"/>
  <c r="G453" i="9"/>
  <c r="F453" i="9"/>
  <c r="E453" i="9"/>
  <c r="D453" i="9"/>
  <c r="C453" i="9"/>
  <c r="B453" i="9"/>
  <c r="A453" i="9"/>
  <c r="G452" i="9"/>
  <c r="F452" i="9"/>
  <c r="E452" i="9"/>
  <c r="D452" i="9"/>
  <c r="C452" i="9"/>
  <c r="B452" i="9"/>
  <c r="A452" i="9"/>
  <c r="G451" i="9"/>
  <c r="F451" i="9"/>
  <c r="E451" i="9"/>
  <c r="D451" i="9"/>
  <c r="C451" i="9"/>
  <c r="B451" i="9"/>
  <c r="A451" i="9"/>
  <c r="G450" i="9"/>
  <c r="F450" i="9"/>
  <c r="E450" i="9"/>
  <c r="D450" i="9"/>
  <c r="C450" i="9"/>
  <c r="B450" i="9"/>
  <c r="A450" i="9"/>
  <c r="G449" i="9"/>
  <c r="F449" i="9"/>
  <c r="E449" i="9"/>
  <c r="D449" i="9"/>
  <c r="C449" i="9"/>
  <c r="B449" i="9"/>
  <c r="A449" i="9"/>
  <c r="G448" i="9"/>
  <c r="F448" i="9"/>
  <c r="E448" i="9"/>
  <c r="D448" i="9"/>
  <c r="C448" i="9"/>
  <c r="B448" i="9"/>
  <c r="A448" i="9"/>
  <c r="G447" i="9"/>
  <c r="F447" i="9"/>
  <c r="E447" i="9"/>
  <c r="D447" i="9"/>
  <c r="C447" i="9"/>
  <c r="B447" i="9"/>
  <c r="A447" i="9"/>
  <c r="G446" i="9"/>
  <c r="F446" i="9"/>
  <c r="E446" i="9"/>
  <c r="D446" i="9"/>
  <c r="C446" i="9"/>
  <c r="B446" i="9"/>
  <c r="A446" i="9"/>
  <c r="G445" i="9"/>
  <c r="F445" i="9"/>
  <c r="E445" i="9"/>
  <c r="D445" i="9"/>
  <c r="C445" i="9"/>
  <c r="B445" i="9"/>
  <c r="A445" i="9"/>
  <c r="G444" i="9"/>
  <c r="F444" i="9"/>
  <c r="E444" i="9"/>
  <c r="D444" i="9"/>
  <c r="C444" i="9"/>
  <c r="B444" i="9"/>
  <c r="A444" i="9"/>
  <c r="G443" i="9"/>
  <c r="F443" i="9"/>
  <c r="E443" i="9"/>
  <c r="D443" i="9"/>
  <c r="C443" i="9"/>
  <c r="B443" i="9"/>
  <c r="A443" i="9"/>
  <c r="G442" i="9"/>
  <c r="F442" i="9"/>
  <c r="E442" i="9"/>
  <c r="D442" i="9"/>
  <c r="C442" i="9"/>
  <c r="B442" i="9"/>
  <c r="A442" i="9"/>
  <c r="G441" i="9"/>
  <c r="F441" i="9"/>
  <c r="E441" i="9"/>
  <c r="D441" i="9"/>
  <c r="C441" i="9"/>
  <c r="B441" i="9"/>
  <c r="A441" i="9"/>
  <c r="G440" i="9"/>
  <c r="F440" i="9"/>
  <c r="E440" i="9"/>
  <c r="D440" i="9"/>
  <c r="C440" i="9"/>
  <c r="B440" i="9"/>
  <c r="A440" i="9"/>
  <c r="G439" i="9"/>
  <c r="F439" i="9"/>
  <c r="E439" i="9"/>
  <c r="D439" i="9"/>
  <c r="C439" i="9"/>
  <c r="B439" i="9"/>
  <c r="A439" i="9"/>
  <c r="G438" i="9"/>
  <c r="F438" i="9"/>
  <c r="E438" i="9"/>
  <c r="D438" i="9"/>
  <c r="C438" i="9"/>
  <c r="B438" i="9"/>
  <c r="A438" i="9"/>
  <c r="G437" i="9"/>
  <c r="F437" i="9"/>
  <c r="E437" i="9"/>
  <c r="D437" i="9"/>
  <c r="C437" i="9"/>
  <c r="B437" i="9"/>
  <c r="A437" i="9"/>
  <c r="G436" i="9"/>
  <c r="F436" i="9"/>
  <c r="E436" i="9"/>
  <c r="D436" i="9"/>
  <c r="C436" i="9"/>
  <c r="B436" i="9"/>
  <c r="A436" i="9"/>
  <c r="G435" i="9"/>
  <c r="F435" i="9"/>
  <c r="E435" i="9"/>
  <c r="D435" i="9"/>
  <c r="C435" i="9"/>
  <c r="B435" i="9"/>
  <c r="A435" i="9"/>
  <c r="G434" i="9"/>
  <c r="F434" i="9"/>
  <c r="E434" i="9"/>
  <c r="D434" i="9"/>
  <c r="C434" i="9"/>
  <c r="B434" i="9"/>
  <c r="A434" i="9"/>
  <c r="G433" i="9"/>
  <c r="F433" i="9"/>
  <c r="E433" i="9"/>
  <c r="D433" i="9"/>
  <c r="C433" i="9"/>
  <c r="B433" i="9"/>
  <c r="A433" i="9"/>
  <c r="G432" i="9"/>
  <c r="F432" i="9"/>
  <c r="E432" i="9"/>
  <c r="D432" i="9"/>
  <c r="C432" i="9"/>
  <c r="B432" i="9"/>
  <c r="A432" i="9"/>
  <c r="G431" i="9"/>
  <c r="F431" i="9"/>
  <c r="E431" i="9"/>
  <c r="D431" i="9"/>
  <c r="C431" i="9"/>
  <c r="B431" i="9"/>
  <c r="A431" i="9"/>
  <c r="G430" i="9"/>
  <c r="F430" i="9"/>
  <c r="E430" i="9"/>
  <c r="D430" i="9"/>
  <c r="C430" i="9"/>
  <c r="B430" i="9"/>
  <c r="A430" i="9"/>
  <c r="G429" i="9"/>
  <c r="F429" i="9"/>
  <c r="E429" i="9"/>
  <c r="D429" i="9"/>
  <c r="C429" i="9"/>
  <c r="B429" i="9"/>
  <c r="A429" i="9"/>
  <c r="G428" i="9"/>
  <c r="F428" i="9"/>
  <c r="E428" i="9"/>
  <c r="D428" i="9"/>
  <c r="C428" i="9"/>
  <c r="B428" i="9"/>
  <c r="A428" i="9"/>
  <c r="G427" i="9"/>
  <c r="F427" i="9"/>
  <c r="E427" i="9"/>
  <c r="D427" i="9"/>
  <c r="C427" i="9"/>
  <c r="B427" i="9"/>
  <c r="A427" i="9"/>
  <c r="G426" i="9"/>
  <c r="F426" i="9"/>
  <c r="E426" i="9"/>
  <c r="D426" i="9"/>
  <c r="C426" i="9"/>
  <c r="B426" i="9"/>
  <c r="A426" i="9"/>
  <c r="G425" i="9"/>
  <c r="F425" i="9"/>
  <c r="E425" i="9"/>
  <c r="D425" i="9"/>
  <c r="C425" i="9"/>
  <c r="B425" i="9"/>
  <c r="A425" i="9"/>
  <c r="G424" i="9"/>
  <c r="F424" i="9"/>
  <c r="E424" i="9"/>
  <c r="D424" i="9"/>
  <c r="C424" i="9"/>
  <c r="B424" i="9"/>
  <c r="A424" i="9"/>
  <c r="G423" i="9"/>
  <c r="F423" i="9"/>
  <c r="E423" i="9"/>
  <c r="D423" i="9"/>
  <c r="C423" i="9"/>
  <c r="B423" i="9"/>
  <c r="A423" i="9"/>
  <c r="G422" i="9"/>
  <c r="F422" i="9"/>
  <c r="E422" i="9"/>
  <c r="D422" i="9"/>
  <c r="C422" i="9"/>
  <c r="B422" i="9"/>
  <c r="A422" i="9"/>
  <c r="G421" i="9"/>
  <c r="F421" i="9"/>
  <c r="E421" i="9"/>
  <c r="D421" i="9"/>
  <c r="C421" i="9"/>
  <c r="B421" i="9"/>
  <c r="A421" i="9"/>
  <c r="G420" i="9"/>
  <c r="F420" i="9"/>
  <c r="E420" i="9"/>
  <c r="D420" i="9"/>
  <c r="C420" i="9"/>
  <c r="B420" i="9"/>
  <c r="A420" i="9"/>
  <c r="G419" i="9"/>
  <c r="F419" i="9"/>
  <c r="E419" i="9"/>
  <c r="D419" i="9"/>
  <c r="C419" i="9"/>
  <c r="B419" i="9"/>
  <c r="A419" i="9"/>
  <c r="G418" i="9"/>
  <c r="F418" i="9"/>
  <c r="E418" i="9"/>
  <c r="D418" i="9"/>
  <c r="C418" i="9"/>
  <c r="B418" i="9"/>
  <c r="A418" i="9"/>
  <c r="G417" i="9"/>
  <c r="F417" i="9"/>
  <c r="E417" i="9"/>
  <c r="D417" i="9"/>
  <c r="C417" i="9"/>
  <c r="B417" i="9"/>
  <c r="A417" i="9"/>
  <c r="G416" i="9"/>
  <c r="F416" i="9"/>
  <c r="E416" i="9"/>
  <c r="D416" i="9"/>
  <c r="C416" i="9"/>
  <c r="B416" i="9"/>
  <c r="A416" i="9"/>
  <c r="G415" i="9"/>
  <c r="F415" i="9"/>
  <c r="E415" i="9"/>
  <c r="D415" i="9"/>
  <c r="C415" i="9"/>
  <c r="B415" i="9"/>
  <c r="A415" i="9"/>
  <c r="G414" i="9"/>
  <c r="F414" i="9"/>
  <c r="E414" i="9"/>
  <c r="D414" i="9"/>
  <c r="C414" i="9"/>
  <c r="B414" i="9"/>
  <c r="A414" i="9"/>
  <c r="G413" i="9"/>
  <c r="F413" i="9"/>
  <c r="E413" i="9"/>
  <c r="D413" i="9"/>
  <c r="C413" i="9"/>
  <c r="B413" i="9"/>
  <c r="A413" i="9"/>
  <c r="G412" i="9"/>
  <c r="F412" i="9"/>
  <c r="E412" i="9"/>
  <c r="D412" i="9"/>
  <c r="C412" i="9"/>
  <c r="B412" i="9"/>
  <c r="A412" i="9"/>
  <c r="G411" i="9"/>
  <c r="F411" i="9"/>
  <c r="E411" i="9"/>
  <c r="D411" i="9"/>
  <c r="C411" i="9"/>
  <c r="B411" i="9"/>
  <c r="A411" i="9"/>
  <c r="G410" i="9"/>
  <c r="F410" i="9"/>
  <c r="E410" i="9"/>
  <c r="D410" i="9"/>
  <c r="C410" i="9"/>
  <c r="B410" i="9"/>
  <c r="A410" i="9"/>
  <c r="G409" i="9"/>
  <c r="F409" i="9"/>
  <c r="E409" i="9"/>
  <c r="D409" i="9"/>
  <c r="C409" i="9"/>
  <c r="B409" i="9"/>
  <c r="A409" i="9"/>
  <c r="G408" i="9"/>
  <c r="F408" i="9"/>
  <c r="E408" i="9"/>
  <c r="D408" i="9"/>
  <c r="C408" i="9"/>
  <c r="B408" i="9"/>
  <c r="A408" i="9"/>
  <c r="G407" i="9"/>
  <c r="F407" i="9"/>
  <c r="E407" i="9"/>
  <c r="D407" i="9"/>
  <c r="C407" i="9"/>
  <c r="B407" i="9"/>
  <c r="A407" i="9"/>
  <c r="G406" i="9"/>
  <c r="F406" i="9"/>
  <c r="E406" i="9"/>
  <c r="D406" i="9"/>
  <c r="C406" i="9"/>
  <c r="B406" i="9"/>
  <c r="A406" i="9"/>
  <c r="G405" i="9"/>
  <c r="F405" i="9"/>
  <c r="E405" i="9"/>
  <c r="D405" i="9"/>
  <c r="C405" i="9"/>
  <c r="B405" i="9"/>
  <c r="A405" i="9"/>
  <c r="G404" i="9"/>
  <c r="F404" i="9"/>
  <c r="E404" i="9"/>
  <c r="D404" i="9"/>
  <c r="C404" i="9"/>
  <c r="B404" i="9"/>
  <c r="A404" i="9"/>
  <c r="G403" i="9"/>
  <c r="F403" i="9"/>
  <c r="E403" i="9"/>
  <c r="D403" i="9"/>
  <c r="C403" i="9"/>
  <c r="B403" i="9"/>
  <c r="A403" i="9"/>
  <c r="G402" i="9"/>
  <c r="F402" i="9"/>
  <c r="E402" i="9"/>
  <c r="D402" i="9"/>
  <c r="C402" i="9"/>
  <c r="B402" i="9"/>
  <c r="A402" i="9"/>
  <c r="G401" i="9"/>
  <c r="F401" i="9"/>
  <c r="E401" i="9"/>
  <c r="D401" i="9"/>
  <c r="C401" i="9"/>
  <c r="B401" i="9"/>
  <c r="A401" i="9"/>
  <c r="G400" i="9"/>
  <c r="F400" i="9"/>
  <c r="E400" i="9"/>
  <c r="D400" i="9"/>
  <c r="C400" i="9"/>
  <c r="B400" i="9"/>
  <c r="A400" i="9"/>
  <c r="G399" i="9"/>
  <c r="F399" i="9"/>
  <c r="E399" i="9"/>
  <c r="D399" i="9"/>
  <c r="C399" i="9"/>
  <c r="B399" i="9"/>
  <c r="A399" i="9"/>
  <c r="G398" i="9"/>
  <c r="F398" i="9"/>
  <c r="E398" i="9"/>
  <c r="D398" i="9"/>
  <c r="C398" i="9"/>
  <c r="B398" i="9"/>
  <c r="A398" i="9"/>
  <c r="G397" i="9"/>
  <c r="F397" i="9"/>
  <c r="E397" i="9"/>
  <c r="D397" i="9"/>
  <c r="C397" i="9"/>
  <c r="B397" i="9"/>
  <c r="A397" i="9"/>
  <c r="G396" i="9"/>
  <c r="F396" i="9"/>
  <c r="E396" i="9"/>
  <c r="D396" i="9"/>
  <c r="C396" i="9"/>
  <c r="B396" i="9"/>
  <c r="A396" i="9"/>
  <c r="G395" i="9"/>
  <c r="F395" i="9"/>
  <c r="E395" i="9"/>
  <c r="D395" i="9"/>
  <c r="C395" i="9"/>
  <c r="B395" i="9"/>
  <c r="A395" i="9"/>
  <c r="G394" i="9"/>
  <c r="F394" i="9"/>
  <c r="E394" i="9"/>
  <c r="D394" i="9"/>
  <c r="C394" i="9"/>
  <c r="B394" i="9"/>
  <c r="A394" i="9"/>
  <c r="G393" i="9"/>
  <c r="F393" i="9"/>
  <c r="E393" i="9"/>
  <c r="D393" i="9"/>
  <c r="C393" i="9"/>
  <c r="B393" i="9"/>
  <c r="A393" i="9"/>
  <c r="G392" i="9"/>
  <c r="F392" i="9"/>
  <c r="E392" i="9"/>
  <c r="D392" i="9"/>
  <c r="C392" i="9"/>
  <c r="B392" i="9"/>
  <c r="A392" i="9"/>
  <c r="G391" i="9"/>
  <c r="F391" i="9"/>
  <c r="E391" i="9"/>
  <c r="D391" i="9"/>
  <c r="C391" i="9"/>
  <c r="B391" i="9"/>
  <c r="A391" i="9"/>
  <c r="G390" i="9"/>
  <c r="F390" i="9"/>
  <c r="E390" i="9"/>
  <c r="D390" i="9"/>
  <c r="C390" i="9"/>
  <c r="B390" i="9"/>
  <c r="A390" i="9"/>
  <c r="G389" i="9"/>
  <c r="F389" i="9"/>
  <c r="E389" i="9"/>
  <c r="D389" i="9"/>
  <c r="C389" i="9"/>
  <c r="B389" i="9"/>
  <c r="A389" i="9"/>
  <c r="G388" i="9"/>
  <c r="F388" i="9"/>
  <c r="E388" i="9"/>
  <c r="D388" i="9"/>
  <c r="C388" i="9"/>
  <c r="B388" i="9"/>
  <c r="A388" i="9"/>
  <c r="G387" i="9"/>
  <c r="F387" i="9"/>
  <c r="E387" i="9"/>
  <c r="D387" i="9"/>
  <c r="C387" i="9"/>
  <c r="B387" i="9"/>
  <c r="A387" i="9"/>
  <c r="G386" i="9"/>
  <c r="F386" i="9"/>
  <c r="E386" i="9"/>
  <c r="D386" i="9"/>
  <c r="C386" i="9"/>
  <c r="B386" i="9"/>
  <c r="A386" i="9"/>
  <c r="G385" i="9"/>
  <c r="F385" i="9"/>
  <c r="E385" i="9"/>
  <c r="D385" i="9"/>
  <c r="C385" i="9"/>
  <c r="B385" i="9"/>
  <c r="A385" i="9"/>
  <c r="G384" i="9"/>
  <c r="F384" i="9"/>
  <c r="E384" i="9"/>
  <c r="D384" i="9"/>
  <c r="C384" i="9"/>
  <c r="B384" i="9"/>
  <c r="A384" i="9"/>
  <c r="G383" i="9"/>
  <c r="F383" i="9"/>
  <c r="E383" i="9"/>
  <c r="D383" i="9"/>
  <c r="C383" i="9"/>
  <c r="B383" i="9"/>
  <c r="A383" i="9"/>
  <c r="G382" i="9"/>
  <c r="F382" i="9"/>
  <c r="E382" i="9"/>
  <c r="D382" i="9"/>
  <c r="C382" i="9"/>
  <c r="B382" i="9"/>
  <c r="A382" i="9"/>
  <c r="G381" i="9"/>
  <c r="F381" i="9"/>
  <c r="E381" i="9"/>
  <c r="D381" i="9"/>
  <c r="C381" i="9"/>
  <c r="B381" i="9"/>
  <c r="A381" i="9"/>
  <c r="G380" i="9"/>
  <c r="F380" i="9"/>
  <c r="E380" i="9"/>
  <c r="D380" i="9"/>
  <c r="C380" i="9"/>
  <c r="B380" i="9"/>
  <c r="A380" i="9"/>
  <c r="G379" i="9"/>
  <c r="F379" i="9"/>
  <c r="E379" i="9"/>
  <c r="D379" i="9"/>
  <c r="C379" i="9"/>
  <c r="B379" i="9"/>
  <c r="A379" i="9"/>
  <c r="G378" i="9"/>
  <c r="F378" i="9"/>
  <c r="E378" i="9"/>
  <c r="D378" i="9"/>
  <c r="C378" i="9"/>
  <c r="B378" i="9"/>
  <c r="A378" i="9"/>
  <c r="G377" i="9"/>
  <c r="F377" i="9"/>
  <c r="E377" i="9"/>
  <c r="D377" i="9"/>
  <c r="C377" i="9"/>
  <c r="B377" i="9"/>
  <c r="A377" i="9"/>
  <c r="G376" i="9"/>
  <c r="F376" i="9"/>
  <c r="E376" i="9"/>
  <c r="D376" i="9"/>
  <c r="C376" i="9"/>
  <c r="B376" i="9"/>
  <c r="A376" i="9"/>
  <c r="G375" i="9"/>
  <c r="F375" i="9"/>
  <c r="E375" i="9"/>
  <c r="D375" i="9"/>
  <c r="C375" i="9"/>
  <c r="B375" i="9"/>
  <c r="A375" i="9"/>
  <c r="G374" i="9"/>
  <c r="F374" i="9"/>
  <c r="E374" i="9"/>
  <c r="D374" i="9"/>
  <c r="C374" i="9"/>
  <c r="B374" i="9"/>
  <c r="A374" i="9"/>
  <c r="G373" i="9"/>
  <c r="F373" i="9"/>
  <c r="E373" i="9"/>
  <c r="D373" i="9"/>
  <c r="C373" i="9"/>
  <c r="B373" i="9"/>
  <c r="A373" i="9"/>
  <c r="G372" i="9"/>
  <c r="F372" i="9"/>
  <c r="E372" i="9"/>
  <c r="D372" i="9"/>
  <c r="C372" i="9"/>
  <c r="B372" i="9"/>
  <c r="A372" i="9"/>
  <c r="G371" i="9"/>
  <c r="F371" i="9"/>
  <c r="E371" i="9"/>
  <c r="D371" i="9"/>
  <c r="C371" i="9"/>
  <c r="B371" i="9"/>
  <c r="A371" i="9"/>
  <c r="G370" i="9"/>
  <c r="F370" i="9"/>
  <c r="E370" i="9"/>
  <c r="D370" i="9"/>
  <c r="C370" i="9"/>
  <c r="B370" i="9"/>
  <c r="A370" i="9"/>
  <c r="G369" i="9"/>
  <c r="F369" i="9"/>
  <c r="E369" i="9"/>
  <c r="D369" i="9"/>
  <c r="C369" i="9"/>
  <c r="B369" i="9"/>
  <c r="A369" i="9"/>
  <c r="G368" i="9"/>
  <c r="F368" i="9"/>
  <c r="E368" i="9"/>
  <c r="D368" i="9"/>
  <c r="C368" i="9"/>
  <c r="B368" i="9"/>
  <c r="A368" i="9"/>
  <c r="G367" i="9"/>
  <c r="F367" i="9"/>
  <c r="E367" i="9"/>
  <c r="D367" i="9"/>
  <c r="C367" i="9"/>
  <c r="B367" i="9"/>
  <c r="A367" i="9"/>
  <c r="G366" i="9"/>
  <c r="F366" i="9"/>
  <c r="E366" i="9"/>
  <c r="D366" i="9"/>
  <c r="C366" i="9"/>
  <c r="B366" i="9"/>
  <c r="A366" i="9"/>
  <c r="G365" i="9"/>
  <c r="F365" i="9"/>
  <c r="E365" i="9"/>
  <c r="D365" i="9"/>
  <c r="C365" i="9"/>
  <c r="B365" i="9"/>
  <c r="A365" i="9"/>
  <c r="G364" i="9"/>
  <c r="F364" i="9"/>
  <c r="E364" i="9"/>
  <c r="D364" i="9"/>
  <c r="C364" i="9"/>
  <c r="B364" i="9"/>
  <c r="A364" i="9"/>
  <c r="G363" i="9"/>
  <c r="F363" i="9"/>
  <c r="E363" i="9"/>
  <c r="D363" i="9"/>
  <c r="C363" i="9"/>
  <c r="B363" i="9"/>
  <c r="A363" i="9"/>
  <c r="G362" i="9"/>
  <c r="F362" i="9"/>
  <c r="E362" i="9"/>
  <c r="D362" i="9"/>
  <c r="C362" i="9"/>
  <c r="B362" i="9"/>
  <c r="A362" i="9"/>
  <c r="G361" i="9"/>
  <c r="F361" i="9"/>
  <c r="E361" i="9"/>
  <c r="D361" i="9"/>
  <c r="C361" i="9"/>
  <c r="B361" i="9"/>
  <c r="A361" i="9"/>
  <c r="G360" i="9"/>
  <c r="F360" i="9"/>
  <c r="E360" i="9"/>
  <c r="D360" i="9"/>
  <c r="C360" i="9"/>
  <c r="B360" i="9"/>
  <c r="A360" i="9"/>
  <c r="G359" i="9"/>
  <c r="F359" i="9"/>
  <c r="E359" i="9"/>
  <c r="D359" i="9"/>
  <c r="C359" i="9"/>
  <c r="B359" i="9"/>
  <c r="A359" i="9"/>
  <c r="G358" i="9"/>
  <c r="F358" i="9"/>
  <c r="E358" i="9"/>
  <c r="D358" i="9"/>
  <c r="C358" i="9"/>
  <c r="B358" i="9"/>
  <c r="A358" i="9"/>
  <c r="G357" i="9"/>
  <c r="F357" i="9"/>
  <c r="E357" i="9"/>
  <c r="D357" i="9"/>
  <c r="C357" i="9"/>
  <c r="B357" i="9"/>
  <c r="A357" i="9"/>
  <c r="G356" i="9"/>
  <c r="F356" i="9"/>
  <c r="E356" i="9"/>
  <c r="D356" i="9"/>
  <c r="C356" i="9"/>
  <c r="B356" i="9"/>
  <c r="A356" i="9"/>
  <c r="G355" i="9"/>
  <c r="F355" i="9"/>
  <c r="E355" i="9"/>
  <c r="D355" i="9"/>
  <c r="C355" i="9"/>
  <c r="B355" i="9"/>
  <c r="A355" i="9"/>
  <c r="G354" i="9"/>
  <c r="F354" i="9"/>
  <c r="E354" i="9"/>
  <c r="D354" i="9"/>
  <c r="C354" i="9"/>
  <c r="B354" i="9"/>
  <c r="A354" i="9"/>
  <c r="G353" i="9"/>
  <c r="F353" i="9"/>
  <c r="E353" i="9"/>
  <c r="D353" i="9"/>
  <c r="C353" i="9"/>
  <c r="B353" i="9"/>
  <c r="A353" i="9"/>
  <c r="G352" i="9"/>
  <c r="F352" i="9"/>
  <c r="E352" i="9"/>
  <c r="D352" i="9"/>
  <c r="C352" i="9"/>
  <c r="B352" i="9"/>
  <c r="A352" i="9"/>
  <c r="G351" i="9"/>
  <c r="F351" i="9"/>
  <c r="E351" i="9"/>
  <c r="D351" i="9"/>
  <c r="C351" i="9"/>
  <c r="B351" i="9"/>
  <c r="A351" i="9"/>
  <c r="G350" i="9"/>
  <c r="F350" i="9"/>
  <c r="E350" i="9"/>
  <c r="D350" i="9"/>
  <c r="C350" i="9"/>
  <c r="B350" i="9"/>
  <c r="A350" i="9"/>
  <c r="G349" i="9"/>
  <c r="F349" i="9"/>
  <c r="E349" i="9"/>
  <c r="D349" i="9"/>
  <c r="C349" i="9"/>
  <c r="B349" i="9"/>
  <c r="A349" i="9"/>
  <c r="G348" i="9"/>
  <c r="F348" i="9"/>
  <c r="E348" i="9"/>
  <c r="D348" i="9"/>
  <c r="C348" i="9"/>
  <c r="B348" i="9"/>
  <c r="A348" i="9"/>
  <c r="G347" i="9"/>
  <c r="F347" i="9"/>
  <c r="E347" i="9"/>
  <c r="D347" i="9"/>
  <c r="C347" i="9"/>
  <c r="B347" i="9"/>
  <c r="A347" i="9"/>
  <c r="G346" i="9"/>
  <c r="F346" i="9"/>
  <c r="E346" i="9"/>
  <c r="D346" i="9"/>
  <c r="C346" i="9"/>
  <c r="B346" i="9"/>
  <c r="A346" i="9"/>
  <c r="G345" i="9"/>
  <c r="F345" i="9"/>
  <c r="E345" i="9"/>
  <c r="D345" i="9"/>
  <c r="C345" i="9"/>
  <c r="B345" i="9"/>
  <c r="A345" i="9"/>
  <c r="G344" i="9"/>
  <c r="F344" i="9"/>
  <c r="E344" i="9"/>
  <c r="D344" i="9"/>
  <c r="C344" i="9"/>
  <c r="B344" i="9"/>
  <c r="A344" i="9"/>
  <c r="G343" i="9"/>
  <c r="F343" i="9"/>
  <c r="E343" i="9"/>
  <c r="D343" i="9"/>
  <c r="C343" i="9"/>
  <c r="B343" i="9"/>
  <c r="A343" i="9"/>
  <c r="G342" i="9"/>
  <c r="F342" i="9"/>
  <c r="E342" i="9"/>
  <c r="D342" i="9"/>
  <c r="C342" i="9"/>
  <c r="B342" i="9"/>
  <c r="A342" i="9"/>
  <c r="G341" i="9"/>
  <c r="F341" i="9"/>
  <c r="E341" i="9"/>
  <c r="D341" i="9"/>
  <c r="C341" i="9"/>
  <c r="B341" i="9"/>
  <c r="A341" i="9"/>
  <c r="G340" i="9"/>
  <c r="F340" i="9"/>
  <c r="E340" i="9"/>
  <c r="D340" i="9"/>
  <c r="C340" i="9"/>
  <c r="B340" i="9"/>
  <c r="A340" i="9"/>
  <c r="G339" i="9"/>
  <c r="F339" i="9"/>
  <c r="E339" i="9"/>
  <c r="D339" i="9"/>
  <c r="C339" i="9"/>
  <c r="B339" i="9"/>
  <c r="A339" i="9"/>
  <c r="G338" i="9"/>
  <c r="F338" i="9"/>
  <c r="E338" i="9"/>
  <c r="D338" i="9"/>
  <c r="C338" i="9"/>
  <c r="B338" i="9"/>
  <c r="A338" i="9"/>
  <c r="G337" i="9"/>
  <c r="F337" i="9"/>
  <c r="E337" i="9"/>
  <c r="D337" i="9"/>
  <c r="C337" i="9"/>
  <c r="B337" i="9"/>
  <c r="A337" i="9"/>
  <c r="G336" i="9"/>
  <c r="F336" i="9"/>
  <c r="E336" i="9"/>
  <c r="D336" i="9"/>
  <c r="C336" i="9"/>
  <c r="B336" i="9"/>
  <c r="A336" i="9"/>
  <c r="G335" i="9"/>
  <c r="F335" i="9"/>
  <c r="E335" i="9"/>
  <c r="D335" i="9"/>
  <c r="C335" i="9"/>
  <c r="B335" i="9"/>
  <c r="A335" i="9"/>
  <c r="G334" i="9"/>
  <c r="F334" i="9"/>
  <c r="E334" i="9"/>
  <c r="D334" i="9"/>
  <c r="C334" i="9"/>
  <c r="B334" i="9"/>
  <c r="A334" i="9"/>
  <c r="G333" i="9"/>
  <c r="F333" i="9"/>
  <c r="E333" i="9"/>
  <c r="D333" i="9"/>
  <c r="C333" i="9"/>
  <c r="B333" i="9"/>
  <c r="A333" i="9"/>
  <c r="G332" i="9"/>
  <c r="F332" i="9"/>
  <c r="E332" i="9"/>
  <c r="D332" i="9"/>
  <c r="C332" i="9"/>
  <c r="B332" i="9"/>
  <c r="A332" i="9"/>
  <c r="G331" i="9"/>
  <c r="F331" i="9"/>
  <c r="E331" i="9"/>
  <c r="D331" i="9"/>
  <c r="C331" i="9"/>
  <c r="B331" i="9"/>
  <c r="A331" i="9"/>
  <c r="G330" i="9"/>
  <c r="F330" i="9"/>
  <c r="E330" i="9"/>
  <c r="D330" i="9"/>
  <c r="C330" i="9"/>
  <c r="B330" i="9"/>
  <c r="A330" i="9"/>
  <c r="G329" i="9"/>
  <c r="F329" i="9"/>
  <c r="E329" i="9"/>
  <c r="D329" i="9"/>
  <c r="C329" i="9"/>
  <c r="B329" i="9"/>
  <c r="A329" i="9"/>
  <c r="G328" i="9"/>
  <c r="F328" i="9"/>
  <c r="E328" i="9"/>
  <c r="D328" i="9"/>
  <c r="C328" i="9"/>
  <c r="B328" i="9"/>
  <c r="A328" i="9"/>
  <c r="G327" i="9"/>
  <c r="F327" i="9"/>
  <c r="E327" i="9"/>
  <c r="D327" i="9"/>
  <c r="C327" i="9"/>
  <c r="B327" i="9"/>
  <c r="A327" i="9"/>
  <c r="G326" i="9"/>
  <c r="F326" i="9"/>
  <c r="E326" i="9"/>
  <c r="D326" i="9"/>
  <c r="C326" i="9"/>
  <c r="B326" i="9"/>
  <c r="A326" i="9"/>
  <c r="G325" i="9"/>
  <c r="F325" i="9"/>
  <c r="E325" i="9"/>
  <c r="D325" i="9"/>
  <c r="C325" i="9"/>
  <c r="B325" i="9"/>
  <c r="A325" i="9"/>
  <c r="G324" i="9"/>
  <c r="F324" i="9"/>
  <c r="E324" i="9"/>
  <c r="D324" i="9"/>
  <c r="C324" i="9"/>
  <c r="B324" i="9"/>
  <c r="A324" i="9"/>
  <c r="G323" i="9"/>
  <c r="F323" i="9"/>
  <c r="E323" i="9"/>
  <c r="D323" i="9"/>
  <c r="C323" i="9"/>
  <c r="B323" i="9"/>
  <c r="A323" i="9"/>
  <c r="G322" i="9"/>
  <c r="F322" i="9"/>
  <c r="E322" i="9"/>
  <c r="D322" i="9"/>
  <c r="C322" i="9"/>
  <c r="B322" i="9"/>
  <c r="A322" i="9"/>
  <c r="G321" i="9"/>
  <c r="F321" i="9"/>
  <c r="E321" i="9"/>
  <c r="D321" i="9"/>
  <c r="C321" i="9"/>
  <c r="B321" i="9"/>
  <c r="A321" i="9"/>
  <c r="G320" i="9"/>
  <c r="F320" i="9"/>
  <c r="E320" i="9"/>
  <c r="D320" i="9"/>
  <c r="C320" i="9"/>
  <c r="B320" i="9"/>
  <c r="A320" i="9"/>
  <c r="G319" i="9"/>
  <c r="F319" i="9"/>
  <c r="E319" i="9"/>
  <c r="D319" i="9"/>
  <c r="C319" i="9"/>
  <c r="B319" i="9"/>
  <c r="A319" i="9"/>
  <c r="G318" i="9"/>
  <c r="F318" i="9"/>
  <c r="E318" i="9"/>
  <c r="D318" i="9"/>
  <c r="C318" i="9"/>
  <c r="B318" i="9"/>
  <c r="A318" i="9"/>
  <c r="G317" i="9"/>
  <c r="F317" i="9"/>
  <c r="E317" i="9"/>
  <c r="D317" i="9"/>
  <c r="C317" i="9"/>
  <c r="B317" i="9"/>
  <c r="A317" i="9"/>
  <c r="G316" i="9"/>
  <c r="F316" i="9"/>
  <c r="E316" i="9"/>
  <c r="D316" i="9"/>
  <c r="C316" i="9"/>
  <c r="B316" i="9"/>
  <c r="A316" i="9"/>
  <c r="G315" i="9"/>
  <c r="F315" i="9"/>
  <c r="E315" i="9"/>
  <c r="D315" i="9"/>
  <c r="C315" i="9"/>
  <c r="B315" i="9"/>
  <c r="A315" i="9"/>
  <c r="G314" i="9"/>
  <c r="F314" i="9"/>
  <c r="E314" i="9"/>
  <c r="D314" i="9"/>
  <c r="C314" i="9"/>
  <c r="B314" i="9"/>
  <c r="A314" i="9"/>
  <c r="G313" i="9"/>
  <c r="F313" i="9"/>
  <c r="E313" i="9"/>
  <c r="D313" i="9"/>
  <c r="C313" i="9"/>
  <c r="B313" i="9"/>
  <c r="A313" i="9"/>
  <c r="G312" i="9"/>
  <c r="F312" i="9"/>
  <c r="E312" i="9"/>
  <c r="D312" i="9"/>
  <c r="C312" i="9"/>
  <c r="B312" i="9"/>
  <c r="A312" i="9"/>
  <c r="G311" i="9"/>
  <c r="F311" i="9"/>
  <c r="E311" i="9"/>
  <c r="D311" i="9"/>
  <c r="C311" i="9"/>
  <c r="B311" i="9"/>
  <c r="A311" i="9"/>
  <c r="G310" i="9"/>
  <c r="F310" i="9"/>
  <c r="E310" i="9"/>
  <c r="D310" i="9"/>
  <c r="C310" i="9"/>
  <c r="B310" i="9"/>
  <c r="A310" i="9"/>
  <c r="G309" i="9"/>
  <c r="F309" i="9"/>
  <c r="E309" i="9"/>
  <c r="D309" i="9"/>
  <c r="C309" i="9"/>
  <c r="B309" i="9"/>
  <c r="A309" i="9"/>
  <c r="G308" i="9"/>
  <c r="F308" i="9"/>
  <c r="E308" i="9"/>
  <c r="D308" i="9"/>
  <c r="C308" i="9"/>
  <c r="B308" i="9"/>
  <c r="A308" i="9"/>
  <c r="G307" i="9"/>
  <c r="F307" i="9"/>
  <c r="E307" i="9"/>
  <c r="D307" i="9"/>
  <c r="C307" i="9"/>
  <c r="B307" i="9"/>
  <c r="A307" i="9"/>
  <c r="G306" i="9"/>
  <c r="F306" i="9"/>
  <c r="E306" i="9"/>
  <c r="D306" i="9"/>
  <c r="C306" i="9"/>
  <c r="B306" i="9"/>
  <c r="A306" i="9"/>
  <c r="G305" i="9"/>
  <c r="F305" i="9"/>
  <c r="E305" i="9"/>
  <c r="D305" i="9"/>
  <c r="C305" i="9"/>
  <c r="B305" i="9"/>
  <c r="A305" i="9"/>
  <c r="G304" i="9"/>
  <c r="F304" i="9"/>
  <c r="E304" i="9"/>
  <c r="D304" i="9"/>
  <c r="C304" i="9"/>
  <c r="B304" i="9"/>
  <c r="A304" i="9"/>
  <c r="G303" i="9"/>
  <c r="F303" i="9"/>
  <c r="E303" i="9"/>
  <c r="D303" i="9"/>
  <c r="C303" i="9"/>
  <c r="B303" i="9"/>
  <c r="A303" i="9"/>
  <c r="G302" i="9"/>
  <c r="F302" i="9"/>
  <c r="E302" i="9"/>
  <c r="D302" i="9"/>
  <c r="C302" i="9"/>
  <c r="B302" i="9"/>
  <c r="A302" i="9"/>
  <c r="G301" i="9"/>
  <c r="F301" i="9"/>
  <c r="E301" i="9"/>
  <c r="D301" i="9"/>
  <c r="C301" i="9"/>
  <c r="B301" i="9"/>
  <c r="A301" i="9"/>
  <c r="G300" i="9"/>
  <c r="F300" i="9"/>
  <c r="E300" i="9"/>
  <c r="D300" i="9"/>
  <c r="C300" i="9"/>
  <c r="B300" i="9"/>
  <c r="A300" i="9"/>
  <c r="G299" i="9"/>
  <c r="F299" i="9"/>
  <c r="E299" i="9"/>
  <c r="D299" i="9"/>
  <c r="C299" i="9"/>
  <c r="B299" i="9"/>
  <c r="A299" i="9"/>
  <c r="G298" i="9"/>
  <c r="F298" i="9"/>
  <c r="E298" i="9"/>
  <c r="D298" i="9"/>
  <c r="C298" i="9"/>
  <c r="B298" i="9"/>
  <c r="A298" i="9"/>
  <c r="G297" i="9"/>
  <c r="F297" i="9"/>
  <c r="E297" i="9"/>
  <c r="D297" i="9"/>
  <c r="C297" i="9"/>
  <c r="B297" i="9"/>
  <c r="A297" i="9"/>
  <c r="G296" i="9"/>
  <c r="F296" i="9"/>
  <c r="E296" i="9"/>
  <c r="D296" i="9"/>
  <c r="C296" i="9"/>
  <c r="B296" i="9"/>
  <c r="A296" i="9"/>
  <c r="G295" i="9"/>
  <c r="F295" i="9"/>
  <c r="E295" i="9"/>
  <c r="D295" i="9"/>
  <c r="C295" i="9"/>
  <c r="B295" i="9"/>
  <c r="A295" i="9"/>
  <c r="G294" i="9"/>
  <c r="F294" i="9"/>
  <c r="E294" i="9"/>
  <c r="D294" i="9"/>
  <c r="C294" i="9"/>
  <c r="B294" i="9"/>
  <c r="A294" i="9"/>
  <c r="G293" i="9"/>
  <c r="F293" i="9"/>
  <c r="E293" i="9"/>
  <c r="D293" i="9"/>
  <c r="C293" i="9"/>
  <c r="B293" i="9"/>
  <c r="A293" i="9"/>
  <c r="G292" i="9"/>
  <c r="F292" i="9"/>
  <c r="E292" i="9"/>
  <c r="D292" i="9"/>
  <c r="C292" i="9"/>
  <c r="B292" i="9"/>
  <c r="A292" i="9"/>
  <c r="G291" i="9"/>
  <c r="F291" i="9"/>
  <c r="E291" i="9"/>
  <c r="D291" i="9"/>
  <c r="C291" i="9"/>
  <c r="B291" i="9"/>
  <c r="A291" i="9"/>
  <c r="G290" i="9"/>
  <c r="F290" i="9"/>
  <c r="E290" i="9"/>
  <c r="D290" i="9"/>
  <c r="C290" i="9"/>
  <c r="B290" i="9"/>
  <c r="A290" i="9"/>
  <c r="G289" i="9"/>
  <c r="F289" i="9"/>
  <c r="E289" i="9"/>
  <c r="D289" i="9"/>
  <c r="C289" i="9"/>
  <c r="B289" i="9"/>
  <c r="A289" i="9"/>
  <c r="G288" i="9"/>
  <c r="F288" i="9"/>
  <c r="E288" i="9"/>
  <c r="D288" i="9"/>
  <c r="C288" i="9"/>
  <c r="B288" i="9"/>
  <c r="A288" i="9"/>
  <c r="G287" i="9"/>
  <c r="F287" i="9"/>
  <c r="E287" i="9"/>
  <c r="D287" i="9"/>
  <c r="C287" i="9"/>
  <c r="B287" i="9"/>
  <c r="A287" i="9"/>
  <c r="G286" i="9"/>
  <c r="F286" i="9"/>
  <c r="E286" i="9"/>
  <c r="D286" i="9"/>
  <c r="C286" i="9"/>
  <c r="B286" i="9"/>
  <c r="A286" i="9"/>
  <c r="G285" i="9"/>
  <c r="F285" i="9"/>
  <c r="E285" i="9"/>
  <c r="D285" i="9"/>
  <c r="C285" i="9"/>
  <c r="B285" i="9"/>
  <c r="A285" i="9"/>
  <c r="G284" i="9"/>
  <c r="F284" i="9"/>
  <c r="E284" i="9"/>
  <c r="D284" i="9"/>
  <c r="C284" i="9"/>
  <c r="B284" i="9"/>
  <c r="A284" i="9"/>
  <c r="G283" i="9"/>
  <c r="F283" i="9"/>
  <c r="E283" i="9"/>
  <c r="D283" i="9"/>
  <c r="C283" i="9"/>
  <c r="B283" i="9"/>
  <c r="A283" i="9"/>
  <c r="G282" i="9"/>
  <c r="F282" i="9"/>
  <c r="E282" i="9"/>
  <c r="D282" i="9"/>
  <c r="C282" i="9"/>
  <c r="B282" i="9"/>
  <c r="A282" i="9"/>
  <c r="G281" i="9"/>
  <c r="F281" i="9"/>
  <c r="E281" i="9"/>
  <c r="D281" i="9"/>
  <c r="C281" i="9"/>
  <c r="B281" i="9"/>
  <c r="A281" i="9"/>
  <c r="G280" i="9"/>
  <c r="F280" i="9"/>
  <c r="E280" i="9"/>
  <c r="D280" i="9"/>
  <c r="C280" i="9"/>
  <c r="B280" i="9"/>
  <c r="A280" i="9"/>
  <c r="G279" i="9"/>
  <c r="F279" i="9"/>
  <c r="E279" i="9"/>
  <c r="D279" i="9"/>
  <c r="C279" i="9"/>
  <c r="B279" i="9"/>
  <c r="A279" i="9"/>
  <c r="G278" i="9"/>
  <c r="F278" i="9"/>
  <c r="E278" i="9"/>
  <c r="D278" i="9"/>
  <c r="C278" i="9"/>
  <c r="B278" i="9"/>
  <c r="A278" i="9"/>
  <c r="G277" i="9"/>
  <c r="F277" i="9"/>
  <c r="E277" i="9"/>
  <c r="D277" i="9"/>
  <c r="C277" i="9"/>
  <c r="B277" i="9"/>
  <c r="A277" i="9"/>
  <c r="G276" i="9"/>
  <c r="F276" i="9"/>
  <c r="E276" i="9"/>
  <c r="D276" i="9"/>
  <c r="C276" i="9"/>
  <c r="B276" i="9"/>
  <c r="A276" i="9"/>
  <c r="G275" i="9"/>
  <c r="F275" i="9"/>
  <c r="E275" i="9"/>
  <c r="D275" i="9"/>
  <c r="C275" i="9"/>
  <c r="B275" i="9"/>
  <c r="A275" i="9"/>
  <c r="G274" i="9"/>
  <c r="F274" i="9"/>
  <c r="E274" i="9"/>
  <c r="D274" i="9"/>
  <c r="C274" i="9"/>
  <c r="B274" i="9"/>
  <c r="A274" i="9"/>
  <c r="G273" i="9"/>
  <c r="F273" i="9"/>
  <c r="E273" i="9"/>
  <c r="D273" i="9"/>
  <c r="C273" i="9"/>
  <c r="B273" i="9"/>
  <c r="A273" i="9"/>
  <c r="G272" i="9"/>
  <c r="F272" i="9"/>
  <c r="E272" i="9"/>
  <c r="D272" i="9"/>
  <c r="C272" i="9"/>
  <c r="B272" i="9"/>
  <c r="A272" i="9"/>
  <c r="G271" i="9"/>
  <c r="F271" i="9"/>
  <c r="E271" i="9"/>
  <c r="D271" i="9"/>
  <c r="C271" i="9"/>
  <c r="B271" i="9"/>
  <c r="A271" i="9"/>
  <c r="G270" i="9"/>
  <c r="F270" i="9"/>
  <c r="E270" i="9"/>
  <c r="D270" i="9"/>
  <c r="C270" i="9"/>
  <c r="B270" i="9"/>
  <c r="A270" i="9"/>
  <c r="G269" i="9"/>
  <c r="F269" i="9"/>
  <c r="E269" i="9"/>
  <c r="D269" i="9"/>
  <c r="C269" i="9"/>
  <c r="B269" i="9"/>
  <c r="A269" i="9"/>
  <c r="G268" i="9"/>
  <c r="F268" i="9"/>
  <c r="E268" i="9"/>
  <c r="D268" i="9"/>
  <c r="C268" i="9"/>
  <c r="B268" i="9"/>
  <c r="A268" i="9"/>
  <c r="G267" i="9"/>
  <c r="F267" i="9"/>
  <c r="E267" i="9"/>
  <c r="D267" i="9"/>
  <c r="C267" i="9"/>
  <c r="B267" i="9"/>
  <c r="A267" i="9"/>
  <c r="G266" i="9"/>
  <c r="F266" i="9"/>
  <c r="E266" i="9"/>
  <c r="D266" i="9"/>
  <c r="C266" i="9"/>
  <c r="B266" i="9"/>
  <c r="A266" i="9"/>
  <c r="G265" i="9"/>
  <c r="F265" i="9"/>
  <c r="E265" i="9"/>
  <c r="D265" i="9"/>
  <c r="C265" i="9"/>
  <c r="B265" i="9"/>
  <c r="A265" i="9"/>
  <c r="G264" i="9"/>
  <c r="F264" i="9"/>
  <c r="E264" i="9"/>
  <c r="D264" i="9"/>
  <c r="C264" i="9"/>
  <c r="B264" i="9"/>
  <c r="A264" i="9"/>
  <c r="G263" i="9"/>
  <c r="F263" i="9"/>
  <c r="E263" i="9"/>
  <c r="D263" i="9"/>
  <c r="C263" i="9"/>
  <c r="B263" i="9"/>
  <c r="A263" i="9"/>
  <c r="G262" i="9"/>
  <c r="F262" i="9"/>
  <c r="E262" i="9"/>
  <c r="D262" i="9"/>
  <c r="C262" i="9"/>
  <c r="B262" i="9"/>
  <c r="A262" i="9"/>
  <c r="G261" i="9"/>
  <c r="F261" i="9"/>
  <c r="E261" i="9"/>
  <c r="D261" i="9"/>
  <c r="C261" i="9"/>
  <c r="B261" i="9"/>
  <c r="A261" i="9"/>
  <c r="G260" i="9"/>
  <c r="F260" i="9"/>
  <c r="E260" i="9"/>
  <c r="D260" i="9"/>
  <c r="C260" i="9"/>
  <c r="B260" i="9"/>
  <c r="A260" i="9"/>
  <c r="G259" i="9"/>
  <c r="F259" i="9"/>
  <c r="E259" i="9"/>
  <c r="D259" i="9"/>
  <c r="C259" i="9"/>
  <c r="B259" i="9"/>
  <c r="A259" i="9"/>
  <c r="G258" i="9"/>
  <c r="F258" i="9"/>
  <c r="E258" i="9"/>
  <c r="D258" i="9"/>
  <c r="C258" i="9"/>
  <c r="B258" i="9"/>
  <c r="A258" i="9"/>
  <c r="G257" i="9"/>
  <c r="F257" i="9"/>
  <c r="E257" i="9"/>
  <c r="D257" i="9"/>
  <c r="C257" i="9"/>
  <c r="B257" i="9"/>
  <c r="A257" i="9"/>
  <c r="G256" i="9"/>
  <c r="F256" i="9"/>
  <c r="E256" i="9"/>
  <c r="D256" i="9"/>
  <c r="C256" i="9"/>
  <c r="B256" i="9"/>
  <c r="A256" i="9"/>
  <c r="G255" i="9"/>
  <c r="F255" i="9"/>
  <c r="E255" i="9"/>
  <c r="D255" i="9"/>
  <c r="C255" i="9"/>
  <c r="B255" i="9"/>
  <c r="A255" i="9"/>
  <c r="G254" i="9"/>
  <c r="F254" i="9"/>
  <c r="E254" i="9"/>
  <c r="D254" i="9"/>
  <c r="C254" i="9"/>
  <c r="B254" i="9"/>
  <c r="A254" i="9"/>
  <c r="G253" i="9"/>
  <c r="F253" i="9"/>
  <c r="E253" i="9"/>
  <c r="D253" i="9"/>
  <c r="C253" i="9"/>
  <c r="B253" i="9"/>
  <c r="A253" i="9"/>
  <c r="G252" i="9"/>
  <c r="F252" i="9"/>
  <c r="E252" i="9"/>
  <c r="D252" i="9"/>
  <c r="C252" i="9"/>
  <c r="B252" i="9"/>
  <c r="A252" i="9"/>
  <c r="G251" i="9"/>
  <c r="F251" i="9"/>
  <c r="E251" i="9"/>
  <c r="D251" i="9"/>
  <c r="C251" i="9"/>
  <c r="B251" i="9"/>
  <c r="A251" i="9"/>
  <c r="G250" i="9"/>
  <c r="F250" i="9"/>
  <c r="E250" i="9"/>
  <c r="D250" i="9"/>
  <c r="C250" i="9"/>
  <c r="B250" i="9"/>
  <c r="A250" i="9"/>
  <c r="G249" i="9"/>
  <c r="F249" i="9"/>
  <c r="E249" i="9"/>
  <c r="D249" i="9"/>
  <c r="C249" i="9"/>
  <c r="B249" i="9"/>
  <c r="A249" i="9"/>
  <c r="G248" i="9"/>
  <c r="F248" i="9"/>
  <c r="E248" i="9"/>
  <c r="D248" i="9"/>
  <c r="C248" i="9"/>
  <c r="B248" i="9"/>
  <c r="A248" i="9"/>
  <c r="G247" i="9"/>
  <c r="F247" i="9"/>
  <c r="E247" i="9"/>
  <c r="D247" i="9"/>
  <c r="C247" i="9"/>
  <c r="B247" i="9"/>
  <c r="A247" i="9"/>
  <c r="G246" i="9"/>
  <c r="F246" i="9"/>
  <c r="E246" i="9"/>
  <c r="D246" i="9"/>
  <c r="C246" i="9"/>
  <c r="B246" i="9"/>
  <c r="A246" i="9"/>
  <c r="G245" i="9"/>
  <c r="F245" i="9"/>
  <c r="E245" i="9"/>
  <c r="D245" i="9"/>
  <c r="C245" i="9"/>
  <c r="B245" i="9"/>
  <c r="A245" i="9"/>
  <c r="G244" i="9"/>
  <c r="F244" i="9"/>
  <c r="E244" i="9"/>
  <c r="D244" i="9"/>
  <c r="C244" i="9"/>
  <c r="B244" i="9"/>
  <c r="A244" i="9"/>
  <c r="G243" i="9"/>
  <c r="F243" i="9"/>
  <c r="E243" i="9"/>
  <c r="D243" i="9"/>
  <c r="C243" i="9"/>
  <c r="B243" i="9"/>
  <c r="A243" i="9"/>
  <c r="G242" i="9"/>
  <c r="F242" i="9"/>
  <c r="E242" i="9"/>
  <c r="D242" i="9"/>
  <c r="C242" i="9"/>
  <c r="B242" i="9"/>
  <c r="A242" i="9"/>
  <c r="G241" i="9"/>
  <c r="F241" i="9"/>
  <c r="E241" i="9"/>
  <c r="D241" i="9"/>
  <c r="C241" i="9"/>
  <c r="B241" i="9"/>
  <c r="A241" i="9"/>
  <c r="G240" i="9"/>
  <c r="F240" i="9"/>
  <c r="E240" i="9"/>
  <c r="D240" i="9"/>
  <c r="C240" i="9"/>
  <c r="B240" i="9"/>
  <c r="A240" i="9"/>
  <c r="G239" i="9"/>
  <c r="F239" i="9"/>
  <c r="E239" i="9"/>
  <c r="D239" i="9"/>
  <c r="C239" i="9"/>
  <c r="B239" i="9"/>
  <c r="A239" i="9"/>
  <c r="G238" i="9"/>
  <c r="F238" i="9"/>
  <c r="E238" i="9"/>
  <c r="D238" i="9"/>
  <c r="C238" i="9"/>
  <c r="B238" i="9"/>
  <c r="A238" i="9"/>
  <c r="G237" i="9"/>
  <c r="F237" i="9"/>
  <c r="E237" i="9"/>
  <c r="D237" i="9"/>
  <c r="C237" i="9"/>
  <c r="B237" i="9"/>
  <c r="A237" i="9"/>
  <c r="G236" i="9"/>
  <c r="F236" i="9"/>
  <c r="E236" i="9"/>
  <c r="D236" i="9"/>
  <c r="C236" i="9"/>
  <c r="B236" i="9"/>
  <c r="A236" i="9"/>
  <c r="G235" i="9"/>
  <c r="F235" i="9"/>
  <c r="E235" i="9"/>
  <c r="D235" i="9"/>
  <c r="C235" i="9"/>
  <c r="B235" i="9"/>
  <c r="A235" i="9"/>
  <c r="G234" i="9"/>
  <c r="F234" i="9"/>
  <c r="E234" i="9"/>
  <c r="D234" i="9"/>
  <c r="C234" i="9"/>
  <c r="B234" i="9"/>
  <c r="A234" i="9"/>
  <c r="G233" i="9"/>
  <c r="F233" i="9"/>
  <c r="E233" i="9"/>
  <c r="D233" i="9"/>
  <c r="C233" i="9"/>
  <c r="B233" i="9"/>
  <c r="A233" i="9"/>
  <c r="G232" i="9"/>
  <c r="F232" i="9"/>
  <c r="E232" i="9"/>
  <c r="D232" i="9"/>
  <c r="C232" i="9"/>
  <c r="B232" i="9"/>
  <c r="A232" i="9"/>
  <c r="G231" i="9"/>
  <c r="F231" i="9"/>
  <c r="E231" i="9"/>
  <c r="D231" i="9"/>
  <c r="C231" i="9"/>
  <c r="B231" i="9"/>
  <c r="A231" i="9"/>
  <c r="G230" i="9"/>
  <c r="F230" i="9"/>
  <c r="E230" i="9"/>
  <c r="D230" i="9"/>
  <c r="C230" i="9"/>
  <c r="B230" i="9"/>
  <c r="A230" i="9"/>
  <c r="G229" i="9"/>
  <c r="F229" i="9"/>
  <c r="E229" i="9"/>
  <c r="D229" i="9"/>
  <c r="C229" i="9"/>
  <c r="B229" i="9"/>
  <c r="A229" i="9"/>
  <c r="G228" i="9"/>
  <c r="F228" i="9"/>
  <c r="E228" i="9"/>
  <c r="D228" i="9"/>
  <c r="C228" i="9"/>
  <c r="B228" i="9"/>
  <c r="A228" i="9"/>
  <c r="G227" i="9"/>
  <c r="F227" i="9"/>
  <c r="E227" i="9"/>
  <c r="D227" i="9"/>
  <c r="C227" i="9"/>
  <c r="B227" i="9"/>
  <c r="A227" i="9"/>
  <c r="G226" i="9"/>
  <c r="F226" i="9"/>
  <c r="E226" i="9"/>
  <c r="D226" i="9"/>
  <c r="C226" i="9"/>
  <c r="B226" i="9"/>
  <c r="A226" i="9"/>
  <c r="G225" i="9"/>
  <c r="F225" i="9"/>
  <c r="E225" i="9"/>
  <c r="D225" i="9"/>
  <c r="C225" i="9"/>
  <c r="B225" i="9"/>
  <c r="A225" i="9"/>
  <c r="G224" i="9"/>
  <c r="F224" i="9"/>
  <c r="E224" i="9"/>
  <c r="D224" i="9"/>
  <c r="C224" i="9"/>
  <c r="B224" i="9"/>
  <c r="A224" i="9"/>
  <c r="G223" i="9"/>
  <c r="F223" i="9"/>
  <c r="E223" i="9"/>
  <c r="D223" i="9"/>
  <c r="C223" i="9"/>
  <c r="B223" i="9"/>
  <c r="A223" i="9"/>
  <c r="G222" i="9"/>
  <c r="F222" i="9"/>
  <c r="E222" i="9"/>
  <c r="D222" i="9"/>
  <c r="C222" i="9"/>
  <c r="B222" i="9"/>
  <c r="A222" i="9"/>
  <c r="G221" i="9"/>
  <c r="F221" i="9"/>
  <c r="E221" i="9"/>
  <c r="D221" i="9"/>
  <c r="C221" i="9"/>
  <c r="B221" i="9"/>
  <c r="A221" i="9"/>
  <c r="G220" i="9"/>
  <c r="F220" i="9"/>
  <c r="E220" i="9"/>
  <c r="D220" i="9"/>
  <c r="C220" i="9"/>
  <c r="B220" i="9"/>
  <c r="A220" i="9"/>
  <c r="G219" i="9"/>
  <c r="F219" i="9"/>
  <c r="E219" i="9"/>
  <c r="D219" i="9"/>
  <c r="C219" i="9"/>
  <c r="B219" i="9"/>
  <c r="A219" i="9"/>
  <c r="G218" i="9"/>
  <c r="F218" i="9"/>
  <c r="E218" i="9"/>
  <c r="D218" i="9"/>
  <c r="C218" i="9"/>
  <c r="B218" i="9"/>
  <c r="A218" i="9"/>
  <c r="G217" i="9"/>
  <c r="F217" i="9"/>
  <c r="E217" i="9"/>
  <c r="D217" i="9"/>
  <c r="C217" i="9"/>
  <c r="B217" i="9"/>
  <c r="A217" i="9"/>
  <c r="G216" i="9"/>
  <c r="F216" i="9"/>
  <c r="E216" i="9"/>
  <c r="D216" i="9"/>
  <c r="C216" i="9"/>
  <c r="B216" i="9"/>
  <c r="A216" i="9"/>
  <c r="G215" i="9"/>
  <c r="F215" i="9"/>
  <c r="E215" i="9"/>
  <c r="D215" i="9"/>
  <c r="C215" i="9"/>
  <c r="B215" i="9"/>
  <c r="A215" i="9"/>
  <c r="G214" i="9"/>
  <c r="F214" i="9"/>
  <c r="E214" i="9"/>
  <c r="D214" i="9"/>
  <c r="C214" i="9"/>
  <c r="B214" i="9"/>
  <c r="A214" i="9"/>
  <c r="G213" i="9"/>
  <c r="F213" i="9"/>
  <c r="E213" i="9"/>
  <c r="D213" i="9"/>
  <c r="C213" i="9"/>
  <c r="B213" i="9"/>
  <c r="A213" i="9"/>
  <c r="G212" i="9"/>
  <c r="F212" i="9"/>
  <c r="E212" i="9"/>
  <c r="D212" i="9"/>
  <c r="C212" i="9"/>
  <c r="B212" i="9"/>
  <c r="A212" i="9"/>
  <c r="G211" i="9"/>
  <c r="F211" i="9"/>
  <c r="E211" i="9"/>
  <c r="D211" i="9"/>
  <c r="C211" i="9"/>
  <c r="B211" i="9"/>
  <c r="A211" i="9"/>
  <c r="G210" i="9"/>
  <c r="F210" i="9"/>
  <c r="E210" i="9"/>
  <c r="D210" i="9"/>
  <c r="C210" i="9"/>
  <c r="B210" i="9"/>
  <c r="A210" i="9"/>
  <c r="G209" i="9"/>
  <c r="F209" i="9"/>
  <c r="E209" i="9"/>
  <c r="D209" i="9"/>
  <c r="C209" i="9"/>
  <c r="B209" i="9"/>
  <c r="A209" i="9"/>
  <c r="G208" i="9"/>
  <c r="F208" i="9"/>
  <c r="E208" i="9"/>
  <c r="D208" i="9"/>
  <c r="C208" i="9"/>
  <c r="B208" i="9"/>
  <c r="A208" i="9"/>
  <c r="G207" i="9"/>
  <c r="F207" i="9"/>
  <c r="E207" i="9"/>
  <c r="D207" i="9"/>
  <c r="C207" i="9"/>
  <c r="B207" i="9"/>
  <c r="A207" i="9"/>
  <c r="G206" i="9"/>
  <c r="F206" i="9"/>
  <c r="E206" i="9"/>
  <c r="D206" i="9"/>
  <c r="C206" i="9"/>
  <c r="B206" i="9"/>
  <c r="A206" i="9"/>
  <c r="G205" i="9"/>
  <c r="F205" i="9"/>
  <c r="E205" i="9"/>
  <c r="D205" i="9"/>
  <c r="C205" i="9"/>
  <c r="B205" i="9"/>
  <c r="A205" i="9"/>
  <c r="G204" i="9"/>
  <c r="F204" i="9"/>
  <c r="E204" i="9"/>
  <c r="D204" i="9"/>
  <c r="C204" i="9"/>
  <c r="B204" i="9"/>
  <c r="A204" i="9"/>
  <c r="G203" i="9"/>
  <c r="F203" i="9"/>
  <c r="E203" i="9"/>
  <c r="D203" i="9"/>
  <c r="C203" i="9"/>
  <c r="B203" i="9"/>
  <c r="A203" i="9"/>
  <c r="G202" i="9"/>
  <c r="F202" i="9"/>
  <c r="E202" i="9"/>
  <c r="D202" i="9"/>
  <c r="C202" i="9"/>
  <c r="B202" i="9"/>
  <c r="A202" i="9"/>
  <c r="G201" i="9"/>
  <c r="F201" i="9"/>
  <c r="E201" i="9"/>
  <c r="D201" i="9"/>
  <c r="C201" i="9"/>
  <c r="B201" i="9"/>
  <c r="A201" i="9"/>
  <c r="G200" i="9"/>
  <c r="F200" i="9"/>
  <c r="E200" i="9"/>
  <c r="D200" i="9"/>
  <c r="C200" i="9"/>
  <c r="B200" i="9"/>
  <c r="A200" i="9"/>
  <c r="G199" i="9"/>
  <c r="F199" i="9"/>
  <c r="E199" i="9"/>
  <c r="D199" i="9"/>
  <c r="C199" i="9"/>
  <c r="B199" i="9"/>
  <c r="A199" i="9"/>
  <c r="G198" i="9"/>
  <c r="F198" i="9"/>
  <c r="E198" i="9"/>
  <c r="D198" i="9"/>
  <c r="C198" i="9"/>
  <c r="B198" i="9"/>
  <c r="A198" i="9"/>
  <c r="G197" i="9"/>
  <c r="F197" i="9"/>
  <c r="E197" i="9"/>
  <c r="D197" i="9"/>
  <c r="C197" i="9"/>
  <c r="B197" i="9"/>
  <c r="A197" i="9"/>
  <c r="G196" i="9"/>
  <c r="F196" i="9"/>
  <c r="E196" i="9"/>
  <c r="D196" i="9"/>
  <c r="C196" i="9"/>
  <c r="B196" i="9"/>
  <c r="A196" i="9"/>
  <c r="G195" i="9"/>
  <c r="F195" i="9"/>
  <c r="E195" i="9"/>
  <c r="D195" i="9"/>
  <c r="C195" i="9"/>
  <c r="B195" i="9"/>
  <c r="A195" i="9"/>
  <c r="G194" i="9"/>
  <c r="F194" i="9"/>
  <c r="E194" i="9"/>
  <c r="D194" i="9"/>
  <c r="C194" i="9"/>
  <c r="B194" i="9"/>
  <c r="A194" i="9"/>
  <c r="G193" i="9"/>
  <c r="F193" i="9"/>
  <c r="E193" i="9"/>
  <c r="D193" i="9"/>
  <c r="C193" i="9"/>
  <c r="B193" i="9"/>
  <c r="A193" i="9"/>
  <c r="G192" i="9"/>
  <c r="F192" i="9"/>
  <c r="E192" i="9"/>
  <c r="D192" i="9"/>
  <c r="C192" i="9"/>
  <c r="B192" i="9"/>
  <c r="A192" i="9"/>
  <c r="G191" i="9"/>
  <c r="F191" i="9"/>
  <c r="E191" i="9"/>
  <c r="D191" i="9"/>
  <c r="C191" i="9"/>
  <c r="B191" i="9"/>
  <c r="A191" i="9"/>
  <c r="G190" i="9"/>
  <c r="F190" i="9"/>
  <c r="E190" i="9"/>
  <c r="D190" i="9"/>
  <c r="C190" i="9"/>
  <c r="B190" i="9"/>
  <c r="A190" i="9"/>
  <c r="G189" i="9"/>
  <c r="F189" i="9"/>
  <c r="E189" i="9"/>
  <c r="D189" i="9"/>
  <c r="C189" i="9"/>
  <c r="B189" i="9"/>
  <c r="A189" i="9"/>
  <c r="G188" i="9"/>
  <c r="F188" i="9"/>
  <c r="E188" i="9"/>
  <c r="D188" i="9"/>
  <c r="C188" i="9"/>
  <c r="B188" i="9"/>
  <c r="A188" i="9"/>
  <c r="G187" i="9"/>
  <c r="F187" i="9"/>
  <c r="E187" i="9"/>
  <c r="D187" i="9"/>
  <c r="C187" i="9"/>
  <c r="B187" i="9"/>
  <c r="A187" i="9"/>
  <c r="G186" i="9"/>
  <c r="F186" i="9"/>
  <c r="E186" i="9"/>
  <c r="D186" i="9"/>
  <c r="C186" i="9"/>
  <c r="B186" i="9"/>
  <c r="A186" i="9"/>
  <c r="G185" i="9"/>
  <c r="F185" i="9"/>
  <c r="E185" i="9"/>
  <c r="D185" i="9"/>
  <c r="C185" i="9"/>
  <c r="B185" i="9"/>
  <c r="A185" i="9"/>
  <c r="G184" i="9"/>
  <c r="F184" i="9"/>
  <c r="E184" i="9"/>
  <c r="D184" i="9"/>
  <c r="C184" i="9"/>
  <c r="B184" i="9"/>
  <c r="A184" i="9"/>
  <c r="G183" i="9"/>
  <c r="F183" i="9"/>
  <c r="E183" i="9"/>
  <c r="D183" i="9"/>
  <c r="C183" i="9"/>
  <c r="B183" i="9"/>
  <c r="A183" i="9"/>
  <c r="G182" i="9"/>
  <c r="F182" i="9"/>
  <c r="E182" i="9"/>
  <c r="D182" i="9"/>
  <c r="C182" i="9"/>
  <c r="B182" i="9"/>
  <c r="A182" i="9"/>
  <c r="G181" i="9"/>
  <c r="F181" i="9"/>
  <c r="E181" i="9"/>
  <c r="D181" i="9"/>
  <c r="C181" i="9"/>
  <c r="B181" i="9"/>
  <c r="A181" i="9"/>
  <c r="G180" i="9"/>
  <c r="F180" i="9"/>
  <c r="E180" i="9"/>
  <c r="D180" i="9"/>
  <c r="C180" i="9"/>
  <c r="B180" i="9"/>
  <c r="A180" i="9"/>
  <c r="G179" i="9"/>
  <c r="F179" i="9"/>
  <c r="E179" i="9"/>
  <c r="D179" i="9"/>
  <c r="C179" i="9"/>
  <c r="B179" i="9"/>
  <c r="A179" i="9"/>
  <c r="G178" i="9"/>
  <c r="F178" i="9"/>
  <c r="E178" i="9"/>
  <c r="D178" i="9"/>
  <c r="C178" i="9"/>
  <c r="B178" i="9"/>
  <c r="A178" i="9"/>
  <c r="G177" i="9"/>
  <c r="F177" i="9"/>
  <c r="E177" i="9"/>
  <c r="D177" i="9"/>
  <c r="C177" i="9"/>
  <c r="B177" i="9"/>
  <c r="A177" i="9"/>
  <c r="G176" i="9"/>
  <c r="F176" i="9"/>
  <c r="E176" i="9"/>
  <c r="D176" i="9"/>
  <c r="C176" i="9"/>
  <c r="B176" i="9"/>
  <c r="A176" i="9"/>
  <c r="G175" i="9"/>
  <c r="F175" i="9"/>
  <c r="E175" i="9"/>
  <c r="D175" i="9"/>
  <c r="C175" i="9"/>
  <c r="B175" i="9"/>
  <c r="A175" i="9"/>
  <c r="G174" i="9"/>
  <c r="F174" i="9"/>
  <c r="E174" i="9"/>
  <c r="D174" i="9"/>
  <c r="C174" i="9"/>
  <c r="B174" i="9"/>
  <c r="A174" i="9"/>
  <c r="G173" i="9"/>
  <c r="F173" i="9"/>
  <c r="E173" i="9"/>
  <c r="D173" i="9"/>
  <c r="C173" i="9"/>
  <c r="B173" i="9"/>
  <c r="A173" i="9"/>
  <c r="G172" i="9"/>
  <c r="F172" i="9"/>
  <c r="E172" i="9"/>
  <c r="D172" i="9"/>
  <c r="C172" i="9"/>
  <c r="B172" i="9"/>
  <c r="A172" i="9"/>
  <c r="G171" i="9"/>
  <c r="F171" i="9"/>
  <c r="E171" i="9"/>
  <c r="D171" i="9"/>
  <c r="C171" i="9"/>
  <c r="B171" i="9"/>
  <c r="A171" i="9"/>
  <c r="G170" i="9"/>
  <c r="F170" i="9"/>
  <c r="E170" i="9"/>
  <c r="D170" i="9"/>
  <c r="C170" i="9"/>
  <c r="B170" i="9"/>
  <c r="A170" i="9"/>
  <c r="G169" i="9"/>
  <c r="F169" i="9"/>
  <c r="E169" i="9"/>
  <c r="D169" i="9"/>
  <c r="C169" i="9"/>
  <c r="B169" i="9"/>
  <c r="A169" i="9"/>
  <c r="G168" i="9"/>
  <c r="F168" i="9"/>
  <c r="E168" i="9"/>
  <c r="D168" i="9"/>
  <c r="C168" i="9"/>
  <c r="B168" i="9"/>
  <c r="A168" i="9"/>
  <c r="G167" i="9"/>
  <c r="F167" i="9"/>
  <c r="E167" i="9"/>
  <c r="D167" i="9"/>
  <c r="C167" i="9"/>
  <c r="B167" i="9"/>
  <c r="A167" i="9"/>
  <c r="G166" i="9"/>
  <c r="F166" i="9"/>
  <c r="E166" i="9"/>
  <c r="D166" i="9"/>
  <c r="C166" i="9"/>
  <c r="B166" i="9"/>
  <c r="A166" i="9"/>
  <c r="G165" i="9"/>
  <c r="F165" i="9"/>
  <c r="E165" i="9"/>
  <c r="D165" i="9"/>
  <c r="C165" i="9"/>
  <c r="B165" i="9"/>
  <c r="A165" i="9"/>
  <c r="G164" i="9"/>
  <c r="F164" i="9"/>
  <c r="E164" i="9"/>
  <c r="D164" i="9"/>
  <c r="C164" i="9"/>
  <c r="B164" i="9"/>
  <c r="A164" i="9"/>
  <c r="G163" i="9"/>
  <c r="F163" i="9"/>
  <c r="E163" i="9"/>
  <c r="D163" i="9"/>
  <c r="C163" i="9"/>
  <c r="B163" i="9"/>
  <c r="A163" i="9"/>
  <c r="G162" i="9"/>
  <c r="F162" i="9"/>
  <c r="E162" i="9"/>
  <c r="D162" i="9"/>
  <c r="C162" i="9"/>
  <c r="B162" i="9"/>
  <c r="A162" i="9"/>
  <c r="G161" i="9"/>
  <c r="F161" i="9"/>
  <c r="E161" i="9"/>
  <c r="D161" i="9"/>
  <c r="C161" i="9"/>
  <c r="B161" i="9"/>
  <c r="A161" i="9"/>
  <c r="G160" i="9"/>
  <c r="F160" i="9"/>
  <c r="E160" i="9"/>
  <c r="D160" i="9"/>
  <c r="C160" i="9"/>
  <c r="B160" i="9"/>
  <c r="A160" i="9"/>
  <c r="G159" i="9"/>
  <c r="F159" i="9"/>
  <c r="E159" i="9"/>
  <c r="D159" i="9"/>
  <c r="C159" i="9"/>
  <c r="B159" i="9"/>
  <c r="A159" i="9"/>
  <c r="G158" i="9"/>
  <c r="F158" i="9"/>
  <c r="E158" i="9"/>
  <c r="D158" i="9"/>
  <c r="C158" i="9"/>
  <c r="B158" i="9"/>
  <c r="A158" i="9"/>
  <c r="G157" i="9"/>
  <c r="F157" i="9"/>
  <c r="E157" i="9"/>
  <c r="D157" i="9"/>
  <c r="C157" i="9"/>
  <c r="B157" i="9"/>
  <c r="A157" i="9"/>
  <c r="G156" i="9"/>
  <c r="F156" i="9"/>
  <c r="E156" i="9"/>
  <c r="D156" i="9"/>
  <c r="C156" i="9"/>
  <c r="B156" i="9"/>
  <c r="A156" i="9"/>
  <c r="G155" i="9"/>
  <c r="F155" i="9"/>
  <c r="E155" i="9"/>
  <c r="D155" i="9"/>
  <c r="C155" i="9"/>
  <c r="B155" i="9"/>
  <c r="A155" i="9"/>
  <c r="G154" i="9"/>
  <c r="F154" i="9"/>
  <c r="E154" i="9"/>
  <c r="D154" i="9"/>
  <c r="C154" i="9"/>
  <c r="B154" i="9"/>
  <c r="A154" i="9"/>
  <c r="G153" i="9"/>
  <c r="F153" i="9"/>
  <c r="E153" i="9"/>
  <c r="D153" i="9"/>
  <c r="C153" i="9"/>
  <c r="B153" i="9"/>
  <c r="A153" i="9"/>
  <c r="G152" i="9"/>
  <c r="F152" i="9"/>
  <c r="E152" i="9"/>
  <c r="D152" i="9"/>
  <c r="C152" i="9"/>
  <c r="B152" i="9"/>
  <c r="A152" i="9"/>
  <c r="G151" i="9"/>
  <c r="F151" i="9"/>
  <c r="E151" i="9"/>
  <c r="D151" i="9"/>
  <c r="C151" i="9"/>
  <c r="B151" i="9"/>
  <c r="A151" i="9"/>
  <c r="G150" i="9"/>
  <c r="F150" i="9"/>
  <c r="E150" i="9"/>
  <c r="D150" i="9"/>
  <c r="C150" i="9"/>
  <c r="B150" i="9"/>
  <c r="A150" i="9"/>
  <c r="G149" i="9"/>
  <c r="F149" i="9"/>
  <c r="E149" i="9"/>
  <c r="D149" i="9"/>
  <c r="C149" i="9"/>
  <c r="B149" i="9"/>
  <c r="A149" i="9"/>
  <c r="G148" i="9"/>
  <c r="F148" i="9"/>
  <c r="E148" i="9"/>
  <c r="D148" i="9"/>
  <c r="C148" i="9"/>
  <c r="B148" i="9"/>
  <c r="A148" i="9"/>
  <c r="G147" i="9"/>
  <c r="F147" i="9"/>
  <c r="E147" i="9"/>
  <c r="D147" i="9"/>
  <c r="C147" i="9"/>
  <c r="B147" i="9"/>
  <c r="A147" i="9"/>
  <c r="G146" i="9"/>
  <c r="F146" i="9"/>
  <c r="E146" i="9"/>
  <c r="D146" i="9"/>
  <c r="C146" i="9"/>
  <c r="B146" i="9"/>
  <c r="A146" i="9"/>
  <c r="G145" i="9"/>
  <c r="F145" i="9"/>
  <c r="E145" i="9"/>
  <c r="D145" i="9"/>
  <c r="C145" i="9"/>
  <c r="B145" i="9"/>
  <c r="A145" i="9"/>
  <c r="G144" i="9"/>
  <c r="F144" i="9"/>
  <c r="E144" i="9"/>
  <c r="D144" i="9"/>
  <c r="C144" i="9"/>
  <c r="B144" i="9"/>
  <c r="A144" i="9"/>
  <c r="G143" i="9"/>
  <c r="F143" i="9"/>
  <c r="E143" i="9"/>
  <c r="D143" i="9"/>
  <c r="C143" i="9"/>
  <c r="B143" i="9"/>
  <c r="A143" i="9"/>
  <c r="G142" i="9"/>
  <c r="F142" i="9"/>
  <c r="E142" i="9"/>
  <c r="D142" i="9"/>
  <c r="C142" i="9"/>
  <c r="B142" i="9"/>
  <c r="A142" i="9"/>
  <c r="G141" i="9"/>
  <c r="F141" i="9"/>
  <c r="E141" i="9"/>
  <c r="D141" i="9"/>
  <c r="C141" i="9"/>
  <c r="B141" i="9"/>
  <c r="A141" i="9"/>
  <c r="G140" i="9"/>
  <c r="F140" i="9"/>
  <c r="E140" i="9"/>
  <c r="D140" i="9"/>
  <c r="C140" i="9"/>
  <c r="B140" i="9"/>
  <c r="A140" i="9"/>
  <c r="G139" i="9"/>
  <c r="F139" i="9"/>
  <c r="E139" i="9"/>
  <c r="D139" i="9"/>
  <c r="C139" i="9"/>
  <c r="B139" i="9"/>
  <c r="A139" i="9"/>
  <c r="G138" i="9"/>
  <c r="F138" i="9"/>
  <c r="E138" i="9"/>
  <c r="D138" i="9"/>
  <c r="C138" i="9"/>
  <c r="B138" i="9"/>
  <c r="A138" i="9"/>
  <c r="G137" i="9"/>
  <c r="F137" i="9"/>
  <c r="E137" i="9"/>
  <c r="D137" i="9"/>
  <c r="C137" i="9"/>
  <c r="B137" i="9"/>
  <c r="A137" i="9"/>
  <c r="G136" i="9"/>
  <c r="F136" i="9"/>
  <c r="E136" i="9"/>
  <c r="D136" i="9"/>
  <c r="C136" i="9"/>
  <c r="B136" i="9"/>
  <c r="A136" i="9"/>
  <c r="G135" i="9"/>
  <c r="F135" i="9"/>
  <c r="E135" i="9"/>
  <c r="D135" i="9"/>
  <c r="C135" i="9"/>
  <c r="B135" i="9"/>
  <c r="A135" i="9"/>
  <c r="G134" i="9"/>
  <c r="F134" i="9"/>
  <c r="E134" i="9"/>
  <c r="D134" i="9"/>
  <c r="C134" i="9"/>
  <c r="B134" i="9"/>
  <c r="A134" i="9"/>
  <c r="G133" i="9"/>
  <c r="F133" i="9"/>
  <c r="E133" i="9"/>
  <c r="D133" i="9"/>
  <c r="C133" i="9"/>
  <c r="B133" i="9"/>
  <c r="A133" i="9"/>
  <c r="G132" i="9"/>
  <c r="F132" i="9"/>
  <c r="E132" i="9"/>
  <c r="D132" i="9"/>
  <c r="C132" i="9"/>
  <c r="B132" i="9"/>
  <c r="A132" i="9"/>
  <c r="G131" i="9"/>
  <c r="F131" i="9"/>
  <c r="E131" i="9"/>
  <c r="D131" i="9"/>
  <c r="C131" i="9"/>
  <c r="B131" i="9"/>
  <c r="A131" i="9"/>
  <c r="G130" i="9"/>
  <c r="F130" i="9"/>
  <c r="E130" i="9"/>
  <c r="D130" i="9"/>
  <c r="C130" i="9"/>
  <c r="B130" i="9"/>
  <c r="A130" i="9"/>
  <c r="G129" i="9"/>
  <c r="F129" i="9"/>
  <c r="E129" i="9"/>
  <c r="D129" i="9"/>
  <c r="C129" i="9"/>
  <c r="B129" i="9"/>
  <c r="A129" i="9"/>
  <c r="G128" i="9"/>
  <c r="F128" i="9"/>
  <c r="E128" i="9"/>
  <c r="D128" i="9"/>
  <c r="C128" i="9"/>
  <c r="B128" i="9"/>
  <c r="A128" i="9"/>
  <c r="G127" i="9"/>
  <c r="F127" i="9"/>
  <c r="E127" i="9"/>
  <c r="D127" i="9"/>
  <c r="C127" i="9"/>
  <c r="B127" i="9"/>
  <c r="A127" i="9"/>
  <c r="G126" i="9"/>
  <c r="F126" i="9"/>
  <c r="E126" i="9"/>
  <c r="D126" i="9"/>
  <c r="C126" i="9"/>
  <c r="B126" i="9"/>
  <c r="A126" i="9"/>
  <c r="G125" i="9"/>
  <c r="F125" i="9"/>
  <c r="E125" i="9"/>
  <c r="D125" i="9"/>
  <c r="C125" i="9"/>
  <c r="B125" i="9"/>
  <c r="A125" i="9"/>
  <c r="G124" i="9"/>
  <c r="F124" i="9"/>
  <c r="E124" i="9"/>
  <c r="D124" i="9"/>
  <c r="C124" i="9"/>
  <c r="B124" i="9"/>
  <c r="A124" i="9"/>
  <c r="G123" i="9"/>
  <c r="F123" i="9"/>
  <c r="E123" i="9"/>
  <c r="D123" i="9"/>
  <c r="C123" i="9"/>
  <c r="B123" i="9"/>
  <c r="A123" i="9"/>
  <c r="G122" i="9"/>
  <c r="F122" i="9"/>
  <c r="E122" i="9"/>
  <c r="D122" i="9"/>
  <c r="C122" i="9"/>
  <c r="B122" i="9"/>
  <c r="A122" i="9"/>
  <c r="G121" i="9"/>
  <c r="F121" i="9"/>
  <c r="E121" i="9"/>
  <c r="D121" i="9"/>
  <c r="C121" i="9"/>
  <c r="B121" i="9"/>
  <c r="A121" i="9"/>
  <c r="G120" i="9"/>
  <c r="F120" i="9"/>
  <c r="E120" i="9"/>
  <c r="D120" i="9"/>
  <c r="C120" i="9"/>
  <c r="B120" i="9"/>
  <c r="A120" i="9"/>
  <c r="G119" i="9"/>
  <c r="F119" i="9"/>
  <c r="E119" i="9"/>
  <c r="D119" i="9"/>
  <c r="C119" i="9"/>
  <c r="B119" i="9"/>
  <c r="A119" i="9"/>
  <c r="G118" i="9"/>
  <c r="F118" i="9"/>
  <c r="E118" i="9"/>
  <c r="D118" i="9"/>
  <c r="C118" i="9"/>
  <c r="B118" i="9"/>
  <c r="A118" i="9"/>
  <c r="G117" i="9"/>
  <c r="F117" i="9"/>
  <c r="E117" i="9"/>
  <c r="D117" i="9"/>
  <c r="C117" i="9"/>
  <c r="B117" i="9"/>
  <c r="A117" i="9"/>
  <c r="G116" i="9"/>
  <c r="F116" i="9"/>
  <c r="E116" i="9"/>
  <c r="D116" i="9"/>
  <c r="C116" i="9"/>
  <c r="B116" i="9"/>
  <c r="A116" i="9"/>
  <c r="G115" i="9"/>
  <c r="F115" i="9"/>
  <c r="E115" i="9"/>
  <c r="D115" i="9"/>
  <c r="C115" i="9"/>
  <c r="B115" i="9"/>
  <c r="A115" i="9"/>
  <c r="G114" i="9"/>
  <c r="F114" i="9"/>
  <c r="E114" i="9"/>
  <c r="D114" i="9"/>
  <c r="C114" i="9"/>
  <c r="B114" i="9"/>
  <c r="A114" i="9"/>
  <c r="G113" i="9"/>
  <c r="F113" i="9"/>
  <c r="E113" i="9"/>
  <c r="D113" i="9"/>
  <c r="C113" i="9"/>
  <c r="B113" i="9"/>
  <c r="A113" i="9"/>
  <c r="G112" i="9"/>
  <c r="F112" i="9"/>
  <c r="E112" i="9"/>
  <c r="D112" i="9"/>
  <c r="C112" i="9"/>
  <c r="B112" i="9"/>
  <c r="A112" i="9"/>
  <c r="G111" i="9"/>
  <c r="F111" i="9"/>
  <c r="E111" i="9"/>
  <c r="D111" i="9"/>
  <c r="C111" i="9"/>
  <c r="B111" i="9"/>
  <c r="A111" i="9"/>
  <c r="G110" i="9"/>
  <c r="F110" i="9"/>
  <c r="E110" i="9"/>
  <c r="D110" i="9"/>
  <c r="C110" i="9"/>
  <c r="B110" i="9"/>
  <c r="A110" i="9"/>
  <c r="G109" i="9"/>
  <c r="F109" i="9"/>
  <c r="E109" i="9"/>
  <c r="D109" i="9"/>
  <c r="C109" i="9"/>
  <c r="B109" i="9"/>
  <c r="A109" i="9"/>
  <c r="G108" i="9"/>
  <c r="F108" i="9"/>
  <c r="E108" i="9"/>
  <c r="D108" i="9"/>
  <c r="C108" i="9"/>
  <c r="B108" i="9"/>
  <c r="A108" i="9"/>
  <c r="G107" i="9"/>
  <c r="F107" i="9"/>
  <c r="E107" i="9"/>
  <c r="D107" i="9"/>
  <c r="C107" i="9"/>
  <c r="B107" i="9"/>
  <c r="A107" i="9"/>
  <c r="G106" i="9"/>
  <c r="F106" i="9"/>
  <c r="E106" i="9"/>
  <c r="D106" i="9"/>
  <c r="C106" i="9"/>
  <c r="B106" i="9"/>
  <c r="A106" i="9"/>
  <c r="G105" i="9"/>
  <c r="F105" i="9"/>
  <c r="E105" i="9"/>
  <c r="D105" i="9"/>
  <c r="C105" i="9"/>
  <c r="B105" i="9"/>
  <c r="A105" i="9"/>
  <c r="G104" i="9"/>
  <c r="F104" i="9"/>
  <c r="E104" i="9"/>
  <c r="D104" i="9"/>
  <c r="C104" i="9"/>
  <c r="B104" i="9"/>
  <c r="A104" i="9"/>
  <c r="G103" i="9"/>
  <c r="F103" i="9"/>
  <c r="E103" i="9"/>
  <c r="D103" i="9"/>
  <c r="C103" i="9"/>
  <c r="B103" i="9"/>
  <c r="A103" i="9"/>
  <c r="G102" i="9"/>
  <c r="F102" i="9"/>
  <c r="E102" i="9"/>
  <c r="D102" i="9"/>
  <c r="C102" i="9"/>
  <c r="B102" i="9"/>
  <c r="A102" i="9"/>
  <c r="G101" i="9"/>
  <c r="F101" i="9"/>
  <c r="E101" i="9"/>
  <c r="D101" i="9"/>
  <c r="C101" i="9"/>
  <c r="B101" i="9"/>
  <c r="A101" i="9"/>
  <c r="G100" i="9"/>
  <c r="F100" i="9"/>
  <c r="E100" i="9"/>
  <c r="D100" i="9"/>
  <c r="C100" i="9"/>
  <c r="B100" i="9"/>
  <c r="A100" i="9"/>
  <c r="G99" i="9"/>
  <c r="F99" i="9"/>
  <c r="E99" i="9"/>
  <c r="D99" i="9"/>
  <c r="C99" i="9"/>
  <c r="B99" i="9"/>
  <c r="A99" i="9"/>
  <c r="G98" i="9"/>
  <c r="F98" i="9"/>
  <c r="E98" i="9"/>
  <c r="D98" i="9"/>
  <c r="C98" i="9"/>
  <c r="B98" i="9"/>
  <c r="A98" i="9"/>
  <c r="G97" i="9"/>
  <c r="F97" i="9"/>
  <c r="E97" i="9"/>
  <c r="D97" i="9"/>
  <c r="C97" i="9"/>
  <c r="B97" i="9"/>
  <c r="A97" i="9"/>
  <c r="G96" i="9"/>
  <c r="F96" i="9"/>
  <c r="E96" i="9"/>
  <c r="D96" i="9"/>
  <c r="C96" i="9"/>
  <c r="B96" i="9"/>
  <c r="A96" i="9"/>
  <c r="G95" i="9"/>
  <c r="F95" i="9"/>
  <c r="E95" i="9"/>
  <c r="D95" i="9"/>
  <c r="C95" i="9"/>
  <c r="B95" i="9"/>
  <c r="A95" i="9"/>
  <c r="G94" i="9"/>
  <c r="F94" i="9"/>
  <c r="E94" i="9"/>
  <c r="D94" i="9"/>
  <c r="C94" i="9"/>
  <c r="B94" i="9"/>
  <c r="A94" i="9"/>
  <c r="G93" i="9"/>
  <c r="F93" i="9"/>
  <c r="E93" i="9"/>
  <c r="D93" i="9"/>
  <c r="C93" i="9"/>
  <c r="B93" i="9"/>
  <c r="A93" i="9"/>
  <c r="G92" i="9"/>
  <c r="F92" i="9"/>
  <c r="E92" i="9"/>
  <c r="D92" i="9"/>
  <c r="C92" i="9"/>
  <c r="B92" i="9"/>
  <c r="A92" i="9"/>
  <c r="G91" i="9"/>
  <c r="F91" i="9"/>
  <c r="E91" i="9"/>
  <c r="D91" i="9"/>
  <c r="C91" i="9"/>
  <c r="B91" i="9"/>
  <c r="A91" i="9"/>
  <c r="G90" i="9"/>
  <c r="F90" i="9"/>
  <c r="E90" i="9"/>
  <c r="D90" i="9"/>
  <c r="C90" i="9"/>
  <c r="B90" i="9"/>
  <c r="A90" i="9"/>
  <c r="G89" i="9"/>
  <c r="F89" i="9"/>
  <c r="E89" i="9"/>
  <c r="D89" i="9"/>
  <c r="C89" i="9"/>
  <c r="B89" i="9"/>
  <c r="A89" i="9"/>
  <c r="G88" i="9"/>
  <c r="F88" i="9"/>
  <c r="E88" i="9"/>
  <c r="D88" i="9"/>
  <c r="C88" i="9"/>
  <c r="B88" i="9"/>
  <c r="A88" i="9"/>
  <c r="G87" i="9"/>
  <c r="F87" i="9"/>
  <c r="E87" i="9"/>
  <c r="D87" i="9"/>
  <c r="C87" i="9"/>
  <c r="B87" i="9"/>
  <c r="A87" i="9"/>
  <c r="G86" i="9"/>
  <c r="F86" i="9"/>
  <c r="E86" i="9"/>
  <c r="D86" i="9"/>
  <c r="C86" i="9"/>
  <c r="B86" i="9"/>
  <c r="A86" i="9"/>
  <c r="G85" i="9"/>
  <c r="F85" i="9"/>
  <c r="E85" i="9"/>
  <c r="D85" i="9"/>
  <c r="C85" i="9"/>
  <c r="B85" i="9"/>
  <c r="A85" i="9"/>
  <c r="G84" i="9"/>
  <c r="F84" i="9"/>
  <c r="E84" i="9"/>
  <c r="D84" i="9"/>
  <c r="C84" i="9"/>
  <c r="B84" i="9"/>
  <c r="A84" i="9"/>
  <c r="G83" i="9"/>
  <c r="F83" i="9"/>
  <c r="E83" i="9"/>
  <c r="D83" i="9"/>
  <c r="C83" i="9"/>
  <c r="B83" i="9"/>
  <c r="A83" i="9"/>
  <c r="G82" i="9"/>
  <c r="F82" i="9"/>
  <c r="E82" i="9"/>
  <c r="D82" i="9"/>
  <c r="C82" i="9"/>
  <c r="B82" i="9"/>
  <c r="A82" i="9"/>
  <c r="G81" i="9"/>
  <c r="F81" i="9"/>
  <c r="E81" i="9"/>
  <c r="D81" i="9"/>
  <c r="C81" i="9"/>
  <c r="B81" i="9"/>
  <c r="A81" i="9"/>
  <c r="G80" i="9"/>
  <c r="F80" i="9"/>
  <c r="E80" i="9"/>
  <c r="D80" i="9"/>
  <c r="C80" i="9"/>
  <c r="B80" i="9"/>
  <c r="A80" i="9"/>
  <c r="G79" i="9"/>
  <c r="F79" i="9"/>
  <c r="E79" i="9"/>
  <c r="D79" i="9"/>
  <c r="C79" i="9"/>
  <c r="B79" i="9"/>
  <c r="A79" i="9"/>
  <c r="G78" i="9"/>
  <c r="F78" i="9"/>
  <c r="E78" i="9"/>
  <c r="D78" i="9"/>
  <c r="C78" i="9"/>
  <c r="B78" i="9"/>
  <c r="A78" i="9"/>
  <c r="G77" i="9"/>
  <c r="F77" i="9"/>
  <c r="E77" i="9"/>
  <c r="D77" i="9"/>
  <c r="C77" i="9"/>
  <c r="B77" i="9"/>
  <c r="A77" i="9"/>
  <c r="G76" i="9"/>
  <c r="F76" i="9"/>
  <c r="E76" i="9"/>
  <c r="D76" i="9"/>
  <c r="C76" i="9"/>
  <c r="B76" i="9"/>
  <c r="A76" i="9"/>
  <c r="G75" i="9"/>
  <c r="F75" i="9"/>
  <c r="E75" i="9"/>
  <c r="D75" i="9"/>
  <c r="C75" i="9"/>
  <c r="B75" i="9"/>
  <c r="A75" i="9"/>
  <c r="G74" i="9"/>
  <c r="F74" i="9"/>
  <c r="E74" i="9"/>
  <c r="D74" i="9"/>
  <c r="C74" i="9"/>
  <c r="B74" i="9"/>
  <c r="A74" i="9"/>
  <c r="G73" i="9"/>
  <c r="F73" i="9"/>
  <c r="E73" i="9"/>
  <c r="D73" i="9"/>
  <c r="C73" i="9"/>
  <c r="B73" i="9"/>
  <c r="A73" i="9"/>
  <c r="G72" i="9"/>
  <c r="F72" i="9"/>
  <c r="E72" i="9"/>
  <c r="D72" i="9"/>
  <c r="C72" i="9"/>
  <c r="B72" i="9"/>
  <c r="A72" i="9"/>
  <c r="G71" i="9"/>
  <c r="F71" i="9"/>
  <c r="E71" i="9"/>
  <c r="D71" i="9"/>
  <c r="C71" i="9"/>
  <c r="B71" i="9"/>
  <c r="A71" i="9"/>
  <c r="G70" i="9"/>
  <c r="F70" i="9"/>
  <c r="E70" i="9"/>
  <c r="D70" i="9"/>
  <c r="C70" i="9"/>
  <c r="B70" i="9"/>
  <c r="A70" i="9"/>
  <c r="G69" i="9"/>
  <c r="F69" i="9"/>
  <c r="E69" i="9"/>
  <c r="D69" i="9"/>
  <c r="C69" i="9"/>
  <c r="B69" i="9"/>
  <c r="A69" i="9"/>
  <c r="G68" i="9"/>
  <c r="F68" i="9"/>
  <c r="E68" i="9"/>
  <c r="D68" i="9"/>
  <c r="C68" i="9"/>
  <c r="B68" i="9"/>
  <c r="A68" i="9"/>
  <c r="G67" i="9"/>
  <c r="F67" i="9"/>
  <c r="E67" i="9"/>
  <c r="D67" i="9"/>
  <c r="C67" i="9"/>
  <c r="B67" i="9"/>
  <c r="A67" i="9"/>
  <c r="G66" i="9"/>
  <c r="F66" i="9"/>
  <c r="E66" i="9"/>
  <c r="D66" i="9"/>
  <c r="C66" i="9"/>
  <c r="B66" i="9"/>
  <c r="A66" i="9"/>
  <c r="G65" i="9"/>
  <c r="F65" i="9"/>
  <c r="E65" i="9"/>
  <c r="D65" i="9"/>
  <c r="C65" i="9"/>
  <c r="B65" i="9"/>
  <c r="A65" i="9"/>
  <c r="G64" i="9"/>
  <c r="F64" i="9"/>
  <c r="E64" i="9"/>
  <c r="D64" i="9"/>
  <c r="C64" i="9"/>
  <c r="B64" i="9"/>
  <c r="A64" i="9"/>
  <c r="G63" i="9"/>
  <c r="F63" i="9"/>
  <c r="E63" i="9"/>
  <c r="D63" i="9"/>
  <c r="C63" i="9"/>
  <c r="B63" i="9"/>
  <c r="A63" i="9"/>
  <c r="G62" i="9"/>
  <c r="F62" i="9"/>
  <c r="E62" i="9"/>
  <c r="D62" i="9"/>
  <c r="C62" i="9"/>
  <c r="B62" i="9"/>
  <c r="A62" i="9"/>
  <c r="G61" i="9"/>
  <c r="F61" i="9"/>
  <c r="E61" i="9"/>
  <c r="D61" i="9"/>
  <c r="C61" i="9"/>
  <c r="B61" i="9"/>
  <c r="A61" i="9"/>
  <c r="G60" i="9"/>
  <c r="F60" i="9"/>
  <c r="E60" i="9"/>
  <c r="D60" i="9"/>
  <c r="C60" i="9"/>
  <c r="B60" i="9"/>
  <c r="A60" i="9"/>
  <c r="G59" i="9"/>
  <c r="F59" i="9"/>
  <c r="E59" i="9"/>
  <c r="D59" i="9"/>
  <c r="C59" i="9"/>
  <c r="B59" i="9"/>
  <c r="A59" i="9"/>
  <c r="G58" i="9"/>
  <c r="F58" i="9"/>
  <c r="E58" i="9"/>
  <c r="D58" i="9"/>
  <c r="C58" i="9"/>
  <c r="B58" i="9"/>
  <c r="A58" i="9"/>
  <c r="G57" i="9"/>
  <c r="F57" i="9"/>
  <c r="E57" i="9"/>
  <c r="D57" i="9"/>
  <c r="C57" i="9"/>
  <c r="B57" i="9"/>
  <c r="A57" i="9"/>
  <c r="G56" i="9"/>
  <c r="F56" i="9"/>
  <c r="E56" i="9"/>
  <c r="D56" i="9"/>
  <c r="C56" i="9"/>
  <c r="B56" i="9"/>
  <c r="A56" i="9"/>
  <c r="G55" i="9"/>
  <c r="F55" i="9"/>
  <c r="E55" i="9"/>
  <c r="D55" i="9"/>
  <c r="C55" i="9"/>
  <c r="B55" i="9"/>
  <c r="A55" i="9"/>
  <c r="G54" i="9"/>
  <c r="F54" i="9"/>
  <c r="E54" i="9"/>
  <c r="D54" i="9"/>
  <c r="C54" i="9"/>
  <c r="B54" i="9"/>
  <c r="A54" i="9"/>
  <c r="G53" i="9"/>
  <c r="F53" i="9"/>
  <c r="E53" i="9"/>
  <c r="D53" i="9"/>
  <c r="C53" i="9"/>
  <c r="B53" i="9"/>
  <c r="A53" i="9"/>
  <c r="G52" i="9"/>
  <c r="F52" i="9"/>
  <c r="E52" i="9"/>
  <c r="D52" i="9"/>
  <c r="C52" i="9"/>
  <c r="B52" i="9"/>
  <c r="A52" i="9"/>
  <c r="G51" i="9"/>
  <c r="F51" i="9"/>
  <c r="E51" i="9"/>
  <c r="D51" i="9"/>
  <c r="C51" i="9"/>
  <c r="B51" i="9"/>
  <c r="A51" i="9"/>
  <c r="G50" i="9"/>
  <c r="F50" i="9"/>
  <c r="E50" i="9"/>
  <c r="D50" i="9"/>
  <c r="C50" i="9"/>
  <c r="B50" i="9"/>
  <c r="A50" i="9"/>
  <c r="G49" i="9"/>
  <c r="F49" i="9"/>
  <c r="E49" i="9"/>
  <c r="D49" i="9"/>
  <c r="C49" i="9"/>
  <c r="B49" i="9"/>
  <c r="A49" i="9"/>
  <c r="G48" i="9"/>
  <c r="F48" i="9"/>
  <c r="E48" i="9"/>
  <c r="D48" i="9"/>
  <c r="C48" i="9"/>
  <c r="B48" i="9"/>
  <c r="A48" i="9"/>
  <c r="G47" i="9"/>
  <c r="F47" i="9"/>
  <c r="E47" i="9"/>
  <c r="D47" i="9"/>
  <c r="C47" i="9"/>
  <c r="B47" i="9"/>
  <c r="A47" i="9"/>
  <c r="G46" i="9"/>
  <c r="F46" i="9"/>
  <c r="E46" i="9"/>
  <c r="D46" i="9"/>
  <c r="C46" i="9"/>
  <c r="B46" i="9"/>
  <c r="A46" i="9"/>
  <c r="G45" i="9"/>
  <c r="F45" i="9"/>
  <c r="E45" i="9"/>
  <c r="D45" i="9"/>
  <c r="C45" i="9"/>
  <c r="B45" i="9"/>
  <c r="A45" i="9"/>
  <c r="G44" i="9"/>
  <c r="F44" i="9"/>
  <c r="E44" i="9"/>
  <c r="D44" i="9"/>
  <c r="C44" i="9"/>
  <c r="B44" i="9"/>
  <c r="A44" i="9"/>
  <c r="G43" i="9"/>
  <c r="F43" i="9"/>
  <c r="E43" i="9"/>
  <c r="D43" i="9"/>
  <c r="C43" i="9"/>
  <c r="B43" i="9"/>
  <c r="A43" i="9"/>
  <c r="G42" i="9"/>
  <c r="F42" i="9"/>
  <c r="E42" i="9"/>
  <c r="D42" i="9"/>
  <c r="C42" i="9"/>
  <c r="B42" i="9"/>
  <c r="A42" i="9"/>
  <c r="G41" i="9"/>
  <c r="F41" i="9"/>
  <c r="E41" i="9"/>
  <c r="D41" i="9"/>
  <c r="C41" i="9"/>
  <c r="B41" i="9"/>
  <c r="A41" i="9"/>
  <c r="G40" i="9"/>
  <c r="F40" i="9"/>
  <c r="E40" i="9"/>
  <c r="D40" i="9"/>
  <c r="C40" i="9"/>
  <c r="B40" i="9"/>
  <c r="A40" i="9"/>
  <c r="G39" i="9"/>
  <c r="F39" i="9"/>
  <c r="E39" i="9"/>
  <c r="D39" i="9"/>
  <c r="C39" i="9"/>
  <c r="B39" i="9"/>
  <c r="A39" i="9"/>
  <c r="G38" i="9"/>
  <c r="F38" i="9"/>
  <c r="E38" i="9"/>
  <c r="D38" i="9"/>
  <c r="C38" i="9"/>
  <c r="B38" i="9"/>
  <c r="A38" i="9"/>
  <c r="G37" i="9"/>
  <c r="F37" i="9"/>
  <c r="E37" i="9"/>
  <c r="D37" i="9"/>
  <c r="C37" i="9"/>
  <c r="B37" i="9"/>
  <c r="A37" i="9"/>
  <c r="G36" i="9"/>
  <c r="F36" i="9"/>
  <c r="E36" i="9"/>
  <c r="D36" i="9"/>
  <c r="C36" i="9"/>
  <c r="B36" i="9"/>
  <c r="A36" i="9"/>
  <c r="G35" i="9"/>
  <c r="F35" i="9"/>
  <c r="E35" i="9"/>
  <c r="D35" i="9"/>
  <c r="C35" i="9"/>
  <c r="B35" i="9"/>
  <c r="A35" i="9"/>
  <c r="G34" i="9"/>
  <c r="F34" i="9"/>
  <c r="E34" i="9"/>
  <c r="D34" i="9"/>
  <c r="C34" i="9"/>
  <c r="B34" i="9"/>
  <c r="A34" i="9"/>
  <c r="G33" i="9"/>
  <c r="F33" i="9"/>
  <c r="E33" i="9"/>
  <c r="D33" i="9"/>
  <c r="C33" i="9"/>
  <c r="B33" i="9"/>
  <c r="A33" i="9"/>
  <c r="G32" i="9"/>
  <c r="F32" i="9"/>
  <c r="E32" i="9"/>
  <c r="D32" i="9"/>
  <c r="C32" i="9"/>
  <c r="B32" i="9"/>
  <c r="A32" i="9"/>
  <c r="G31" i="9"/>
  <c r="F31" i="9"/>
  <c r="E31" i="9"/>
  <c r="D31" i="9"/>
  <c r="C31" i="9"/>
  <c r="B31" i="9"/>
  <c r="A31" i="9"/>
  <c r="G30" i="9"/>
  <c r="F30" i="9"/>
  <c r="E30" i="9"/>
  <c r="D30" i="9"/>
  <c r="C30" i="9"/>
  <c r="B30" i="9"/>
  <c r="A30" i="9"/>
  <c r="G29" i="9"/>
  <c r="F29" i="9"/>
  <c r="E29" i="9"/>
  <c r="D29" i="9"/>
  <c r="C29" i="9"/>
  <c r="B29" i="9"/>
  <c r="A29" i="9"/>
  <c r="G28" i="9"/>
  <c r="F28" i="9"/>
  <c r="E28" i="9"/>
  <c r="D28" i="9"/>
  <c r="C28" i="9"/>
  <c r="B28" i="9"/>
  <c r="A28" i="9"/>
  <c r="G27" i="9"/>
  <c r="F27" i="9"/>
  <c r="E27" i="9"/>
  <c r="D27" i="9"/>
  <c r="C27" i="9"/>
  <c r="B27" i="9"/>
  <c r="A27" i="9"/>
  <c r="G26" i="9"/>
  <c r="F26" i="9"/>
  <c r="E26" i="9"/>
  <c r="D26" i="9"/>
  <c r="C26" i="9"/>
  <c r="B26" i="9"/>
  <c r="A26" i="9"/>
  <c r="G25" i="9"/>
  <c r="F25" i="9"/>
  <c r="E25" i="9"/>
  <c r="D25" i="9"/>
  <c r="C25" i="9"/>
  <c r="B25" i="9"/>
  <c r="A25" i="9"/>
  <c r="G24" i="9"/>
  <c r="F24" i="9"/>
  <c r="E24" i="9"/>
  <c r="D24" i="9"/>
  <c r="C24" i="9"/>
  <c r="B24" i="9"/>
  <c r="A24" i="9"/>
  <c r="G23" i="9"/>
  <c r="F23" i="9"/>
  <c r="E23" i="9"/>
  <c r="D23" i="9"/>
  <c r="C23" i="9"/>
  <c r="B23" i="9"/>
  <c r="A23" i="9"/>
  <c r="G22" i="9"/>
  <c r="F22" i="9"/>
  <c r="E22" i="9"/>
  <c r="D22" i="9"/>
  <c r="C22" i="9"/>
  <c r="B22" i="9"/>
  <c r="A22" i="9"/>
  <c r="G21" i="9"/>
  <c r="F21" i="9"/>
  <c r="E21" i="9"/>
  <c r="D21" i="9"/>
  <c r="C21" i="9"/>
  <c r="B21" i="9"/>
  <c r="A21" i="9"/>
  <c r="G20" i="9"/>
  <c r="F20" i="9"/>
  <c r="E20" i="9"/>
  <c r="D20" i="9"/>
  <c r="C20" i="9"/>
  <c r="B20" i="9"/>
  <c r="A20" i="9"/>
  <c r="G19" i="9"/>
  <c r="F19" i="9"/>
  <c r="E19" i="9"/>
  <c r="D19" i="9"/>
  <c r="C19" i="9"/>
  <c r="B19" i="9"/>
  <c r="A19" i="9"/>
  <c r="G18" i="9"/>
  <c r="F18" i="9"/>
  <c r="E18" i="9"/>
  <c r="D18" i="9"/>
  <c r="C18" i="9"/>
  <c r="B18" i="9"/>
  <c r="A18" i="9"/>
  <c r="G17" i="9"/>
  <c r="F17" i="9"/>
  <c r="E17" i="9"/>
  <c r="D17" i="9"/>
  <c r="C17" i="9"/>
  <c r="B17" i="9"/>
  <c r="A17" i="9"/>
  <c r="G16" i="9"/>
  <c r="F16" i="9"/>
  <c r="E16" i="9"/>
  <c r="D16" i="9"/>
  <c r="C16" i="9"/>
  <c r="B16" i="9"/>
  <c r="A16" i="9"/>
  <c r="G15" i="9"/>
  <c r="F15" i="9"/>
  <c r="E15" i="9"/>
  <c r="D15" i="9"/>
  <c r="C15" i="9"/>
  <c r="B15" i="9"/>
  <c r="A15" i="9"/>
  <c r="G14" i="9"/>
  <c r="F14" i="9"/>
  <c r="E14" i="9"/>
  <c r="D14" i="9"/>
  <c r="C14" i="9"/>
  <c r="B14" i="9"/>
  <c r="A14" i="9"/>
  <c r="G13" i="9"/>
  <c r="F13" i="9"/>
  <c r="E13" i="9"/>
  <c r="D13" i="9"/>
  <c r="C13" i="9"/>
  <c r="B13" i="9"/>
  <c r="A13" i="9"/>
  <c r="G12" i="9"/>
  <c r="F12" i="9"/>
  <c r="E12" i="9"/>
  <c r="D12" i="9"/>
  <c r="C12" i="9"/>
  <c r="B12" i="9"/>
  <c r="A12" i="9"/>
  <c r="G11" i="9"/>
  <c r="F11" i="9"/>
  <c r="E11" i="9"/>
  <c r="D11" i="9"/>
  <c r="C11" i="9"/>
  <c r="B11" i="9"/>
  <c r="A11" i="9"/>
  <c r="G10" i="9"/>
  <c r="F10" i="9"/>
  <c r="E10" i="9"/>
  <c r="D10" i="9"/>
  <c r="C10" i="9"/>
  <c r="B10" i="9"/>
  <c r="A10" i="9"/>
  <c r="G9" i="9"/>
  <c r="F9" i="9"/>
  <c r="E9" i="9"/>
  <c r="D9" i="9"/>
  <c r="C9" i="9"/>
  <c r="B9" i="9"/>
  <c r="A9" i="9"/>
  <c r="G8" i="9"/>
  <c r="F8" i="9"/>
  <c r="E8" i="9"/>
  <c r="D8" i="9"/>
  <c r="C8" i="9"/>
  <c r="B8" i="9"/>
  <c r="A8" i="9"/>
  <c r="G7" i="9"/>
  <c r="F7" i="9"/>
  <c r="E7" i="9"/>
  <c r="D7" i="9"/>
  <c r="C7" i="9"/>
  <c r="B7" i="9"/>
  <c r="A7" i="9"/>
  <c r="G6" i="9"/>
  <c r="F6" i="9"/>
  <c r="E6" i="9"/>
  <c r="D6" i="9"/>
  <c r="C6" i="9"/>
  <c r="B6" i="9"/>
  <c r="A6" i="9"/>
  <c r="G5" i="9"/>
  <c r="F5" i="9"/>
  <c r="E5" i="9"/>
  <c r="D5" i="9"/>
  <c r="C5" i="9"/>
  <c r="B5" i="9"/>
  <c r="A5" i="9"/>
  <c r="G4" i="9"/>
  <c r="F4" i="9"/>
  <c r="E4" i="9"/>
  <c r="D4" i="9"/>
  <c r="C4" i="9"/>
  <c r="B4" i="9"/>
  <c r="A4" i="9"/>
  <c r="G3" i="9"/>
  <c r="F3" i="9"/>
  <c r="E3" i="9"/>
  <c r="D3" i="9"/>
  <c r="C3" i="9"/>
  <c r="B3" i="9"/>
  <c r="A3" i="9"/>
  <c r="G2" i="9"/>
  <c r="F2" i="9"/>
  <c r="E2" i="9"/>
  <c r="D2" i="9"/>
  <c r="C2" i="9"/>
  <c r="B2" i="9"/>
  <c r="A2" i="9"/>
  <c r="I316" i="8"/>
  <c r="I308" i="8"/>
  <c r="I300" i="8"/>
  <c r="I274" i="8"/>
  <c r="I264" i="8"/>
  <c r="I261" i="8"/>
  <c r="I260" i="8"/>
  <c r="I242" i="8"/>
  <c r="I234" i="8"/>
  <c r="I225" i="8"/>
  <c r="I218" i="8"/>
  <c r="I210" i="8"/>
  <c r="I200" i="8"/>
  <c r="I181" i="8"/>
  <c r="I174" i="8"/>
  <c r="I171" i="8"/>
  <c r="I159" i="8"/>
  <c r="I126" i="8"/>
  <c r="I121" i="8"/>
  <c r="I98" i="8"/>
  <c r="I94" i="8"/>
  <c r="I92" i="8"/>
  <c r="I88" i="8"/>
  <c r="I80" i="8"/>
  <c r="I63" i="8"/>
  <c r="I62" i="8"/>
  <c r="I16" i="8"/>
  <c r="F153" i="4" l="1"/>
  <c r="F80" i="4"/>
  <c r="F27" i="4"/>
  <c r="F198" i="4"/>
  <c r="F704" i="4"/>
  <c r="F711" i="4"/>
  <c r="F712" i="4"/>
  <c r="F713" i="4"/>
  <c r="F715" i="4"/>
  <c r="F726" i="4"/>
  <c r="F716" i="4"/>
  <c r="F729" i="4"/>
  <c r="F552" i="4"/>
  <c r="U2" i="3"/>
  <c r="A583" i="4"/>
  <c r="B583" i="4"/>
  <c r="C583" i="4"/>
  <c r="D583" i="4"/>
  <c r="G583" i="4"/>
  <c r="A114" i="4"/>
  <c r="B114" i="4"/>
  <c r="C114" i="4"/>
  <c r="D114" i="4"/>
  <c r="G114" i="4"/>
  <c r="A541" i="4"/>
  <c r="B541" i="4"/>
  <c r="C541" i="4"/>
  <c r="D541" i="4"/>
  <c r="G541" i="4"/>
  <c r="A523" i="4"/>
  <c r="B523" i="4"/>
  <c r="C523" i="4"/>
  <c r="D523" i="4"/>
  <c r="G523" i="4"/>
  <c r="A109" i="4"/>
  <c r="B109" i="4"/>
  <c r="C109" i="4"/>
  <c r="D109" i="4"/>
  <c r="E109" i="4"/>
  <c r="G109" i="4"/>
  <c r="A368" i="4"/>
  <c r="B368" i="4"/>
  <c r="C368" i="4"/>
  <c r="D368" i="4"/>
  <c r="G368" i="4"/>
  <c r="A496" i="4"/>
  <c r="B496" i="4"/>
  <c r="C496" i="4"/>
  <c r="D496" i="4"/>
  <c r="G496" i="4"/>
  <c r="A428" i="4"/>
  <c r="B428" i="4"/>
  <c r="C428" i="4"/>
  <c r="D428" i="4"/>
  <c r="E428" i="4"/>
  <c r="G428" i="4"/>
  <c r="A367" i="4"/>
  <c r="B367" i="4"/>
  <c r="C367" i="4"/>
  <c r="D367" i="4"/>
  <c r="G367" i="4"/>
  <c r="A410" i="4"/>
  <c r="B410" i="4"/>
  <c r="C410" i="4"/>
  <c r="D410" i="4"/>
  <c r="G410" i="4"/>
  <c r="A453" i="4"/>
  <c r="B453" i="4"/>
  <c r="C453" i="4"/>
  <c r="D453" i="4"/>
  <c r="G453" i="4"/>
  <c r="A468" i="4"/>
  <c r="B468" i="4"/>
  <c r="C468" i="4"/>
  <c r="D468" i="4"/>
  <c r="G468" i="4"/>
  <c r="A324" i="4"/>
  <c r="B324" i="4"/>
  <c r="C324" i="4"/>
  <c r="D324" i="4"/>
  <c r="G324" i="4"/>
  <c r="A237" i="4"/>
  <c r="B237" i="4"/>
  <c r="C237" i="4"/>
  <c r="D237" i="4"/>
  <c r="G237" i="4"/>
  <c r="A232" i="4"/>
  <c r="B232" i="4"/>
  <c r="C232" i="4"/>
  <c r="D232" i="4"/>
  <c r="G232" i="4"/>
  <c r="A244" i="4"/>
  <c r="B244" i="4"/>
  <c r="C244" i="4"/>
  <c r="D244" i="4"/>
  <c r="G244" i="4"/>
  <c r="A335" i="4"/>
  <c r="B335" i="4"/>
  <c r="C335" i="4"/>
  <c r="D335" i="4"/>
  <c r="G335" i="4"/>
  <c r="A16" i="4"/>
  <c r="B16" i="4"/>
  <c r="C16" i="4"/>
  <c r="D16" i="4"/>
  <c r="G16" i="4"/>
  <c r="A456" i="4"/>
  <c r="B456" i="4"/>
  <c r="C456" i="4"/>
  <c r="D456" i="4"/>
  <c r="G456" i="4"/>
  <c r="A165" i="4"/>
  <c r="B165" i="4"/>
  <c r="C165" i="4"/>
  <c r="D165" i="4"/>
  <c r="E165" i="4"/>
  <c r="G165" i="4"/>
  <c r="A518" i="4"/>
  <c r="B518" i="4"/>
  <c r="C518" i="4"/>
  <c r="D518" i="4"/>
  <c r="G518" i="4"/>
  <c r="A506" i="4"/>
  <c r="B506" i="4"/>
  <c r="C506" i="4"/>
  <c r="D506" i="4"/>
  <c r="G506" i="4"/>
  <c r="A382" i="4"/>
  <c r="B382" i="4"/>
  <c r="C382" i="4"/>
  <c r="D382" i="4"/>
  <c r="G382" i="4"/>
  <c r="A649" i="4"/>
  <c r="B649" i="4"/>
  <c r="C649" i="4"/>
  <c r="D649" i="4"/>
  <c r="G649" i="4"/>
  <c r="A108" i="4"/>
  <c r="B108" i="4"/>
  <c r="C108" i="4"/>
  <c r="D108" i="4"/>
  <c r="G108" i="4"/>
  <c r="A455" i="4"/>
  <c r="B455" i="4"/>
  <c r="C455" i="4"/>
  <c r="D455" i="4"/>
  <c r="G455" i="4"/>
  <c r="A515" i="4"/>
  <c r="B515" i="4"/>
  <c r="C515" i="4"/>
  <c r="D515" i="4"/>
  <c r="G515" i="4"/>
  <c r="A208" i="4"/>
  <c r="B208" i="4"/>
  <c r="C208" i="4"/>
  <c r="D208" i="4"/>
  <c r="G208" i="4"/>
  <c r="A366" i="4"/>
  <c r="B366" i="4"/>
  <c r="C366" i="4"/>
  <c r="D366" i="4"/>
  <c r="E366" i="4"/>
  <c r="G366" i="4"/>
  <c r="A462" i="4"/>
  <c r="B462" i="4"/>
  <c r="C462" i="4"/>
  <c r="D462" i="4"/>
  <c r="E462" i="4"/>
  <c r="G462" i="4"/>
  <c r="A639" i="4"/>
  <c r="B639" i="4"/>
  <c r="C639" i="4"/>
  <c r="D639" i="4"/>
  <c r="G639" i="4"/>
  <c r="A43" i="4"/>
  <c r="B43" i="4"/>
  <c r="C43" i="4"/>
  <c r="D43" i="4"/>
  <c r="G43" i="4"/>
  <c r="A229" i="4"/>
  <c r="B229" i="4"/>
  <c r="C229" i="4"/>
  <c r="D229" i="4"/>
  <c r="G229" i="4"/>
  <c r="A383" i="4"/>
  <c r="B383" i="4"/>
  <c r="C383" i="4"/>
  <c r="D383" i="4"/>
  <c r="G383" i="4"/>
  <c r="A438" i="4"/>
  <c r="B438" i="4"/>
  <c r="C438" i="4"/>
  <c r="D438" i="4"/>
  <c r="G438" i="4"/>
  <c r="A638" i="4"/>
  <c r="B638" i="4"/>
  <c r="C638" i="4"/>
  <c r="D638" i="4"/>
  <c r="G638" i="4"/>
  <c r="A257" i="4"/>
  <c r="B257" i="4"/>
  <c r="C257" i="4"/>
  <c r="D257" i="4"/>
  <c r="G257" i="4"/>
  <c r="A637" i="4"/>
  <c r="B637" i="4"/>
  <c r="C637" i="4"/>
  <c r="D637" i="4"/>
  <c r="G637" i="4"/>
  <c r="A14" i="4"/>
  <c r="B14" i="4"/>
  <c r="C14" i="4"/>
  <c r="D14" i="4"/>
  <c r="G14" i="4"/>
  <c r="A139" i="4"/>
  <c r="B139" i="4"/>
  <c r="C139" i="4"/>
  <c r="D139" i="4"/>
  <c r="G139" i="4"/>
  <c r="A240" i="4"/>
  <c r="B240" i="4"/>
  <c r="C240" i="4"/>
  <c r="D240" i="4"/>
  <c r="G240" i="4"/>
  <c r="A325" i="4"/>
  <c r="B325" i="4"/>
  <c r="C325" i="4"/>
  <c r="D325" i="4"/>
  <c r="G325" i="4"/>
  <c r="A688" i="4"/>
  <c r="B688" i="4"/>
  <c r="C688" i="4"/>
  <c r="D688" i="4"/>
  <c r="G688" i="4"/>
  <c r="A52" i="4"/>
  <c r="B52" i="4"/>
  <c r="C52" i="4"/>
  <c r="D52" i="4"/>
  <c r="G52" i="4"/>
  <c r="A581" i="4"/>
  <c r="B581" i="4"/>
  <c r="C581" i="4"/>
  <c r="D581" i="4"/>
  <c r="E581" i="4"/>
  <c r="G581" i="4"/>
  <c r="A582" i="4"/>
  <c r="B582" i="4"/>
  <c r="C582" i="4"/>
  <c r="D582" i="4"/>
  <c r="G582" i="4"/>
  <c r="A72" i="4"/>
  <c r="B72" i="4"/>
  <c r="C72" i="4"/>
  <c r="D72" i="4"/>
  <c r="G72" i="4"/>
  <c r="A316" i="4"/>
  <c r="B316" i="4"/>
  <c r="C316" i="4"/>
  <c r="D316" i="4"/>
  <c r="E316" i="4"/>
  <c r="G316" i="4"/>
  <c r="A107" i="4"/>
  <c r="B107" i="4"/>
  <c r="C107" i="4"/>
  <c r="D107" i="4"/>
  <c r="G107" i="4"/>
  <c r="A466" i="4"/>
  <c r="B466" i="4"/>
  <c r="C466" i="4"/>
  <c r="D466" i="4"/>
  <c r="G466" i="4"/>
  <c r="A36" i="4"/>
  <c r="B36" i="4"/>
  <c r="C36" i="4"/>
  <c r="D36" i="4"/>
  <c r="G36" i="4"/>
  <c r="A59" i="4"/>
  <c r="B59" i="4"/>
  <c r="C59" i="4"/>
  <c r="D59" i="4"/>
  <c r="G59" i="4"/>
  <c r="A135" i="4"/>
  <c r="B135" i="4"/>
  <c r="C135" i="4"/>
  <c r="D135" i="4"/>
  <c r="G135" i="4"/>
  <c r="A161" i="4"/>
  <c r="B161" i="4"/>
  <c r="C161" i="4"/>
  <c r="D161" i="4"/>
  <c r="E161" i="4"/>
  <c r="G161" i="4"/>
  <c r="A339" i="4"/>
  <c r="B339" i="4"/>
  <c r="C339" i="4"/>
  <c r="D339" i="4"/>
  <c r="G339" i="4"/>
  <c r="A504" i="4"/>
  <c r="B504" i="4"/>
  <c r="C504" i="4"/>
  <c r="D504" i="4"/>
  <c r="G504" i="4"/>
  <c r="A28" i="4"/>
  <c r="B28" i="4"/>
  <c r="C28" i="4"/>
  <c r="D28" i="4"/>
  <c r="G28" i="4"/>
  <c r="A449" i="4"/>
  <c r="B449" i="4"/>
  <c r="C449" i="4"/>
  <c r="D449" i="4"/>
  <c r="G449" i="4"/>
  <c r="A530" i="4"/>
  <c r="B530" i="4"/>
  <c r="C530" i="4"/>
  <c r="D530" i="4"/>
  <c r="G530" i="4"/>
  <c r="A115" i="4"/>
  <c r="B115" i="4"/>
  <c r="C115" i="4"/>
  <c r="D115" i="4"/>
  <c r="G115" i="4"/>
  <c r="A151" i="4"/>
  <c r="B151" i="4"/>
  <c r="C151" i="4"/>
  <c r="D151" i="4"/>
  <c r="E151" i="4"/>
  <c r="G151" i="4"/>
  <c r="A483" i="4"/>
  <c r="B483" i="4"/>
  <c r="C483" i="4"/>
  <c r="D483" i="4"/>
  <c r="G483" i="4"/>
  <c r="A457" i="4"/>
  <c r="B457" i="4"/>
  <c r="C457" i="4"/>
  <c r="D457" i="4"/>
  <c r="G457" i="4"/>
  <c r="A94" i="4"/>
  <c r="B94" i="4"/>
  <c r="C94" i="4"/>
  <c r="D94" i="4"/>
  <c r="G94" i="4"/>
  <c r="A164" i="4"/>
  <c r="B164" i="4"/>
  <c r="C164" i="4"/>
  <c r="D164" i="4"/>
  <c r="G164" i="4"/>
  <c r="A408" i="4"/>
  <c r="B408" i="4"/>
  <c r="C408" i="4"/>
  <c r="D408" i="4"/>
  <c r="G408" i="4"/>
  <c r="A622" i="4"/>
  <c r="B622" i="4"/>
  <c r="C622" i="4"/>
  <c r="D622" i="4"/>
  <c r="G622" i="4"/>
  <c r="A148" i="4"/>
  <c r="B148" i="4"/>
  <c r="C148" i="4"/>
  <c r="D148" i="4"/>
  <c r="G148" i="4"/>
  <c r="A595" i="4"/>
  <c r="B595" i="4"/>
  <c r="C595" i="4"/>
  <c r="D595" i="4"/>
  <c r="G595" i="4"/>
  <c r="A250" i="4"/>
  <c r="B250" i="4"/>
  <c r="C250" i="4"/>
  <c r="D250" i="4"/>
  <c r="E250" i="4"/>
  <c r="G250" i="4"/>
  <c r="A524" i="4"/>
  <c r="B524" i="4"/>
  <c r="C524" i="4"/>
  <c r="D524" i="4"/>
  <c r="G524" i="4"/>
  <c r="A544" i="4"/>
  <c r="B544" i="4"/>
  <c r="C544" i="4"/>
  <c r="D544" i="4"/>
  <c r="G544" i="4"/>
  <c r="A252" i="4"/>
  <c r="B252" i="4"/>
  <c r="C252" i="4"/>
  <c r="D252" i="4"/>
  <c r="G252" i="4"/>
  <c r="A353" i="4"/>
  <c r="B353" i="4"/>
  <c r="C353" i="4"/>
  <c r="D353" i="4"/>
  <c r="G353" i="4"/>
  <c r="A369" i="4"/>
  <c r="B369" i="4"/>
  <c r="C369" i="4"/>
  <c r="D369" i="4"/>
  <c r="G369" i="4"/>
  <c r="A13" i="4"/>
  <c r="B13" i="4"/>
  <c r="C13" i="4"/>
  <c r="D13" i="4"/>
  <c r="G13" i="4"/>
  <c r="A228" i="4"/>
  <c r="B228" i="4"/>
  <c r="C228" i="4"/>
  <c r="D228" i="4"/>
  <c r="E228" i="4"/>
  <c r="G228" i="4"/>
  <c r="A317" i="4"/>
  <c r="B317" i="4"/>
  <c r="C317" i="4"/>
  <c r="D317" i="4"/>
  <c r="G317" i="4"/>
  <c r="A628" i="4"/>
  <c r="B628" i="4"/>
  <c r="C628" i="4"/>
  <c r="D628" i="4"/>
  <c r="G628" i="4"/>
  <c r="A73" i="4"/>
  <c r="B73" i="4"/>
  <c r="C73" i="4"/>
  <c r="D73" i="4"/>
  <c r="E73" i="4"/>
  <c r="G73" i="4"/>
  <c r="A239" i="4"/>
  <c r="B239" i="4"/>
  <c r="C239" i="4"/>
  <c r="D239" i="4"/>
  <c r="G239" i="4"/>
  <c r="A15" i="4"/>
  <c r="B15" i="4"/>
  <c r="C15" i="4"/>
  <c r="D15" i="4"/>
  <c r="G15" i="4"/>
  <c r="A648" i="4"/>
  <c r="B648" i="4"/>
  <c r="C648" i="4"/>
  <c r="D648" i="4"/>
  <c r="G648" i="4"/>
  <c r="A87" i="4"/>
  <c r="B87" i="4"/>
  <c r="C87" i="4"/>
  <c r="D87" i="4"/>
  <c r="G87" i="4"/>
  <c r="A337" i="4"/>
  <c r="B337" i="4"/>
  <c r="C337" i="4"/>
  <c r="D337" i="4"/>
  <c r="G337" i="4"/>
  <c r="A306" i="4"/>
  <c r="B306" i="4"/>
  <c r="C306" i="4"/>
  <c r="D306" i="4"/>
  <c r="E306" i="4"/>
  <c r="G306" i="4"/>
  <c r="A482" i="4"/>
  <c r="B482" i="4"/>
  <c r="C482" i="4"/>
  <c r="D482" i="4"/>
  <c r="G482" i="4"/>
  <c r="A502" i="4"/>
  <c r="B502" i="4"/>
  <c r="C502" i="4"/>
  <c r="D502" i="4"/>
  <c r="G502" i="4"/>
  <c r="A120" i="4"/>
  <c r="B120" i="4"/>
  <c r="C120" i="4"/>
  <c r="D120" i="4"/>
  <c r="G120" i="4"/>
  <c r="A44" i="4"/>
  <c r="B44" i="4"/>
  <c r="C44" i="4"/>
  <c r="D44" i="4"/>
  <c r="G44" i="4"/>
  <c r="A312" i="4"/>
  <c r="B312" i="4"/>
  <c r="C312" i="4"/>
  <c r="D312" i="4"/>
  <c r="G312" i="4"/>
  <c r="A476" i="4"/>
  <c r="B476" i="4"/>
  <c r="C476" i="4"/>
  <c r="D476" i="4"/>
  <c r="G476" i="4"/>
  <c r="A315" i="4"/>
  <c r="B315" i="4"/>
  <c r="C315" i="4"/>
  <c r="D315" i="4"/>
  <c r="E315" i="4"/>
  <c r="G315" i="4"/>
  <c r="A505" i="4"/>
  <c r="B505" i="4"/>
  <c r="C505" i="4"/>
  <c r="D505" i="4"/>
  <c r="G505" i="4"/>
  <c r="A136" i="4"/>
  <c r="B136" i="4"/>
  <c r="C136" i="4"/>
  <c r="D136" i="4"/>
  <c r="G136" i="4"/>
  <c r="A503" i="4"/>
  <c r="B503" i="4"/>
  <c r="C503" i="4"/>
  <c r="D503" i="4"/>
  <c r="G503" i="4"/>
  <c r="A623" i="4"/>
  <c r="B623" i="4"/>
  <c r="C623" i="4"/>
  <c r="D623" i="4"/>
  <c r="G623" i="4"/>
  <c r="A343" i="4"/>
  <c r="B343" i="4"/>
  <c r="C343" i="4"/>
  <c r="D343" i="4"/>
  <c r="G343" i="4"/>
  <c r="A647" i="4"/>
  <c r="B647" i="4"/>
  <c r="C647" i="4"/>
  <c r="D647" i="4"/>
  <c r="G647" i="4"/>
  <c r="A548" i="4"/>
  <c r="B548" i="4"/>
  <c r="C548" i="4"/>
  <c r="D548" i="4"/>
  <c r="G548" i="4"/>
  <c r="A321" i="4"/>
  <c r="B321" i="4"/>
  <c r="C321" i="4"/>
  <c r="D321" i="4"/>
  <c r="E321" i="4"/>
  <c r="G321" i="4"/>
  <c r="A414" i="4"/>
  <c r="B414" i="4"/>
  <c r="C414" i="4"/>
  <c r="D414" i="4"/>
  <c r="E414" i="4"/>
  <c r="G414" i="4"/>
  <c r="A246" i="4"/>
  <c r="B246" i="4"/>
  <c r="C246" i="4"/>
  <c r="D246" i="4"/>
  <c r="G246" i="4"/>
  <c r="A510" i="4"/>
  <c r="B510" i="4"/>
  <c r="C510" i="4"/>
  <c r="D510" i="4"/>
  <c r="G510" i="4"/>
  <c r="A260" i="4"/>
  <c r="B260" i="4"/>
  <c r="C260" i="4"/>
  <c r="D260" i="4"/>
  <c r="G260" i="4"/>
  <c r="A271" i="4"/>
  <c r="B271" i="4"/>
  <c r="C271" i="4"/>
  <c r="D271" i="4"/>
  <c r="G271" i="4"/>
  <c r="A491" i="4"/>
  <c r="B491" i="4"/>
  <c r="C491" i="4"/>
  <c r="D491" i="4"/>
  <c r="G491" i="4"/>
  <c r="A110" i="4"/>
  <c r="B110" i="4"/>
  <c r="C110" i="4"/>
  <c r="D110" i="4"/>
  <c r="G110" i="4"/>
  <c r="A295" i="4"/>
  <c r="B295" i="4"/>
  <c r="C295" i="4"/>
  <c r="D295" i="4"/>
  <c r="E295" i="4"/>
  <c r="G295" i="4"/>
  <c r="A333" i="4"/>
  <c r="B333" i="4"/>
  <c r="C333" i="4"/>
  <c r="D333" i="4"/>
  <c r="G333" i="4"/>
  <c r="A448" i="4"/>
  <c r="B448" i="4"/>
  <c r="C448" i="4"/>
  <c r="D448" i="4"/>
  <c r="G448" i="4"/>
  <c r="A126" i="4"/>
  <c r="B126" i="4"/>
  <c r="C126" i="4"/>
  <c r="D126" i="4"/>
  <c r="G126" i="4"/>
  <c r="A481" i="4"/>
  <c r="B481" i="4"/>
  <c r="C481" i="4"/>
  <c r="D481" i="4"/>
  <c r="G481" i="4"/>
  <c r="A636" i="4"/>
  <c r="B636" i="4"/>
  <c r="C636" i="4"/>
  <c r="D636" i="4"/>
  <c r="G636" i="4"/>
  <c r="A546" i="4"/>
  <c r="B546" i="4"/>
  <c r="C546" i="4"/>
  <c r="D546" i="4"/>
  <c r="G546" i="4"/>
  <c r="A557" i="4"/>
  <c r="B557" i="4"/>
  <c r="C557" i="4"/>
  <c r="D557" i="4"/>
  <c r="G557" i="4"/>
  <c r="A349" i="4"/>
  <c r="B349" i="4"/>
  <c r="C349" i="4"/>
  <c r="D349" i="4"/>
  <c r="G349" i="4"/>
  <c r="A494" i="4"/>
  <c r="B494" i="4"/>
  <c r="C494" i="4"/>
  <c r="D494" i="4"/>
  <c r="E494" i="4"/>
  <c r="G494" i="4"/>
  <c r="A489" i="4"/>
  <c r="B489" i="4"/>
  <c r="C489" i="4"/>
  <c r="D489" i="4"/>
  <c r="G489" i="4"/>
  <c r="A162" i="4"/>
  <c r="B162" i="4"/>
  <c r="C162" i="4"/>
  <c r="D162" i="4"/>
  <c r="G162" i="4"/>
  <c r="A273" i="4"/>
  <c r="B273" i="4"/>
  <c r="C273" i="4"/>
  <c r="D273" i="4"/>
  <c r="G273" i="4"/>
  <c r="A359" i="4"/>
  <c r="B359" i="4"/>
  <c r="C359" i="4"/>
  <c r="D359" i="4"/>
  <c r="G359" i="4"/>
  <c r="A199" i="4"/>
  <c r="B199" i="4"/>
  <c r="C199" i="4"/>
  <c r="D199" i="4"/>
  <c r="G199" i="4"/>
  <c r="A309" i="4"/>
  <c r="B309" i="4"/>
  <c r="C309" i="4"/>
  <c r="D309" i="4"/>
  <c r="G309" i="4"/>
  <c r="A412" i="4"/>
  <c r="B412" i="4"/>
  <c r="C412" i="4"/>
  <c r="D412" i="4"/>
  <c r="E412" i="4"/>
  <c r="G412" i="4"/>
  <c r="A258" i="4"/>
  <c r="B258" i="4"/>
  <c r="C258" i="4"/>
  <c r="D258" i="4"/>
  <c r="E258" i="4"/>
  <c r="G258" i="4"/>
  <c r="A560" i="4"/>
  <c r="B560" i="4"/>
  <c r="C560" i="4"/>
  <c r="D560" i="4"/>
  <c r="G560" i="4"/>
  <c r="A400" i="4"/>
  <c r="B400" i="4"/>
  <c r="C400" i="4"/>
  <c r="D400" i="4"/>
  <c r="G400" i="4"/>
  <c r="A155" i="4"/>
  <c r="B155" i="4"/>
  <c r="C155" i="4"/>
  <c r="D155" i="4"/>
  <c r="E155" i="4"/>
  <c r="G155" i="4"/>
  <c r="A444" i="4"/>
  <c r="B444" i="4"/>
  <c r="C444" i="4"/>
  <c r="D444" i="4"/>
  <c r="G444" i="4"/>
  <c r="A596" i="4"/>
  <c r="B596" i="4"/>
  <c r="C596" i="4"/>
  <c r="D596" i="4"/>
  <c r="G596" i="4"/>
  <c r="A29" i="4"/>
  <c r="B29" i="4"/>
  <c r="C29" i="4"/>
  <c r="D29" i="4"/>
  <c r="E29" i="4"/>
  <c r="G29" i="4"/>
  <c r="A402" i="4"/>
  <c r="B402" i="4"/>
  <c r="C402" i="4"/>
  <c r="D402" i="4"/>
  <c r="E402" i="4"/>
  <c r="G402" i="4"/>
  <c r="A102" i="4"/>
  <c r="B102" i="4"/>
  <c r="C102" i="4"/>
  <c r="D102" i="4"/>
  <c r="G102" i="4"/>
  <c r="A293" i="4"/>
  <c r="B293" i="4"/>
  <c r="C293" i="4"/>
  <c r="D293" i="4"/>
  <c r="G293" i="4"/>
  <c r="A358" i="4"/>
  <c r="B358" i="4"/>
  <c r="C358" i="4"/>
  <c r="D358" i="4"/>
  <c r="G358" i="4"/>
  <c r="A403" i="4"/>
  <c r="B403" i="4"/>
  <c r="C403" i="4"/>
  <c r="D403" i="4"/>
  <c r="E403" i="4"/>
  <c r="G403" i="4"/>
  <c r="A415" i="4"/>
  <c r="B415" i="4"/>
  <c r="C415" i="4"/>
  <c r="D415" i="4"/>
  <c r="G415" i="4"/>
  <c r="A521" i="4"/>
  <c r="B521" i="4"/>
  <c r="C521" i="4"/>
  <c r="D521" i="4"/>
  <c r="G521" i="4"/>
  <c r="A313" i="4"/>
  <c r="B313" i="4"/>
  <c r="C313" i="4"/>
  <c r="D313" i="4"/>
  <c r="E313" i="4"/>
  <c r="G313" i="4"/>
  <c r="A97" i="4"/>
  <c r="B97" i="4"/>
  <c r="C97" i="4"/>
  <c r="D97" i="4"/>
  <c r="G97" i="4"/>
  <c r="A289" i="4"/>
  <c r="B289" i="4"/>
  <c r="C289" i="4"/>
  <c r="D289" i="4"/>
  <c r="G289" i="4"/>
  <c r="A477" i="4"/>
  <c r="B477" i="4"/>
  <c r="C477" i="4"/>
  <c r="D477" i="4"/>
  <c r="G477" i="4"/>
  <c r="A261" i="4"/>
  <c r="B261" i="4"/>
  <c r="C261" i="4"/>
  <c r="D261" i="4"/>
  <c r="G261" i="4"/>
  <c r="A598" i="4"/>
  <c r="B598" i="4"/>
  <c r="C598" i="4"/>
  <c r="D598" i="4"/>
  <c r="G598" i="4"/>
  <c r="A173" i="4"/>
  <c r="B173" i="4"/>
  <c r="C173" i="4"/>
  <c r="D173" i="4"/>
  <c r="G173" i="4"/>
  <c r="A461" i="4"/>
  <c r="B461" i="4"/>
  <c r="C461" i="4"/>
  <c r="D461" i="4"/>
  <c r="G461" i="4"/>
  <c r="A537" i="4"/>
  <c r="B537" i="4"/>
  <c r="C537" i="4"/>
  <c r="D537" i="4"/>
  <c r="G537" i="4"/>
  <c r="A129" i="4"/>
  <c r="B129" i="4"/>
  <c r="C129" i="4"/>
  <c r="D129" i="4"/>
  <c r="G129" i="4"/>
  <c r="A334" i="4"/>
  <c r="B334" i="4"/>
  <c r="C334" i="4"/>
  <c r="D334" i="4"/>
  <c r="E334" i="4"/>
  <c r="G334" i="4"/>
  <c r="A311" i="4"/>
  <c r="B311" i="4"/>
  <c r="C311" i="4"/>
  <c r="D311" i="4"/>
  <c r="G311" i="4"/>
  <c r="A469" i="4"/>
  <c r="B469" i="4"/>
  <c r="C469" i="4"/>
  <c r="D469" i="4"/>
  <c r="G469" i="4"/>
  <c r="A527" i="4"/>
  <c r="B527" i="4"/>
  <c r="C527" i="4"/>
  <c r="D527" i="4"/>
  <c r="G527" i="4"/>
  <c r="A188" i="4"/>
  <c r="B188" i="4"/>
  <c r="C188" i="4"/>
  <c r="D188" i="4"/>
  <c r="G188" i="4"/>
  <c r="A299" i="4"/>
  <c r="B299" i="4"/>
  <c r="C299" i="4"/>
  <c r="D299" i="4"/>
  <c r="G299" i="4"/>
  <c r="A46" i="4"/>
  <c r="B46" i="4"/>
  <c r="C46" i="4"/>
  <c r="D46" i="4"/>
  <c r="G46" i="4"/>
  <c r="A342" i="4"/>
  <c r="B342" i="4"/>
  <c r="C342" i="4"/>
  <c r="D342" i="4"/>
  <c r="E342" i="4"/>
  <c r="G342" i="4"/>
  <c r="A143" i="4"/>
  <c r="B143" i="4"/>
  <c r="C143" i="4"/>
  <c r="D143" i="4"/>
  <c r="E143" i="4"/>
  <c r="G143" i="4"/>
  <c r="A413" i="4"/>
  <c r="B413" i="4"/>
  <c r="C413" i="4"/>
  <c r="D413" i="4"/>
  <c r="G413" i="4"/>
  <c r="A104" i="4"/>
  <c r="B104" i="4"/>
  <c r="C104" i="4"/>
  <c r="D104" i="4"/>
  <c r="E104" i="4"/>
  <c r="G104" i="4"/>
  <c r="A123" i="4"/>
  <c r="B123" i="4"/>
  <c r="C123" i="4"/>
  <c r="D123" i="4"/>
  <c r="G123" i="4"/>
  <c r="A160" i="4"/>
  <c r="B160" i="4"/>
  <c r="C160" i="4"/>
  <c r="D160" i="4"/>
  <c r="G160" i="4"/>
  <c r="A436" i="4"/>
  <c r="B436" i="4"/>
  <c r="C436" i="4"/>
  <c r="D436" i="4"/>
  <c r="G436" i="4"/>
  <c r="A192" i="4"/>
  <c r="B192" i="4"/>
  <c r="C192" i="4"/>
  <c r="D192" i="4"/>
  <c r="E192" i="4"/>
  <c r="G192" i="4"/>
  <c r="A209" i="4"/>
  <c r="B209" i="4"/>
  <c r="C209" i="4"/>
  <c r="D209" i="4"/>
  <c r="E209" i="4"/>
  <c r="G209" i="4"/>
  <c r="A323" i="4"/>
  <c r="B323" i="4"/>
  <c r="C323" i="4"/>
  <c r="D323" i="4"/>
  <c r="G323" i="4"/>
  <c r="A556" i="4"/>
  <c r="B556" i="4"/>
  <c r="C556" i="4"/>
  <c r="D556" i="4"/>
  <c r="G556" i="4"/>
  <c r="A207" i="4"/>
  <c r="B207" i="4"/>
  <c r="C207" i="4"/>
  <c r="D207" i="4"/>
  <c r="G207" i="4"/>
  <c r="A65" i="4"/>
  <c r="B65" i="4"/>
  <c r="C65" i="4"/>
  <c r="D65" i="4"/>
  <c r="E65" i="4"/>
  <c r="G65" i="4"/>
  <c r="A610" i="4"/>
  <c r="B610" i="4"/>
  <c r="C610" i="4"/>
  <c r="D610" i="4"/>
  <c r="G610" i="4"/>
  <c r="A642" i="4"/>
  <c r="B642" i="4"/>
  <c r="C642" i="4"/>
  <c r="D642" i="4"/>
  <c r="G642" i="4"/>
  <c r="A338" i="4"/>
  <c r="B338" i="4"/>
  <c r="C338" i="4"/>
  <c r="D338" i="4"/>
  <c r="E338" i="4"/>
  <c r="G338" i="4"/>
  <c r="A612" i="4"/>
  <c r="B612" i="4"/>
  <c r="C612" i="4"/>
  <c r="D612" i="4"/>
  <c r="G612" i="4"/>
  <c r="A279" i="4"/>
  <c r="B279" i="4"/>
  <c r="C279" i="4"/>
  <c r="D279" i="4"/>
  <c r="G279" i="4"/>
  <c r="A592" i="4"/>
  <c r="B592" i="4"/>
  <c r="C592" i="4"/>
  <c r="D592" i="4"/>
  <c r="G592" i="4"/>
  <c r="A551" i="4"/>
  <c r="B551" i="4"/>
  <c r="C551" i="4"/>
  <c r="D551" i="4"/>
  <c r="E551" i="4"/>
  <c r="G551" i="4"/>
  <c r="A597" i="4"/>
  <c r="B597" i="4"/>
  <c r="C597" i="4"/>
  <c r="D597" i="4"/>
  <c r="G597" i="4"/>
  <c r="A644" i="4"/>
  <c r="B644" i="4"/>
  <c r="C644" i="4"/>
  <c r="D644" i="4"/>
  <c r="G644" i="4"/>
  <c r="A113" i="4"/>
  <c r="B113" i="4"/>
  <c r="C113" i="4"/>
  <c r="D113" i="4"/>
  <c r="G113" i="4"/>
  <c r="A322" i="4"/>
  <c r="B322" i="4"/>
  <c r="C322" i="4"/>
  <c r="D322" i="4"/>
  <c r="G322" i="4"/>
  <c r="A451" i="4"/>
  <c r="B451" i="4"/>
  <c r="C451" i="4"/>
  <c r="D451" i="4"/>
  <c r="G451" i="4"/>
  <c r="A531" i="4"/>
  <c r="B531" i="4"/>
  <c r="C531" i="4"/>
  <c r="D531" i="4"/>
  <c r="E531" i="4"/>
  <c r="G531" i="4"/>
  <c r="A30" i="4"/>
  <c r="B30" i="4"/>
  <c r="C30" i="4"/>
  <c r="D30" i="4"/>
  <c r="G30" i="4"/>
  <c r="A354" i="4"/>
  <c r="B354" i="4"/>
  <c r="C354" i="4"/>
  <c r="D354" i="4"/>
  <c r="G354" i="4"/>
  <c r="A458" i="4"/>
  <c r="B458" i="4"/>
  <c r="C458" i="4"/>
  <c r="D458" i="4"/>
  <c r="E458" i="4"/>
  <c r="G458" i="4"/>
  <c r="A478" i="4"/>
  <c r="B478" i="4"/>
  <c r="C478" i="4"/>
  <c r="D478" i="4"/>
  <c r="G478" i="4"/>
  <c r="A153" i="4"/>
  <c r="B153" i="4"/>
  <c r="C153" i="4"/>
  <c r="D153" i="4"/>
  <c r="G153" i="4"/>
  <c r="A103" i="4"/>
  <c r="B103" i="4"/>
  <c r="C103" i="4"/>
  <c r="D103" i="4"/>
  <c r="G103" i="4"/>
  <c r="A280" i="4"/>
  <c r="B280" i="4"/>
  <c r="C280" i="4"/>
  <c r="D280" i="4"/>
  <c r="E280" i="4"/>
  <c r="G280" i="4"/>
  <c r="A51" i="4"/>
  <c r="B51" i="4"/>
  <c r="C51" i="4"/>
  <c r="D51" i="4"/>
  <c r="E51" i="4"/>
  <c r="G51" i="4"/>
  <c r="A608" i="4"/>
  <c r="B608" i="4"/>
  <c r="C608" i="4"/>
  <c r="D608" i="4"/>
  <c r="G608" i="4"/>
  <c r="A274" i="4"/>
  <c r="B274" i="4"/>
  <c r="C274" i="4"/>
  <c r="D274" i="4"/>
  <c r="E274" i="4"/>
  <c r="G274" i="4"/>
  <c r="A305" i="4"/>
  <c r="B305" i="4"/>
  <c r="C305" i="4"/>
  <c r="D305" i="4"/>
  <c r="G305" i="4"/>
  <c r="A590" i="4"/>
  <c r="B590" i="4"/>
  <c r="C590" i="4"/>
  <c r="D590" i="4"/>
  <c r="G590" i="4"/>
  <c r="A602" i="4"/>
  <c r="B602" i="4"/>
  <c r="C602" i="4"/>
  <c r="D602" i="4"/>
  <c r="G602" i="4"/>
  <c r="A701" i="4"/>
  <c r="B701" i="4"/>
  <c r="C701" i="4"/>
  <c r="D701" i="4"/>
  <c r="G701" i="4"/>
  <c r="A542" i="4"/>
  <c r="B542" i="4"/>
  <c r="C542" i="4"/>
  <c r="D542" i="4"/>
  <c r="E542" i="4"/>
  <c r="G542" i="4"/>
  <c r="A555" i="4"/>
  <c r="B555" i="4"/>
  <c r="C555" i="4"/>
  <c r="D555" i="4"/>
  <c r="G555" i="4"/>
  <c r="A84" i="4"/>
  <c r="B84" i="4"/>
  <c r="C84" i="4"/>
  <c r="D84" i="4"/>
  <c r="G84" i="4"/>
  <c r="A495" i="4"/>
  <c r="B495" i="4"/>
  <c r="C495" i="4"/>
  <c r="D495" i="4"/>
  <c r="E495" i="4"/>
  <c r="G495" i="4"/>
  <c r="A277" i="4"/>
  <c r="B277" i="4"/>
  <c r="C277" i="4"/>
  <c r="D277" i="4"/>
  <c r="G277" i="4"/>
  <c r="A348" i="4"/>
  <c r="B348" i="4"/>
  <c r="C348" i="4"/>
  <c r="D348" i="4"/>
  <c r="G348" i="4"/>
  <c r="A63" i="4"/>
  <c r="B63" i="4"/>
  <c r="C63" i="4"/>
  <c r="D63" i="4"/>
  <c r="G63" i="4"/>
  <c r="A540" i="4"/>
  <c r="B540" i="4"/>
  <c r="C540" i="4"/>
  <c r="D540" i="4"/>
  <c r="E540" i="4"/>
  <c r="G540" i="4"/>
  <c r="A88" i="4"/>
  <c r="B88" i="4"/>
  <c r="C88" i="4"/>
  <c r="D88" i="4"/>
  <c r="G88" i="4"/>
  <c r="A407" i="4"/>
  <c r="B407" i="4"/>
  <c r="C407" i="4"/>
  <c r="D407" i="4"/>
  <c r="G407" i="4"/>
  <c r="A6" i="4"/>
  <c r="B6" i="4"/>
  <c r="C6" i="4"/>
  <c r="D6" i="4"/>
  <c r="G6" i="4"/>
  <c r="A178" i="4"/>
  <c r="B178" i="4"/>
  <c r="C178" i="4"/>
  <c r="D178" i="4"/>
  <c r="E178" i="4"/>
  <c r="G178" i="4"/>
  <c r="A564" i="4"/>
  <c r="B564" i="4"/>
  <c r="C564" i="4"/>
  <c r="D564" i="4"/>
  <c r="G564" i="4"/>
  <c r="A565" i="4"/>
  <c r="B565" i="4"/>
  <c r="C565" i="4"/>
  <c r="D565" i="4"/>
  <c r="G565" i="4"/>
  <c r="A106" i="4"/>
  <c r="B106" i="4"/>
  <c r="C106" i="4"/>
  <c r="D106" i="4"/>
  <c r="G106" i="4"/>
  <c r="A406" i="4"/>
  <c r="B406" i="4"/>
  <c r="C406" i="4"/>
  <c r="D406" i="4"/>
  <c r="G406" i="4"/>
  <c r="A47" i="4"/>
  <c r="B47" i="4"/>
  <c r="C47" i="4"/>
  <c r="D47" i="4"/>
  <c r="G47" i="4"/>
  <c r="A57" i="4"/>
  <c r="B57" i="4"/>
  <c r="C57" i="4"/>
  <c r="D57" i="4"/>
  <c r="E57" i="4"/>
  <c r="G57" i="4"/>
  <c r="A25" i="4"/>
  <c r="B25" i="4"/>
  <c r="C25" i="4"/>
  <c r="D25" i="4"/>
  <c r="G25" i="4"/>
  <c r="A272" i="4"/>
  <c r="B272" i="4"/>
  <c r="C272" i="4"/>
  <c r="D272" i="4"/>
  <c r="G272" i="4"/>
  <c r="A292" i="4"/>
  <c r="B292" i="4"/>
  <c r="C292" i="4"/>
  <c r="D292" i="4"/>
  <c r="E292" i="4"/>
  <c r="G292" i="4"/>
  <c r="A441" i="4"/>
  <c r="B441" i="4"/>
  <c r="C441" i="4"/>
  <c r="D441" i="4"/>
  <c r="G441" i="4"/>
  <c r="A327" i="4"/>
  <c r="B327" i="4"/>
  <c r="C327" i="4"/>
  <c r="D327" i="4"/>
  <c r="G327" i="4"/>
  <c r="A31" i="4"/>
  <c r="B31" i="4"/>
  <c r="C31" i="4"/>
  <c r="D31" i="4"/>
  <c r="G31" i="4"/>
  <c r="A8" i="4"/>
  <c r="B8" i="4"/>
  <c r="C8" i="4"/>
  <c r="D8" i="4"/>
  <c r="E8" i="4"/>
  <c r="G8" i="4"/>
  <c r="A50" i="4"/>
  <c r="B50" i="4"/>
  <c r="C50" i="4"/>
  <c r="D50" i="4"/>
  <c r="E50" i="4"/>
  <c r="G50" i="4"/>
  <c r="A259" i="4"/>
  <c r="B259" i="4"/>
  <c r="C259" i="4"/>
  <c r="D259" i="4"/>
  <c r="G259" i="4"/>
  <c r="A310" i="4"/>
  <c r="B310" i="4"/>
  <c r="C310" i="4"/>
  <c r="D310" i="4"/>
  <c r="G310" i="4"/>
  <c r="A480" i="4"/>
  <c r="B480" i="4"/>
  <c r="C480" i="4"/>
  <c r="D480" i="4"/>
  <c r="E480" i="4"/>
  <c r="G480" i="4"/>
  <c r="A549" i="4"/>
  <c r="B549" i="4"/>
  <c r="C549" i="4"/>
  <c r="D549" i="4"/>
  <c r="G549" i="4"/>
  <c r="A79" i="4"/>
  <c r="B79" i="4"/>
  <c r="C79" i="4"/>
  <c r="D79" i="4"/>
  <c r="G79" i="4"/>
  <c r="A91" i="4"/>
  <c r="B91" i="4"/>
  <c r="C91" i="4"/>
  <c r="D91" i="4"/>
  <c r="G91" i="4"/>
  <c r="A90" i="4"/>
  <c r="B90" i="4"/>
  <c r="C90" i="4"/>
  <c r="D90" i="4"/>
  <c r="E90" i="4"/>
  <c r="G90" i="4"/>
  <c r="A365" i="4"/>
  <c r="B365" i="4"/>
  <c r="C365" i="4"/>
  <c r="D365" i="4"/>
  <c r="G365" i="4"/>
  <c r="A204" i="4"/>
  <c r="B204" i="4"/>
  <c r="C204" i="4"/>
  <c r="D204" i="4"/>
  <c r="G204" i="4"/>
  <c r="A329" i="4"/>
  <c r="B329" i="4"/>
  <c r="C329" i="4"/>
  <c r="D329" i="4"/>
  <c r="E329" i="4"/>
  <c r="G329" i="4"/>
  <c r="A507" i="4"/>
  <c r="B507" i="4"/>
  <c r="C507" i="4"/>
  <c r="D507" i="4"/>
  <c r="G507" i="4"/>
  <c r="A599" i="4"/>
  <c r="B599" i="4"/>
  <c r="C599" i="4"/>
  <c r="D599" i="4"/>
  <c r="G599" i="4"/>
  <c r="A593" i="4"/>
  <c r="B593" i="4"/>
  <c r="C593" i="4"/>
  <c r="D593" i="4"/>
  <c r="G593" i="4"/>
  <c r="A214" i="4"/>
  <c r="B214" i="4"/>
  <c r="C214" i="4"/>
  <c r="D214" i="4"/>
  <c r="G214" i="4"/>
  <c r="A594" i="4"/>
  <c r="B594" i="4"/>
  <c r="C594" i="4"/>
  <c r="D594" i="4"/>
  <c r="G594" i="4"/>
  <c r="A26" i="4"/>
  <c r="B26" i="4"/>
  <c r="C26" i="4"/>
  <c r="D26" i="4"/>
  <c r="G26" i="4"/>
  <c r="A49" i="4"/>
  <c r="B49" i="4"/>
  <c r="C49" i="4"/>
  <c r="D49" i="4"/>
  <c r="G49" i="4"/>
  <c r="A404" i="4"/>
  <c r="B404" i="4"/>
  <c r="C404" i="4"/>
  <c r="D404" i="4"/>
  <c r="G404" i="4"/>
  <c r="A96" i="4"/>
  <c r="B96" i="4"/>
  <c r="C96" i="4"/>
  <c r="D96" i="4"/>
  <c r="G96" i="4"/>
  <c r="A454" i="4"/>
  <c r="B454" i="4"/>
  <c r="C454" i="4"/>
  <c r="D454" i="4"/>
  <c r="G454" i="4"/>
  <c r="A294" i="4"/>
  <c r="B294" i="4"/>
  <c r="C294" i="4"/>
  <c r="D294" i="4"/>
  <c r="G294" i="4"/>
  <c r="A48" i="4"/>
  <c r="B48" i="4"/>
  <c r="C48" i="4"/>
  <c r="D48" i="4"/>
  <c r="G48" i="4"/>
  <c r="A216" i="4"/>
  <c r="B216" i="4"/>
  <c r="C216" i="4"/>
  <c r="D216" i="4"/>
  <c r="G216" i="4"/>
  <c r="A330" i="4"/>
  <c r="B330" i="4"/>
  <c r="C330" i="4"/>
  <c r="D330" i="4"/>
  <c r="E330" i="4"/>
  <c r="G330" i="4"/>
  <c r="A245" i="4"/>
  <c r="B245" i="4"/>
  <c r="C245" i="4"/>
  <c r="D245" i="4"/>
  <c r="G245" i="4"/>
  <c r="A319" i="4"/>
  <c r="B319" i="4"/>
  <c r="C319" i="4"/>
  <c r="D319" i="4"/>
  <c r="G319" i="4"/>
  <c r="A570" i="4"/>
  <c r="B570" i="4"/>
  <c r="C570" i="4"/>
  <c r="D570" i="4"/>
  <c r="G570" i="4"/>
  <c r="A212" i="4"/>
  <c r="B212" i="4"/>
  <c r="C212" i="4"/>
  <c r="D212" i="4"/>
  <c r="G212" i="4"/>
  <c r="A157" i="4"/>
  <c r="B157" i="4"/>
  <c r="C157" i="4"/>
  <c r="D157" i="4"/>
  <c r="G157" i="4"/>
  <c r="A202" i="4"/>
  <c r="B202" i="4"/>
  <c r="C202" i="4"/>
  <c r="D202" i="4"/>
  <c r="G202" i="4"/>
  <c r="A529" i="4"/>
  <c r="B529" i="4"/>
  <c r="C529" i="4"/>
  <c r="D529" i="4"/>
  <c r="E529" i="4"/>
  <c r="G529" i="4"/>
  <c r="A224" i="4"/>
  <c r="B224" i="4"/>
  <c r="C224" i="4"/>
  <c r="D224" i="4"/>
  <c r="E224" i="4"/>
  <c r="G224" i="4"/>
  <c r="A125" i="4"/>
  <c r="B125" i="4"/>
  <c r="C125" i="4"/>
  <c r="D125" i="4"/>
  <c r="E125" i="4"/>
  <c r="G125" i="4"/>
  <c r="A332" i="4"/>
  <c r="B332" i="4"/>
  <c r="C332" i="4"/>
  <c r="D332" i="4"/>
  <c r="G332" i="4"/>
  <c r="A558" i="4"/>
  <c r="B558" i="4"/>
  <c r="C558" i="4"/>
  <c r="D558" i="4"/>
  <c r="E558" i="4"/>
  <c r="G558" i="4"/>
  <c r="A687" i="4"/>
  <c r="B687" i="4"/>
  <c r="C687" i="4"/>
  <c r="D687" i="4"/>
  <c r="G687" i="4"/>
  <c r="A561" i="4"/>
  <c r="B561" i="4"/>
  <c r="C561" i="4"/>
  <c r="D561" i="4"/>
  <c r="E561" i="4"/>
  <c r="G561" i="4"/>
  <c r="A460" i="4"/>
  <c r="B460" i="4"/>
  <c r="C460" i="4"/>
  <c r="D460" i="4"/>
  <c r="G460" i="4"/>
  <c r="A646" i="4"/>
  <c r="B646" i="4"/>
  <c r="C646" i="4"/>
  <c r="D646" i="4"/>
  <c r="E646" i="4"/>
  <c r="G646" i="4"/>
  <c r="A170" i="4"/>
  <c r="B170" i="4"/>
  <c r="C170" i="4"/>
  <c r="D170" i="4"/>
  <c r="E170" i="4"/>
  <c r="G170" i="4"/>
  <c r="A421" i="4"/>
  <c r="B421" i="4"/>
  <c r="C421" i="4"/>
  <c r="D421" i="4"/>
  <c r="E421" i="4"/>
  <c r="G421" i="4"/>
  <c r="A60" i="4"/>
  <c r="B60" i="4"/>
  <c r="C60" i="4"/>
  <c r="D60" i="4"/>
  <c r="G60" i="4"/>
  <c r="A77" i="4"/>
  <c r="B77" i="4"/>
  <c r="C77" i="4"/>
  <c r="D77" i="4"/>
  <c r="G77" i="4"/>
  <c r="A269" i="4"/>
  <c r="B269" i="4"/>
  <c r="C269" i="4"/>
  <c r="D269" i="4"/>
  <c r="G269" i="4"/>
  <c r="A278" i="4"/>
  <c r="B278" i="4"/>
  <c r="C278" i="4"/>
  <c r="D278" i="4"/>
  <c r="G278" i="4"/>
  <c r="A304" i="4"/>
  <c r="B304" i="4"/>
  <c r="C304" i="4"/>
  <c r="D304" i="4"/>
  <c r="G304" i="4"/>
  <c r="A296" i="4"/>
  <c r="B296" i="4"/>
  <c r="C296" i="4"/>
  <c r="D296" i="4"/>
  <c r="E296" i="4"/>
  <c r="G296" i="4"/>
  <c r="A607" i="4"/>
  <c r="B607" i="4"/>
  <c r="C607" i="4"/>
  <c r="D607" i="4"/>
  <c r="E607" i="4"/>
  <c r="G607" i="4"/>
  <c r="A138" i="4"/>
  <c r="B138" i="4"/>
  <c r="C138" i="4"/>
  <c r="D138" i="4"/>
  <c r="E138" i="4"/>
  <c r="G138" i="4"/>
  <c r="A320" i="4"/>
  <c r="B320" i="4"/>
  <c r="C320" i="4"/>
  <c r="D320" i="4"/>
  <c r="G320" i="4"/>
  <c r="A472" i="4"/>
  <c r="B472" i="4"/>
  <c r="C472" i="4"/>
  <c r="D472" i="4"/>
  <c r="E472" i="4"/>
  <c r="G472" i="4"/>
  <c r="A145" i="4"/>
  <c r="B145" i="4"/>
  <c r="C145" i="4"/>
  <c r="D145" i="4"/>
  <c r="G145" i="4"/>
  <c r="A213" i="4"/>
  <c r="B213" i="4"/>
  <c r="C213" i="4"/>
  <c r="D213" i="4"/>
  <c r="G213" i="4"/>
  <c r="A589" i="4"/>
  <c r="B589" i="4"/>
  <c r="C589" i="4"/>
  <c r="D589" i="4"/>
  <c r="G589" i="4"/>
  <c r="A101" i="4"/>
  <c r="B101" i="4"/>
  <c r="C101" i="4"/>
  <c r="D101" i="4"/>
  <c r="E101" i="4"/>
  <c r="G101" i="4"/>
  <c r="A64" i="4"/>
  <c r="B64" i="4"/>
  <c r="C64" i="4"/>
  <c r="D64" i="4"/>
  <c r="E64" i="4"/>
  <c r="G64" i="4"/>
  <c r="A550" i="4"/>
  <c r="B550" i="4"/>
  <c r="C550" i="4"/>
  <c r="D550" i="4"/>
  <c r="E550" i="4"/>
  <c r="G550" i="4"/>
  <c r="A447" i="4"/>
  <c r="B447" i="4"/>
  <c r="C447" i="4"/>
  <c r="D447" i="4"/>
  <c r="G447" i="4"/>
  <c r="A248" i="4"/>
  <c r="B248" i="4"/>
  <c r="C248" i="4"/>
  <c r="D248" i="4"/>
  <c r="G248" i="4"/>
  <c r="A411" i="4"/>
  <c r="B411" i="4"/>
  <c r="C411" i="4"/>
  <c r="D411" i="4"/>
  <c r="G411" i="4"/>
  <c r="A467" i="4"/>
  <c r="B467" i="4"/>
  <c r="C467" i="4"/>
  <c r="D467" i="4"/>
  <c r="G467" i="4"/>
  <c r="A62" i="4"/>
  <c r="B62" i="4"/>
  <c r="C62" i="4"/>
  <c r="D62" i="4"/>
  <c r="G62" i="4"/>
  <c r="A328" i="4"/>
  <c r="B328" i="4"/>
  <c r="C328" i="4"/>
  <c r="D328" i="4"/>
  <c r="E328" i="4"/>
  <c r="G328" i="4"/>
  <c r="A390" i="4"/>
  <c r="B390" i="4"/>
  <c r="C390" i="4"/>
  <c r="D390" i="4"/>
  <c r="E390" i="4"/>
  <c r="G390" i="4"/>
  <c r="A194" i="4"/>
  <c r="B194" i="4"/>
  <c r="C194" i="4"/>
  <c r="D194" i="4"/>
  <c r="E194" i="4"/>
  <c r="G194" i="4"/>
  <c r="A559" i="4"/>
  <c r="B559" i="4"/>
  <c r="C559" i="4"/>
  <c r="D559" i="4"/>
  <c r="G559" i="4"/>
  <c r="A203" i="4"/>
  <c r="B203" i="4"/>
  <c r="C203" i="4"/>
  <c r="D203" i="4"/>
  <c r="E203" i="4"/>
  <c r="G203" i="4"/>
  <c r="A459" i="4"/>
  <c r="B459" i="4"/>
  <c r="C459" i="4"/>
  <c r="D459" i="4"/>
  <c r="G459" i="4"/>
  <c r="A11" i="4"/>
  <c r="B11" i="4"/>
  <c r="C11" i="4"/>
  <c r="D11" i="4"/>
  <c r="G11" i="4"/>
  <c r="A331" i="4"/>
  <c r="B331" i="4"/>
  <c r="C331" i="4"/>
  <c r="D331" i="4"/>
  <c r="G331" i="4"/>
  <c r="A159" i="4"/>
  <c r="B159" i="4"/>
  <c r="C159" i="4"/>
  <c r="D159" i="4"/>
  <c r="E159" i="4"/>
  <c r="G159" i="4"/>
  <c r="A152" i="4"/>
  <c r="B152" i="4"/>
  <c r="C152" i="4"/>
  <c r="D152" i="4"/>
  <c r="E152" i="4"/>
  <c r="G152" i="4"/>
  <c r="A288" i="4"/>
  <c r="B288" i="4"/>
  <c r="C288" i="4"/>
  <c r="D288" i="4"/>
  <c r="E288" i="4"/>
  <c r="G288" i="4"/>
  <c r="A470" i="4"/>
  <c r="B470" i="4"/>
  <c r="C470" i="4"/>
  <c r="D470" i="4"/>
  <c r="G470" i="4"/>
  <c r="A58" i="4"/>
  <c r="B58" i="4"/>
  <c r="C58" i="4"/>
  <c r="D58" i="4"/>
  <c r="G58" i="4"/>
  <c r="A522" i="4"/>
  <c r="B522" i="4"/>
  <c r="C522" i="4"/>
  <c r="D522" i="4"/>
  <c r="G522" i="4"/>
  <c r="A579" i="4"/>
  <c r="B579" i="4"/>
  <c r="C579" i="4"/>
  <c r="D579" i="4"/>
  <c r="G579" i="4"/>
  <c r="A7" i="4"/>
  <c r="B7" i="4"/>
  <c r="C7" i="4"/>
  <c r="D7" i="4"/>
  <c r="G7" i="4"/>
  <c r="A89" i="4"/>
  <c r="B89" i="4"/>
  <c r="C89" i="4"/>
  <c r="D89" i="4"/>
  <c r="E89" i="4"/>
  <c r="G89" i="4"/>
  <c r="A651" i="4"/>
  <c r="B651" i="4"/>
  <c r="C651" i="4"/>
  <c r="D651" i="4"/>
  <c r="E651" i="4"/>
  <c r="G651" i="4"/>
  <c r="A643" i="4"/>
  <c r="B643" i="4"/>
  <c r="C643" i="4"/>
  <c r="D643" i="4"/>
  <c r="E643" i="4"/>
  <c r="G643" i="4"/>
  <c r="A376" i="4"/>
  <c r="B376" i="4"/>
  <c r="C376" i="4"/>
  <c r="D376" i="4"/>
  <c r="G376" i="4"/>
  <c r="A409" i="4"/>
  <c r="B409" i="4"/>
  <c r="C409" i="4"/>
  <c r="D409" i="4"/>
  <c r="E409" i="4"/>
  <c r="G409" i="4"/>
  <c r="A547" i="4"/>
  <c r="B547" i="4"/>
  <c r="C547" i="4"/>
  <c r="D547" i="4"/>
  <c r="G547" i="4"/>
  <c r="A635" i="4"/>
  <c r="B635" i="4"/>
  <c r="C635" i="4"/>
  <c r="D635" i="4"/>
  <c r="G635" i="4"/>
  <c r="A380" i="4"/>
  <c r="B380" i="4"/>
  <c r="C380" i="4"/>
  <c r="D380" i="4"/>
  <c r="G380" i="4"/>
  <c r="A291" i="4"/>
  <c r="B291" i="4"/>
  <c r="C291" i="4"/>
  <c r="D291" i="4"/>
  <c r="E291" i="4"/>
  <c r="G291" i="4"/>
  <c r="A442" i="4"/>
  <c r="B442" i="4"/>
  <c r="C442" i="4"/>
  <c r="D442" i="4"/>
  <c r="E442" i="4"/>
  <c r="G442" i="4"/>
  <c r="A124" i="4"/>
  <c r="B124" i="4"/>
  <c r="C124" i="4"/>
  <c r="D124" i="4"/>
  <c r="E124" i="4"/>
  <c r="G124" i="4"/>
  <c r="A420" i="4"/>
  <c r="B420" i="4"/>
  <c r="C420" i="4"/>
  <c r="D420" i="4"/>
  <c r="G420" i="4"/>
  <c r="A270" i="4"/>
  <c r="B270" i="4"/>
  <c r="C270" i="4"/>
  <c r="D270" i="4"/>
  <c r="G270" i="4"/>
  <c r="A326" i="4"/>
  <c r="B326" i="4"/>
  <c r="C326" i="4"/>
  <c r="D326" i="4"/>
  <c r="G326" i="4"/>
  <c r="A81" i="4"/>
  <c r="B81" i="4"/>
  <c r="C81" i="4"/>
  <c r="D81" i="4"/>
  <c r="G81" i="4"/>
  <c r="A474" i="4"/>
  <c r="B474" i="4"/>
  <c r="C474" i="4"/>
  <c r="D474" i="4"/>
  <c r="G474" i="4"/>
  <c r="A492" i="4"/>
  <c r="B492" i="4"/>
  <c r="C492" i="4"/>
  <c r="D492" i="4"/>
  <c r="E492" i="4"/>
  <c r="G492" i="4"/>
  <c r="A254" i="4"/>
  <c r="B254" i="4"/>
  <c r="C254" i="4"/>
  <c r="D254" i="4"/>
  <c r="E254" i="4"/>
  <c r="G254" i="4"/>
  <c r="A225" i="4"/>
  <c r="B225" i="4"/>
  <c r="C225" i="4"/>
  <c r="D225" i="4"/>
  <c r="E225" i="4"/>
  <c r="G225" i="4"/>
  <c r="A533" i="4"/>
  <c r="B533" i="4"/>
  <c r="C533" i="4"/>
  <c r="D533" i="4"/>
  <c r="G533" i="4"/>
  <c r="A9" i="4"/>
  <c r="B9" i="4"/>
  <c r="C9" i="4"/>
  <c r="D9" i="4"/>
  <c r="E9" i="4"/>
  <c r="G9" i="4"/>
  <c r="A463" i="4"/>
  <c r="B463" i="4"/>
  <c r="C463" i="4"/>
  <c r="D463" i="4"/>
  <c r="G463" i="4"/>
  <c r="A446" i="4"/>
  <c r="B446" i="4"/>
  <c r="C446" i="4"/>
  <c r="D446" i="4"/>
  <c r="E446" i="4"/>
  <c r="G446" i="4"/>
  <c r="A24" i="4"/>
  <c r="B24" i="4"/>
  <c r="C24" i="4"/>
  <c r="D24" i="4"/>
  <c r="G24" i="4"/>
  <c r="A80" i="4"/>
  <c r="B80" i="4"/>
  <c r="C80" i="4"/>
  <c r="D80" i="4"/>
  <c r="E80" i="4"/>
  <c r="G80" i="4"/>
  <c r="A249" i="4"/>
  <c r="B249" i="4"/>
  <c r="C249" i="4"/>
  <c r="D249" i="4"/>
  <c r="E249" i="4"/>
  <c r="G249" i="4"/>
  <c r="A100" i="4"/>
  <c r="B100" i="4"/>
  <c r="C100" i="4"/>
  <c r="D100" i="4"/>
  <c r="E100" i="4"/>
  <c r="G100" i="4"/>
  <c r="A196" i="4"/>
  <c r="B196" i="4"/>
  <c r="C196" i="4"/>
  <c r="D196" i="4"/>
  <c r="G196" i="4"/>
  <c r="A440" i="4"/>
  <c r="B440" i="4"/>
  <c r="C440" i="4"/>
  <c r="D440" i="4"/>
  <c r="G440" i="4"/>
  <c r="A217" i="4"/>
  <c r="B217" i="4"/>
  <c r="C217" i="4"/>
  <c r="D217" i="4"/>
  <c r="G217" i="4"/>
  <c r="A247" i="4"/>
  <c r="B247" i="4"/>
  <c r="C247" i="4"/>
  <c r="D247" i="4"/>
  <c r="G247" i="4"/>
  <c r="A562" i="4"/>
  <c r="B562" i="4"/>
  <c r="C562" i="4"/>
  <c r="D562" i="4"/>
  <c r="G562" i="4"/>
  <c r="A573" i="4"/>
  <c r="B573" i="4"/>
  <c r="C573" i="4"/>
  <c r="D573" i="4"/>
  <c r="E573" i="4"/>
  <c r="G573" i="4"/>
  <c r="A434" i="4"/>
  <c r="B434" i="4"/>
  <c r="C434" i="4"/>
  <c r="D434" i="4"/>
  <c r="E434" i="4"/>
  <c r="G434" i="4"/>
  <c r="A435" i="4"/>
  <c r="B435" i="4"/>
  <c r="C435" i="4"/>
  <c r="D435" i="4"/>
  <c r="E435" i="4"/>
  <c r="G435" i="4"/>
  <c r="A587" i="4"/>
  <c r="B587" i="4"/>
  <c r="C587" i="4"/>
  <c r="D587" i="4"/>
  <c r="G587" i="4"/>
  <c r="A37" i="4"/>
  <c r="B37" i="4"/>
  <c r="C37" i="4"/>
  <c r="D37" i="4"/>
  <c r="E37" i="4"/>
  <c r="G37" i="4"/>
  <c r="A363" i="4"/>
  <c r="B363" i="4"/>
  <c r="C363" i="4"/>
  <c r="D363" i="4"/>
  <c r="G363" i="4"/>
  <c r="A618" i="4"/>
  <c r="B618" i="4"/>
  <c r="C618" i="4"/>
  <c r="D618" i="4"/>
  <c r="E618" i="4"/>
  <c r="G618" i="4"/>
  <c r="A307" i="4"/>
  <c r="B307" i="4"/>
  <c r="C307" i="4"/>
  <c r="D307" i="4"/>
  <c r="G307" i="4"/>
  <c r="A525" i="4"/>
  <c r="B525" i="4"/>
  <c r="C525" i="4"/>
  <c r="D525" i="4"/>
  <c r="E525" i="4"/>
  <c r="G525" i="4"/>
  <c r="A475" i="4"/>
  <c r="B475" i="4"/>
  <c r="C475" i="4"/>
  <c r="D475" i="4"/>
  <c r="E475" i="4"/>
  <c r="G475" i="4"/>
  <c r="A68" i="4"/>
  <c r="B68" i="4"/>
  <c r="C68" i="4"/>
  <c r="D68" i="4"/>
  <c r="E68" i="4"/>
  <c r="G68" i="4"/>
  <c r="A172" i="4"/>
  <c r="B172" i="4"/>
  <c r="C172" i="4"/>
  <c r="D172" i="4"/>
  <c r="G172" i="4"/>
  <c r="A695" i="4"/>
  <c r="B695" i="4"/>
  <c r="C695" i="4"/>
  <c r="D695" i="4"/>
  <c r="G695" i="4"/>
  <c r="A576" i="4"/>
  <c r="B576" i="4"/>
  <c r="C576" i="4"/>
  <c r="D576" i="4"/>
  <c r="G576" i="4"/>
  <c r="A378" i="4"/>
  <c r="B378" i="4"/>
  <c r="C378" i="4"/>
  <c r="D378" i="4"/>
  <c r="G378" i="4"/>
  <c r="A93" i="4"/>
  <c r="B93" i="4"/>
  <c r="C93" i="4"/>
  <c r="D93" i="4"/>
  <c r="G93" i="4"/>
  <c r="A577" i="4"/>
  <c r="B577" i="4"/>
  <c r="C577" i="4"/>
  <c r="D577" i="4"/>
  <c r="E577" i="4"/>
  <c r="G577" i="4"/>
  <c r="A425" i="4"/>
  <c r="B425" i="4"/>
  <c r="C425" i="4"/>
  <c r="D425" i="4"/>
  <c r="E425" i="4"/>
  <c r="G425" i="4"/>
  <c r="A700" i="4"/>
  <c r="B700" i="4"/>
  <c r="C700" i="4"/>
  <c r="D700" i="4"/>
  <c r="E700" i="4"/>
  <c r="G700" i="4"/>
  <c r="A473" i="4"/>
  <c r="B473" i="4"/>
  <c r="C473" i="4"/>
  <c r="D473" i="4"/>
  <c r="G473" i="4"/>
  <c r="A303" i="4"/>
  <c r="B303" i="4"/>
  <c r="C303" i="4"/>
  <c r="D303" i="4"/>
  <c r="E303" i="4"/>
  <c r="G303" i="4"/>
  <c r="A350" i="4"/>
  <c r="B350" i="4"/>
  <c r="C350" i="4"/>
  <c r="D350" i="4"/>
  <c r="G350" i="4"/>
  <c r="A600" i="4"/>
  <c r="B600" i="4"/>
  <c r="C600" i="4"/>
  <c r="D600" i="4"/>
  <c r="G600" i="4"/>
  <c r="A584" i="4"/>
  <c r="B584" i="4"/>
  <c r="C584" i="4"/>
  <c r="D584" i="4"/>
  <c r="G584" i="4"/>
  <c r="A360" i="4"/>
  <c r="B360" i="4"/>
  <c r="C360" i="4"/>
  <c r="D360" i="4"/>
  <c r="E360" i="4"/>
  <c r="G360" i="4"/>
  <c r="A486" i="4"/>
  <c r="B486" i="4"/>
  <c r="C486" i="4"/>
  <c r="D486" i="4"/>
  <c r="E486" i="4"/>
  <c r="G486" i="4"/>
  <c r="A517" i="4"/>
  <c r="B517" i="4"/>
  <c r="C517" i="4"/>
  <c r="D517" i="4"/>
  <c r="E517" i="4"/>
  <c r="G517" i="4"/>
  <c r="A182" i="4"/>
  <c r="B182" i="4"/>
  <c r="C182" i="4"/>
  <c r="D182" i="4"/>
  <c r="G182" i="4"/>
  <c r="A508" i="4"/>
  <c r="B508" i="4"/>
  <c r="C508" i="4"/>
  <c r="D508" i="4"/>
  <c r="G508" i="4"/>
  <c r="A118" i="4"/>
  <c r="B118" i="4"/>
  <c r="C118" i="4"/>
  <c r="D118" i="4"/>
  <c r="G118" i="4"/>
  <c r="A344" i="4"/>
  <c r="B344" i="4"/>
  <c r="C344" i="4"/>
  <c r="D344" i="4"/>
  <c r="G344" i="4"/>
  <c r="A388" i="4"/>
  <c r="B388" i="4"/>
  <c r="C388" i="4"/>
  <c r="D388" i="4"/>
  <c r="G388" i="4"/>
  <c r="A119" i="4"/>
  <c r="B119" i="4"/>
  <c r="C119" i="4"/>
  <c r="D119" i="4"/>
  <c r="E119" i="4"/>
  <c r="G119" i="4"/>
  <c r="A355" i="4"/>
  <c r="B355" i="4"/>
  <c r="C355" i="4"/>
  <c r="D355" i="4"/>
  <c r="E355" i="4"/>
  <c r="G355" i="4"/>
  <c r="A357" i="4"/>
  <c r="B357" i="4"/>
  <c r="C357" i="4"/>
  <c r="D357" i="4"/>
  <c r="E357" i="4"/>
  <c r="G357" i="4"/>
  <c r="A613" i="4"/>
  <c r="B613" i="4"/>
  <c r="C613" i="4"/>
  <c r="D613" i="4"/>
  <c r="G613" i="4"/>
  <c r="A215" i="4"/>
  <c r="B215" i="4"/>
  <c r="C215" i="4"/>
  <c r="D215" i="4"/>
  <c r="E215" i="4"/>
  <c r="G215" i="4"/>
  <c r="A364" i="4"/>
  <c r="B364" i="4"/>
  <c r="C364" i="4"/>
  <c r="D364" i="4"/>
  <c r="G364" i="4"/>
  <c r="A417" i="4"/>
  <c r="B417" i="4"/>
  <c r="C417" i="4"/>
  <c r="D417" i="4"/>
  <c r="E417" i="4"/>
  <c r="G417" i="4"/>
  <c r="A620" i="4"/>
  <c r="B620" i="4"/>
  <c r="C620" i="4"/>
  <c r="D620" i="4"/>
  <c r="G620" i="4"/>
  <c r="A146" i="4"/>
  <c r="B146" i="4"/>
  <c r="C146" i="4"/>
  <c r="D146" i="4"/>
  <c r="E146" i="4"/>
  <c r="G146" i="4"/>
  <c r="A190" i="4"/>
  <c r="B190" i="4"/>
  <c r="C190" i="4"/>
  <c r="D190" i="4"/>
  <c r="E190" i="4"/>
  <c r="G190" i="4"/>
  <c r="A149" i="4"/>
  <c r="B149" i="4"/>
  <c r="C149" i="4"/>
  <c r="D149" i="4"/>
  <c r="E149" i="4"/>
  <c r="G149" i="4"/>
  <c r="A318" i="4"/>
  <c r="B318" i="4"/>
  <c r="C318" i="4"/>
  <c r="D318" i="4"/>
  <c r="G318" i="4"/>
  <c r="A501" i="4"/>
  <c r="B501" i="4"/>
  <c r="C501" i="4"/>
  <c r="D501" i="4"/>
  <c r="G501" i="4"/>
  <c r="A163" i="4"/>
  <c r="B163" i="4"/>
  <c r="C163" i="4"/>
  <c r="D163" i="4"/>
  <c r="G163" i="4"/>
  <c r="A381" i="4"/>
  <c r="B381" i="4"/>
  <c r="C381" i="4"/>
  <c r="D381" i="4"/>
  <c r="G381" i="4"/>
  <c r="A290" i="4"/>
  <c r="B290" i="4"/>
  <c r="C290" i="4"/>
  <c r="D290" i="4"/>
  <c r="G290" i="4"/>
  <c r="A4" i="4"/>
  <c r="B4" i="4"/>
  <c r="C4" i="4"/>
  <c r="D4" i="4"/>
  <c r="E4" i="4"/>
  <c r="G4" i="4"/>
  <c r="A591" i="4"/>
  <c r="B591" i="4"/>
  <c r="C591" i="4"/>
  <c r="D591" i="4"/>
  <c r="E591" i="4"/>
  <c r="G591" i="4"/>
  <c r="A493" i="4"/>
  <c r="B493" i="4"/>
  <c r="C493" i="4"/>
  <c r="D493" i="4"/>
  <c r="E493" i="4"/>
  <c r="G493" i="4"/>
  <c r="A629" i="4"/>
  <c r="B629" i="4"/>
  <c r="C629" i="4"/>
  <c r="D629" i="4"/>
  <c r="G629" i="4"/>
  <c r="A105" i="4"/>
  <c r="B105" i="4"/>
  <c r="C105" i="4"/>
  <c r="D105" i="4"/>
  <c r="E105" i="4"/>
  <c r="G105" i="4"/>
  <c r="A538" i="4"/>
  <c r="B538" i="4"/>
  <c r="C538" i="4"/>
  <c r="D538" i="4"/>
  <c r="G538" i="4"/>
  <c r="A487" i="4"/>
  <c r="B487" i="4"/>
  <c r="C487" i="4"/>
  <c r="D487" i="4"/>
  <c r="E487" i="4"/>
  <c r="G487" i="4"/>
  <c r="A181" i="4"/>
  <c r="B181" i="4"/>
  <c r="C181" i="4"/>
  <c r="D181" i="4"/>
  <c r="G181" i="4"/>
  <c r="A532" i="4"/>
  <c r="B532" i="4"/>
  <c r="C532" i="4"/>
  <c r="D532" i="4"/>
  <c r="E532" i="4"/>
  <c r="G532" i="4"/>
  <c r="A27" i="4"/>
  <c r="B27" i="4"/>
  <c r="C27" i="4"/>
  <c r="D27" i="4"/>
  <c r="E27" i="4"/>
  <c r="G27" i="4"/>
  <c r="A132" i="4"/>
  <c r="B132" i="4"/>
  <c r="C132" i="4"/>
  <c r="D132" i="4"/>
  <c r="E132" i="4"/>
  <c r="G132" i="4"/>
  <c r="A183" i="4"/>
  <c r="B183" i="4"/>
  <c r="C183" i="4"/>
  <c r="D183" i="4"/>
  <c r="G183" i="4"/>
  <c r="A346" i="4"/>
  <c r="B346" i="4"/>
  <c r="C346" i="4"/>
  <c r="D346" i="4"/>
  <c r="G346" i="4"/>
  <c r="A431" i="4"/>
  <c r="B431" i="4"/>
  <c r="C431" i="4"/>
  <c r="D431" i="4"/>
  <c r="G431" i="4"/>
  <c r="A578" i="4"/>
  <c r="B578" i="4"/>
  <c r="C578" i="4"/>
  <c r="D578" i="4"/>
  <c r="G578" i="4"/>
  <c r="A392" i="4"/>
  <c r="B392" i="4"/>
  <c r="C392" i="4"/>
  <c r="D392" i="4"/>
  <c r="G392" i="4"/>
  <c r="A187" i="4"/>
  <c r="B187" i="4"/>
  <c r="C187" i="4"/>
  <c r="D187" i="4"/>
  <c r="E187" i="4"/>
  <c r="G187" i="4"/>
  <c r="A601" i="4"/>
  <c r="B601" i="4"/>
  <c r="C601" i="4"/>
  <c r="D601" i="4"/>
  <c r="E601" i="4"/>
  <c r="G601" i="4"/>
  <c r="A617" i="4"/>
  <c r="B617" i="4"/>
  <c r="C617" i="4"/>
  <c r="D617" i="4"/>
  <c r="E617" i="4"/>
  <c r="G617" i="4"/>
  <c r="A696" i="4"/>
  <c r="B696" i="4"/>
  <c r="C696" i="4"/>
  <c r="D696" i="4"/>
  <c r="G696" i="4"/>
  <c r="A140" i="4"/>
  <c r="B140" i="4"/>
  <c r="C140" i="4"/>
  <c r="D140" i="4"/>
  <c r="E140" i="4"/>
  <c r="G140" i="4"/>
  <c r="A341" i="4"/>
  <c r="B341" i="4"/>
  <c r="C341" i="4"/>
  <c r="D341" i="4"/>
  <c r="G341" i="4"/>
  <c r="A361" i="4"/>
  <c r="B361" i="4"/>
  <c r="C361" i="4"/>
  <c r="D361" i="4"/>
  <c r="G361" i="4"/>
  <c r="A395" i="4"/>
  <c r="B395" i="4"/>
  <c r="C395" i="4"/>
  <c r="D395" i="4"/>
  <c r="G395" i="4"/>
  <c r="A488" i="4"/>
  <c r="B488" i="4"/>
  <c r="C488" i="4"/>
  <c r="D488" i="4"/>
  <c r="E488" i="4"/>
  <c r="G488" i="4"/>
  <c r="A511" i="4"/>
  <c r="B511" i="4"/>
  <c r="C511" i="4"/>
  <c r="D511" i="4"/>
  <c r="E511" i="4"/>
  <c r="G511" i="4"/>
  <c r="A539" i="4"/>
  <c r="B539" i="4"/>
  <c r="C539" i="4"/>
  <c r="D539" i="4"/>
  <c r="E539" i="4"/>
  <c r="G539" i="4"/>
  <c r="A580" i="4"/>
  <c r="B580" i="4"/>
  <c r="C580" i="4"/>
  <c r="D580" i="4"/>
  <c r="G580" i="4"/>
  <c r="A314" i="4"/>
  <c r="B314" i="4"/>
  <c r="C314" i="4"/>
  <c r="D314" i="4"/>
  <c r="G314" i="4"/>
  <c r="A356" i="4"/>
  <c r="B356" i="4"/>
  <c r="C356" i="4"/>
  <c r="D356" i="4"/>
  <c r="G356" i="4"/>
  <c r="A499" i="4"/>
  <c r="B499" i="4"/>
  <c r="C499" i="4"/>
  <c r="D499" i="4"/>
  <c r="G499" i="4"/>
  <c r="A231" i="4"/>
  <c r="B231" i="4"/>
  <c r="C231" i="4"/>
  <c r="D231" i="4"/>
  <c r="G231" i="4"/>
  <c r="A298" i="4"/>
  <c r="B298" i="4"/>
  <c r="C298" i="4"/>
  <c r="D298" i="4"/>
  <c r="E298" i="4"/>
  <c r="G298" i="4"/>
  <c r="A692" i="4"/>
  <c r="B692" i="4"/>
  <c r="C692" i="4"/>
  <c r="D692" i="4"/>
  <c r="E692" i="4"/>
  <c r="G692" i="4"/>
  <c r="A427" i="4"/>
  <c r="B427" i="4"/>
  <c r="C427" i="4"/>
  <c r="D427" i="4"/>
  <c r="E427" i="4"/>
  <c r="G427" i="4"/>
  <c r="A169" i="4"/>
  <c r="B169" i="4"/>
  <c r="C169" i="4"/>
  <c r="D169" i="4"/>
  <c r="G169" i="4"/>
  <c r="A179" i="4"/>
  <c r="B179" i="4"/>
  <c r="C179" i="4"/>
  <c r="D179" i="4"/>
  <c r="E179" i="4"/>
  <c r="G179" i="4"/>
  <c r="A111" i="4"/>
  <c r="B111" i="4"/>
  <c r="C111" i="4"/>
  <c r="D111" i="4"/>
  <c r="G111" i="4"/>
  <c r="A22" i="4"/>
  <c r="B22" i="4"/>
  <c r="C22" i="4"/>
  <c r="D22" i="4"/>
  <c r="G22" i="4"/>
  <c r="A32" i="4"/>
  <c r="B32" i="4"/>
  <c r="C32" i="4"/>
  <c r="D32" i="4"/>
  <c r="G32" i="4"/>
  <c r="A54" i="4"/>
  <c r="B54" i="4"/>
  <c r="C54" i="4"/>
  <c r="D54" i="4"/>
  <c r="E54" i="4"/>
  <c r="G54" i="4"/>
  <c r="A385" i="4"/>
  <c r="B385" i="4"/>
  <c r="C385" i="4"/>
  <c r="D385" i="4"/>
  <c r="E385" i="4"/>
  <c r="G385" i="4"/>
  <c r="A23" i="4"/>
  <c r="B23" i="4"/>
  <c r="C23" i="4"/>
  <c r="D23" i="4"/>
  <c r="E23" i="4"/>
  <c r="G23" i="4"/>
  <c r="A45" i="4"/>
  <c r="B45" i="4"/>
  <c r="C45" i="4"/>
  <c r="D45" i="4"/>
  <c r="G45" i="4"/>
  <c r="A131" i="4"/>
  <c r="B131" i="4"/>
  <c r="C131" i="4"/>
  <c r="D131" i="4"/>
  <c r="G131" i="4"/>
  <c r="A251" i="4"/>
  <c r="B251" i="4"/>
  <c r="C251" i="4"/>
  <c r="D251" i="4"/>
  <c r="G251" i="4"/>
  <c r="A437" i="4"/>
  <c r="B437" i="4"/>
  <c r="C437" i="4"/>
  <c r="D437" i="4"/>
  <c r="G437" i="4"/>
  <c r="A86" i="4"/>
  <c r="B86" i="4"/>
  <c r="C86" i="4"/>
  <c r="D86" i="4"/>
  <c r="G86" i="4"/>
  <c r="A184" i="4"/>
  <c r="B184" i="4"/>
  <c r="C184" i="4"/>
  <c r="D184" i="4"/>
  <c r="E184" i="4"/>
  <c r="G184" i="4"/>
  <c r="A76" i="4"/>
  <c r="B76" i="4"/>
  <c r="C76" i="4"/>
  <c r="D76" i="4"/>
  <c r="E76" i="4"/>
  <c r="G76" i="4"/>
  <c r="A698" i="4"/>
  <c r="B698" i="4"/>
  <c r="C698" i="4"/>
  <c r="D698" i="4"/>
  <c r="E698" i="4"/>
  <c r="G698" i="4"/>
  <c r="A180" i="4"/>
  <c r="B180" i="4"/>
  <c r="C180" i="4"/>
  <c r="D180" i="4"/>
  <c r="G180" i="4"/>
  <c r="A634" i="4"/>
  <c r="B634" i="4"/>
  <c r="C634" i="4"/>
  <c r="D634" i="4"/>
  <c r="E634" i="4"/>
  <c r="G634" i="4"/>
  <c r="A39" i="4"/>
  <c r="B39" i="4"/>
  <c r="C39" i="4"/>
  <c r="D39" i="4"/>
  <c r="G39" i="4"/>
  <c r="A130" i="4"/>
  <c r="B130" i="4"/>
  <c r="C130" i="4"/>
  <c r="D130" i="4"/>
  <c r="G130" i="4"/>
  <c r="A514" i="4"/>
  <c r="B514" i="4"/>
  <c r="C514" i="4"/>
  <c r="D514" i="4"/>
  <c r="G514" i="4"/>
  <c r="A3" i="4"/>
  <c r="B3" i="4"/>
  <c r="C3" i="4"/>
  <c r="D3" i="4"/>
  <c r="E3" i="4"/>
  <c r="G3" i="4"/>
  <c r="A211" i="4"/>
  <c r="B211" i="4"/>
  <c r="C211" i="4"/>
  <c r="D211" i="4"/>
  <c r="E211" i="4"/>
  <c r="G211" i="4"/>
  <c r="A432" i="4"/>
  <c r="B432" i="4"/>
  <c r="C432" i="4"/>
  <c r="D432" i="4"/>
  <c r="E432" i="4"/>
  <c r="G432" i="4"/>
  <c r="A433" i="4"/>
  <c r="B433" i="4"/>
  <c r="C433" i="4"/>
  <c r="D433" i="4"/>
  <c r="G433" i="4"/>
  <c r="A191" i="4"/>
  <c r="B191" i="4"/>
  <c r="C191" i="4"/>
  <c r="D191" i="4"/>
  <c r="G191" i="4"/>
  <c r="A142" i="4"/>
  <c r="B142" i="4"/>
  <c r="C142" i="4"/>
  <c r="D142" i="4"/>
  <c r="G142" i="4"/>
  <c r="A223" i="4"/>
  <c r="B223" i="4"/>
  <c r="C223" i="4"/>
  <c r="D223" i="4"/>
  <c r="G223" i="4"/>
  <c r="A266" i="4"/>
  <c r="B266" i="4"/>
  <c r="C266" i="4"/>
  <c r="D266" i="4"/>
  <c r="G266" i="4"/>
  <c r="A287" i="4"/>
  <c r="B287" i="4"/>
  <c r="C287" i="4"/>
  <c r="D287" i="4"/>
  <c r="E287" i="4"/>
  <c r="G287" i="4"/>
  <c r="A640" i="4"/>
  <c r="B640" i="4"/>
  <c r="C640" i="4"/>
  <c r="D640" i="4"/>
  <c r="E640" i="4"/>
  <c r="G640" i="4"/>
  <c r="A633" i="4"/>
  <c r="B633" i="4"/>
  <c r="C633" i="4"/>
  <c r="D633" i="4"/>
  <c r="E633" i="4"/>
  <c r="G633" i="4"/>
  <c r="A141" i="4"/>
  <c r="B141" i="4"/>
  <c r="C141" i="4"/>
  <c r="D141" i="4"/>
  <c r="G141" i="4"/>
  <c r="A379" i="4"/>
  <c r="B379" i="4"/>
  <c r="C379" i="4"/>
  <c r="D379" i="4"/>
  <c r="E379" i="4"/>
  <c r="G379" i="4"/>
  <c r="A604" i="4"/>
  <c r="B604" i="4"/>
  <c r="C604" i="4"/>
  <c r="D604" i="4"/>
  <c r="G604" i="4"/>
  <c r="A53" i="4"/>
  <c r="B53" i="4"/>
  <c r="C53" i="4"/>
  <c r="D53" i="4"/>
  <c r="E53" i="4"/>
  <c r="G53" i="4"/>
  <c r="A430" i="4"/>
  <c r="B430" i="4"/>
  <c r="C430" i="4"/>
  <c r="D430" i="4"/>
  <c r="G430" i="4"/>
  <c r="A66" i="4"/>
  <c r="B66" i="4"/>
  <c r="C66" i="4"/>
  <c r="D66" i="4"/>
  <c r="E66" i="4"/>
  <c r="G66" i="4"/>
  <c r="A10" i="4"/>
  <c r="B10" i="4"/>
  <c r="C10" i="4"/>
  <c r="D10" i="4"/>
  <c r="E10" i="4"/>
  <c r="G10" i="4"/>
  <c r="A569" i="4"/>
  <c r="B569" i="4"/>
  <c r="C569" i="4"/>
  <c r="D569" i="4"/>
  <c r="E569" i="4"/>
  <c r="G569" i="4"/>
  <c r="A70" i="4"/>
  <c r="B70" i="4"/>
  <c r="C70" i="4"/>
  <c r="D70" i="4"/>
  <c r="G70" i="4"/>
  <c r="A302" i="4"/>
  <c r="B302" i="4"/>
  <c r="C302" i="4"/>
  <c r="D302" i="4"/>
  <c r="G302" i="4"/>
  <c r="A498" i="4"/>
  <c r="B498" i="4"/>
  <c r="C498" i="4"/>
  <c r="D498" i="4"/>
  <c r="G498" i="4"/>
  <c r="A443" i="4"/>
  <c r="B443" i="4"/>
  <c r="C443" i="4"/>
  <c r="D443" i="4"/>
  <c r="G443" i="4"/>
  <c r="A585" i="4"/>
  <c r="B585" i="4"/>
  <c r="C585" i="4"/>
  <c r="D585" i="4"/>
  <c r="G585" i="4"/>
  <c r="A267" i="4"/>
  <c r="B267" i="4"/>
  <c r="C267" i="4"/>
  <c r="D267" i="4"/>
  <c r="E267" i="4"/>
  <c r="G267" i="4"/>
  <c r="A393" i="4"/>
  <c r="B393" i="4"/>
  <c r="C393" i="4"/>
  <c r="D393" i="4"/>
  <c r="E393" i="4"/>
  <c r="G393" i="4"/>
  <c r="A336" i="4"/>
  <c r="B336" i="4"/>
  <c r="C336" i="4"/>
  <c r="D336" i="4"/>
  <c r="E336" i="4"/>
  <c r="G336" i="4"/>
  <c r="A422" i="4"/>
  <c r="B422" i="4"/>
  <c r="C422" i="4"/>
  <c r="D422" i="4"/>
  <c r="G422" i="4"/>
  <c r="A625" i="4"/>
  <c r="B625" i="4"/>
  <c r="C625" i="4"/>
  <c r="D625" i="4"/>
  <c r="E625" i="4"/>
  <c r="G625" i="4"/>
  <c r="A166" i="4"/>
  <c r="B166" i="4"/>
  <c r="C166" i="4"/>
  <c r="D166" i="4"/>
  <c r="G166" i="4"/>
  <c r="A218" i="4"/>
  <c r="B218" i="4"/>
  <c r="C218" i="4"/>
  <c r="D218" i="4"/>
  <c r="E218" i="4"/>
  <c r="G218" i="4"/>
  <c r="A238" i="4"/>
  <c r="B238" i="4"/>
  <c r="C238" i="4"/>
  <c r="D238" i="4"/>
  <c r="G238" i="4"/>
  <c r="A423" i="4"/>
  <c r="B423" i="4"/>
  <c r="C423" i="4"/>
  <c r="D423" i="4"/>
  <c r="E423" i="4"/>
  <c r="G423" i="4"/>
  <c r="A684" i="4"/>
  <c r="B684" i="4"/>
  <c r="C684" i="4"/>
  <c r="D684" i="4"/>
  <c r="E684" i="4"/>
  <c r="G684" i="4"/>
  <c r="A471" i="4"/>
  <c r="B471" i="4"/>
  <c r="C471" i="4"/>
  <c r="D471" i="4"/>
  <c r="E471" i="4"/>
  <c r="G471" i="4"/>
  <c r="A67" i="4"/>
  <c r="B67" i="4"/>
  <c r="C67" i="4"/>
  <c r="D67" i="4"/>
  <c r="G67" i="4"/>
  <c r="A85" i="4"/>
  <c r="B85" i="4"/>
  <c r="C85" i="4"/>
  <c r="D85" i="4"/>
  <c r="G85" i="4"/>
  <c r="A543" i="4"/>
  <c r="B543" i="4"/>
  <c r="C543" i="4"/>
  <c r="D543" i="4"/>
  <c r="G543" i="4"/>
  <c r="A265" i="4"/>
  <c r="B265" i="4"/>
  <c r="C265" i="4"/>
  <c r="D265" i="4"/>
  <c r="G265" i="4"/>
  <c r="A351" i="4"/>
  <c r="B351" i="4"/>
  <c r="C351" i="4"/>
  <c r="D351" i="4"/>
  <c r="G351" i="4"/>
  <c r="A429" i="4"/>
  <c r="B429" i="4"/>
  <c r="C429" i="4"/>
  <c r="D429" i="4"/>
  <c r="E429" i="4"/>
  <c r="G429" i="4"/>
  <c r="A691" i="4"/>
  <c r="B691" i="4"/>
  <c r="C691" i="4"/>
  <c r="D691" i="4"/>
  <c r="E691" i="4"/>
  <c r="G691" i="4"/>
  <c r="A186" i="4"/>
  <c r="B186" i="4"/>
  <c r="C186" i="4"/>
  <c r="D186" i="4"/>
  <c r="E186" i="4"/>
  <c r="G186" i="4"/>
  <c r="A347" i="4"/>
  <c r="B347" i="4"/>
  <c r="C347" i="4"/>
  <c r="D347" i="4"/>
  <c r="G347" i="4"/>
  <c r="A264" i="4"/>
  <c r="B264" i="4"/>
  <c r="C264" i="4"/>
  <c r="D264" i="4"/>
  <c r="E264" i="4"/>
  <c r="G264" i="4"/>
  <c r="A631" i="4"/>
  <c r="B631" i="4"/>
  <c r="C631" i="4"/>
  <c r="D631" i="4"/>
  <c r="G631" i="4"/>
  <c r="A35" i="4"/>
  <c r="B35" i="4"/>
  <c r="C35" i="4"/>
  <c r="D35" i="4"/>
  <c r="G35" i="4"/>
  <c r="A227" i="4"/>
  <c r="B227" i="4"/>
  <c r="C227" i="4"/>
  <c r="D227" i="4"/>
  <c r="G227" i="4"/>
  <c r="A134" i="4"/>
  <c r="B134" i="4"/>
  <c r="C134" i="4"/>
  <c r="D134" i="4"/>
  <c r="E134" i="4"/>
  <c r="G134" i="4"/>
  <c r="A373" i="4"/>
  <c r="B373" i="4"/>
  <c r="C373" i="4"/>
  <c r="D373" i="4"/>
  <c r="E373" i="4"/>
  <c r="G373" i="4"/>
  <c r="A147" i="4"/>
  <c r="B147" i="4"/>
  <c r="C147" i="4"/>
  <c r="D147" i="4"/>
  <c r="E147" i="4"/>
  <c r="G147" i="4"/>
  <c r="A197" i="4"/>
  <c r="B197" i="4"/>
  <c r="C197" i="4"/>
  <c r="D197" i="4"/>
  <c r="G197" i="4"/>
  <c r="A205" i="4"/>
  <c r="B205" i="4"/>
  <c r="C205" i="4"/>
  <c r="D205" i="4"/>
  <c r="G205" i="4"/>
  <c r="A424" i="4"/>
  <c r="B424" i="4"/>
  <c r="C424" i="4"/>
  <c r="D424" i="4"/>
  <c r="G424" i="4"/>
  <c r="A175" i="4"/>
  <c r="B175" i="4"/>
  <c r="C175" i="4"/>
  <c r="D175" i="4"/>
  <c r="G175" i="4"/>
  <c r="A490" i="4"/>
  <c r="B490" i="4"/>
  <c r="C490" i="4"/>
  <c r="D490" i="4"/>
  <c r="G490" i="4"/>
  <c r="A609" i="4"/>
  <c r="B609" i="4"/>
  <c r="C609" i="4"/>
  <c r="D609" i="4"/>
  <c r="E609" i="4"/>
  <c r="G609" i="4"/>
  <c r="A615" i="4"/>
  <c r="B615" i="4"/>
  <c r="C615" i="4"/>
  <c r="D615" i="4"/>
  <c r="E615" i="4"/>
  <c r="G615" i="4"/>
  <c r="A619" i="4"/>
  <c r="B619" i="4"/>
  <c r="C619" i="4"/>
  <c r="D619" i="4"/>
  <c r="E619" i="4"/>
  <c r="G619" i="4"/>
  <c r="A627" i="4"/>
  <c r="B627" i="4"/>
  <c r="C627" i="4"/>
  <c r="D627" i="4"/>
  <c r="G627" i="4"/>
  <c r="A588" i="4"/>
  <c r="B588" i="4"/>
  <c r="C588" i="4"/>
  <c r="D588" i="4"/>
  <c r="E588" i="4"/>
  <c r="G588" i="4"/>
  <c r="A74" i="4"/>
  <c r="B74" i="4"/>
  <c r="C74" i="4"/>
  <c r="D74" i="4"/>
  <c r="G74" i="4"/>
  <c r="A308" i="4"/>
  <c r="B308" i="4"/>
  <c r="C308" i="4"/>
  <c r="D308" i="4"/>
  <c r="E308" i="4"/>
  <c r="G308" i="4"/>
  <c r="A571" i="4"/>
  <c r="B571" i="4"/>
  <c r="C571" i="4"/>
  <c r="D571" i="4"/>
  <c r="G571" i="4"/>
  <c r="A185" i="4"/>
  <c r="B185" i="4"/>
  <c r="C185" i="4"/>
  <c r="D185" i="4"/>
  <c r="E185" i="4"/>
  <c r="G185" i="4"/>
  <c r="A616" i="4"/>
  <c r="B616" i="4"/>
  <c r="C616" i="4"/>
  <c r="D616" i="4"/>
  <c r="E616" i="4"/>
  <c r="G616" i="4"/>
  <c r="A78" i="4"/>
  <c r="B78" i="4"/>
  <c r="C78" i="4"/>
  <c r="D78" i="4"/>
  <c r="E78" i="4"/>
  <c r="G78" i="4"/>
  <c r="A150" i="4"/>
  <c r="B150" i="4"/>
  <c r="C150" i="4"/>
  <c r="D150" i="4"/>
  <c r="G150" i="4"/>
  <c r="A416" i="4"/>
  <c r="B416" i="4"/>
  <c r="C416" i="4"/>
  <c r="D416" i="4"/>
  <c r="G416" i="4"/>
  <c r="A479" i="4"/>
  <c r="B479" i="4"/>
  <c r="C479" i="4"/>
  <c r="D479" i="4"/>
  <c r="G479" i="4"/>
  <c r="A221" i="4"/>
  <c r="B221" i="4"/>
  <c r="C221" i="4"/>
  <c r="D221" i="4"/>
  <c r="G221" i="4"/>
  <c r="A210" i="4"/>
  <c r="B210" i="4"/>
  <c r="C210" i="4"/>
  <c r="D210" i="4"/>
  <c r="G210" i="4"/>
  <c r="A256" i="4"/>
  <c r="B256" i="4"/>
  <c r="C256" i="4"/>
  <c r="D256" i="4"/>
  <c r="E256" i="4"/>
  <c r="G256" i="4"/>
  <c r="A391" i="4"/>
  <c r="B391" i="4"/>
  <c r="C391" i="4"/>
  <c r="D391" i="4"/>
  <c r="E391" i="4"/>
  <c r="G391" i="4"/>
  <c r="A268" i="4"/>
  <c r="B268" i="4"/>
  <c r="C268" i="4"/>
  <c r="D268" i="4"/>
  <c r="E268" i="4"/>
  <c r="G268" i="4"/>
  <c r="A55" i="4"/>
  <c r="B55" i="4"/>
  <c r="C55" i="4"/>
  <c r="D55" i="4"/>
  <c r="G55" i="4"/>
  <c r="A362" i="4"/>
  <c r="B362" i="4"/>
  <c r="C362" i="4"/>
  <c r="D362" i="4"/>
  <c r="E362" i="4"/>
  <c r="G362" i="4"/>
  <c r="A387" i="4"/>
  <c r="B387" i="4"/>
  <c r="C387" i="4"/>
  <c r="D387" i="4"/>
  <c r="G387" i="4"/>
  <c r="A394" i="4"/>
  <c r="B394" i="4"/>
  <c r="C394" i="4"/>
  <c r="D394" i="4"/>
  <c r="E394" i="4"/>
  <c r="G394" i="4"/>
  <c r="A485" i="4"/>
  <c r="B485" i="4"/>
  <c r="C485" i="4"/>
  <c r="D485" i="4"/>
  <c r="G485" i="4"/>
  <c r="A605" i="4"/>
  <c r="B605" i="4"/>
  <c r="C605" i="4"/>
  <c r="D605" i="4"/>
  <c r="E605" i="4"/>
  <c r="G605" i="4"/>
  <c r="A682" i="4"/>
  <c r="B682" i="4"/>
  <c r="C682" i="4"/>
  <c r="D682" i="4"/>
  <c r="E682" i="4"/>
  <c r="G682" i="4"/>
  <c r="A519" i="4"/>
  <c r="B519" i="4"/>
  <c r="C519" i="4"/>
  <c r="D519" i="4"/>
  <c r="E519" i="4"/>
  <c r="G519" i="4"/>
  <c r="A586" i="4"/>
  <c r="B586" i="4"/>
  <c r="C586" i="4"/>
  <c r="D586" i="4"/>
  <c r="G586" i="4"/>
  <c r="A226" i="4"/>
  <c r="B226" i="4"/>
  <c r="C226" i="4"/>
  <c r="D226" i="4"/>
  <c r="G226" i="4"/>
  <c r="A401" i="4"/>
  <c r="B401" i="4"/>
  <c r="C401" i="4"/>
  <c r="D401" i="4"/>
  <c r="G401" i="4"/>
  <c r="A405" i="4"/>
  <c r="B405" i="4"/>
  <c r="C405" i="4"/>
  <c r="D405" i="4"/>
  <c r="G405" i="4"/>
  <c r="A614" i="4"/>
  <c r="B614" i="4"/>
  <c r="C614" i="4"/>
  <c r="D614" i="4"/>
  <c r="G614" i="4"/>
  <c r="A452" i="4"/>
  <c r="B452" i="4"/>
  <c r="C452" i="4"/>
  <c r="D452" i="4"/>
  <c r="E452" i="4"/>
  <c r="G452" i="4"/>
  <c r="A243" i="4"/>
  <c r="B243" i="4"/>
  <c r="C243" i="4"/>
  <c r="D243" i="4"/>
  <c r="E243" i="4"/>
  <c r="G243" i="4"/>
  <c r="A262" i="4"/>
  <c r="B262" i="4"/>
  <c r="C262" i="4"/>
  <c r="D262" i="4"/>
  <c r="E262" i="4"/>
  <c r="G262" i="4"/>
  <c r="A352" i="4"/>
  <c r="B352" i="4"/>
  <c r="C352" i="4"/>
  <c r="D352" i="4"/>
  <c r="G352" i="4"/>
  <c r="A98" i="4"/>
  <c r="B98" i="4"/>
  <c r="C98" i="4"/>
  <c r="D98" i="4"/>
  <c r="E98" i="4"/>
  <c r="G98" i="4"/>
  <c r="A418" i="4"/>
  <c r="B418" i="4"/>
  <c r="C418" i="4"/>
  <c r="D418" i="4"/>
  <c r="G418" i="4"/>
  <c r="A563" i="4"/>
  <c r="B563" i="4"/>
  <c r="C563" i="4"/>
  <c r="D563" i="4"/>
  <c r="G563" i="4"/>
  <c r="A171" i="4"/>
  <c r="B171" i="4"/>
  <c r="C171" i="4"/>
  <c r="D171" i="4"/>
  <c r="G171" i="4"/>
  <c r="A176" i="4"/>
  <c r="B176" i="4"/>
  <c r="C176" i="4"/>
  <c r="D176" i="4"/>
  <c r="E176" i="4"/>
  <c r="G176" i="4"/>
  <c r="A439" i="4"/>
  <c r="B439" i="4"/>
  <c r="C439" i="4"/>
  <c r="D439" i="4"/>
  <c r="E439" i="4"/>
  <c r="G439" i="4"/>
  <c r="A220" i="4"/>
  <c r="B220" i="4"/>
  <c r="C220" i="4"/>
  <c r="D220" i="4"/>
  <c r="E220" i="4"/>
  <c r="G220" i="4"/>
  <c r="A667" i="4"/>
  <c r="B667" i="4"/>
  <c r="C667" i="4"/>
  <c r="D667" i="4"/>
  <c r="G667" i="4"/>
  <c r="A12" i="4"/>
  <c r="B12" i="4"/>
  <c r="C12" i="4"/>
  <c r="D12" i="4"/>
  <c r="G12" i="4"/>
  <c r="A398" i="4"/>
  <c r="B398" i="4"/>
  <c r="C398" i="4"/>
  <c r="D398" i="4"/>
  <c r="G398" i="4"/>
  <c r="A694" i="4"/>
  <c r="B694" i="4"/>
  <c r="C694" i="4"/>
  <c r="D694" i="4"/>
  <c r="G694" i="4"/>
  <c r="A127" i="4"/>
  <c r="B127" i="4"/>
  <c r="C127" i="4"/>
  <c r="D127" i="4"/>
  <c r="G127" i="4"/>
  <c r="A426" i="4"/>
  <c r="B426" i="4"/>
  <c r="C426" i="4"/>
  <c r="D426" i="4"/>
  <c r="E426" i="4"/>
  <c r="G426" i="4"/>
  <c r="A5" i="4"/>
  <c r="B5" i="4"/>
  <c r="C5" i="4"/>
  <c r="D5" i="4"/>
  <c r="E5" i="4"/>
  <c r="G5" i="4"/>
  <c r="A681" i="4"/>
  <c r="B681" i="4"/>
  <c r="C681" i="4"/>
  <c r="D681" i="4"/>
  <c r="E681" i="4"/>
  <c r="G681" i="4"/>
  <c r="A133" i="4"/>
  <c r="B133" i="4"/>
  <c r="C133" i="4"/>
  <c r="D133" i="4"/>
  <c r="G133" i="4"/>
  <c r="A99" i="4"/>
  <c r="B99" i="4"/>
  <c r="C99" i="4"/>
  <c r="D99" i="4"/>
  <c r="E99" i="4"/>
  <c r="G99" i="4"/>
  <c r="A297" i="4"/>
  <c r="B297" i="4"/>
  <c r="C297" i="4"/>
  <c r="D297" i="4"/>
  <c r="G297" i="4"/>
  <c r="A345" i="4"/>
  <c r="B345" i="4"/>
  <c r="C345" i="4"/>
  <c r="D345" i="4"/>
  <c r="G345" i="4"/>
  <c r="A553" i="4"/>
  <c r="B553" i="4"/>
  <c r="C553" i="4"/>
  <c r="D553" i="4"/>
  <c r="G553" i="4"/>
  <c r="A40" i="4"/>
  <c r="B40" i="4"/>
  <c r="C40" i="4"/>
  <c r="D40" i="4"/>
  <c r="E40" i="4"/>
  <c r="G40" i="4"/>
  <c r="A112" i="4"/>
  <c r="B112" i="4"/>
  <c r="C112" i="4"/>
  <c r="D112" i="4"/>
  <c r="E112" i="4"/>
  <c r="G112" i="4"/>
  <c r="A632" i="4"/>
  <c r="B632" i="4"/>
  <c r="C632" i="4"/>
  <c r="D632" i="4"/>
  <c r="E632" i="4"/>
  <c r="G632" i="4"/>
  <c r="A377" i="4"/>
  <c r="B377" i="4"/>
  <c r="C377" i="4"/>
  <c r="D377" i="4"/>
  <c r="G377" i="4"/>
  <c r="A675" i="4"/>
  <c r="B675" i="4"/>
  <c r="C675" i="4"/>
  <c r="D675" i="4"/>
  <c r="G675" i="4"/>
  <c r="A195" i="4"/>
  <c r="B195" i="4"/>
  <c r="C195" i="4"/>
  <c r="D195" i="4"/>
  <c r="G195" i="4"/>
  <c r="A219" i="4"/>
  <c r="B219" i="4"/>
  <c r="C219" i="4"/>
  <c r="D219" i="4"/>
  <c r="G219" i="4"/>
  <c r="A674" i="4"/>
  <c r="B674" i="4"/>
  <c r="C674" i="4"/>
  <c r="D674" i="4"/>
  <c r="G674" i="4"/>
  <c r="A241" i="4"/>
  <c r="B241" i="4"/>
  <c r="C241" i="4"/>
  <c r="D241" i="4"/>
  <c r="E241" i="4"/>
  <c r="G241" i="4"/>
  <c r="A255" i="4"/>
  <c r="B255" i="4"/>
  <c r="C255" i="4"/>
  <c r="D255" i="4"/>
  <c r="E255" i="4"/>
  <c r="G255" i="4"/>
  <c r="A396" i="4"/>
  <c r="B396" i="4"/>
  <c r="C396" i="4"/>
  <c r="D396" i="4"/>
  <c r="E396" i="4"/>
  <c r="G396" i="4"/>
  <c r="A630" i="4"/>
  <c r="B630" i="4"/>
  <c r="C630" i="4"/>
  <c r="D630" i="4"/>
  <c r="G630" i="4"/>
  <c r="A575" i="4"/>
  <c r="B575" i="4"/>
  <c r="C575" i="4"/>
  <c r="D575" i="4"/>
  <c r="E575" i="4"/>
  <c r="G575" i="4"/>
  <c r="A19" i="4"/>
  <c r="B19" i="4"/>
  <c r="C19" i="4"/>
  <c r="D19" i="4"/>
  <c r="G19" i="4"/>
  <c r="A689" i="4"/>
  <c r="B689" i="4"/>
  <c r="C689" i="4"/>
  <c r="D689" i="4"/>
  <c r="G689" i="4"/>
  <c r="A397" i="4"/>
  <c r="B397" i="4"/>
  <c r="C397" i="4"/>
  <c r="D397" i="4"/>
  <c r="G397" i="4"/>
  <c r="A234" i="4"/>
  <c r="B234" i="4"/>
  <c r="C234" i="4"/>
  <c r="D234" i="4"/>
  <c r="E234" i="4"/>
  <c r="G234" i="4"/>
  <c r="A672" i="4"/>
  <c r="B672" i="4"/>
  <c r="C672" i="4"/>
  <c r="D672" i="4"/>
  <c r="E672" i="4"/>
  <c r="G672" i="4"/>
  <c r="A253" i="4"/>
  <c r="B253" i="4"/>
  <c r="C253" i="4"/>
  <c r="D253" i="4"/>
  <c r="E253" i="4"/>
  <c r="G253" i="4"/>
  <c r="A572" i="4"/>
  <c r="B572" i="4"/>
  <c r="C572" i="4"/>
  <c r="D572" i="4"/>
  <c r="G572" i="4"/>
  <c r="A384" i="4"/>
  <c r="B384" i="4"/>
  <c r="C384" i="4"/>
  <c r="D384" i="4"/>
  <c r="G384" i="4"/>
  <c r="A121" i="4"/>
  <c r="B121" i="4"/>
  <c r="C121" i="4"/>
  <c r="D121" i="4"/>
  <c r="G121" i="4"/>
  <c r="A399" i="4"/>
  <c r="B399" i="4"/>
  <c r="C399" i="4"/>
  <c r="D399" i="4"/>
  <c r="G399" i="4"/>
  <c r="A21" i="4"/>
  <c r="B21" i="4"/>
  <c r="C21" i="4"/>
  <c r="D21" i="4"/>
  <c r="G21" i="4"/>
  <c r="A174" i="4"/>
  <c r="B174" i="4"/>
  <c r="C174" i="4"/>
  <c r="D174" i="4"/>
  <c r="E174" i="4"/>
  <c r="G174" i="4"/>
  <c r="A230" i="4"/>
  <c r="B230" i="4"/>
  <c r="C230" i="4"/>
  <c r="D230" i="4"/>
  <c r="E230" i="4"/>
  <c r="G230" i="4"/>
  <c r="A686" i="4"/>
  <c r="B686" i="4"/>
  <c r="C686" i="4"/>
  <c r="D686" i="4"/>
  <c r="E686" i="4"/>
  <c r="G686" i="4"/>
  <c r="A679" i="4"/>
  <c r="B679" i="4"/>
  <c r="C679" i="4"/>
  <c r="D679" i="4"/>
  <c r="G679" i="4"/>
  <c r="A189" i="4"/>
  <c r="B189" i="4"/>
  <c r="C189" i="4"/>
  <c r="D189" i="4"/>
  <c r="E189" i="4"/>
  <c r="G189" i="4"/>
  <c r="A386" i="4"/>
  <c r="B386" i="4"/>
  <c r="C386" i="4"/>
  <c r="D386" i="4"/>
  <c r="G386" i="4"/>
  <c r="A69" i="4"/>
  <c r="B69" i="4"/>
  <c r="C69" i="4"/>
  <c r="D69" i="4"/>
  <c r="E69" i="4"/>
  <c r="G69" i="4"/>
  <c r="A177" i="4"/>
  <c r="B177" i="4"/>
  <c r="C177" i="4"/>
  <c r="D177" i="4"/>
  <c r="G177" i="4"/>
  <c r="A690" i="4"/>
  <c r="B690" i="4"/>
  <c r="C690" i="4"/>
  <c r="D690" i="4"/>
  <c r="E690" i="4"/>
  <c r="G690" i="4"/>
  <c r="A20" i="4"/>
  <c r="B20" i="4"/>
  <c r="C20" i="4"/>
  <c r="D20" i="4"/>
  <c r="E20" i="4"/>
  <c r="G20" i="4"/>
  <c r="A283" i="4"/>
  <c r="B283" i="4"/>
  <c r="C283" i="4"/>
  <c r="D283" i="4"/>
  <c r="E283" i="4"/>
  <c r="G283" i="4"/>
  <c r="A683" i="4"/>
  <c r="B683" i="4"/>
  <c r="C683" i="4"/>
  <c r="D683" i="4"/>
  <c r="G683" i="4"/>
  <c r="A137" i="4"/>
  <c r="B137" i="4"/>
  <c r="C137" i="4"/>
  <c r="D137" i="4"/>
  <c r="G137" i="4"/>
  <c r="A286" i="4"/>
  <c r="B286" i="4"/>
  <c r="C286" i="4"/>
  <c r="D286" i="4"/>
  <c r="G286" i="4"/>
  <c r="A128" i="4"/>
  <c r="B128" i="4"/>
  <c r="C128" i="4"/>
  <c r="D128" i="4"/>
  <c r="G128" i="4"/>
  <c r="A513" i="4"/>
  <c r="B513" i="4"/>
  <c r="C513" i="4"/>
  <c r="D513" i="4"/>
  <c r="G513" i="4"/>
  <c r="A42" i="4"/>
  <c r="B42" i="4"/>
  <c r="C42" i="4"/>
  <c r="D42" i="4"/>
  <c r="E42" i="4"/>
  <c r="G42" i="4"/>
  <c r="A276" i="4"/>
  <c r="B276" i="4"/>
  <c r="C276" i="4"/>
  <c r="D276" i="4"/>
  <c r="E276" i="4"/>
  <c r="G276" i="4"/>
  <c r="A500" i="4"/>
  <c r="B500" i="4"/>
  <c r="C500" i="4"/>
  <c r="D500" i="4"/>
  <c r="E500" i="4"/>
  <c r="G500" i="4"/>
  <c r="A668" i="4"/>
  <c r="B668" i="4"/>
  <c r="C668" i="4"/>
  <c r="D668" i="4"/>
  <c r="G668" i="4"/>
  <c r="A389" i="4"/>
  <c r="B389" i="4"/>
  <c r="C389" i="4"/>
  <c r="D389" i="4"/>
  <c r="E389" i="4"/>
  <c r="G389" i="4"/>
  <c r="A158" i="4"/>
  <c r="B158" i="4"/>
  <c r="C158" i="4"/>
  <c r="D158" i="4"/>
  <c r="G158" i="4"/>
  <c r="A626" i="4"/>
  <c r="B626" i="4"/>
  <c r="C626" i="4"/>
  <c r="D626" i="4"/>
  <c r="E626" i="4"/>
  <c r="G626" i="4"/>
  <c r="A206" i="4"/>
  <c r="B206" i="4"/>
  <c r="C206" i="4"/>
  <c r="D206" i="4"/>
  <c r="G206" i="4"/>
  <c r="A666" i="4"/>
  <c r="B666" i="4"/>
  <c r="C666" i="4"/>
  <c r="D666" i="4"/>
  <c r="E666" i="4"/>
  <c r="G666" i="4"/>
  <c r="A122" i="4"/>
  <c r="B122" i="4"/>
  <c r="C122" i="4"/>
  <c r="D122" i="4"/>
  <c r="E122" i="4"/>
  <c r="G122" i="4"/>
  <c r="A662" i="4"/>
  <c r="B662" i="4"/>
  <c r="C662" i="4"/>
  <c r="D662" i="4"/>
  <c r="E662" i="4"/>
  <c r="G662" i="4"/>
  <c r="A242" i="4"/>
  <c r="B242" i="4"/>
  <c r="C242" i="4"/>
  <c r="D242" i="4"/>
  <c r="G242" i="4"/>
  <c r="A670" i="4"/>
  <c r="B670" i="4"/>
  <c r="C670" i="4"/>
  <c r="D670" i="4"/>
  <c r="G670" i="4"/>
  <c r="A375" i="4"/>
  <c r="B375" i="4"/>
  <c r="C375" i="4"/>
  <c r="D375" i="4"/>
  <c r="G375" i="4"/>
  <c r="A92" i="4"/>
  <c r="B92" i="4"/>
  <c r="C92" i="4"/>
  <c r="D92" i="4"/>
  <c r="G92" i="4"/>
  <c r="A445" i="4"/>
  <c r="B445" i="4"/>
  <c r="C445" i="4"/>
  <c r="D445" i="4"/>
  <c r="G445" i="4"/>
  <c r="A699" i="4"/>
  <c r="B699" i="4"/>
  <c r="C699" i="4"/>
  <c r="D699" i="4"/>
  <c r="E699" i="4"/>
  <c r="G699" i="4"/>
  <c r="A18" i="4"/>
  <c r="B18" i="4"/>
  <c r="C18" i="4"/>
  <c r="D18" i="4"/>
  <c r="E18" i="4"/>
  <c r="G18" i="4"/>
  <c r="A83" i="4"/>
  <c r="B83" i="4"/>
  <c r="C83" i="4"/>
  <c r="D83" i="4"/>
  <c r="E83" i="4"/>
  <c r="G83" i="4"/>
  <c r="A193" i="4"/>
  <c r="B193" i="4"/>
  <c r="C193" i="4"/>
  <c r="D193" i="4"/>
  <c r="G193" i="4"/>
  <c r="A654" i="4"/>
  <c r="B654" i="4"/>
  <c r="C654" i="4"/>
  <c r="D654" i="4"/>
  <c r="E654" i="4"/>
  <c r="G654" i="4"/>
  <c r="A663" i="4"/>
  <c r="B663" i="4"/>
  <c r="C663" i="4"/>
  <c r="D663" i="4"/>
  <c r="G663" i="4"/>
  <c r="A198" i="4"/>
  <c r="B198" i="4"/>
  <c r="C198" i="4"/>
  <c r="D198" i="4"/>
  <c r="G198" i="4"/>
  <c r="A516" i="4"/>
  <c r="B516" i="4"/>
  <c r="C516" i="4"/>
  <c r="D516" i="4"/>
  <c r="G516" i="4"/>
  <c r="A535" i="4"/>
  <c r="B535" i="4"/>
  <c r="C535" i="4"/>
  <c r="D535" i="4"/>
  <c r="E535" i="4"/>
  <c r="G535" i="4"/>
  <c r="A41" i="4"/>
  <c r="B41" i="4"/>
  <c r="C41" i="4"/>
  <c r="D41" i="4"/>
  <c r="E41" i="4"/>
  <c r="G41" i="4"/>
  <c r="A201" i="4"/>
  <c r="B201" i="4"/>
  <c r="C201" i="4"/>
  <c r="D201" i="4"/>
  <c r="E201" i="4"/>
  <c r="G201" i="4"/>
  <c r="A660" i="4"/>
  <c r="B660" i="4"/>
  <c r="C660" i="4"/>
  <c r="D660" i="4"/>
  <c r="G660" i="4"/>
  <c r="A95" i="4"/>
  <c r="B95" i="4"/>
  <c r="C95" i="4"/>
  <c r="D95" i="4"/>
  <c r="G95" i="4"/>
  <c r="A300" i="4"/>
  <c r="B300" i="4"/>
  <c r="C300" i="4"/>
  <c r="D300" i="4"/>
  <c r="G300" i="4"/>
  <c r="A167" i="4"/>
  <c r="B167" i="4"/>
  <c r="C167" i="4"/>
  <c r="D167" i="4"/>
  <c r="G167" i="4"/>
  <c r="A236" i="4"/>
  <c r="B236" i="4"/>
  <c r="C236" i="4"/>
  <c r="D236" i="4"/>
  <c r="G236" i="4"/>
  <c r="A2" i="4"/>
  <c r="B2" i="4"/>
  <c r="C2" i="4"/>
  <c r="D2" i="4"/>
  <c r="E2" i="4"/>
  <c r="G2" i="4"/>
  <c r="A71" i="4"/>
  <c r="B71" i="4"/>
  <c r="C71" i="4"/>
  <c r="D71" i="4"/>
  <c r="E71" i="4"/>
  <c r="G71" i="4"/>
  <c r="A606" i="4"/>
  <c r="B606" i="4"/>
  <c r="C606" i="4"/>
  <c r="D606" i="4"/>
  <c r="E606" i="4"/>
  <c r="G606" i="4"/>
  <c r="A697" i="4"/>
  <c r="B697" i="4"/>
  <c r="C697" i="4"/>
  <c r="D697" i="4"/>
  <c r="G697" i="4"/>
  <c r="A34" i="4"/>
  <c r="B34" i="4"/>
  <c r="C34" i="4"/>
  <c r="D34" i="4"/>
  <c r="E34" i="4"/>
  <c r="G34" i="4"/>
  <c r="A664" i="4"/>
  <c r="B664" i="4"/>
  <c r="C664" i="4"/>
  <c r="D664" i="4"/>
  <c r="G664" i="4"/>
  <c r="A419" i="4"/>
  <c r="B419" i="4"/>
  <c r="C419" i="4"/>
  <c r="D419" i="4"/>
  <c r="E419" i="4"/>
  <c r="G419" i="4"/>
  <c r="A235" i="4"/>
  <c r="B235" i="4"/>
  <c r="C235" i="4"/>
  <c r="D235" i="4"/>
  <c r="G235" i="4"/>
  <c r="A512" i="4"/>
  <c r="B512" i="4"/>
  <c r="C512" i="4"/>
  <c r="D512" i="4"/>
  <c r="E512" i="4"/>
  <c r="G512" i="4"/>
  <c r="A693" i="4"/>
  <c r="B693" i="4"/>
  <c r="C693" i="4"/>
  <c r="D693" i="4"/>
  <c r="E693" i="4"/>
  <c r="G693" i="4"/>
  <c r="A233" i="4"/>
  <c r="B233" i="4"/>
  <c r="C233" i="4"/>
  <c r="D233" i="4"/>
  <c r="E233" i="4"/>
  <c r="G233" i="4"/>
  <c r="A301" i="4"/>
  <c r="B301" i="4"/>
  <c r="C301" i="4"/>
  <c r="D301" i="4"/>
  <c r="G301" i="4"/>
  <c r="A56" i="4"/>
  <c r="B56" i="4"/>
  <c r="C56" i="4"/>
  <c r="D56" i="4"/>
  <c r="G56" i="4"/>
  <c r="A263" i="4"/>
  <c r="B263" i="4"/>
  <c r="C263" i="4"/>
  <c r="D263" i="4"/>
  <c r="G263" i="4"/>
  <c r="A464" i="4"/>
  <c r="B464" i="4"/>
  <c r="C464" i="4"/>
  <c r="D464" i="4"/>
  <c r="G464" i="4"/>
  <c r="A484" i="4"/>
  <c r="B484" i="4"/>
  <c r="C484" i="4"/>
  <c r="D484" i="4"/>
  <c r="G484" i="4"/>
  <c r="A38" i="4"/>
  <c r="B38" i="4"/>
  <c r="C38" i="4"/>
  <c r="D38" i="4"/>
  <c r="E38" i="4"/>
  <c r="G38" i="4"/>
  <c r="A168" i="4"/>
  <c r="B168" i="4"/>
  <c r="C168" i="4"/>
  <c r="D168" i="4"/>
  <c r="E168" i="4"/>
  <c r="G168" i="4"/>
  <c r="A676" i="4"/>
  <c r="B676" i="4"/>
  <c r="C676" i="4"/>
  <c r="D676" i="4"/>
  <c r="E676" i="4"/>
  <c r="G676" i="4"/>
  <c r="A282" i="4"/>
  <c r="B282" i="4"/>
  <c r="C282" i="4"/>
  <c r="D282" i="4"/>
  <c r="G282" i="4"/>
  <c r="A82" i="4"/>
  <c r="B82" i="4"/>
  <c r="C82" i="4"/>
  <c r="D82" i="4"/>
  <c r="E82" i="4"/>
  <c r="G82" i="4"/>
  <c r="A275" i="4"/>
  <c r="B275" i="4"/>
  <c r="C275" i="4"/>
  <c r="D275" i="4"/>
  <c r="G275" i="4"/>
  <c r="A624" i="4"/>
  <c r="B624" i="4"/>
  <c r="C624" i="4"/>
  <c r="D624" i="4"/>
  <c r="E624" i="4"/>
  <c r="G624" i="4"/>
  <c r="A536" i="4"/>
  <c r="B536" i="4"/>
  <c r="C536" i="4"/>
  <c r="D536" i="4"/>
  <c r="G536" i="4"/>
  <c r="A574" i="4"/>
  <c r="B574" i="4"/>
  <c r="C574" i="4"/>
  <c r="D574" i="4"/>
  <c r="E574" i="4"/>
  <c r="G574" i="4"/>
  <c r="A685" i="4"/>
  <c r="B685" i="4"/>
  <c r="C685" i="4"/>
  <c r="D685" i="4"/>
  <c r="E685" i="4"/>
  <c r="G685" i="4"/>
  <c r="A611" i="4"/>
  <c r="B611" i="4"/>
  <c r="C611" i="4"/>
  <c r="D611" i="4"/>
  <c r="E611" i="4"/>
  <c r="G611" i="4"/>
  <c r="A520" i="4"/>
  <c r="B520" i="4"/>
  <c r="C520" i="4"/>
  <c r="D520" i="4"/>
  <c r="G520" i="4"/>
  <c r="A656" i="4"/>
  <c r="B656" i="4"/>
  <c r="C656" i="4"/>
  <c r="D656" i="4"/>
  <c r="G656" i="4"/>
  <c r="A372" i="4"/>
  <c r="B372" i="4"/>
  <c r="C372" i="4"/>
  <c r="D372" i="4"/>
  <c r="G372" i="4"/>
  <c r="A33" i="4"/>
  <c r="B33" i="4"/>
  <c r="C33" i="4"/>
  <c r="D33" i="4"/>
  <c r="G33" i="4"/>
  <c r="A75" i="4"/>
  <c r="B75" i="4"/>
  <c r="C75" i="4"/>
  <c r="D75" i="4"/>
  <c r="G75" i="4"/>
  <c r="A200" i="4"/>
  <c r="B200" i="4"/>
  <c r="C200" i="4"/>
  <c r="D200" i="4"/>
  <c r="E200" i="4"/>
  <c r="G200" i="4"/>
  <c r="A669" i="4"/>
  <c r="B669" i="4"/>
  <c r="C669" i="4"/>
  <c r="D669" i="4"/>
  <c r="E669" i="4"/>
  <c r="G669" i="4"/>
  <c r="A567" i="4"/>
  <c r="B567" i="4"/>
  <c r="C567" i="4"/>
  <c r="D567" i="4"/>
  <c r="E567" i="4"/>
  <c r="G567" i="4"/>
  <c r="A465" i="4"/>
  <c r="B465" i="4"/>
  <c r="C465" i="4"/>
  <c r="D465" i="4"/>
  <c r="G465" i="4"/>
  <c r="A144" i="4"/>
  <c r="B144" i="4"/>
  <c r="C144" i="4"/>
  <c r="D144" i="4"/>
  <c r="E144" i="4"/>
  <c r="G144" i="4"/>
  <c r="A658" i="4"/>
  <c r="B658" i="4"/>
  <c r="C658" i="4"/>
  <c r="D658" i="4"/>
  <c r="G658" i="4"/>
  <c r="A117" i="4"/>
  <c r="B117" i="4"/>
  <c r="C117" i="4"/>
  <c r="D117" i="4"/>
  <c r="G117" i="4"/>
  <c r="A661" i="4"/>
  <c r="B661" i="4"/>
  <c r="C661" i="4"/>
  <c r="D661" i="4"/>
  <c r="G661" i="4"/>
  <c r="A673" i="4"/>
  <c r="B673" i="4"/>
  <c r="C673" i="4"/>
  <c r="D673" i="4"/>
  <c r="E673" i="4"/>
  <c r="G673" i="4"/>
  <c r="A657" i="4"/>
  <c r="B657" i="4"/>
  <c r="C657" i="4"/>
  <c r="D657" i="4"/>
  <c r="E657" i="4"/>
  <c r="G657" i="4"/>
  <c r="A677" i="4"/>
  <c r="B677" i="4"/>
  <c r="C677" i="4"/>
  <c r="D677" i="4"/>
  <c r="E677" i="4"/>
  <c r="G677" i="4"/>
  <c r="A340" i="4"/>
  <c r="B340" i="4"/>
  <c r="C340" i="4"/>
  <c r="D340" i="4"/>
  <c r="G340" i="4"/>
  <c r="A284" i="4"/>
  <c r="B284" i="4"/>
  <c r="C284" i="4"/>
  <c r="D284" i="4"/>
  <c r="G284" i="4"/>
  <c r="A652" i="4"/>
  <c r="B652" i="4"/>
  <c r="C652" i="4"/>
  <c r="D652" i="4"/>
  <c r="G652" i="4"/>
  <c r="A156" i="4"/>
  <c r="B156" i="4"/>
  <c r="C156" i="4"/>
  <c r="D156" i="4"/>
  <c r="G156" i="4"/>
  <c r="A222" i="4"/>
  <c r="B222" i="4"/>
  <c r="C222" i="4"/>
  <c r="D222" i="4"/>
  <c r="G222" i="4"/>
  <c r="A374" i="4"/>
  <c r="B374" i="4"/>
  <c r="C374" i="4"/>
  <c r="D374" i="4"/>
  <c r="E374" i="4"/>
  <c r="G374" i="4"/>
  <c r="A566" i="4"/>
  <c r="B566" i="4"/>
  <c r="C566" i="4"/>
  <c r="D566" i="4"/>
  <c r="E566" i="4"/>
  <c r="G566" i="4"/>
  <c r="A61" i="4"/>
  <c r="B61" i="4"/>
  <c r="C61" i="4"/>
  <c r="D61" i="4"/>
  <c r="E61" i="4"/>
  <c r="G61" i="4"/>
  <c r="A17" i="4"/>
  <c r="B17" i="4"/>
  <c r="C17" i="4"/>
  <c r="D17" i="4"/>
  <c r="G17" i="4"/>
  <c r="A497" i="4"/>
  <c r="B497" i="4"/>
  <c r="C497" i="4"/>
  <c r="D497" i="4"/>
  <c r="E497" i="4"/>
  <c r="G497" i="4"/>
  <c r="A545" i="4"/>
  <c r="B545" i="4"/>
  <c r="C545" i="4"/>
  <c r="D545" i="4"/>
  <c r="G545" i="4"/>
  <c r="A281" i="4"/>
  <c r="B281" i="4"/>
  <c r="C281" i="4"/>
  <c r="D281" i="4"/>
  <c r="G281" i="4"/>
  <c r="A621" i="4"/>
  <c r="B621" i="4"/>
  <c r="C621" i="4"/>
  <c r="D621" i="4"/>
  <c r="G621" i="4"/>
  <c r="A671" i="4"/>
  <c r="B671" i="4"/>
  <c r="C671" i="4"/>
  <c r="D671" i="4"/>
  <c r="E671" i="4"/>
  <c r="G671" i="4"/>
  <c r="A568" i="4"/>
  <c r="B568" i="4"/>
  <c r="C568" i="4"/>
  <c r="D568" i="4"/>
  <c r="E568" i="4"/>
  <c r="G568" i="4"/>
  <c r="A653" i="4"/>
  <c r="B653" i="4"/>
  <c r="C653" i="4"/>
  <c r="D653" i="4"/>
  <c r="E653" i="4"/>
  <c r="G653" i="4"/>
  <c r="A116" i="4"/>
  <c r="B116" i="4"/>
  <c r="C116" i="4"/>
  <c r="D116" i="4"/>
  <c r="G116" i="4"/>
  <c r="A285" i="4"/>
  <c r="B285" i="4"/>
  <c r="C285" i="4"/>
  <c r="D285" i="4"/>
  <c r="G285" i="4"/>
  <c r="A450" i="4"/>
  <c r="B450" i="4"/>
  <c r="C450" i="4"/>
  <c r="D450" i="4"/>
  <c r="G450" i="4"/>
  <c r="A678" i="4"/>
  <c r="B678" i="4"/>
  <c r="C678" i="4"/>
  <c r="D678" i="4"/>
  <c r="G678" i="4"/>
  <c r="A528" i="4"/>
  <c r="B528" i="4"/>
  <c r="C528" i="4"/>
  <c r="D528" i="4"/>
  <c r="G528" i="4"/>
  <c r="A645" i="4"/>
  <c r="B645" i="4"/>
  <c r="C645" i="4"/>
  <c r="D645" i="4"/>
  <c r="E645" i="4"/>
  <c r="G645" i="4"/>
  <c r="A641" i="4"/>
  <c r="B641" i="4"/>
  <c r="C641" i="4"/>
  <c r="D641" i="4"/>
  <c r="E641" i="4"/>
  <c r="G641" i="4"/>
  <c r="A526" i="4"/>
  <c r="B526" i="4"/>
  <c r="C526" i="4"/>
  <c r="D526" i="4"/>
  <c r="E526" i="4"/>
  <c r="G526" i="4"/>
  <c r="A534" i="4"/>
  <c r="B534" i="4"/>
  <c r="C534" i="4"/>
  <c r="D534" i="4"/>
  <c r="G534" i="4"/>
  <c r="A509" i="4"/>
  <c r="B509" i="4"/>
  <c r="C509" i="4"/>
  <c r="D509" i="4"/>
  <c r="E509" i="4"/>
  <c r="G509" i="4"/>
  <c r="A154" i="4"/>
  <c r="B154" i="4"/>
  <c r="C154" i="4"/>
  <c r="D154" i="4"/>
  <c r="G154" i="4"/>
  <c r="A680" i="4"/>
  <c r="B680" i="4"/>
  <c r="C680" i="4"/>
  <c r="D680" i="4"/>
  <c r="G680" i="4"/>
  <c r="A650" i="4"/>
  <c r="B650" i="4"/>
  <c r="C650" i="4"/>
  <c r="D650" i="4"/>
  <c r="G650" i="4"/>
  <c r="A371" i="4"/>
  <c r="B371" i="4"/>
  <c r="C371" i="4"/>
  <c r="D371" i="4"/>
  <c r="E371" i="4"/>
  <c r="G371" i="4"/>
  <c r="A665" i="4"/>
  <c r="B665" i="4"/>
  <c r="C665" i="4"/>
  <c r="D665" i="4"/>
  <c r="E665" i="4"/>
  <c r="G665" i="4"/>
  <c r="A603" i="4"/>
  <c r="B603" i="4"/>
  <c r="C603" i="4"/>
  <c r="D603" i="4"/>
  <c r="E603" i="4"/>
  <c r="G603" i="4"/>
  <c r="A655" i="4"/>
  <c r="B655" i="4"/>
  <c r="C655" i="4"/>
  <c r="D655" i="4"/>
  <c r="G655" i="4"/>
  <c r="A659" i="4"/>
  <c r="B659" i="4"/>
  <c r="C659" i="4"/>
  <c r="D659" i="4"/>
  <c r="G659" i="4"/>
  <c r="A370" i="4"/>
  <c r="B370" i="4"/>
  <c r="C370" i="4"/>
  <c r="D370" i="4"/>
  <c r="G370" i="4"/>
  <c r="A554" i="4"/>
  <c r="B554" i="4"/>
  <c r="C554" i="4"/>
  <c r="D554" i="4"/>
  <c r="G554" i="4"/>
  <c r="A702" i="4"/>
  <c r="B702" i="4"/>
  <c r="C702" i="4"/>
  <c r="D702" i="4"/>
  <c r="G702" i="4"/>
  <c r="A703" i="4"/>
  <c r="B703" i="4"/>
  <c r="C703" i="4"/>
  <c r="D703" i="4"/>
  <c r="E703" i="4"/>
  <c r="G703" i="4"/>
  <c r="A704" i="4"/>
  <c r="B704" i="4"/>
  <c r="C704" i="4"/>
  <c r="D704" i="4"/>
  <c r="E704" i="4"/>
  <c r="G704" i="4"/>
  <c r="A706" i="4"/>
  <c r="B706" i="4"/>
  <c r="C706" i="4"/>
  <c r="D706" i="4"/>
  <c r="E706" i="4"/>
  <c r="G706" i="4"/>
  <c r="A705" i="4"/>
  <c r="B705" i="4"/>
  <c r="C705" i="4"/>
  <c r="D705" i="4"/>
  <c r="G705" i="4"/>
  <c r="A707" i="4"/>
  <c r="B707" i="4"/>
  <c r="C707" i="4"/>
  <c r="D707" i="4"/>
  <c r="E707" i="4"/>
  <c r="G707" i="4"/>
  <c r="A708" i="4"/>
  <c r="B708" i="4"/>
  <c r="C708" i="4"/>
  <c r="D708" i="4"/>
  <c r="G708" i="4"/>
  <c r="A709" i="4"/>
  <c r="B709" i="4"/>
  <c r="C709" i="4"/>
  <c r="D709" i="4"/>
  <c r="E709" i="4"/>
  <c r="G709" i="4"/>
  <c r="A710" i="4"/>
  <c r="B710" i="4"/>
  <c r="C710" i="4"/>
  <c r="D710" i="4"/>
  <c r="G710" i="4"/>
  <c r="A711" i="4"/>
  <c r="B711" i="4"/>
  <c r="C711" i="4"/>
  <c r="D711" i="4"/>
  <c r="E711" i="4"/>
  <c r="G711" i="4"/>
  <c r="A712" i="4"/>
  <c r="B712" i="4"/>
  <c r="C712" i="4"/>
  <c r="D712" i="4"/>
  <c r="E712" i="4"/>
  <c r="G712" i="4"/>
  <c r="A713" i="4"/>
  <c r="B713" i="4"/>
  <c r="C713" i="4"/>
  <c r="D713" i="4"/>
  <c r="E713" i="4"/>
  <c r="G713" i="4"/>
  <c r="A715" i="4"/>
  <c r="B715" i="4"/>
  <c r="C715" i="4"/>
  <c r="D715" i="4"/>
  <c r="G715" i="4"/>
  <c r="A714" i="4"/>
  <c r="B714" i="4"/>
  <c r="C714" i="4"/>
  <c r="D714" i="4"/>
  <c r="G714" i="4"/>
  <c r="A717" i="4"/>
  <c r="B717" i="4"/>
  <c r="C717" i="4"/>
  <c r="D717" i="4"/>
  <c r="G717" i="4"/>
  <c r="A718" i="4"/>
  <c r="B718" i="4"/>
  <c r="C718" i="4"/>
  <c r="D718" i="4"/>
  <c r="G718" i="4"/>
  <c r="A719" i="4"/>
  <c r="B719" i="4"/>
  <c r="C719" i="4"/>
  <c r="D719" i="4"/>
  <c r="G719" i="4"/>
  <c r="A720" i="4"/>
  <c r="B720" i="4"/>
  <c r="C720" i="4"/>
  <c r="D720" i="4"/>
  <c r="E720" i="4"/>
  <c r="G720" i="4"/>
  <c r="A721" i="4"/>
  <c r="B721" i="4"/>
  <c r="C721" i="4"/>
  <c r="D721" i="4"/>
  <c r="E721" i="4"/>
  <c r="G721" i="4"/>
  <c r="A722" i="4"/>
  <c r="B722" i="4"/>
  <c r="C722" i="4"/>
  <c r="D722" i="4"/>
  <c r="E722" i="4"/>
  <c r="G722" i="4"/>
  <c r="A723" i="4"/>
  <c r="B723" i="4"/>
  <c r="C723" i="4"/>
  <c r="D723" i="4"/>
  <c r="G723" i="4"/>
  <c r="A724" i="4"/>
  <c r="B724" i="4"/>
  <c r="C724" i="4"/>
  <c r="D724" i="4"/>
  <c r="E724" i="4"/>
  <c r="G724" i="4"/>
  <c r="A728" i="4"/>
  <c r="B728" i="4"/>
  <c r="C728" i="4"/>
  <c r="D728" i="4"/>
  <c r="G728" i="4"/>
  <c r="A727" i="4"/>
  <c r="B727" i="4"/>
  <c r="C727" i="4"/>
  <c r="D727" i="4"/>
  <c r="G727" i="4"/>
  <c r="A725" i="4"/>
  <c r="B725" i="4"/>
  <c r="C725" i="4"/>
  <c r="D725" i="4"/>
  <c r="G725" i="4"/>
  <c r="A726" i="4"/>
  <c r="B726" i="4"/>
  <c r="C726" i="4"/>
  <c r="D726" i="4"/>
  <c r="E726" i="4"/>
  <c r="G726" i="4"/>
  <c r="A716" i="4"/>
  <c r="B716" i="4"/>
  <c r="C716" i="4"/>
  <c r="D716" i="4"/>
  <c r="E716" i="4"/>
  <c r="G716" i="4"/>
  <c r="A729" i="4"/>
  <c r="B729" i="4"/>
  <c r="C729" i="4"/>
  <c r="D729" i="4"/>
  <c r="G729" i="4"/>
  <c r="A552" i="4"/>
  <c r="G552" i="4"/>
  <c r="T5" i="3"/>
  <c r="E541" i="4" s="1"/>
  <c r="T6" i="3"/>
  <c r="E523" i="4" s="1"/>
  <c r="T7" i="3"/>
  <c r="T8" i="3"/>
  <c r="E368" i="4" s="1"/>
  <c r="T9" i="3"/>
  <c r="E496" i="4" s="1"/>
  <c r="T10" i="3"/>
  <c r="T11" i="3"/>
  <c r="E367" i="4" s="1"/>
  <c r="T12" i="3"/>
  <c r="E410" i="4" s="1"/>
  <c r="T13" i="3"/>
  <c r="E453" i="4" s="1"/>
  <c r="T14" i="3"/>
  <c r="E468" i="4" s="1"/>
  <c r="T15" i="3"/>
  <c r="E324" i="4" s="1"/>
  <c r="T16" i="3"/>
  <c r="E237" i="4" s="1"/>
  <c r="T17" i="3"/>
  <c r="E232" i="4" s="1"/>
  <c r="T18" i="3"/>
  <c r="E244" i="4" s="1"/>
  <c r="T19" i="3"/>
  <c r="E335" i="4" s="1"/>
  <c r="T20" i="3"/>
  <c r="E16" i="4" s="1"/>
  <c r="T21" i="3"/>
  <c r="E456" i="4" s="1"/>
  <c r="T22" i="3"/>
  <c r="T23" i="3"/>
  <c r="E518" i="4" s="1"/>
  <c r="T24" i="3"/>
  <c r="E506" i="4" s="1"/>
  <c r="T25" i="3"/>
  <c r="E382" i="4" s="1"/>
  <c r="T26" i="3"/>
  <c r="E649" i="4" s="1"/>
  <c r="T27" i="3"/>
  <c r="E108" i="4" s="1"/>
  <c r="T28" i="3"/>
  <c r="E455" i="4" s="1"/>
  <c r="T29" i="3"/>
  <c r="E515" i="4" s="1"/>
  <c r="T30" i="3"/>
  <c r="E208" i="4" s="1"/>
  <c r="T31" i="3"/>
  <c r="T32" i="3"/>
  <c r="T33" i="3"/>
  <c r="E639" i="4" s="1"/>
  <c r="T34" i="3"/>
  <c r="E43" i="4" s="1"/>
  <c r="T35" i="3"/>
  <c r="E229" i="4" s="1"/>
  <c r="T36" i="3"/>
  <c r="E383" i="4" s="1"/>
  <c r="T37" i="3"/>
  <c r="E438" i="4" s="1"/>
  <c r="T38" i="3"/>
  <c r="E638" i="4" s="1"/>
  <c r="T39" i="3"/>
  <c r="E257" i="4" s="1"/>
  <c r="T40" i="3"/>
  <c r="E637" i="4" s="1"/>
  <c r="T41" i="3"/>
  <c r="E14" i="4" s="1"/>
  <c r="T42" i="3"/>
  <c r="E139" i="4" s="1"/>
  <c r="T43" i="3"/>
  <c r="E240" i="4" s="1"/>
  <c r="T44" i="3"/>
  <c r="E325" i="4" s="1"/>
  <c r="T45" i="3"/>
  <c r="E688" i="4" s="1"/>
  <c r="T46" i="3"/>
  <c r="E52" i="4" s="1"/>
  <c r="T47" i="3"/>
  <c r="T48" i="3"/>
  <c r="E582" i="4" s="1"/>
  <c r="T49" i="3"/>
  <c r="E72" i="4" s="1"/>
  <c r="T50" i="3"/>
  <c r="T51" i="3"/>
  <c r="E107" i="4" s="1"/>
  <c r="T52" i="3"/>
  <c r="E466" i="4" s="1"/>
  <c r="T53" i="3"/>
  <c r="E36" i="4" s="1"/>
  <c r="T54" i="3"/>
  <c r="E59" i="4" s="1"/>
  <c r="T55" i="3"/>
  <c r="E135" i="4" s="1"/>
  <c r="T56" i="3"/>
  <c r="T57" i="3"/>
  <c r="E339" i="4" s="1"/>
  <c r="T58" i="3"/>
  <c r="E504" i="4" s="1"/>
  <c r="T59" i="3"/>
  <c r="E28" i="4" s="1"/>
  <c r="T60" i="3"/>
  <c r="E449" i="4" s="1"/>
  <c r="T61" i="3"/>
  <c r="E530" i="4" s="1"/>
  <c r="T62" i="3"/>
  <c r="E115" i="4" s="1"/>
  <c r="T63" i="3"/>
  <c r="T64" i="3"/>
  <c r="E483" i="4" s="1"/>
  <c r="T65" i="3"/>
  <c r="E457" i="4" s="1"/>
  <c r="T66" i="3"/>
  <c r="E94" i="4" s="1"/>
  <c r="T67" i="3"/>
  <c r="E164" i="4" s="1"/>
  <c r="T68" i="3"/>
  <c r="E408" i="4" s="1"/>
  <c r="T69" i="3"/>
  <c r="E622" i="4" s="1"/>
  <c r="T70" i="3"/>
  <c r="E148" i="4" s="1"/>
  <c r="T71" i="3"/>
  <c r="E595" i="4" s="1"/>
  <c r="T72" i="3"/>
  <c r="T73" i="3"/>
  <c r="E524" i="4" s="1"/>
  <c r="T74" i="3"/>
  <c r="E544" i="4" s="1"/>
  <c r="T75" i="3"/>
  <c r="E252" i="4" s="1"/>
  <c r="T76" i="3"/>
  <c r="E353" i="4" s="1"/>
  <c r="T77" i="3"/>
  <c r="E369" i="4" s="1"/>
  <c r="T78" i="3"/>
  <c r="E13" i="4" s="1"/>
  <c r="T79" i="3"/>
  <c r="T80" i="3"/>
  <c r="E317" i="4" s="1"/>
  <c r="T81" i="3"/>
  <c r="E628" i="4" s="1"/>
  <c r="T82" i="3"/>
  <c r="T83" i="3"/>
  <c r="E239" i="4" s="1"/>
  <c r="T84" i="3"/>
  <c r="E15" i="4" s="1"/>
  <c r="T85" i="3"/>
  <c r="E648" i="4" s="1"/>
  <c r="T86" i="3"/>
  <c r="E87" i="4" s="1"/>
  <c r="T87" i="3"/>
  <c r="E337" i="4" s="1"/>
  <c r="T88" i="3"/>
  <c r="T89" i="3"/>
  <c r="E482" i="4" s="1"/>
  <c r="T90" i="3"/>
  <c r="E502" i="4" s="1"/>
  <c r="T91" i="3"/>
  <c r="E120" i="4" s="1"/>
  <c r="T92" i="3"/>
  <c r="E44" i="4" s="1"/>
  <c r="T93" i="3"/>
  <c r="E312" i="4" s="1"/>
  <c r="T94" i="3"/>
  <c r="E476" i="4" s="1"/>
  <c r="T95" i="3"/>
  <c r="T96" i="3"/>
  <c r="E505" i="4" s="1"/>
  <c r="T97" i="3"/>
  <c r="E136" i="4" s="1"/>
  <c r="T98" i="3"/>
  <c r="E503" i="4" s="1"/>
  <c r="T99" i="3"/>
  <c r="E623" i="4" s="1"/>
  <c r="T100" i="3"/>
  <c r="E343" i="4" s="1"/>
  <c r="T101" i="3"/>
  <c r="E647" i="4" s="1"/>
  <c r="T102" i="3"/>
  <c r="E548" i="4" s="1"/>
  <c r="T103" i="3"/>
  <c r="T104" i="3"/>
  <c r="T105" i="3"/>
  <c r="E246" i="4" s="1"/>
  <c r="T106" i="3"/>
  <c r="E510" i="4" s="1"/>
  <c r="T107" i="3"/>
  <c r="E260" i="4" s="1"/>
  <c r="T108" i="3"/>
  <c r="E271" i="4" s="1"/>
  <c r="T109" i="3"/>
  <c r="E491" i="4" s="1"/>
  <c r="T110" i="3"/>
  <c r="E110" i="4" s="1"/>
  <c r="T111" i="3"/>
  <c r="T112" i="3"/>
  <c r="E333" i="4" s="1"/>
  <c r="T113" i="3"/>
  <c r="E448" i="4" s="1"/>
  <c r="T114" i="3"/>
  <c r="E126" i="4" s="1"/>
  <c r="T115" i="3"/>
  <c r="E481" i="4" s="1"/>
  <c r="T116" i="3"/>
  <c r="E636" i="4" s="1"/>
  <c r="T117" i="3"/>
  <c r="E546" i="4" s="1"/>
  <c r="T118" i="3"/>
  <c r="E557" i="4" s="1"/>
  <c r="T119" i="3"/>
  <c r="E349" i="4" s="1"/>
  <c r="T120" i="3"/>
  <c r="T121" i="3"/>
  <c r="E489" i="4" s="1"/>
  <c r="T122" i="3"/>
  <c r="E162" i="4" s="1"/>
  <c r="T123" i="3"/>
  <c r="E273" i="4" s="1"/>
  <c r="T124" i="3"/>
  <c r="E359" i="4" s="1"/>
  <c r="T125" i="3"/>
  <c r="E199" i="4" s="1"/>
  <c r="T126" i="3"/>
  <c r="E309" i="4" s="1"/>
  <c r="T127" i="3"/>
  <c r="T128" i="3"/>
  <c r="T129" i="3"/>
  <c r="E560" i="4" s="1"/>
  <c r="T130" i="3"/>
  <c r="E400" i="4" s="1"/>
  <c r="T131" i="3"/>
  <c r="T132" i="3"/>
  <c r="E444" i="4" s="1"/>
  <c r="T133" i="3"/>
  <c r="E596" i="4" s="1"/>
  <c r="T134" i="3"/>
  <c r="T135" i="3"/>
  <c r="T136" i="3"/>
  <c r="E102" i="4" s="1"/>
  <c r="T137" i="3"/>
  <c r="E293" i="4" s="1"/>
  <c r="T138" i="3"/>
  <c r="E358" i="4" s="1"/>
  <c r="T139" i="3"/>
  <c r="T140" i="3"/>
  <c r="E415" i="4" s="1"/>
  <c r="T141" i="3"/>
  <c r="E521" i="4" s="1"/>
  <c r="T142" i="3"/>
  <c r="T143" i="3"/>
  <c r="E97" i="4" s="1"/>
  <c r="T144" i="3"/>
  <c r="E289" i="4" s="1"/>
  <c r="T145" i="3"/>
  <c r="E477" i="4" s="1"/>
  <c r="T146" i="3"/>
  <c r="E261" i="4" s="1"/>
  <c r="T147" i="3"/>
  <c r="E598" i="4" s="1"/>
  <c r="T148" i="3"/>
  <c r="E173" i="4" s="1"/>
  <c r="T149" i="3"/>
  <c r="E461" i="4" s="1"/>
  <c r="T150" i="3"/>
  <c r="E537" i="4" s="1"/>
  <c r="T151" i="3"/>
  <c r="E129" i="4" s="1"/>
  <c r="T152" i="3"/>
  <c r="T153" i="3"/>
  <c r="E311" i="4" s="1"/>
  <c r="T154" i="3"/>
  <c r="E469" i="4" s="1"/>
  <c r="T155" i="3"/>
  <c r="E527" i="4" s="1"/>
  <c r="T156" i="3"/>
  <c r="E188" i="4" s="1"/>
  <c r="T157" i="3"/>
  <c r="E299" i="4" s="1"/>
  <c r="T158" i="3"/>
  <c r="E46" i="4" s="1"/>
  <c r="T159" i="3"/>
  <c r="T160" i="3"/>
  <c r="T161" i="3"/>
  <c r="E413" i="4" s="1"/>
  <c r="T162" i="3"/>
  <c r="T163" i="3"/>
  <c r="E123" i="4" s="1"/>
  <c r="T164" i="3"/>
  <c r="E160" i="4" s="1"/>
  <c r="T165" i="3"/>
  <c r="E436" i="4" s="1"/>
  <c r="T166" i="3"/>
  <c r="T167" i="3"/>
  <c r="T168" i="3"/>
  <c r="E323" i="4" s="1"/>
  <c r="T169" i="3"/>
  <c r="E556" i="4" s="1"/>
  <c r="T170" i="3"/>
  <c r="E207" i="4" s="1"/>
  <c r="T171" i="3"/>
  <c r="T172" i="3"/>
  <c r="E610" i="4" s="1"/>
  <c r="T173" i="3"/>
  <c r="E642" i="4" s="1"/>
  <c r="T174" i="3"/>
  <c r="T175" i="3"/>
  <c r="E612" i="4" s="1"/>
  <c r="T176" i="3"/>
  <c r="E279" i="4" s="1"/>
  <c r="T177" i="3"/>
  <c r="E592" i="4" s="1"/>
  <c r="T178" i="3"/>
  <c r="T179" i="3"/>
  <c r="E597" i="4" s="1"/>
  <c r="T180" i="3"/>
  <c r="E644" i="4" s="1"/>
  <c r="T181" i="3"/>
  <c r="E113" i="4" s="1"/>
  <c r="T182" i="3"/>
  <c r="E322" i="4" s="1"/>
  <c r="T183" i="3"/>
  <c r="E451" i="4" s="1"/>
  <c r="T184" i="3"/>
  <c r="T185" i="3"/>
  <c r="E30" i="4" s="1"/>
  <c r="T186" i="3"/>
  <c r="E354" i="4" s="1"/>
  <c r="T187" i="3"/>
  <c r="T188" i="3"/>
  <c r="E478" i="4" s="1"/>
  <c r="T189" i="3"/>
  <c r="E153" i="4" s="1"/>
  <c r="T190" i="3"/>
  <c r="E103" i="4" s="1"/>
  <c r="T191" i="3"/>
  <c r="T192" i="3"/>
  <c r="T193" i="3"/>
  <c r="E608" i="4" s="1"/>
  <c r="T194" i="3"/>
  <c r="T195" i="3"/>
  <c r="E305" i="4" s="1"/>
  <c r="T196" i="3"/>
  <c r="E590" i="4" s="1"/>
  <c r="T197" i="3"/>
  <c r="E602" i="4" s="1"/>
  <c r="T198" i="3"/>
  <c r="E701" i="4" s="1"/>
  <c r="T199" i="3"/>
  <c r="T200" i="3"/>
  <c r="E555" i="4" s="1"/>
  <c r="T201" i="3"/>
  <c r="E84" i="4" s="1"/>
  <c r="T202" i="3"/>
  <c r="T203" i="3"/>
  <c r="E277" i="4" s="1"/>
  <c r="T204" i="3"/>
  <c r="E348" i="4" s="1"/>
  <c r="T205" i="3"/>
  <c r="E63" i="4" s="1"/>
  <c r="T206" i="3"/>
  <c r="T207" i="3"/>
  <c r="E88" i="4" s="1"/>
  <c r="T208" i="3"/>
  <c r="E407" i="4" s="1"/>
  <c r="T209" i="3"/>
  <c r="E6" i="4" s="1"/>
  <c r="T210" i="3"/>
  <c r="T211" i="3"/>
  <c r="E564" i="4" s="1"/>
  <c r="T212" i="3"/>
  <c r="E565" i="4" s="1"/>
  <c r="T213" i="3"/>
  <c r="E106" i="4" s="1"/>
  <c r="T214" i="3"/>
  <c r="E406" i="4" s="1"/>
  <c r="T215" i="3"/>
  <c r="E47" i="4" s="1"/>
  <c r="T216" i="3"/>
  <c r="T217" i="3"/>
  <c r="E25" i="4" s="1"/>
  <c r="T218" i="3"/>
  <c r="E272" i="4" s="1"/>
  <c r="T219" i="3"/>
  <c r="T220" i="3"/>
  <c r="E441" i="4" s="1"/>
  <c r="T221" i="3"/>
  <c r="E327" i="4" s="1"/>
  <c r="T222" i="3"/>
  <c r="E31" i="4" s="1"/>
  <c r="T223" i="3"/>
  <c r="T224" i="3"/>
  <c r="T225" i="3"/>
  <c r="E259" i="4" s="1"/>
  <c r="T226" i="3"/>
  <c r="E310" i="4" s="1"/>
  <c r="T227" i="3"/>
  <c r="T228" i="3"/>
  <c r="E549" i="4" s="1"/>
  <c r="T229" i="3"/>
  <c r="E79" i="4" s="1"/>
  <c r="T230" i="3"/>
  <c r="E91" i="4" s="1"/>
  <c r="T231" i="3"/>
  <c r="T232" i="3"/>
  <c r="E365" i="4" s="1"/>
  <c r="T233" i="3"/>
  <c r="E204" i="4" s="1"/>
  <c r="T234" i="3"/>
  <c r="T235" i="3"/>
  <c r="E507" i="4" s="1"/>
  <c r="T236" i="3"/>
  <c r="E599" i="4" s="1"/>
  <c r="T237" i="3"/>
  <c r="E593" i="4" s="1"/>
  <c r="T238" i="3"/>
  <c r="E214" i="4" s="1"/>
  <c r="T239" i="3"/>
  <c r="E594" i="4" s="1"/>
  <c r="T240" i="3"/>
  <c r="E26" i="4" s="1"/>
  <c r="T241" i="3"/>
  <c r="E49" i="4" s="1"/>
  <c r="T242" i="3"/>
  <c r="E404" i="4" s="1"/>
  <c r="T243" i="3"/>
  <c r="E96" i="4" s="1"/>
  <c r="T244" i="3"/>
  <c r="E454" i="4" s="1"/>
  <c r="T245" i="3"/>
  <c r="E294" i="4" s="1"/>
  <c r="T246" i="3"/>
  <c r="E48" i="4" s="1"/>
  <c r="T247" i="3"/>
  <c r="E216" i="4" s="1"/>
  <c r="T248" i="3"/>
  <c r="T249" i="3"/>
  <c r="E245" i="4" s="1"/>
  <c r="T250" i="3"/>
  <c r="E319" i="4" s="1"/>
  <c r="T251" i="3"/>
  <c r="E570" i="4" s="1"/>
  <c r="T252" i="3"/>
  <c r="E212" i="4" s="1"/>
  <c r="T253" i="3"/>
  <c r="E157" i="4" s="1"/>
  <c r="T254" i="3"/>
  <c r="E202" i="4" s="1"/>
  <c r="T255" i="3"/>
  <c r="T256" i="3"/>
  <c r="T257" i="3"/>
  <c r="T258" i="3"/>
  <c r="E332" i="4" s="1"/>
  <c r="T259" i="3"/>
  <c r="T260" i="3"/>
  <c r="E687" i="4" s="1"/>
  <c r="T261" i="3"/>
  <c r="T262" i="3"/>
  <c r="E460" i="4" s="1"/>
  <c r="T263" i="3"/>
  <c r="T264" i="3"/>
  <c r="T265" i="3"/>
  <c r="T266" i="3"/>
  <c r="E60" i="4" s="1"/>
  <c r="T267" i="3"/>
  <c r="E77" i="4" s="1"/>
  <c r="T268" i="3"/>
  <c r="E269" i="4" s="1"/>
  <c r="T269" i="3"/>
  <c r="E278" i="4" s="1"/>
  <c r="T270" i="3"/>
  <c r="E304" i="4" s="1"/>
  <c r="T271" i="3"/>
  <c r="T272" i="3"/>
  <c r="T273" i="3"/>
  <c r="T274" i="3"/>
  <c r="E320" i="4" s="1"/>
  <c r="T275" i="3"/>
  <c r="T276" i="3"/>
  <c r="E145" i="4" s="1"/>
  <c r="T277" i="3"/>
  <c r="E213" i="4" s="1"/>
  <c r="T278" i="3"/>
  <c r="E589" i="4" s="1"/>
  <c r="T279" i="3"/>
  <c r="T280" i="3"/>
  <c r="T281" i="3"/>
  <c r="T282" i="3"/>
  <c r="E447" i="4" s="1"/>
  <c r="T283" i="3"/>
  <c r="E248" i="4" s="1"/>
  <c r="T284" i="3"/>
  <c r="E411" i="4" s="1"/>
  <c r="T285" i="3"/>
  <c r="E467" i="4" s="1"/>
  <c r="T286" i="3"/>
  <c r="E62" i="4" s="1"/>
  <c r="T287" i="3"/>
  <c r="T288" i="3"/>
  <c r="T289" i="3"/>
  <c r="T290" i="3"/>
  <c r="E559" i="4" s="1"/>
  <c r="T291" i="3"/>
  <c r="T292" i="3"/>
  <c r="E459" i="4" s="1"/>
  <c r="T293" i="3"/>
  <c r="E11" i="4" s="1"/>
  <c r="T294" i="3"/>
  <c r="E331" i="4" s="1"/>
  <c r="T295" i="3"/>
  <c r="T296" i="3"/>
  <c r="T297" i="3"/>
  <c r="T298" i="3"/>
  <c r="E470" i="4" s="1"/>
  <c r="T299" i="3"/>
  <c r="E58" i="4" s="1"/>
  <c r="T300" i="3"/>
  <c r="E522" i="4" s="1"/>
  <c r="T301" i="3"/>
  <c r="E579" i="4" s="1"/>
  <c r="T302" i="3"/>
  <c r="E7" i="4" s="1"/>
  <c r="T303" i="3"/>
  <c r="T304" i="3"/>
  <c r="T305" i="3"/>
  <c r="T306" i="3"/>
  <c r="E376" i="4" s="1"/>
  <c r="T307" i="3"/>
  <c r="T308" i="3"/>
  <c r="E547" i="4" s="1"/>
  <c r="T309" i="3"/>
  <c r="E635" i="4" s="1"/>
  <c r="T310" i="3"/>
  <c r="E380" i="4" s="1"/>
  <c r="T311" i="3"/>
  <c r="T312" i="3"/>
  <c r="T313" i="3"/>
  <c r="T314" i="3"/>
  <c r="E420" i="4" s="1"/>
  <c r="T315" i="3"/>
  <c r="E270" i="4" s="1"/>
  <c r="T316" i="3"/>
  <c r="E326" i="4" s="1"/>
  <c r="T317" i="3"/>
  <c r="E81" i="4" s="1"/>
  <c r="T318" i="3"/>
  <c r="E474" i="4" s="1"/>
  <c r="T319" i="3"/>
  <c r="T320" i="3"/>
  <c r="T321" i="3"/>
  <c r="T322" i="3"/>
  <c r="E533" i="4" s="1"/>
  <c r="T323" i="3"/>
  <c r="T324" i="3"/>
  <c r="E463" i="4" s="1"/>
  <c r="T325" i="3"/>
  <c r="T326" i="3"/>
  <c r="E24" i="4" s="1"/>
  <c r="T327" i="3"/>
  <c r="T328" i="3"/>
  <c r="T329" i="3"/>
  <c r="T330" i="3"/>
  <c r="E196" i="4" s="1"/>
  <c r="T331" i="3"/>
  <c r="E440" i="4" s="1"/>
  <c r="T332" i="3"/>
  <c r="E217" i="4" s="1"/>
  <c r="T333" i="3"/>
  <c r="E247" i="4" s="1"/>
  <c r="T334" i="3"/>
  <c r="E562" i="4" s="1"/>
  <c r="T335" i="3"/>
  <c r="T336" i="3"/>
  <c r="T337" i="3"/>
  <c r="T338" i="3"/>
  <c r="E587" i="4" s="1"/>
  <c r="T339" i="3"/>
  <c r="T340" i="3"/>
  <c r="E363" i="4" s="1"/>
  <c r="T341" i="3"/>
  <c r="T342" i="3"/>
  <c r="E307" i="4" s="1"/>
  <c r="T343" i="3"/>
  <c r="T344" i="3"/>
  <c r="T345" i="3"/>
  <c r="T346" i="3"/>
  <c r="E172" i="4" s="1"/>
  <c r="T347" i="3"/>
  <c r="E695" i="4" s="1"/>
  <c r="T348" i="3"/>
  <c r="E576" i="4" s="1"/>
  <c r="T349" i="3"/>
  <c r="E378" i="4" s="1"/>
  <c r="T350" i="3"/>
  <c r="E93" i="4" s="1"/>
  <c r="T351" i="3"/>
  <c r="T352" i="3"/>
  <c r="T353" i="3"/>
  <c r="T354" i="3"/>
  <c r="E473" i="4" s="1"/>
  <c r="T355" i="3"/>
  <c r="T356" i="3"/>
  <c r="E350" i="4" s="1"/>
  <c r="T357" i="3"/>
  <c r="E600" i="4" s="1"/>
  <c r="T358" i="3"/>
  <c r="E584" i="4" s="1"/>
  <c r="T359" i="3"/>
  <c r="T360" i="3"/>
  <c r="T361" i="3"/>
  <c r="T362" i="3"/>
  <c r="E182" i="4" s="1"/>
  <c r="T363" i="3"/>
  <c r="E508" i="4" s="1"/>
  <c r="T364" i="3"/>
  <c r="E118" i="4" s="1"/>
  <c r="T365" i="3"/>
  <c r="E344" i="4" s="1"/>
  <c r="T366" i="3"/>
  <c r="E388" i="4" s="1"/>
  <c r="T367" i="3"/>
  <c r="T368" i="3"/>
  <c r="T369" i="3"/>
  <c r="T370" i="3"/>
  <c r="E613" i="4" s="1"/>
  <c r="T371" i="3"/>
  <c r="T372" i="3"/>
  <c r="E364" i="4" s="1"/>
  <c r="T373" i="3"/>
  <c r="T374" i="3"/>
  <c r="E620" i="4" s="1"/>
  <c r="T375" i="3"/>
  <c r="T376" i="3"/>
  <c r="T377" i="3"/>
  <c r="T378" i="3"/>
  <c r="E318" i="4" s="1"/>
  <c r="T379" i="3"/>
  <c r="E501" i="4" s="1"/>
  <c r="T380" i="3"/>
  <c r="E163" i="4" s="1"/>
  <c r="T381" i="3"/>
  <c r="E381" i="4" s="1"/>
  <c r="T382" i="3"/>
  <c r="E290" i="4" s="1"/>
  <c r="T383" i="3"/>
  <c r="T384" i="3"/>
  <c r="T385" i="3"/>
  <c r="T386" i="3"/>
  <c r="E629" i="4" s="1"/>
  <c r="T387" i="3"/>
  <c r="T388" i="3"/>
  <c r="E538" i="4" s="1"/>
  <c r="T389" i="3"/>
  <c r="T390" i="3"/>
  <c r="E181" i="4" s="1"/>
  <c r="T391" i="3"/>
  <c r="T392" i="3"/>
  <c r="T393" i="3"/>
  <c r="T394" i="3"/>
  <c r="E183" i="4" s="1"/>
  <c r="T395" i="3"/>
  <c r="E346" i="4" s="1"/>
  <c r="T396" i="3"/>
  <c r="E431" i="4" s="1"/>
  <c r="T397" i="3"/>
  <c r="E578" i="4" s="1"/>
  <c r="T398" i="3"/>
  <c r="E392" i="4" s="1"/>
  <c r="T399" i="3"/>
  <c r="T400" i="3"/>
  <c r="T401" i="3"/>
  <c r="T402" i="3"/>
  <c r="E696" i="4" s="1"/>
  <c r="T403" i="3"/>
  <c r="T404" i="3"/>
  <c r="E341" i="4" s="1"/>
  <c r="T405" i="3"/>
  <c r="E361" i="4" s="1"/>
  <c r="T406" i="3"/>
  <c r="E395" i="4" s="1"/>
  <c r="T407" i="3"/>
  <c r="T408" i="3"/>
  <c r="T409" i="3"/>
  <c r="T410" i="3"/>
  <c r="E580" i="4" s="1"/>
  <c r="T411" i="3"/>
  <c r="E314" i="4" s="1"/>
  <c r="T412" i="3"/>
  <c r="E356" i="4" s="1"/>
  <c r="T413" i="3"/>
  <c r="E499" i="4" s="1"/>
  <c r="T414" i="3"/>
  <c r="E231" i="4" s="1"/>
  <c r="T415" i="3"/>
  <c r="T416" i="3"/>
  <c r="T417" i="3"/>
  <c r="T418" i="3"/>
  <c r="E169" i="4" s="1"/>
  <c r="T419" i="3"/>
  <c r="T420" i="3"/>
  <c r="E111" i="4" s="1"/>
  <c r="T421" i="3"/>
  <c r="E22" i="4" s="1"/>
  <c r="T422" i="3"/>
  <c r="E32" i="4" s="1"/>
  <c r="T423" i="3"/>
  <c r="T424" i="3"/>
  <c r="T426" i="3"/>
  <c r="E45" i="4" s="1"/>
  <c r="T427" i="3"/>
  <c r="E131" i="4" s="1"/>
  <c r="T428" i="3"/>
  <c r="E251" i="4" s="1"/>
  <c r="T429" i="3"/>
  <c r="E437" i="4" s="1"/>
  <c r="T430" i="3"/>
  <c r="E86" i="4" s="1"/>
  <c r="T431" i="3"/>
  <c r="T432" i="3"/>
  <c r="T433" i="3"/>
  <c r="T434" i="3"/>
  <c r="E180" i="4" s="1"/>
  <c r="T435" i="3"/>
  <c r="T436" i="3"/>
  <c r="E39" i="4" s="1"/>
  <c r="T437" i="3"/>
  <c r="E130" i="4" s="1"/>
  <c r="T438" i="3"/>
  <c r="E514" i="4" s="1"/>
  <c r="T439" i="3"/>
  <c r="T440" i="3"/>
  <c r="T441" i="3"/>
  <c r="T442" i="3"/>
  <c r="E433" i="4" s="1"/>
  <c r="T443" i="3"/>
  <c r="E191" i="4" s="1"/>
  <c r="T444" i="3"/>
  <c r="E142" i="4" s="1"/>
  <c r="T445" i="3"/>
  <c r="E223" i="4" s="1"/>
  <c r="T446" i="3"/>
  <c r="E266" i="4" s="1"/>
  <c r="T447" i="3"/>
  <c r="T448" i="3"/>
  <c r="T449" i="3"/>
  <c r="T450" i="3"/>
  <c r="E141" i="4" s="1"/>
  <c r="T451" i="3"/>
  <c r="T452" i="3"/>
  <c r="E604" i="4" s="1"/>
  <c r="T453" i="3"/>
  <c r="T454" i="3"/>
  <c r="E430" i="4" s="1"/>
  <c r="T455" i="3"/>
  <c r="T456" i="3"/>
  <c r="T457" i="3"/>
  <c r="T458" i="3"/>
  <c r="E70" i="4" s="1"/>
  <c r="T459" i="3"/>
  <c r="E302" i="4" s="1"/>
  <c r="T460" i="3"/>
  <c r="E498" i="4" s="1"/>
  <c r="T461" i="3"/>
  <c r="E443" i="4" s="1"/>
  <c r="T462" i="3"/>
  <c r="E585" i="4" s="1"/>
  <c r="T463" i="3"/>
  <c r="T464" i="3"/>
  <c r="T465" i="3"/>
  <c r="T466" i="3"/>
  <c r="E422" i="4" s="1"/>
  <c r="T467" i="3"/>
  <c r="T468" i="3"/>
  <c r="E166" i="4" s="1"/>
  <c r="T469" i="3"/>
  <c r="T470" i="3"/>
  <c r="E238" i="4" s="1"/>
  <c r="T471" i="3"/>
  <c r="T472" i="3"/>
  <c r="T473" i="3"/>
  <c r="T474" i="3"/>
  <c r="E67" i="4" s="1"/>
  <c r="T475" i="3"/>
  <c r="E85" i="4" s="1"/>
  <c r="T476" i="3"/>
  <c r="E543" i="4" s="1"/>
  <c r="T477" i="3"/>
  <c r="E265" i="4" s="1"/>
  <c r="T478" i="3"/>
  <c r="E351" i="4" s="1"/>
  <c r="T479" i="3"/>
  <c r="T480" i="3"/>
  <c r="T481" i="3"/>
  <c r="T482" i="3"/>
  <c r="E347" i="4" s="1"/>
  <c r="T483" i="3"/>
  <c r="T484" i="3"/>
  <c r="E631" i="4" s="1"/>
  <c r="T485" i="3"/>
  <c r="E35" i="4" s="1"/>
  <c r="T486" i="3"/>
  <c r="E227" i="4" s="1"/>
  <c r="T487" i="3"/>
  <c r="T488" i="3"/>
  <c r="T489" i="3"/>
  <c r="T490" i="3"/>
  <c r="E197" i="4" s="1"/>
  <c r="T491" i="3"/>
  <c r="E205" i="4" s="1"/>
  <c r="T492" i="3"/>
  <c r="E424" i="4" s="1"/>
  <c r="T493" i="3"/>
  <c r="E175" i="4" s="1"/>
  <c r="T494" i="3"/>
  <c r="E490" i="4" s="1"/>
  <c r="T495" i="3"/>
  <c r="T496" i="3"/>
  <c r="T497" i="3"/>
  <c r="T498" i="3"/>
  <c r="E627" i="4" s="1"/>
  <c r="T499" i="3"/>
  <c r="T500" i="3"/>
  <c r="E74" i="4" s="1"/>
  <c r="T501" i="3"/>
  <c r="T502" i="3"/>
  <c r="E571" i="4" s="1"/>
  <c r="T503" i="3"/>
  <c r="T504" i="3"/>
  <c r="T505" i="3"/>
  <c r="T506" i="3"/>
  <c r="E150" i="4" s="1"/>
  <c r="T507" i="3"/>
  <c r="E416" i="4" s="1"/>
  <c r="T508" i="3"/>
  <c r="E479" i="4" s="1"/>
  <c r="T509" i="3"/>
  <c r="E221" i="4" s="1"/>
  <c r="T510" i="3"/>
  <c r="E210" i="4" s="1"/>
  <c r="T511" i="3"/>
  <c r="T512" i="3"/>
  <c r="T513" i="3"/>
  <c r="T514" i="3"/>
  <c r="E55" i="4" s="1"/>
  <c r="T515" i="3"/>
  <c r="T516" i="3"/>
  <c r="E387" i="4" s="1"/>
  <c r="T517" i="3"/>
  <c r="T518" i="3"/>
  <c r="E485" i="4" s="1"/>
  <c r="T519" i="3"/>
  <c r="T520" i="3"/>
  <c r="T521" i="3"/>
  <c r="T522" i="3"/>
  <c r="E586" i="4" s="1"/>
  <c r="T523" i="3"/>
  <c r="E226" i="4" s="1"/>
  <c r="T524" i="3"/>
  <c r="E401" i="4" s="1"/>
  <c r="T525" i="3"/>
  <c r="E405" i="4" s="1"/>
  <c r="T526" i="3"/>
  <c r="E614" i="4" s="1"/>
  <c r="T527" i="3"/>
  <c r="T528" i="3"/>
  <c r="T529" i="3"/>
  <c r="T530" i="3"/>
  <c r="E352" i="4" s="1"/>
  <c r="T531" i="3"/>
  <c r="T532" i="3"/>
  <c r="E418" i="4" s="1"/>
  <c r="T533" i="3"/>
  <c r="E563" i="4" s="1"/>
  <c r="T534" i="3"/>
  <c r="E171" i="4" s="1"/>
  <c r="T535" i="3"/>
  <c r="T536" i="3"/>
  <c r="T537" i="3"/>
  <c r="T538" i="3"/>
  <c r="E667" i="4" s="1"/>
  <c r="T539" i="3"/>
  <c r="E12" i="4" s="1"/>
  <c r="T540" i="3"/>
  <c r="E398" i="4" s="1"/>
  <c r="T541" i="3"/>
  <c r="E694" i="4" s="1"/>
  <c r="T542" i="3"/>
  <c r="E127" i="4" s="1"/>
  <c r="T543" i="3"/>
  <c r="T544" i="3"/>
  <c r="T545" i="3"/>
  <c r="T546" i="3"/>
  <c r="E133" i="4" s="1"/>
  <c r="T547" i="3"/>
  <c r="T548" i="3"/>
  <c r="E297" i="4" s="1"/>
  <c r="T549" i="3"/>
  <c r="E345" i="4" s="1"/>
  <c r="T550" i="3"/>
  <c r="E553" i="4" s="1"/>
  <c r="T551" i="3"/>
  <c r="T552" i="3"/>
  <c r="T553" i="3"/>
  <c r="T554" i="3"/>
  <c r="E377" i="4" s="1"/>
  <c r="T555" i="3"/>
  <c r="E675" i="4" s="1"/>
  <c r="T556" i="3"/>
  <c r="E195" i="4" s="1"/>
  <c r="T557" i="3"/>
  <c r="E219" i="4" s="1"/>
  <c r="T558" i="3"/>
  <c r="E674" i="4" s="1"/>
  <c r="T559" i="3"/>
  <c r="T560" i="3"/>
  <c r="T561" i="3"/>
  <c r="T562" i="3"/>
  <c r="E630" i="4" s="1"/>
  <c r="T563" i="3"/>
  <c r="T564" i="3"/>
  <c r="E19" i="4" s="1"/>
  <c r="T565" i="3"/>
  <c r="E689" i="4" s="1"/>
  <c r="T566" i="3"/>
  <c r="E397" i="4" s="1"/>
  <c r="T567" i="3"/>
  <c r="T568" i="3"/>
  <c r="T569" i="3"/>
  <c r="T570" i="3"/>
  <c r="E572" i="4" s="1"/>
  <c r="T571" i="3"/>
  <c r="E384" i="4" s="1"/>
  <c r="T572" i="3"/>
  <c r="E121" i="4" s="1"/>
  <c r="T573" i="3"/>
  <c r="E399" i="4" s="1"/>
  <c r="T574" i="3"/>
  <c r="E21" i="4" s="1"/>
  <c r="T575" i="3"/>
  <c r="T576" i="3"/>
  <c r="T577" i="3"/>
  <c r="T578" i="3"/>
  <c r="E679" i="4" s="1"/>
  <c r="T579" i="3"/>
  <c r="T580" i="3"/>
  <c r="E386" i="4" s="1"/>
  <c r="T581" i="3"/>
  <c r="T582" i="3"/>
  <c r="E177" i="4" s="1"/>
  <c r="T583" i="3"/>
  <c r="T584" i="3"/>
  <c r="T585" i="3"/>
  <c r="T586" i="3"/>
  <c r="E683" i="4" s="1"/>
  <c r="T587" i="3"/>
  <c r="E137" i="4" s="1"/>
  <c r="T588" i="3"/>
  <c r="E286" i="4" s="1"/>
  <c r="T589" i="3"/>
  <c r="E128" i="4" s="1"/>
  <c r="T590" i="3"/>
  <c r="E513" i="4" s="1"/>
  <c r="T591" i="3"/>
  <c r="T592" i="3"/>
  <c r="T593" i="3"/>
  <c r="T594" i="3"/>
  <c r="E668" i="4" s="1"/>
  <c r="T595" i="3"/>
  <c r="T596" i="3"/>
  <c r="E158" i="4" s="1"/>
  <c r="T597" i="3"/>
  <c r="T598" i="3"/>
  <c r="E206" i="4" s="1"/>
  <c r="T599" i="3"/>
  <c r="T600" i="3"/>
  <c r="T601" i="3"/>
  <c r="T602" i="3"/>
  <c r="E242" i="4" s="1"/>
  <c r="T603" i="3"/>
  <c r="E670" i="4" s="1"/>
  <c r="T604" i="3"/>
  <c r="E375" i="4" s="1"/>
  <c r="T605" i="3"/>
  <c r="E92" i="4" s="1"/>
  <c r="T606" i="3"/>
  <c r="E445" i="4" s="1"/>
  <c r="T607" i="3"/>
  <c r="T608" i="3"/>
  <c r="T609" i="3"/>
  <c r="T610" i="3"/>
  <c r="E193" i="4" s="1"/>
  <c r="T611" i="3"/>
  <c r="T612" i="3"/>
  <c r="E663" i="4" s="1"/>
  <c r="T613" i="3"/>
  <c r="E198" i="4" s="1"/>
  <c r="T614" i="3"/>
  <c r="E516" i="4" s="1"/>
  <c r="T615" i="3"/>
  <c r="T616" i="3"/>
  <c r="T617" i="3"/>
  <c r="T618" i="3"/>
  <c r="E660" i="4" s="1"/>
  <c r="T619" i="3"/>
  <c r="E95" i="4" s="1"/>
  <c r="T620" i="3"/>
  <c r="E300" i="4" s="1"/>
  <c r="T621" i="3"/>
  <c r="E167" i="4" s="1"/>
  <c r="T622" i="3"/>
  <c r="E236" i="4" s="1"/>
  <c r="T623" i="3"/>
  <c r="T624" i="3"/>
  <c r="T625" i="3"/>
  <c r="T626" i="3"/>
  <c r="E697" i="4" s="1"/>
  <c r="T627" i="3"/>
  <c r="T628" i="3"/>
  <c r="E664" i="4" s="1"/>
  <c r="T629" i="3"/>
  <c r="T630" i="3"/>
  <c r="E235" i="4" s="1"/>
  <c r="T631" i="3"/>
  <c r="T632" i="3"/>
  <c r="T633" i="3"/>
  <c r="T634" i="3"/>
  <c r="E301" i="4" s="1"/>
  <c r="T635" i="3"/>
  <c r="E56" i="4" s="1"/>
  <c r="T636" i="3"/>
  <c r="E263" i="4" s="1"/>
  <c r="T637" i="3"/>
  <c r="E464" i="4" s="1"/>
  <c r="T638" i="3"/>
  <c r="E484" i="4" s="1"/>
  <c r="T639" i="3"/>
  <c r="T640" i="3"/>
  <c r="T641" i="3"/>
  <c r="T642" i="3"/>
  <c r="E282" i="4" s="1"/>
  <c r="T643" i="3"/>
  <c r="T644" i="3"/>
  <c r="E275" i="4" s="1"/>
  <c r="T645" i="3"/>
  <c r="T646" i="3"/>
  <c r="E536" i="4" s="1"/>
  <c r="T647" i="3"/>
  <c r="T648" i="3"/>
  <c r="T649" i="3"/>
  <c r="T650" i="3"/>
  <c r="E520" i="4" s="1"/>
  <c r="T651" i="3"/>
  <c r="E656" i="4" s="1"/>
  <c r="T652" i="3"/>
  <c r="E372" i="4" s="1"/>
  <c r="T653" i="3"/>
  <c r="E33" i="4" s="1"/>
  <c r="T654" i="3"/>
  <c r="E75" i="4" s="1"/>
  <c r="T655" i="3"/>
  <c r="T656" i="3"/>
  <c r="T657" i="3"/>
  <c r="T658" i="3"/>
  <c r="E465" i="4" s="1"/>
  <c r="T659" i="3"/>
  <c r="T660" i="3"/>
  <c r="E658" i="4" s="1"/>
  <c r="T661" i="3"/>
  <c r="E117" i="4" s="1"/>
  <c r="T662" i="3"/>
  <c r="E661" i="4" s="1"/>
  <c r="T663" i="3"/>
  <c r="T664" i="3"/>
  <c r="T665" i="3"/>
  <c r="T666" i="3"/>
  <c r="E340" i="4" s="1"/>
  <c r="T667" i="3"/>
  <c r="E284" i="4" s="1"/>
  <c r="T668" i="3"/>
  <c r="E652" i="4" s="1"/>
  <c r="T669" i="3"/>
  <c r="E156" i="4" s="1"/>
  <c r="T670" i="3"/>
  <c r="E222" i="4" s="1"/>
  <c r="T671" i="3"/>
  <c r="T672" i="3"/>
  <c r="T673" i="3"/>
  <c r="T674" i="3"/>
  <c r="E17" i="4" s="1"/>
  <c r="T675" i="3"/>
  <c r="T676" i="3"/>
  <c r="E545" i="4" s="1"/>
  <c r="T677" i="3"/>
  <c r="E281" i="4" s="1"/>
  <c r="T678" i="3"/>
  <c r="E621" i="4" s="1"/>
  <c r="T679" i="3"/>
  <c r="T680" i="3"/>
  <c r="T681" i="3"/>
  <c r="T682" i="3"/>
  <c r="E116" i="4" s="1"/>
  <c r="T683" i="3"/>
  <c r="E285" i="4" s="1"/>
  <c r="T684" i="3"/>
  <c r="E450" i="4" s="1"/>
  <c r="T685" i="3"/>
  <c r="E678" i="4" s="1"/>
  <c r="T686" i="3"/>
  <c r="E528" i="4" s="1"/>
  <c r="T687" i="3"/>
  <c r="T688" i="3"/>
  <c r="T689" i="3"/>
  <c r="T690" i="3"/>
  <c r="E534" i="4" s="1"/>
  <c r="T691" i="3"/>
  <c r="T692" i="3"/>
  <c r="E154" i="4" s="1"/>
  <c r="T693" i="3"/>
  <c r="E680" i="4" s="1"/>
  <c r="T694" i="3"/>
  <c r="E650" i="4" s="1"/>
  <c r="T695" i="3"/>
  <c r="T696" i="3"/>
  <c r="T697" i="3"/>
  <c r="T698" i="3"/>
  <c r="E655" i="4" s="1"/>
  <c r="T699" i="3"/>
  <c r="E659" i="4" s="1"/>
  <c r="T700" i="3"/>
  <c r="E370" i="4" s="1"/>
  <c r="T701" i="3"/>
  <c r="E554" i="4" s="1"/>
  <c r="T702" i="3"/>
  <c r="E702" i="4" s="1"/>
  <c r="T703" i="3"/>
  <c r="T704" i="3"/>
  <c r="T705" i="3"/>
  <c r="T706" i="3"/>
  <c r="E705" i="4" s="1"/>
  <c r="T707" i="3"/>
  <c r="T708" i="3"/>
  <c r="E708" i="4" s="1"/>
  <c r="T709" i="3"/>
  <c r="T710" i="3"/>
  <c r="E710" i="4" s="1"/>
  <c r="T711" i="3"/>
  <c r="T712" i="3"/>
  <c r="T713" i="3"/>
  <c r="T714" i="3"/>
  <c r="E715" i="4" s="1"/>
  <c r="T715" i="3"/>
  <c r="V715" i="3" s="1"/>
  <c r="T716" i="3"/>
  <c r="E717" i="4" s="1"/>
  <c r="T717" i="3"/>
  <c r="E718" i="4" s="1"/>
  <c r="T718" i="3"/>
  <c r="E719" i="4" s="1"/>
  <c r="T719" i="3"/>
  <c r="T720" i="3"/>
  <c r="T721" i="3"/>
  <c r="T722" i="3"/>
  <c r="E723" i="4" s="1"/>
  <c r="T723" i="3"/>
  <c r="T724" i="3"/>
  <c r="E728" i="4" s="1"/>
  <c r="T725" i="3"/>
  <c r="E727" i="4" s="1"/>
  <c r="T726" i="3"/>
  <c r="E725" i="4" s="1"/>
  <c r="T727" i="3"/>
  <c r="T728" i="3"/>
  <c r="T729" i="3"/>
  <c r="E729" i="4" s="1"/>
  <c r="T4" i="3"/>
  <c r="E114" i="4" s="1"/>
  <c r="T3" i="3"/>
  <c r="E583" i="4" s="1"/>
  <c r="T2" i="3"/>
  <c r="U702" i="3"/>
  <c r="U703" i="3"/>
  <c r="F703" i="4" s="1"/>
  <c r="U704" i="3"/>
  <c r="U705" i="3"/>
  <c r="F706" i="4" s="1"/>
  <c r="U706" i="3"/>
  <c r="F705" i="4" s="1"/>
  <c r="U707" i="3"/>
  <c r="F707" i="4" s="1"/>
  <c r="U708" i="3"/>
  <c r="U709" i="3"/>
  <c r="U710" i="3"/>
  <c r="U711" i="3"/>
  <c r="U712" i="3"/>
  <c r="U713" i="3"/>
  <c r="U714" i="3"/>
  <c r="U715" i="3"/>
  <c r="F714" i="4" s="1"/>
  <c r="U716" i="3"/>
  <c r="U717" i="3"/>
  <c r="U718" i="3"/>
  <c r="U719" i="3"/>
  <c r="F720" i="4" s="1"/>
  <c r="U720" i="3"/>
  <c r="F721" i="4" s="1"/>
  <c r="U721" i="3"/>
  <c r="F722" i="4" s="1"/>
  <c r="U722" i="3"/>
  <c r="F723" i="4" s="1"/>
  <c r="U723" i="3"/>
  <c r="F724" i="4" s="1"/>
  <c r="U724" i="3"/>
  <c r="F728" i="4" s="1"/>
  <c r="U725" i="3"/>
  <c r="U726" i="3"/>
  <c r="U727" i="3"/>
  <c r="V727" i="3" s="1"/>
  <c r="U728" i="3"/>
  <c r="U729" i="3"/>
  <c r="V729" i="3" s="1"/>
  <c r="V703" i="3"/>
  <c r="V704" i="3"/>
  <c r="V705" i="3"/>
  <c r="V706" i="3"/>
  <c r="V707" i="3"/>
  <c r="V711" i="3"/>
  <c r="V712" i="3"/>
  <c r="V713" i="3"/>
  <c r="V714" i="3"/>
  <c r="V719" i="3"/>
  <c r="V720" i="3"/>
  <c r="V721" i="3"/>
  <c r="V722" i="3"/>
  <c r="V728" i="3"/>
  <c r="A3" i="7"/>
  <c r="B3" i="7"/>
  <c r="C3" i="7"/>
  <c r="D3" i="7"/>
  <c r="E3" i="7"/>
  <c r="F3" i="7"/>
  <c r="V3" i="7" s="1"/>
  <c r="G3" i="7"/>
  <c r="H3" i="7"/>
  <c r="I3" i="7"/>
  <c r="J3" i="7"/>
  <c r="K3" i="7"/>
  <c r="L3" i="7"/>
  <c r="M3" i="7"/>
  <c r="N3" i="7"/>
  <c r="O3" i="7"/>
  <c r="P3" i="7"/>
  <c r="Q3" i="7"/>
  <c r="R3" i="7"/>
  <c r="S3" i="7"/>
  <c r="A4" i="7"/>
  <c r="B4" i="7"/>
  <c r="C4" i="7"/>
  <c r="D4" i="7"/>
  <c r="E4" i="7"/>
  <c r="F4" i="7"/>
  <c r="V4" i="7" s="1"/>
  <c r="G4" i="7"/>
  <c r="H4" i="7"/>
  <c r="I4" i="7"/>
  <c r="J4" i="7"/>
  <c r="K4" i="7"/>
  <c r="L4" i="7"/>
  <c r="M4" i="7"/>
  <c r="N4" i="7"/>
  <c r="O4" i="7"/>
  <c r="P4" i="7"/>
  <c r="Q4" i="7"/>
  <c r="R4" i="7"/>
  <c r="S4" i="7"/>
  <c r="A5" i="7"/>
  <c r="B5" i="7"/>
  <c r="C5" i="7"/>
  <c r="D5" i="7"/>
  <c r="E5" i="7"/>
  <c r="F5" i="7"/>
  <c r="V5" i="7" s="1"/>
  <c r="G5" i="7"/>
  <c r="H5" i="7"/>
  <c r="I5" i="7"/>
  <c r="J5" i="7"/>
  <c r="K5" i="7"/>
  <c r="L5" i="7"/>
  <c r="M5" i="7"/>
  <c r="N5" i="7"/>
  <c r="O5" i="7"/>
  <c r="P5" i="7"/>
  <c r="Q5" i="7"/>
  <c r="R5" i="7"/>
  <c r="S5" i="7"/>
  <c r="A6" i="7"/>
  <c r="B6" i="7"/>
  <c r="C6" i="7"/>
  <c r="D6" i="7"/>
  <c r="E6" i="7"/>
  <c r="F6" i="7"/>
  <c r="V6" i="7" s="1"/>
  <c r="G6" i="7"/>
  <c r="H6" i="7"/>
  <c r="I6" i="7"/>
  <c r="J6" i="7"/>
  <c r="K6" i="7"/>
  <c r="L6" i="7"/>
  <c r="M6" i="7"/>
  <c r="N6" i="7"/>
  <c r="O6" i="7"/>
  <c r="P6" i="7"/>
  <c r="Q6" i="7"/>
  <c r="R6" i="7"/>
  <c r="S6" i="7"/>
  <c r="A7" i="7"/>
  <c r="B7" i="7"/>
  <c r="C7" i="7"/>
  <c r="D7" i="7"/>
  <c r="E7" i="7"/>
  <c r="F7" i="7"/>
  <c r="V7" i="7" s="1"/>
  <c r="G7" i="7"/>
  <c r="H7" i="7"/>
  <c r="I7" i="7"/>
  <c r="J7" i="7"/>
  <c r="K7" i="7"/>
  <c r="L7" i="7"/>
  <c r="M7" i="7"/>
  <c r="N7" i="7"/>
  <c r="O7" i="7"/>
  <c r="P7" i="7"/>
  <c r="Q7" i="7"/>
  <c r="R7" i="7"/>
  <c r="S7" i="7"/>
  <c r="A8" i="7"/>
  <c r="B8" i="7"/>
  <c r="C8" i="7"/>
  <c r="D8" i="7"/>
  <c r="E8" i="7"/>
  <c r="F8" i="7"/>
  <c r="V8" i="7" s="1"/>
  <c r="G8" i="7"/>
  <c r="H8" i="7"/>
  <c r="I8" i="7"/>
  <c r="J8" i="7"/>
  <c r="K8" i="7"/>
  <c r="L8" i="7"/>
  <c r="M8" i="7"/>
  <c r="N8" i="7"/>
  <c r="O8" i="7"/>
  <c r="P8" i="7"/>
  <c r="Q8" i="7"/>
  <c r="R8" i="7"/>
  <c r="S8" i="7"/>
  <c r="A9" i="7"/>
  <c r="B9" i="7"/>
  <c r="C9" i="7"/>
  <c r="D9" i="7"/>
  <c r="E9" i="7"/>
  <c r="F9" i="7"/>
  <c r="V9" i="7" s="1"/>
  <c r="G9" i="7"/>
  <c r="H9" i="7"/>
  <c r="I9" i="7"/>
  <c r="J9" i="7"/>
  <c r="K9" i="7"/>
  <c r="L9" i="7"/>
  <c r="M9" i="7"/>
  <c r="N9" i="7"/>
  <c r="O9" i="7"/>
  <c r="P9" i="7"/>
  <c r="Q9" i="7"/>
  <c r="R9" i="7"/>
  <c r="S9" i="7"/>
  <c r="A10" i="7"/>
  <c r="B10" i="7"/>
  <c r="C10" i="7"/>
  <c r="D10" i="7"/>
  <c r="E10" i="7"/>
  <c r="F10" i="7"/>
  <c r="V10" i="7" s="1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A11" i="7"/>
  <c r="B11" i="7"/>
  <c r="C11" i="7"/>
  <c r="D11" i="7"/>
  <c r="E11" i="7"/>
  <c r="F11" i="7"/>
  <c r="V11" i="7" s="1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A12" i="7"/>
  <c r="B12" i="7"/>
  <c r="C12" i="7"/>
  <c r="D12" i="7"/>
  <c r="E12" i="7"/>
  <c r="F12" i="7"/>
  <c r="V12" i="7" s="1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A13" i="7"/>
  <c r="B13" i="7"/>
  <c r="C13" i="7"/>
  <c r="D13" i="7"/>
  <c r="E13" i="7"/>
  <c r="F13" i="7"/>
  <c r="V13" i="7" s="1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A14" i="7"/>
  <c r="B14" i="7"/>
  <c r="C14" i="7"/>
  <c r="D14" i="7"/>
  <c r="E14" i="7"/>
  <c r="F14" i="7"/>
  <c r="V14" i="7" s="1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A15" i="7"/>
  <c r="B15" i="7"/>
  <c r="C15" i="7"/>
  <c r="D15" i="7"/>
  <c r="E15" i="7"/>
  <c r="F15" i="7"/>
  <c r="V15" i="7" s="1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A16" i="7"/>
  <c r="B16" i="7"/>
  <c r="C16" i="7"/>
  <c r="D16" i="7"/>
  <c r="E16" i="7"/>
  <c r="F16" i="7"/>
  <c r="V16" i="7" s="1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A17" i="7"/>
  <c r="B17" i="7"/>
  <c r="C17" i="7"/>
  <c r="D17" i="7"/>
  <c r="E17" i="7"/>
  <c r="F17" i="7"/>
  <c r="V17" i="7" s="1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A18" i="7"/>
  <c r="B18" i="7"/>
  <c r="C18" i="7"/>
  <c r="D18" i="7"/>
  <c r="E18" i="7"/>
  <c r="F18" i="7"/>
  <c r="V18" i="7" s="1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A19" i="7"/>
  <c r="B19" i="7"/>
  <c r="C19" i="7"/>
  <c r="D19" i="7"/>
  <c r="E19" i="7"/>
  <c r="F19" i="7"/>
  <c r="V19" i="7" s="1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A20" i="7"/>
  <c r="B20" i="7"/>
  <c r="C20" i="7"/>
  <c r="D20" i="7"/>
  <c r="E20" i="7"/>
  <c r="F20" i="7"/>
  <c r="V20" i="7" s="1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A21" i="7"/>
  <c r="B21" i="7"/>
  <c r="C21" i="7"/>
  <c r="D21" i="7"/>
  <c r="E21" i="7"/>
  <c r="F21" i="7"/>
  <c r="V21" i="7" s="1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A22" i="7"/>
  <c r="B22" i="7"/>
  <c r="C22" i="7"/>
  <c r="D22" i="7"/>
  <c r="E22" i="7"/>
  <c r="F22" i="7"/>
  <c r="V22" i="7" s="1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A23" i="7"/>
  <c r="B23" i="7"/>
  <c r="C23" i="7"/>
  <c r="D23" i="7"/>
  <c r="E23" i="7"/>
  <c r="F23" i="7"/>
  <c r="V23" i="7" s="1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A24" i="7"/>
  <c r="B24" i="7"/>
  <c r="C24" i="7"/>
  <c r="D24" i="7"/>
  <c r="E24" i="7"/>
  <c r="F24" i="7"/>
  <c r="V24" i="7" s="1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A25" i="7"/>
  <c r="B25" i="7"/>
  <c r="C25" i="7"/>
  <c r="D25" i="7"/>
  <c r="E25" i="7"/>
  <c r="F25" i="7"/>
  <c r="V25" i="7" s="1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A26" i="7"/>
  <c r="B26" i="7"/>
  <c r="C26" i="7"/>
  <c r="D26" i="7"/>
  <c r="E26" i="7"/>
  <c r="F26" i="7"/>
  <c r="V26" i="7" s="1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A27" i="7"/>
  <c r="B27" i="7"/>
  <c r="C27" i="7"/>
  <c r="D27" i="7"/>
  <c r="E27" i="7"/>
  <c r="F27" i="7"/>
  <c r="V27" i="7" s="1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A28" i="7"/>
  <c r="B28" i="7"/>
  <c r="C28" i="7"/>
  <c r="D28" i="7"/>
  <c r="E28" i="7"/>
  <c r="F28" i="7"/>
  <c r="V28" i="7" s="1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A29" i="7"/>
  <c r="B29" i="7"/>
  <c r="C29" i="7"/>
  <c r="D29" i="7"/>
  <c r="E29" i="7"/>
  <c r="F29" i="7"/>
  <c r="V29" i="7" s="1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A30" i="7"/>
  <c r="B30" i="7"/>
  <c r="C30" i="7"/>
  <c r="D30" i="7"/>
  <c r="E30" i="7"/>
  <c r="F30" i="7"/>
  <c r="V30" i="7" s="1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A31" i="7"/>
  <c r="B31" i="7"/>
  <c r="C31" i="7"/>
  <c r="D31" i="7"/>
  <c r="E31" i="7"/>
  <c r="F31" i="7"/>
  <c r="V31" i="7" s="1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A32" i="7"/>
  <c r="B32" i="7"/>
  <c r="C32" i="7"/>
  <c r="D32" i="7"/>
  <c r="E32" i="7"/>
  <c r="F32" i="7"/>
  <c r="V32" i="7" s="1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A33" i="7"/>
  <c r="B33" i="7"/>
  <c r="C33" i="7"/>
  <c r="D33" i="7"/>
  <c r="E33" i="7"/>
  <c r="F33" i="7"/>
  <c r="V33" i="7" s="1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A34" i="7"/>
  <c r="B34" i="7"/>
  <c r="C34" i="7"/>
  <c r="D34" i="7"/>
  <c r="E34" i="7"/>
  <c r="F34" i="7"/>
  <c r="V34" i="7" s="1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A35" i="7"/>
  <c r="B35" i="7"/>
  <c r="C35" i="7"/>
  <c r="D35" i="7"/>
  <c r="E35" i="7"/>
  <c r="F35" i="7"/>
  <c r="V35" i="7" s="1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A36" i="7"/>
  <c r="B36" i="7"/>
  <c r="C36" i="7"/>
  <c r="D36" i="7"/>
  <c r="E36" i="7"/>
  <c r="F36" i="7"/>
  <c r="V36" i="7" s="1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A37" i="7"/>
  <c r="B37" i="7"/>
  <c r="C37" i="7"/>
  <c r="D37" i="7"/>
  <c r="E37" i="7"/>
  <c r="F37" i="7"/>
  <c r="V37" i="7" s="1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A38" i="7"/>
  <c r="B38" i="7"/>
  <c r="C38" i="7"/>
  <c r="D38" i="7"/>
  <c r="E38" i="7"/>
  <c r="F38" i="7"/>
  <c r="V38" i="7" s="1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A39" i="7"/>
  <c r="B39" i="7"/>
  <c r="C39" i="7"/>
  <c r="D39" i="7"/>
  <c r="E39" i="7"/>
  <c r="F39" i="7"/>
  <c r="V39" i="7" s="1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A40" i="7"/>
  <c r="B40" i="7"/>
  <c r="C40" i="7"/>
  <c r="D40" i="7"/>
  <c r="E40" i="7"/>
  <c r="F40" i="7"/>
  <c r="V40" i="7" s="1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A41" i="7"/>
  <c r="B41" i="7"/>
  <c r="C41" i="7"/>
  <c r="D41" i="7"/>
  <c r="E41" i="7"/>
  <c r="F41" i="7"/>
  <c r="V41" i="7" s="1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A42" i="7"/>
  <c r="B42" i="7"/>
  <c r="C42" i="7"/>
  <c r="D42" i="7"/>
  <c r="E42" i="7"/>
  <c r="F42" i="7"/>
  <c r="V42" i="7" s="1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A43" i="7"/>
  <c r="B43" i="7"/>
  <c r="C43" i="7"/>
  <c r="D43" i="7"/>
  <c r="E43" i="7"/>
  <c r="F43" i="7"/>
  <c r="V43" i="7" s="1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A44" i="7"/>
  <c r="B44" i="7"/>
  <c r="C44" i="7"/>
  <c r="D44" i="7"/>
  <c r="E44" i="7"/>
  <c r="F44" i="7"/>
  <c r="V44" i="7" s="1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A45" i="7"/>
  <c r="B45" i="7"/>
  <c r="C45" i="7"/>
  <c r="D45" i="7"/>
  <c r="E45" i="7"/>
  <c r="F45" i="7"/>
  <c r="V45" i="7" s="1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A46" i="7"/>
  <c r="B46" i="7"/>
  <c r="C46" i="7"/>
  <c r="D46" i="7"/>
  <c r="E46" i="7"/>
  <c r="F46" i="7"/>
  <c r="V46" i="7" s="1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A47" i="7"/>
  <c r="B47" i="7"/>
  <c r="C47" i="7"/>
  <c r="D47" i="7"/>
  <c r="E47" i="7"/>
  <c r="F47" i="7"/>
  <c r="V47" i="7" s="1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A48" i="7"/>
  <c r="B48" i="7"/>
  <c r="C48" i="7"/>
  <c r="D48" i="7"/>
  <c r="E48" i="7"/>
  <c r="F48" i="7"/>
  <c r="V48" i="7" s="1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A49" i="7"/>
  <c r="B49" i="7"/>
  <c r="C49" i="7"/>
  <c r="D49" i="7"/>
  <c r="E49" i="7"/>
  <c r="F49" i="7"/>
  <c r="V49" i="7" s="1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A50" i="7"/>
  <c r="B50" i="7"/>
  <c r="C50" i="7"/>
  <c r="D50" i="7"/>
  <c r="E50" i="7"/>
  <c r="F50" i="7"/>
  <c r="V50" i="7" s="1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A51" i="7"/>
  <c r="B51" i="7"/>
  <c r="C51" i="7"/>
  <c r="D51" i="7"/>
  <c r="E51" i="7"/>
  <c r="F51" i="7"/>
  <c r="V51" i="7" s="1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A52" i="7"/>
  <c r="B52" i="7"/>
  <c r="C52" i="7"/>
  <c r="D52" i="7"/>
  <c r="E52" i="7"/>
  <c r="F52" i="7"/>
  <c r="V52" i="7" s="1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A53" i="7"/>
  <c r="B53" i="7"/>
  <c r="C53" i="7"/>
  <c r="D53" i="7"/>
  <c r="E53" i="7"/>
  <c r="F53" i="7"/>
  <c r="V53" i="7" s="1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A54" i="7"/>
  <c r="B54" i="7"/>
  <c r="C54" i="7"/>
  <c r="D54" i="7"/>
  <c r="E54" i="7"/>
  <c r="F54" i="7"/>
  <c r="V54" i="7" s="1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A55" i="7"/>
  <c r="B55" i="7"/>
  <c r="C55" i="7"/>
  <c r="D55" i="7"/>
  <c r="E55" i="7"/>
  <c r="F55" i="7"/>
  <c r="V55" i="7" s="1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A56" i="7"/>
  <c r="B56" i="7"/>
  <c r="C56" i="7"/>
  <c r="D56" i="7"/>
  <c r="E56" i="7"/>
  <c r="F56" i="7"/>
  <c r="V56" i="7" s="1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A57" i="7"/>
  <c r="B57" i="7"/>
  <c r="C57" i="7"/>
  <c r="D57" i="7"/>
  <c r="E57" i="7"/>
  <c r="F57" i="7"/>
  <c r="V57" i="7" s="1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A58" i="7"/>
  <c r="B58" i="7"/>
  <c r="C58" i="7"/>
  <c r="D58" i="7"/>
  <c r="E58" i="7"/>
  <c r="F58" i="7"/>
  <c r="V58" i="7" s="1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A59" i="7"/>
  <c r="B59" i="7"/>
  <c r="C59" i="7"/>
  <c r="D59" i="7"/>
  <c r="E59" i="7"/>
  <c r="F59" i="7"/>
  <c r="V59" i="7" s="1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A60" i="7"/>
  <c r="B60" i="7"/>
  <c r="C60" i="7"/>
  <c r="D60" i="7"/>
  <c r="E60" i="7"/>
  <c r="F60" i="7"/>
  <c r="V60" i="7" s="1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A61" i="7"/>
  <c r="B61" i="7"/>
  <c r="C61" i="7"/>
  <c r="D61" i="7"/>
  <c r="E61" i="7"/>
  <c r="F61" i="7"/>
  <c r="V61" i="7" s="1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A62" i="7"/>
  <c r="B62" i="7"/>
  <c r="C62" i="7"/>
  <c r="D62" i="7"/>
  <c r="E62" i="7"/>
  <c r="F62" i="7"/>
  <c r="V62" i="7" s="1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A63" i="7"/>
  <c r="B63" i="7"/>
  <c r="C63" i="7"/>
  <c r="D63" i="7"/>
  <c r="E63" i="7"/>
  <c r="F63" i="7"/>
  <c r="V63" i="7" s="1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A64" i="7"/>
  <c r="B64" i="7"/>
  <c r="C64" i="7"/>
  <c r="D64" i="7"/>
  <c r="E64" i="7"/>
  <c r="F64" i="7"/>
  <c r="V64" i="7" s="1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A65" i="7"/>
  <c r="B65" i="7"/>
  <c r="C65" i="7"/>
  <c r="D65" i="7"/>
  <c r="E65" i="7"/>
  <c r="F65" i="7"/>
  <c r="V65" i="7" s="1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A66" i="7"/>
  <c r="B66" i="7"/>
  <c r="C66" i="7"/>
  <c r="D66" i="7"/>
  <c r="E66" i="7"/>
  <c r="F66" i="7"/>
  <c r="V66" i="7" s="1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A67" i="7"/>
  <c r="B67" i="7"/>
  <c r="C67" i="7"/>
  <c r="D67" i="7"/>
  <c r="E67" i="7"/>
  <c r="F67" i="7"/>
  <c r="V67" i="7" s="1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A68" i="7"/>
  <c r="B68" i="7"/>
  <c r="C68" i="7"/>
  <c r="D68" i="7"/>
  <c r="E68" i="7"/>
  <c r="F68" i="7"/>
  <c r="V68" i="7" s="1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A69" i="7"/>
  <c r="B69" i="7"/>
  <c r="C69" i="7"/>
  <c r="D69" i="7"/>
  <c r="E69" i="7"/>
  <c r="F69" i="7"/>
  <c r="V69" i="7" s="1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A70" i="7"/>
  <c r="B70" i="7"/>
  <c r="C70" i="7"/>
  <c r="D70" i="7"/>
  <c r="E70" i="7"/>
  <c r="F70" i="7"/>
  <c r="V70" i="7" s="1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A71" i="7"/>
  <c r="B71" i="7"/>
  <c r="C71" i="7"/>
  <c r="D71" i="7"/>
  <c r="E71" i="7"/>
  <c r="F71" i="7"/>
  <c r="V71" i="7" s="1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A72" i="7"/>
  <c r="B72" i="7"/>
  <c r="C72" i="7"/>
  <c r="D72" i="7"/>
  <c r="E72" i="7"/>
  <c r="F72" i="7"/>
  <c r="V72" i="7" s="1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A73" i="7"/>
  <c r="B73" i="7"/>
  <c r="C73" i="7"/>
  <c r="D73" i="7"/>
  <c r="E73" i="7"/>
  <c r="F73" i="7"/>
  <c r="V73" i="7" s="1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A74" i="7"/>
  <c r="B74" i="7"/>
  <c r="C74" i="7"/>
  <c r="D74" i="7"/>
  <c r="E74" i="7"/>
  <c r="F74" i="7"/>
  <c r="V74" i="7" s="1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A75" i="7"/>
  <c r="B75" i="7"/>
  <c r="C75" i="7"/>
  <c r="D75" i="7"/>
  <c r="E75" i="7"/>
  <c r="F75" i="7"/>
  <c r="V75" i="7" s="1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A76" i="7"/>
  <c r="B76" i="7"/>
  <c r="C76" i="7"/>
  <c r="D76" i="7"/>
  <c r="E76" i="7"/>
  <c r="F76" i="7"/>
  <c r="V76" i="7" s="1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A77" i="7"/>
  <c r="B77" i="7"/>
  <c r="C77" i="7"/>
  <c r="D77" i="7"/>
  <c r="E77" i="7"/>
  <c r="F77" i="7"/>
  <c r="V77" i="7" s="1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A78" i="7"/>
  <c r="B78" i="7"/>
  <c r="C78" i="7"/>
  <c r="D78" i="7"/>
  <c r="E78" i="7"/>
  <c r="F78" i="7"/>
  <c r="V78" i="7" s="1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A79" i="7"/>
  <c r="B79" i="7"/>
  <c r="C79" i="7"/>
  <c r="D79" i="7"/>
  <c r="E79" i="7"/>
  <c r="F79" i="7"/>
  <c r="V79" i="7" s="1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A80" i="7"/>
  <c r="B80" i="7"/>
  <c r="C80" i="7"/>
  <c r="D80" i="7"/>
  <c r="E80" i="7"/>
  <c r="F80" i="7"/>
  <c r="V80" i="7" s="1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A81" i="7"/>
  <c r="B81" i="7"/>
  <c r="C81" i="7"/>
  <c r="D81" i="7"/>
  <c r="E81" i="7"/>
  <c r="F81" i="7"/>
  <c r="V81" i="7" s="1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A82" i="7"/>
  <c r="B82" i="7"/>
  <c r="C82" i="7"/>
  <c r="D82" i="7"/>
  <c r="E82" i="7"/>
  <c r="F82" i="7"/>
  <c r="V82" i="7" s="1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A83" i="7"/>
  <c r="B83" i="7"/>
  <c r="C83" i="7"/>
  <c r="D83" i="7"/>
  <c r="E83" i="7"/>
  <c r="F83" i="7"/>
  <c r="V83" i="7" s="1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A84" i="7"/>
  <c r="B84" i="7"/>
  <c r="C84" i="7"/>
  <c r="D84" i="7"/>
  <c r="E84" i="7"/>
  <c r="F84" i="7"/>
  <c r="V84" i="7" s="1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A85" i="7"/>
  <c r="B85" i="7"/>
  <c r="C85" i="7"/>
  <c r="D85" i="7"/>
  <c r="E85" i="7"/>
  <c r="F85" i="7"/>
  <c r="V85" i="7" s="1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A86" i="7"/>
  <c r="B86" i="7"/>
  <c r="C86" i="7"/>
  <c r="D86" i="7"/>
  <c r="E86" i="7"/>
  <c r="F86" i="7"/>
  <c r="V86" i="7" s="1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A87" i="7"/>
  <c r="B87" i="7"/>
  <c r="C87" i="7"/>
  <c r="D87" i="7"/>
  <c r="E87" i="7"/>
  <c r="F87" i="7"/>
  <c r="V87" i="7" s="1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A88" i="7"/>
  <c r="B88" i="7"/>
  <c r="C88" i="7"/>
  <c r="D88" i="7"/>
  <c r="E88" i="7"/>
  <c r="F88" i="7"/>
  <c r="V88" i="7" s="1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A89" i="7"/>
  <c r="B89" i="7"/>
  <c r="C89" i="7"/>
  <c r="D89" i="7"/>
  <c r="E89" i="7"/>
  <c r="F89" i="7"/>
  <c r="V89" i="7" s="1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A90" i="7"/>
  <c r="B90" i="7"/>
  <c r="C90" i="7"/>
  <c r="D90" i="7"/>
  <c r="E90" i="7"/>
  <c r="F90" i="7"/>
  <c r="V90" i="7" s="1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A91" i="7"/>
  <c r="B91" i="7"/>
  <c r="C91" i="7"/>
  <c r="D91" i="7"/>
  <c r="E91" i="7"/>
  <c r="F91" i="7"/>
  <c r="V91" i="7" s="1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A92" i="7"/>
  <c r="B92" i="7"/>
  <c r="C92" i="7"/>
  <c r="D92" i="7"/>
  <c r="E92" i="7"/>
  <c r="F92" i="7"/>
  <c r="V92" i="7" s="1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A93" i="7"/>
  <c r="B93" i="7"/>
  <c r="C93" i="7"/>
  <c r="D93" i="7"/>
  <c r="E93" i="7"/>
  <c r="F93" i="7"/>
  <c r="V93" i="7" s="1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A94" i="7"/>
  <c r="B94" i="7"/>
  <c r="C94" i="7"/>
  <c r="D94" i="7"/>
  <c r="E94" i="7"/>
  <c r="F94" i="7"/>
  <c r="V94" i="7" s="1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A95" i="7"/>
  <c r="B95" i="7"/>
  <c r="C95" i="7"/>
  <c r="D95" i="7"/>
  <c r="E95" i="7"/>
  <c r="F95" i="7"/>
  <c r="V95" i="7" s="1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A96" i="7"/>
  <c r="B96" i="7"/>
  <c r="C96" i="7"/>
  <c r="D96" i="7"/>
  <c r="E96" i="7"/>
  <c r="F96" i="7"/>
  <c r="V96" i="7" s="1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A97" i="7"/>
  <c r="B97" i="7"/>
  <c r="C97" i="7"/>
  <c r="D97" i="7"/>
  <c r="E97" i="7"/>
  <c r="F97" i="7"/>
  <c r="V97" i="7" s="1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A98" i="7"/>
  <c r="B98" i="7"/>
  <c r="C98" i="7"/>
  <c r="D98" i="7"/>
  <c r="E98" i="7"/>
  <c r="F98" i="7"/>
  <c r="V98" i="7" s="1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A99" i="7"/>
  <c r="B99" i="7"/>
  <c r="C99" i="7"/>
  <c r="D99" i="7"/>
  <c r="E99" i="7"/>
  <c r="F99" i="7"/>
  <c r="V99" i="7" s="1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A100" i="7"/>
  <c r="B100" i="7"/>
  <c r="C100" i="7"/>
  <c r="D100" i="7"/>
  <c r="E100" i="7"/>
  <c r="F100" i="7"/>
  <c r="V100" i="7" s="1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A101" i="7"/>
  <c r="B101" i="7"/>
  <c r="C101" i="7"/>
  <c r="D101" i="7"/>
  <c r="E101" i="7"/>
  <c r="F101" i="7"/>
  <c r="V101" i="7" s="1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A102" i="7"/>
  <c r="B102" i="7"/>
  <c r="C102" i="7"/>
  <c r="D102" i="7"/>
  <c r="E102" i="7"/>
  <c r="F102" i="7"/>
  <c r="V102" i="7" s="1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A103" i="7"/>
  <c r="B103" i="7"/>
  <c r="C103" i="7"/>
  <c r="D103" i="7"/>
  <c r="E103" i="7"/>
  <c r="F103" i="7"/>
  <c r="V103" i="7" s="1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A104" i="7"/>
  <c r="B104" i="7"/>
  <c r="C104" i="7"/>
  <c r="D104" i="7"/>
  <c r="E104" i="7"/>
  <c r="F104" i="7"/>
  <c r="V104" i="7" s="1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A105" i="7"/>
  <c r="B105" i="7"/>
  <c r="C105" i="7"/>
  <c r="D105" i="7"/>
  <c r="E105" i="7"/>
  <c r="F105" i="7"/>
  <c r="V105" i="7" s="1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A106" i="7"/>
  <c r="B106" i="7"/>
  <c r="C106" i="7"/>
  <c r="D106" i="7"/>
  <c r="E106" i="7"/>
  <c r="F106" i="7"/>
  <c r="V106" i="7" s="1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A107" i="7"/>
  <c r="B107" i="7"/>
  <c r="C107" i="7"/>
  <c r="D107" i="7"/>
  <c r="E107" i="7"/>
  <c r="F107" i="7"/>
  <c r="V107" i="7" s="1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A108" i="7"/>
  <c r="B108" i="7"/>
  <c r="C108" i="7"/>
  <c r="D108" i="7"/>
  <c r="E108" i="7"/>
  <c r="F108" i="7"/>
  <c r="V108" i="7" s="1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A109" i="7"/>
  <c r="B109" i="7"/>
  <c r="C109" i="7"/>
  <c r="D109" i="7"/>
  <c r="E109" i="7"/>
  <c r="F109" i="7"/>
  <c r="V109" i="7" s="1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A110" i="7"/>
  <c r="B110" i="7"/>
  <c r="C110" i="7"/>
  <c r="D110" i="7"/>
  <c r="E110" i="7"/>
  <c r="F110" i="7"/>
  <c r="V110" i="7" s="1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A111" i="7"/>
  <c r="B111" i="7"/>
  <c r="C111" i="7"/>
  <c r="D111" i="7"/>
  <c r="E111" i="7"/>
  <c r="F111" i="7"/>
  <c r="V111" i="7" s="1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A112" i="7"/>
  <c r="B112" i="7"/>
  <c r="C112" i="7"/>
  <c r="D112" i="7"/>
  <c r="E112" i="7"/>
  <c r="F112" i="7"/>
  <c r="V112" i="7" s="1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A113" i="7"/>
  <c r="B113" i="7"/>
  <c r="C113" i="7"/>
  <c r="D113" i="7"/>
  <c r="E113" i="7"/>
  <c r="F113" i="7"/>
  <c r="V113" i="7" s="1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A114" i="7"/>
  <c r="B114" i="7"/>
  <c r="C114" i="7"/>
  <c r="D114" i="7"/>
  <c r="E114" i="7"/>
  <c r="F114" i="7"/>
  <c r="V114" i="7" s="1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A115" i="7"/>
  <c r="B115" i="7"/>
  <c r="C115" i="7"/>
  <c r="D115" i="7"/>
  <c r="E115" i="7"/>
  <c r="F115" i="7"/>
  <c r="V115" i="7" s="1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A116" i="7"/>
  <c r="B116" i="7"/>
  <c r="C116" i="7"/>
  <c r="D116" i="7"/>
  <c r="E116" i="7"/>
  <c r="F116" i="7"/>
  <c r="V116" i="7" s="1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A117" i="7"/>
  <c r="B117" i="7"/>
  <c r="C117" i="7"/>
  <c r="D117" i="7"/>
  <c r="E117" i="7"/>
  <c r="F117" i="7"/>
  <c r="V117" i="7" s="1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A118" i="7"/>
  <c r="B118" i="7"/>
  <c r="C118" i="7"/>
  <c r="D118" i="7"/>
  <c r="E118" i="7"/>
  <c r="F118" i="7"/>
  <c r="V118" i="7" s="1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A119" i="7"/>
  <c r="B119" i="7"/>
  <c r="C119" i="7"/>
  <c r="D119" i="7"/>
  <c r="E119" i="7"/>
  <c r="F119" i="7"/>
  <c r="V119" i="7" s="1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A120" i="7"/>
  <c r="B120" i="7"/>
  <c r="C120" i="7"/>
  <c r="D120" i="7"/>
  <c r="E120" i="7"/>
  <c r="F120" i="7"/>
  <c r="V120" i="7" s="1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A121" i="7"/>
  <c r="B121" i="7"/>
  <c r="C121" i="7"/>
  <c r="D121" i="7"/>
  <c r="E121" i="7"/>
  <c r="F121" i="7"/>
  <c r="V121" i="7" s="1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A122" i="7"/>
  <c r="B122" i="7"/>
  <c r="C122" i="7"/>
  <c r="D122" i="7"/>
  <c r="E122" i="7"/>
  <c r="F122" i="7"/>
  <c r="V122" i="7" s="1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A123" i="7"/>
  <c r="B123" i="7"/>
  <c r="C123" i="7"/>
  <c r="D123" i="7"/>
  <c r="E123" i="7"/>
  <c r="F123" i="7"/>
  <c r="V123" i="7" s="1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A124" i="7"/>
  <c r="B124" i="7"/>
  <c r="C124" i="7"/>
  <c r="D124" i="7"/>
  <c r="E124" i="7"/>
  <c r="F124" i="7"/>
  <c r="V124" i="7" s="1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A125" i="7"/>
  <c r="B125" i="7"/>
  <c r="C125" i="7"/>
  <c r="D125" i="7"/>
  <c r="E125" i="7"/>
  <c r="F125" i="7"/>
  <c r="V125" i="7" s="1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A126" i="7"/>
  <c r="B126" i="7"/>
  <c r="C126" i="7"/>
  <c r="D126" i="7"/>
  <c r="E126" i="7"/>
  <c r="F126" i="7"/>
  <c r="V126" i="7" s="1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A127" i="7"/>
  <c r="B127" i="7"/>
  <c r="C127" i="7"/>
  <c r="D127" i="7"/>
  <c r="E127" i="7"/>
  <c r="F127" i="7"/>
  <c r="V127" i="7" s="1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A128" i="7"/>
  <c r="B128" i="7"/>
  <c r="C128" i="7"/>
  <c r="D128" i="7"/>
  <c r="E128" i="7"/>
  <c r="F128" i="7"/>
  <c r="V128" i="7" s="1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A129" i="7"/>
  <c r="B129" i="7"/>
  <c r="C129" i="7"/>
  <c r="D129" i="7"/>
  <c r="E129" i="7"/>
  <c r="F129" i="7"/>
  <c r="V129" i="7" s="1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A130" i="7"/>
  <c r="B130" i="7"/>
  <c r="C130" i="7"/>
  <c r="D130" i="7"/>
  <c r="E130" i="7"/>
  <c r="F130" i="7"/>
  <c r="V130" i="7" s="1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A131" i="7"/>
  <c r="B131" i="7"/>
  <c r="C131" i="7"/>
  <c r="D131" i="7"/>
  <c r="E131" i="7"/>
  <c r="F131" i="7"/>
  <c r="V131" i="7" s="1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A132" i="7"/>
  <c r="B132" i="7"/>
  <c r="C132" i="7"/>
  <c r="D132" i="7"/>
  <c r="E132" i="7"/>
  <c r="F132" i="7"/>
  <c r="V132" i="7" s="1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A133" i="7"/>
  <c r="B133" i="7"/>
  <c r="C133" i="7"/>
  <c r="D133" i="7"/>
  <c r="E133" i="7"/>
  <c r="F133" i="7"/>
  <c r="V133" i="7" s="1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A134" i="7"/>
  <c r="B134" i="7"/>
  <c r="C134" i="7"/>
  <c r="D134" i="7"/>
  <c r="E134" i="7"/>
  <c r="F134" i="7"/>
  <c r="V134" i="7" s="1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A135" i="7"/>
  <c r="B135" i="7"/>
  <c r="C135" i="7"/>
  <c r="D135" i="7"/>
  <c r="E135" i="7"/>
  <c r="F135" i="7"/>
  <c r="V135" i="7" s="1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A136" i="7"/>
  <c r="B136" i="7"/>
  <c r="C136" i="7"/>
  <c r="D136" i="7"/>
  <c r="E136" i="7"/>
  <c r="F136" i="7"/>
  <c r="V136" i="7" s="1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A137" i="7"/>
  <c r="B137" i="7"/>
  <c r="C137" i="7"/>
  <c r="D137" i="7"/>
  <c r="E137" i="7"/>
  <c r="F137" i="7"/>
  <c r="V137" i="7" s="1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A138" i="7"/>
  <c r="B138" i="7"/>
  <c r="C138" i="7"/>
  <c r="D138" i="7"/>
  <c r="E138" i="7"/>
  <c r="F138" i="7"/>
  <c r="V138" i="7" s="1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A139" i="7"/>
  <c r="B139" i="7"/>
  <c r="C139" i="7"/>
  <c r="D139" i="7"/>
  <c r="E139" i="7"/>
  <c r="F139" i="7"/>
  <c r="V139" i="7" s="1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A140" i="7"/>
  <c r="B140" i="7"/>
  <c r="C140" i="7"/>
  <c r="D140" i="7"/>
  <c r="E140" i="7"/>
  <c r="F140" i="7"/>
  <c r="V140" i="7" s="1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A141" i="7"/>
  <c r="B141" i="7"/>
  <c r="C141" i="7"/>
  <c r="D141" i="7"/>
  <c r="E141" i="7"/>
  <c r="F141" i="7"/>
  <c r="V141" i="7" s="1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A142" i="7"/>
  <c r="B142" i="7"/>
  <c r="C142" i="7"/>
  <c r="D142" i="7"/>
  <c r="E142" i="7"/>
  <c r="F142" i="7"/>
  <c r="V142" i="7" s="1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A143" i="7"/>
  <c r="B143" i="7"/>
  <c r="C143" i="7"/>
  <c r="D143" i="7"/>
  <c r="E143" i="7"/>
  <c r="F143" i="7"/>
  <c r="V143" i="7" s="1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A144" i="7"/>
  <c r="B144" i="7"/>
  <c r="C144" i="7"/>
  <c r="D144" i="7"/>
  <c r="E144" i="7"/>
  <c r="F144" i="7"/>
  <c r="V144" i="7" s="1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A145" i="7"/>
  <c r="B145" i="7"/>
  <c r="C145" i="7"/>
  <c r="D145" i="7"/>
  <c r="E145" i="7"/>
  <c r="F145" i="7"/>
  <c r="V145" i="7" s="1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A146" i="7"/>
  <c r="B146" i="7"/>
  <c r="C146" i="7"/>
  <c r="D146" i="7"/>
  <c r="E146" i="7"/>
  <c r="F146" i="7"/>
  <c r="V146" i="7" s="1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A147" i="7"/>
  <c r="B147" i="7"/>
  <c r="C147" i="7"/>
  <c r="D147" i="7"/>
  <c r="E147" i="7"/>
  <c r="F147" i="7"/>
  <c r="V147" i="7" s="1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A148" i="7"/>
  <c r="B148" i="7"/>
  <c r="C148" i="7"/>
  <c r="D148" i="7"/>
  <c r="E148" i="7"/>
  <c r="F148" i="7"/>
  <c r="V148" i="7" s="1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A149" i="7"/>
  <c r="B149" i="7"/>
  <c r="C149" i="7"/>
  <c r="D149" i="7"/>
  <c r="E149" i="7"/>
  <c r="F149" i="7"/>
  <c r="V149" i="7" s="1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A150" i="7"/>
  <c r="B150" i="7"/>
  <c r="C150" i="7"/>
  <c r="D150" i="7"/>
  <c r="E150" i="7"/>
  <c r="F150" i="7"/>
  <c r="V150" i="7" s="1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A151" i="7"/>
  <c r="B151" i="7"/>
  <c r="C151" i="7"/>
  <c r="D151" i="7"/>
  <c r="E151" i="7"/>
  <c r="F151" i="7"/>
  <c r="V151" i="7" s="1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A152" i="7"/>
  <c r="B152" i="7"/>
  <c r="C152" i="7"/>
  <c r="D152" i="7"/>
  <c r="E152" i="7"/>
  <c r="F152" i="7"/>
  <c r="V152" i="7" s="1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A153" i="7"/>
  <c r="B153" i="7"/>
  <c r="C153" i="7"/>
  <c r="D153" i="7"/>
  <c r="E153" i="7"/>
  <c r="F153" i="7"/>
  <c r="V153" i="7" s="1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A154" i="7"/>
  <c r="B154" i="7"/>
  <c r="C154" i="7"/>
  <c r="D154" i="7"/>
  <c r="E154" i="7"/>
  <c r="F154" i="7"/>
  <c r="V154" i="7" s="1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A155" i="7"/>
  <c r="B155" i="7"/>
  <c r="C155" i="7"/>
  <c r="D155" i="7"/>
  <c r="E155" i="7"/>
  <c r="F155" i="7"/>
  <c r="V155" i="7" s="1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A156" i="7"/>
  <c r="B156" i="7"/>
  <c r="C156" i="7"/>
  <c r="D156" i="7"/>
  <c r="E156" i="7"/>
  <c r="F156" i="7"/>
  <c r="V156" i="7" s="1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A157" i="7"/>
  <c r="B157" i="7"/>
  <c r="C157" i="7"/>
  <c r="D157" i="7"/>
  <c r="E157" i="7"/>
  <c r="F157" i="7"/>
  <c r="V157" i="7" s="1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A158" i="7"/>
  <c r="B158" i="7"/>
  <c r="C158" i="7"/>
  <c r="D158" i="7"/>
  <c r="E158" i="7"/>
  <c r="F158" i="7"/>
  <c r="V158" i="7" s="1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A159" i="7"/>
  <c r="B159" i="7"/>
  <c r="C159" i="7"/>
  <c r="D159" i="7"/>
  <c r="E159" i="7"/>
  <c r="F159" i="7"/>
  <c r="V159" i="7" s="1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A160" i="7"/>
  <c r="B160" i="7"/>
  <c r="C160" i="7"/>
  <c r="D160" i="7"/>
  <c r="E160" i="7"/>
  <c r="F160" i="7"/>
  <c r="V160" i="7" s="1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A161" i="7"/>
  <c r="B161" i="7"/>
  <c r="C161" i="7"/>
  <c r="D161" i="7"/>
  <c r="E161" i="7"/>
  <c r="F161" i="7"/>
  <c r="V161" i="7" s="1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A162" i="7"/>
  <c r="B162" i="7"/>
  <c r="C162" i="7"/>
  <c r="D162" i="7"/>
  <c r="E162" i="7"/>
  <c r="F162" i="7"/>
  <c r="V162" i="7" s="1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A163" i="7"/>
  <c r="B163" i="7"/>
  <c r="C163" i="7"/>
  <c r="D163" i="7"/>
  <c r="E163" i="7"/>
  <c r="F163" i="7"/>
  <c r="V163" i="7" s="1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A164" i="7"/>
  <c r="B164" i="7"/>
  <c r="C164" i="7"/>
  <c r="D164" i="7"/>
  <c r="E164" i="7"/>
  <c r="F164" i="7"/>
  <c r="V164" i="7" s="1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A165" i="7"/>
  <c r="B165" i="7"/>
  <c r="C165" i="7"/>
  <c r="D165" i="7"/>
  <c r="E165" i="7"/>
  <c r="F165" i="7"/>
  <c r="V165" i="7" s="1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A166" i="7"/>
  <c r="B166" i="7"/>
  <c r="C166" i="7"/>
  <c r="D166" i="7"/>
  <c r="E166" i="7"/>
  <c r="F166" i="7"/>
  <c r="V166" i="7" s="1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A167" i="7"/>
  <c r="B167" i="7"/>
  <c r="C167" i="7"/>
  <c r="D167" i="7"/>
  <c r="E167" i="7"/>
  <c r="F167" i="7"/>
  <c r="V167" i="7" s="1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A168" i="7"/>
  <c r="B168" i="7"/>
  <c r="C168" i="7"/>
  <c r="D168" i="7"/>
  <c r="E168" i="7"/>
  <c r="F168" i="7"/>
  <c r="V168" i="7" s="1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A169" i="7"/>
  <c r="B169" i="7"/>
  <c r="C169" i="7"/>
  <c r="D169" i="7"/>
  <c r="E169" i="7"/>
  <c r="F169" i="7"/>
  <c r="V169" i="7" s="1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A170" i="7"/>
  <c r="B170" i="7"/>
  <c r="C170" i="7"/>
  <c r="D170" i="7"/>
  <c r="E170" i="7"/>
  <c r="F170" i="7"/>
  <c r="V170" i="7" s="1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A171" i="7"/>
  <c r="B171" i="7"/>
  <c r="C171" i="7"/>
  <c r="D171" i="7"/>
  <c r="E171" i="7"/>
  <c r="F171" i="7"/>
  <c r="V171" i="7" s="1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A172" i="7"/>
  <c r="B172" i="7"/>
  <c r="C172" i="7"/>
  <c r="D172" i="7"/>
  <c r="E172" i="7"/>
  <c r="F172" i="7"/>
  <c r="V172" i="7" s="1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A173" i="7"/>
  <c r="B173" i="7"/>
  <c r="C173" i="7"/>
  <c r="D173" i="7"/>
  <c r="E173" i="7"/>
  <c r="F173" i="7"/>
  <c r="V173" i="7" s="1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A174" i="7"/>
  <c r="B174" i="7"/>
  <c r="C174" i="7"/>
  <c r="D174" i="7"/>
  <c r="E174" i="7"/>
  <c r="F174" i="7"/>
  <c r="V174" i="7" s="1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A175" i="7"/>
  <c r="B175" i="7"/>
  <c r="C175" i="7"/>
  <c r="D175" i="7"/>
  <c r="E175" i="7"/>
  <c r="F175" i="7"/>
  <c r="V175" i="7" s="1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A176" i="7"/>
  <c r="B176" i="7"/>
  <c r="C176" i="7"/>
  <c r="D176" i="7"/>
  <c r="E176" i="7"/>
  <c r="F176" i="7"/>
  <c r="V176" i="7" s="1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A177" i="7"/>
  <c r="B177" i="7"/>
  <c r="C177" i="7"/>
  <c r="D177" i="7"/>
  <c r="E177" i="7"/>
  <c r="F177" i="7"/>
  <c r="V177" i="7" s="1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A178" i="7"/>
  <c r="B178" i="7"/>
  <c r="C178" i="7"/>
  <c r="D178" i="7"/>
  <c r="E178" i="7"/>
  <c r="F178" i="7"/>
  <c r="V178" i="7" s="1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A179" i="7"/>
  <c r="B179" i="7"/>
  <c r="C179" i="7"/>
  <c r="D179" i="7"/>
  <c r="E179" i="7"/>
  <c r="F179" i="7"/>
  <c r="V179" i="7" s="1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A180" i="7"/>
  <c r="B180" i="7"/>
  <c r="C180" i="7"/>
  <c r="D180" i="7"/>
  <c r="E180" i="7"/>
  <c r="F180" i="7"/>
  <c r="V180" i="7" s="1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A181" i="7"/>
  <c r="B181" i="7"/>
  <c r="C181" i="7"/>
  <c r="D181" i="7"/>
  <c r="E181" i="7"/>
  <c r="F181" i="7"/>
  <c r="V181" i="7" s="1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A182" i="7"/>
  <c r="B182" i="7"/>
  <c r="C182" i="7"/>
  <c r="D182" i="7"/>
  <c r="E182" i="7"/>
  <c r="F182" i="7"/>
  <c r="V182" i="7" s="1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A183" i="7"/>
  <c r="B183" i="7"/>
  <c r="C183" i="7"/>
  <c r="D183" i="7"/>
  <c r="E183" i="7"/>
  <c r="F183" i="7"/>
  <c r="V183" i="7" s="1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A184" i="7"/>
  <c r="B184" i="7"/>
  <c r="C184" i="7"/>
  <c r="D184" i="7"/>
  <c r="E184" i="7"/>
  <c r="F184" i="7"/>
  <c r="V184" i="7" s="1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A185" i="7"/>
  <c r="B185" i="7"/>
  <c r="C185" i="7"/>
  <c r="D185" i="7"/>
  <c r="E185" i="7"/>
  <c r="F185" i="7"/>
  <c r="V185" i="7" s="1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A186" i="7"/>
  <c r="B186" i="7"/>
  <c r="C186" i="7"/>
  <c r="D186" i="7"/>
  <c r="E186" i="7"/>
  <c r="F186" i="7"/>
  <c r="V186" i="7" s="1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A187" i="7"/>
  <c r="B187" i="7"/>
  <c r="C187" i="7"/>
  <c r="D187" i="7"/>
  <c r="E187" i="7"/>
  <c r="F187" i="7"/>
  <c r="V187" i="7" s="1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A188" i="7"/>
  <c r="B188" i="7"/>
  <c r="C188" i="7"/>
  <c r="D188" i="7"/>
  <c r="E188" i="7"/>
  <c r="F188" i="7"/>
  <c r="V188" i="7" s="1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A189" i="7"/>
  <c r="B189" i="7"/>
  <c r="C189" i="7"/>
  <c r="D189" i="7"/>
  <c r="E189" i="7"/>
  <c r="F189" i="7"/>
  <c r="V189" i="7" s="1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A190" i="7"/>
  <c r="B190" i="7"/>
  <c r="C190" i="7"/>
  <c r="D190" i="7"/>
  <c r="E190" i="7"/>
  <c r="F190" i="7"/>
  <c r="V190" i="7" s="1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A191" i="7"/>
  <c r="B191" i="7"/>
  <c r="C191" i="7"/>
  <c r="D191" i="7"/>
  <c r="E191" i="7"/>
  <c r="F191" i="7"/>
  <c r="V191" i="7" s="1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A192" i="7"/>
  <c r="B192" i="7"/>
  <c r="C192" i="7"/>
  <c r="D192" i="7"/>
  <c r="E192" i="7"/>
  <c r="F192" i="7"/>
  <c r="V192" i="7" s="1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A193" i="7"/>
  <c r="B193" i="7"/>
  <c r="C193" i="7"/>
  <c r="D193" i="7"/>
  <c r="E193" i="7"/>
  <c r="F193" i="7"/>
  <c r="V193" i="7" s="1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A194" i="7"/>
  <c r="B194" i="7"/>
  <c r="C194" i="7"/>
  <c r="D194" i="7"/>
  <c r="E194" i="7"/>
  <c r="F194" i="7"/>
  <c r="V194" i="7" s="1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A195" i="7"/>
  <c r="B195" i="7"/>
  <c r="C195" i="7"/>
  <c r="D195" i="7"/>
  <c r="E195" i="7"/>
  <c r="F195" i="7"/>
  <c r="V195" i="7" s="1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A196" i="7"/>
  <c r="B196" i="7"/>
  <c r="C196" i="7"/>
  <c r="D196" i="7"/>
  <c r="E196" i="7"/>
  <c r="F196" i="7"/>
  <c r="V196" i="7" s="1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A197" i="7"/>
  <c r="B197" i="7"/>
  <c r="C197" i="7"/>
  <c r="D197" i="7"/>
  <c r="E197" i="7"/>
  <c r="F197" i="7"/>
  <c r="V197" i="7" s="1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A198" i="7"/>
  <c r="B198" i="7"/>
  <c r="C198" i="7"/>
  <c r="D198" i="7"/>
  <c r="E198" i="7"/>
  <c r="F198" i="7"/>
  <c r="V198" i="7" s="1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A199" i="7"/>
  <c r="B199" i="7"/>
  <c r="C199" i="7"/>
  <c r="D199" i="7"/>
  <c r="E199" i="7"/>
  <c r="F199" i="7"/>
  <c r="V199" i="7" s="1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A200" i="7"/>
  <c r="B200" i="7"/>
  <c r="C200" i="7"/>
  <c r="D200" i="7"/>
  <c r="E200" i="7"/>
  <c r="F200" i="7"/>
  <c r="V200" i="7" s="1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A201" i="7"/>
  <c r="B201" i="7"/>
  <c r="C201" i="7"/>
  <c r="D201" i="7"/>
  <c r="E201" i="7"/>
  <c r="F201" i="7"/>
  <c r="V201" i="7" s="1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A202" i="7"/>
  <c r="B202" i="7"/>
  <c r="C202" i="7"/>
  <c r="D202" i="7"/>
  <c r="E202" i="7"/>
  <c r="F202" i="7"/>
  <c r="V202" i="7" s="1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A203" i="7"/>
  <c r="B203" i="7"/>
  <c r="C203" i="7"/>
  <c r="D203" i="7"/>
  <c r="E203" i="7"/>
  <c r="F203" i="7"/>
  <c r="V203" i="7" s="1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A204" i="7"/>
  <c r="B204" i="7"/>
  <c r="C204" i="7"/>
  <c r="D204" i="7"/>
  <c r="E204" i="7"/>
  <c r="F204" i="7"/>
  <c r="V204" i="7" s="1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A205" i="7"/>
  <c r="B205" i="7"/>
  <c r="C205" i="7"/>
  <c r="D205" i="7"/>
  <c r="E205" i="7"/>
  <c r="F205" i="7"/>
  <c r="V205" i="7" s="1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A206" i="7"/>
  <c r="B206" i="7"/>
  <c r="C206" i="7"/>
  <c r="D206" i="7"/>
  <c r="E206" i="7"/>
  <c r="F206" i="7"/>
  <c r="V206" i="7" s="1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A207" i="7"/>
  <c r="B207" i="7"/>
  <c r="C207" i="7"/>
  <c r="D207" i="7"/>
  <c r="E207" i="7"/>
  <c r="F207" i="7"/>
  <c r="V207" i="7" s="1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A208" i="7"/>
  <c r="B208" i="7"/>
  <c r="C208" i="7"/>
  <c r="D208" i="7"/>
  <c r="E208" i="7"/>
  <c r="F208" i="7"/>
  <c r="V208" i="7" s="1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A209" i="7"/>
  <c r="B209" i="7"/>
  <c r="C209" i="7"/>
  <c r="D209" i="7"/>
  <c r="E209" i="7"/>
  <c r="F209" i="7"/>
  <c r="V209" i="7" s="1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A210" i="7"/>
  <c r="B210" i="7"/>
  <c r="C210" i="7"/>
  <c r="D210" i="7"/>
  <c r="E210" i="7"/>
  <c r="F210" i="7"/>
  <c r="V210" i="7" s="1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A211" i="7"/>
  <c r="B211" i="7"/>
  <c r="C211" i="7"/>
  <c r="D211" i="7"/>
  <c r="E211" i="7"/>
  <c r="F211" i="7"/>
  <c r="V211" i="7" s="1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A212" i="7"/>
  <c r="B212" i="7"/>
  <c r="C212" i="7"/>
  <c r="D212" i="7"/>
  <c r="E212" i="7"/>
  <c r="F212" i="7"/>
  <c r="V212" i="7" s="1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A213" i="7"/>
  <c r="B213" i="7"/>
  <c r="C213" i="7"/>
  <c r="D213" i="7"/>
  <c r="E213" i="7"/>
  <c r="F213" i="7"/>
  <c r="V213" i="7" s="1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A214" i="7"/>
  <c r="B214" i="7"/>
  <c r="C214" i="7"/>
  <c r="D214" i="7"/>
  <c r="E214" i="7"/>
  <c r="F214" i="7"/>
  <c r="V214" i="7" s="1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A215" i="7"/>
  <c r="B215" i="7"/>
  <c r="C215" i="7"/>
  <c r="D215" i="7"/>
  <c r="E215" i="7"/>
  <c r="F215" i="7"/>
  <c r="V215" i="7" s="1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A216" i="7"/>
  <c r="B216" i="7"/>
  <c r="C216" i="7"/>
  <c r="D216" i="7"/>
  <c r="E216" i="7"/>
  <c r="F216" i="7"/>
  <c r="V216" i="7" s="1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A217" i="7"/>
  <c r="B217" i="7"/>
  <c r="C217" i="7"/>
  <c r="D217" i="7"/>
  <c r="E217" i="7"/>
  <c r="F217" i="7"/>
  <c r="V217" i="7" s="1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A218" i="7"/>
  <c r="B218" i="7"/>
  <c r="C218" i="7"/>
  <c r="D218" i="7"/>
  <c r="E218" i="7"/>
  <c r="F218" i="7"/>
  <c r="V218" i="7" s="1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A219" i="7"/>
  <c r="B219" i="7"/>
  <c r="C219" i="7"/>
  <c r="D219" i="7"/>
  <c r="E219" i="7"/>
  <c r="F219" i="7"/>
  <c r="V219" i="7" s="1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A220" i="7"/>
  <c r="B220" i="7"/>
  <c r="C220" i="7"/>
  <c r="D220" i="7"/>
  <c r="E220" i="7"/>
  <c r="F220" i="7"/>
  <c r="V220" i="7" s="1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A221" i="7"/>
  <c r="B221" i="7"/>
  <c r="C221" i="7"/>
  <c r="D221" i="7"/>
  <c r="E221" i="7"/>
  <c r="F221" i="7"/>
  <c r="V221" i="7" s="1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A222" i="7"/>
  <c r="B222" i="7"/>
  <c r="C222" i="7"/>
  <c r="D222" i="7"/>
  <c r="E222" i="7"/>
  <c r="F222" i="7"/>
  <c r="V222" i="7" s="1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A223" i="7"/>
  <c r="B223" i="7"/>
  <c r="C223" i="7"/>
  <c r="D223" i="7"/>
  <c r="E223" i="7"/>
  <c r="F223" i="7"/>
  <c r="V223" i="7" s="1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A224" i="7"/>
  <c r="B224" i="7"/>
  <c r="C224" i="7"/>
  <c r="D224" i="7"/>
  <c r="E224" i="7"/>
  <c r="F224" i="7"/>
  <c r="V224" i="7" s="1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A225" i="7"/>
  <c r="B225" i="7"/>
  <c r="C225" i="7"/>
  <c r="D225" i="7"/>
  <c r="E225" i="7"/>
  <c r="F225" i="7"/>
  <c r="V225" i="7" s="1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A226" i="7"/>
  <c r="B226" i="7"/>
  <c r="C226" i="7"/>
  <c r="D226" i="7"/>
  <c r="E226" i="7"/>
  <c r="F226" i="7"/>
  <c r="V226" i="7" s="1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A227" i="7"/>
  <c r="B227" i="7"/>
  <c r="C227" i="7"/>
  <c r="D227" i="7"/>
  <c r="E227" i="7"/>
  <c r="F227" i="7"/>
  <c r="V227" i="7" s="1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A228" i="7"/>
  <c r="B228" i="7"/>
  <c r="C228" i="7"/>
  <c r="D228" i="7"/>
  <c r="E228" i="7"/>
  <c r="F228" i="7"/>
  <c r="V228" i="7" s="1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A229" i="7"/>
  <c r="B229" i="7"/>
  <c r="C229" i="7"/>
  <c r="D229" i="7"/>
  <c r="E229" i="7"/>
  <c r="F229" i="7"/>
  <c r="V229" i="7" s="1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A230" i="7"/>
  <c r="B230" i="7"/>
  <c r="C230" i="7"/>
  <c r="D230" i="7"/>
  <c r="E230" i="7"/>
  <c r="F230" i="7"/>
  <c r="V230" i="7" s="1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A231" i="7"/>
  <c r="B231" i="7"/>
  <c r="C231" i="7"/>
  <c r="D231" i="7"/>
  <c r="E231" i="7"/>
  <c r="F231" i="7"/>
  <c r="V231" i="7" s="1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A232" i="7"/>
  <c r="B232" i="7"/>
  <c r="C232" i="7"/>
  <c r="D232" i="7"/>
  <c r="E232" i="7"/>
  <c r="F232" i="7"/>
  <c r="V232" i="7" s="1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A233" i="7"/>
  <c r="B233" i="7"/>
  <c r="C233" i="7"/>
  <c r="D233" i="7"/>
  <c r="E233" i="7"/>
  <c r="F233" i="7"/>
  <c r="V233" i="7" s="1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A234" i="7"/>
  <c r="B234" i="7"/>
  <c r="C234" i="7"/>
  <c r="D234" i="7"/>
  <c r="E234" i="7"/>
  <c r="F234" i="7"/>
  <c r="V234" i="7" s="1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A235" i="7"/>
  <c r="B235" i="7"/>
  <c r="C235" i="7"/>
  <c r="D235" i="7"/>
  <c r="E235" i="7"/>
  <c r="F235" i="7"/>
  <c r="V235" i="7" s="1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A236" i="7"/>
  <c r="B236" i="7"/>
  <c r="C236" i="7"/>
  <c r="D236" i="7"/>
  <c r="E236" i="7"/>
  <c r="F236" i="7"/>
  <c r="V236" i="7" s="1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A237" i="7"/>
  <c r="B237" i="7"/>
  <c r="C237" i="7"/>
  <c r="D237" i="7"/>
  <c r="E237" i="7"/>
  <c r="F237" i="7"/>
  <c r="V237" i="7" s="1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A238" i="7"/>
  <c r="B238" i="7"/>
  <c r="C238" i="7"/>
  <c r="D238" i="7"/>
  <c r="E238" i="7"/>
  <c r="F238" i="7"/>
  <c r="V238" i="7" s="1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A239" i="7"/>
  <c r="B239" i="7"/>
  <c r="C239" i="7"/>
  <c r="D239" i="7"/>
  <c r="E239" i="7"/>
  <c r="F239" i="7"/>
  <c r="V239" i="7" s="1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A240" i="7"/>
  <c r="B240" i="7"/>
  <c r="C240" i="7"/>
  <c r="D240" i="7"/>
  <c r="E240" i="7"/>
  <c r="F240" i="7"/>
  <c r="V240" i="7" s="1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A241" i="7"/>
  <c r="B241" i="7"/>
  <c r="C241" i="7"/>
  <c r="D241" i="7"/>
  <c r="E241" i="7"/>
  <c r="F241" i="7"/>
  <c r="V241" i="7" s="1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A242" i="7"/>
  <c r="B242" i="7"/>
  <c r="C242" i="7"/>
  <c r="D242" i="7"/>
  <c r="E242" i="7"/>
  <c r="F242" i="7"/>
  <c r="V242" i="7" s="1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A243" i="7"/>
  <c r="B243" i="7"/>
  <c r="C243" i="7"/>
  <c r="D243" i="7"/>
  <c r="E243" i="7"/>
  <c r="F243" i="7"/>
  <c r="V243" i="7" s="1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A244" i="7"/>
  <c r="B244" i="7"/>
  <c r="C244" i="7"/>
  <c r="D244" i="7"/>
  <c r="E244" i="7"/>
  <c r="F244" i="7"/>
  <c r="V244" i="7" s="1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A245" i="7"/>
  <c r="B245" i="7"/>
  <c r="C245" i="7"/>
  <c r="D245" i="7"/>
  <c r="E245" i="7"/>
  <c r="F245" i="7"/>
  <c r="V245" i="7" s="1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A246" i="7"/>
  <c r="B246" i="7"/>
  <c r="C246" i="7"/>
  <c r="D246" i="7"/>
  <c r="E246" i="7"/>
  <c r="F246" i="7"/>
  <c r="V246" i="7" s="1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A247" i="7"/>
  <c r="B247" i="7"/>
  <c r="C247" i="7"/>
  <c r="D247" i="7"/>
  <c r="E247" i="7"/>
  <c r="F247" i="7"/>
  <c r="V247" i="7" s="1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A248" i="7"/>
  <c r="B248" i="7"/>
  <c r="C248" i="7"/>
  <c r="D248" i="7"/>
  <c r="E248" i="7"/>
  <c r="F248" i="7"/>
  <c r="V248" i="7" s="1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A249" i="7"/>
  <c r="B249" i="7"/>
  <c r="C249" i="7"/>
  <c r="D249" i="7"/>
  <c r="E249" i="7"/>
  <c r="F249" i="7"/>
  <c r="V249" i="7" s="1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A250" i="7"/>
  <c r="B250" i="7"/>
  <c r="C250" i="7"/>
  <c r="D250" i="7"/>
  <c r="E250" i="7"/>
  <c r="F250" i="7"/>
  <c r="V250" i="7" s="1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A251" i="7"/>
  <c r="B251" i="7"/>
  <c r="C251" i="7"/>
  <c r="D251" i="7"/>
  <c r="E251" i="7"/>
  <c r="F251" i="7"/>
  <c r="V251" i="7" s="1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A252" i="7"/>
  <c r="B252" i="7"/>
  <c r="C252" i="7"/>
  <c r="D252" i="7"/>
  <c r="E252" i="7"/>
  <c r="F252" i="7"/>
  <c r="V252" i="7" s="1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A253" i="7"/>
  <c r="B253" i="7"/>
  <c r="C253" i="7"/>
  <c r="D253" i="7"/>
  <c r="E253" i="7"/>
  <c r="F253" i="7"/>
  <c r="V253" i="7" s="1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A254" i="7"/>
  <c r="B254" i="7"/>
  <c r="C254" i="7"/>
  <c r="D254" i="7"/>
  <c r="E254" i="7"/>
  <c r="F254" i="7"/>
  <c r="V254" i="7" s="1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A255" i="7"/>
  <c r="B255" i="7"/>
  <c r="C255" i="7"/>
  <c r="D255" i="7"/>
  <c r="E255" i="7"/>
  <c r="F255" i="7"/>
  <c r="V255" i="7" s="1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A256" i="7"/>
  <c r="B256" i="7"/>
  <c r="C256" i="7"/>
  <c r="D256" i="7"/>
  <c r="E256" i="7"/>
  <c r="F256" i="7"/>
  <c r="V256" i="7" s="1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A257" i="7"/>
  <c r="B257" i="7"/>
  <c r="C257" i="7"/>
  <c r="D257" i="7"/>
  <c r="E257" i="7"/>
  <c r="F257" i="7"/>
  <c r="V257" i="7" s="1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A258" i="7"/>
  <c r="B258" i="7"/>
  <c r="C258" i="7"/>
  <c r="D258" i="7"/>
  <c r="E258" i="7"/>
  <c r="F258" i="7"/>
  <c r="V258" i="7" s="1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A259" i="7"/>
  <c r="B259" i="7"/>
  <c r="C259" i="7"/>
  <c r="D259" i="7"/>
  <c r="E259" i="7"/>
  <c r="F259" i="7"/>
  <c r="V259" i="7" s="1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A260" i="7"/>
  <c r="B260" i="7"/>
  <c r="C260" i="7"/>
  <c r="D260" i="7"/>
  <c r="E260" i="7"/>
  <c r="F260" i="7"/>
  <c r="V260" i="7" s="1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A261" i="7"/>
  <c r="B261" i="7"/>
  <c r="C261" i="7"/>
  <c r="D261" i="7"/>
  <c r="E261" i="7"/>
  <c r="F261" i="7"/>
  <c r="V261" i="7" s="1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A262" i="7"/>
  <c r="B262" i="7"/>
  <c r="C262" i="7"/>
  <c r="D262" i="7"/>
  <c r="E262" i="7"/>
  <c r="F262" i="7"/>
  <c r="V262" i="7" s="1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A263" i="7"/>
  <c r="B263" i="7"/>
  <c r="C263" i="7"/>
  <c r="D263" i="7"/>
  <c r="E263" i="7"/>
  <c r="F263" i="7"/>
  <c r="V263" i="7" s="1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A264" i="7"/>
  <c r="B264" i="7"/>
  <c r="C264" i="7"/>
  <c r="D264" i="7"/>
  <c r="E264" i="7"/>
  <c r="F264" i="7"/>
  <c r="V264" i="7" s="1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A265" i="7"/>
  <c r="B265" i="7"/>
  <c r="C265" i="7"/>
  <c r="D265" i="7"/>
  <c r="E265" i="7"/>
  <c r="F265" i="7"/>
  <c r="V265" i="7" s="1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A266" i="7"/>
  <c r="B266" i="7"/>
  <c r="C266" i="7"/>
  <c r="D266" i="7"/>
  <c r="E266" i="7"/>
  <c r="F266" i="7"/>
  <c r="V266" i="7" s="1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A267" i="7"/>
  <c r="B267" i="7"/>
  <c r="C267" i="7"/>
  <c r="D267" i="7"/>
  <c r="E267" i="7"/>
  <c r="F267" i="7"/>
  <c r="V267" i="7" s="1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A268" i="7"/>
  <c r="B268" i="7"/>
  <c r="C268" i="7"/>
  <c r="D268" i="7"/>
  <c r="E268" i="7"/>
  <c r="F268" i="7"/>
  <c r="V268" i="7" s="1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A269" i="7"/>
  <c r="B269" i="7"/>
  <c r="C269" i="7"/>
  <c r="D269" i="7"/>
  <c r="E269" i="7"/>
  <c r="F269" i="7"/>
  <c r="V269" i="7" s="1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A270" i="7"/>
  <c r="B270" i="7"/>
  <c r="C270" i="7"/>
  <c r="D270" i="7"/>
  <c r="E270" i="7"/>
  <c r="F270" i="7"/>
  <c r="V270" i="7" s="1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A271" i="7"/>
  <c r="B271" i="7"/>
  <c r="C271" i="7"/>
  <c r="D271" i="7"/>
  <c r="E271" i="7"/>
  <c r="F271" i="7"/>
  <c r="V271" i="7" s="1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A272" i="7"/>
  <c r="B272" i="7"/>
  <c r="C272" i="7"/>
  <c r="D272" i="7"/>
  <c r="E272" i="7"/>
  <c r="F272" i="7"/>
  <c r="V272" i="7" s="1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A273" i="7"/>
  <c r="B273" i="7"/>
  <c r="C273" i="7"/>
  <c r="D273" i="7"/>
  <c r="E273" i="7"/>
  <c r="F273" i="7"/>
  <c r="V273" i="7" s="1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A274" i="7"/>
  <c r="B274" i="7"/>
  <c r="C274" i="7"/>
  <c r="D274" i="7"/>
  <c r="E274" i="7"/>
  <c r="F274" i="7"/>
  <c r="V274" i="7" s="1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A275" i="7"/>
  <c r="B275" i="7"/>
  <c r="C275" i="7"/>
  <c r="D275" i="7"/>
  <c r="E275" i="7"/>
  <c r="F275" i="7"/>
  <c r="V275" i="7" s="1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A276" i="7"/>
  <c r="B276" i="7"/>
  <c r="C276" i="7"/>
  <c r="D276" i="7"/>
  <c r="E276" i="7"/>
  <c r="F276" i="7"/>
  <c r="V276" i="7" s="1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A277" i="7"/>
  <c r="B277" i="7"/>
  <c r="C277" i="7"/>
  <c r="D277" i="7"/>
  <c r="E277" i="7"/>
  <c r="F277" i="7"/>
  <c r="V277" i="7" s="1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A278" i="7"/>
  <c r="B278" i="7"/>
  <c r="C278" i="7"/>
  <c r="D278" i="7"/>
  <c r="E278" i="7"/>
  <c r="F278" i="7"/>
  <c r="V278" i="7" s="1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A279" i="7"/>
  <c r="B279" i="7"/>
  <c r="C279" i="7"/>
  <c r="D279" i="7"/>
  <c r="E279" i="7"/>
  <c r="F279" i="7"/>
  <c r="V279" i="7" s="1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A280" i="7"/>
  <c r="B280" i="7"/>
  <c r="C280" i="7"/>
  <c r="D280" i="7"/>
  <c r="E280" i="7"/>
  <c r="F280" i="7"/>
  <c r="V280" i="7" s="1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A281" i="7"/>
  <c r="B281" i="7"/>
  <c r="C281" i="7"/>
  <c r="D281" i="7"/>
  <c r="E281" i="7"/>
  <c r="F281" i="7"/>
  <c r="V281" i="7" s="1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A282" i="7"/>
  <c r="B282" i="7"/>
  <c r="C282" i="7"/>
  <c r="D282" i="7"/>
  <c r="E282" i="7"/>
  <c r="F282" i="7"/>
  <c r="V282" i="7" s="1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A283" i="7"/>
  <c r="B283" i="7"/>
  <c r="C283" i="7"/>
  <c r="D283" i="7"/>
  <c r="E283" i="7"/>
  <c r="F283" i="7"/>
  <c r="V283" i="7" s="1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A284" i="7"/>
  <c r="B284" i="7"/>
  <c r="C284" i="7"/>
  <c r="D284" i="7"/>
  <c r="E284" i="7"/>
  <c r="F284" i="7"/>
  <c r="V284" i="7" s="1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A285" i="7"/>
  <c r="B285" i="7"/>
  <c r="C285" i="7"/>
  <c r="D285" i="7"/>
  <c r="E285" i="7"/>
  <c r="F285" i="7"/>
  <c r="V285" i="7" s="1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A286" i="7"/>
  <c r="B286" i="7"/>
  <c r="C286" i="7"/>
  <c r="D286" i="7"/>
  <c r="E286" i="7"/>
  <c r="F286" i="7"/>
  <c r="V286" i="7" s="1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A287" i="7"/>
  <c r="B287" i="7"/>
  <c r="C287" i="7"/>
  <c r="D287" i="7"/>
  <c r="E287" i="7"/>
  <c r="F287" i="7"/>
  <c r="V287" i="7" s="1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A288" i="7"/>
  <c r="B288" i="7"/>
  <c r="C288" i="7"/>
  <c r="D288" i="7"/>
  <c r="E288" i="7"/>
  <c r="F288" i="7"/>
  <c r="V288" i="7" s="1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A289" i="7"/>
  <c r="B289" i="7"/>
  <c r="C289" i="7"/>
  <c r="D289" i="7"/>
  <c r="E289" i="7"/>
  <c r="F289" i="7"/>
  <c r="V289" i="7" s="1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A290" i="7"/>
  <c r="B290" i="7"/>
  <c r="C290" i="7"/>
  <c r="D290" i="7"/>
  <c r="E290" i="7"/>
  <c r="F290" i="7"/>
  <c r="V290" i="7" s="1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A291" i="7"/>
  <c r="B291" i="7"/>
  <c r="C291" i="7"/>
  <c r="D291" i="7"/>
  <c r="E291" i="7"/>
  <c r="F291" i="7"/>
  <c r="V291" i="7" s="1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A292" i="7"/>
  <c r="B292" i="7"/>
  <c r="C292" i="7"/>
  <c r="D292" i="7"/>
  <c r="E292" i="7"/>
  <c r="F292" i="7"/>
  <c r="V292" i="7" s="1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A293" i="7"/>
  <c r="B293" i="7"/>
  <c r="C293" i="7"/>
  <c r="D293" i="7"/>
  <c r="E293" i="7"/>
  <c r="F293" i="7"/>
  <c r="V293" i="7" s="1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A294" i="7"/>
  <c r="B294" i="7"/>
  <c r="C294" i="7"/>
  <c r="D294" i="7"/>
  <c r="E294" i="7"/>
  <c r="F294" i="7"/>
  <c r="V294" i="7" s="1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A295" i="7"/>
  <c r="B295" i="7"/>
  <c r="C295" i="7"/>
  <c r="D295" i="7"/>
  <c r="E295" i="7"/>
  <c r="F295" i="7"/>
  <c r="V295" i="7" s="1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A296" i="7"/>
  <c r="B296" i="7"/>
  <c r="C296" i="7"/>
  <c r="D296" i="7"/>
  <c r="E296" i="7"/>
  <c r="F296" i="7"/>
  <c r="V296" i="7" s="1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A297" i="7"/>
  <c r="B297" i="7"/>
  <c r="C297" i="7"/>
  <c r="D297" i="7"/>
  <c r="E297" i="7"/>
  <c r="F297" i="7"/>
  <c r="V297" i="7" s="1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A298" i="7"/>
  <c r="B298" i="7"/>
  <c r="C298" i="7"/>
  <c r="D298" i="7"/>
  <c r="E298" i="7"/>
  <c r="F298" i="7"/>
  <c r="V298" i="7" s="1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A299" i="7"/>
  <c r="B299" i="7"/>
  <c r="C299" i="7"/>
  <c r="D299" i="7"/>
  <c r="E299" i="7"/>
  <c r="F299" i="7"/>
  <c r="V299" i="7" s="1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A300" i="7"/>
  <c r="B300" i="7"/>
  <c r="C300" i="7"/>
  <c r="D300" i="7"/>
  <c r="E300" i="7"/>
  <c r="F300" i="7"/>
  <c r="V300" i="7" s="1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A301" i="7"/>
  <c r="B301" i="7"/>
  <c r="C301" i="7"/>
  <c r="D301" i="7"/>
  <c r="E301" i="7"/>
  <c r="F301" i="7"/>
  <c r="V301" i="7" s="1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A302" i="7"/>
  <c r="B302" i="7"/>
  <c r="C302" i="7"/>
  <c r="D302" i="7"/>
  <c r="E302" i="7"/>
  <c r="F302" i="7"/>
  <c r="V302" i="7" s="1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A303" i="7"/>
  <c r="B303" i="7"/>
  <c r="C303" i="7"/>
  <c r="D303" i="7"/>
  <c r="E303" i="7"/>
  <c r="F303" i="7"/>
  <c r="V303" i="7" s="1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A304" i="7"/>
  <c r="B304" i="7"/>
  <c r="C304" i="7"/>
  <c r="D304" i="7"/>
  <c r="E304" i="7"/>
  <c r="F304" i="7"/>
  <c r="V304" i="7" s="1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A305" i="7"/>
  <c r="B305" i="7"/>
  <c r="C305" i="7"/>
  <c r="D305" i="7"/>
  <c r="E305" i="7"/>
  <c r="F305" i="7"/>
  <c r="V305" i="7" s="1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A306" i="7"/>
  <c r="B306" i="7"/>
  <c r="C306" i="7"/>
  <c r="D306" i="7"/>
  <c r="E306" i="7"/>
  <c r="F306" i="7"/>
  <c r="V306" i="7" s="1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A307" i="7"/>
  <c r="B307" i="7"/>
  <c r="C307" i="7"/>
  <c r="D307" i="7"/>
  <c r="E307" i="7"/>
  <c r="F307" i="7"/>
  <c r="V307" i="7" s="1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A308" i="7"/>
  <c r="B308" i="7"/>
  <c r="C308" i="7"/>
  <c r="D308" i="7"/>
  <c r="E308" i="7"/>
  <c r="F308" i="7"/>
  <c r="V308" i="7" s="1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A309" i="7"/>
  <c r="B309" i="7"/>
  <c r="C309" i="7"/>
  <c r="D309" i="7"/>
  <c r="E309" i="7"/>
  <c r="F309" i="7"/>
  <c r="V309" i="7" s="1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A310" i="7"/>
  <c r="B310" i="7"/>
  <c r="C310" i="7"/>
  <c r="D310" i="7"/>
  <c r="E310" i="7"/>
  <c r="F310" i="7"/>
  <c r="V310" i="7" s="1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A311" i="7"/>
  <c r="B311" i="7"/>
  <c r="C311" i="7"/>
  <c r="D311" i="7"/>
  <c r="E311" i="7"/>
  <c r="F311" i="7"/>
  <c r="V311" i="7" s="1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A312" i="7"/>
  <c r="B312" i="7"/>
  <c r="C312" i="7"/>
  <c r="D312" i="7"/>
  <c r="E312" i="7"/>
  <c r="F312" i="7"/>
  <c r="V312" i="7" s="1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A313" i="7"/>
  <c r="B313" i="7"/>
  <c r="C313" i="7"/>
  <c r="D313" i="7"/>
  <c r="E313" i="7"/>
  <c r="F313" i="7"/>
  <c r="V313" i="7" s="1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A314" i="7"/>
  <c r="B314" i="7"/>
  <c r="C314" i="7"/>
  <c r="D314" i="7"/>
  <c r="E314" i="7"/>
  <c r="F314" i="7"/>
  <c r="V314" i="7" s="1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A315" i="7"/>
  <c r="B315" i="7"/>
  <c r="C315" i="7"/>
  <c r="D315" i="7"/>
  <c r="E315" i="7"/>
  <c r="F315" i="7"/>
  <c r="V315" i="7" s="1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A316" i="7"/>
  <c r="B316" i="7"/>
  <c r="C316" i="7"/>
  <c r="D316" i="7"/>
  <c r="E316" i="7"/>
  <c r="F316" i="7"/>
  <c r="V316" i="7" s="1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A317" i="7"/>
  <c r="B317" i="7"/>
  <c r="C317" i="7"/>
  <c r="D317" i="7"/>
  <c r="E317" i="7"/>
  <c r="F317" i="7"/>
  <c r="V317" i="7" s="1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A318" i="7"/>
  <c r="B318" i="7"/>
  <c r="C318" i="7"/>
  <c r="D318" i="7"/>
  <c r="E318" i="7"/>
  <c r="F318" i="7"/>
  <c r="V318" i="7" s="1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A319" i="7"/>
  <c r="B319" i="7"/>
  <c r="C319" i="7"/>
  <c r="D319" i="7"/>
  <c r="E319" i="7"/>
  <c r="F319" i="7"/>
  <c r="V319" i="7" s="1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A320" i="7"/>
  <c r="B320" i="7"/>
  <c r="C320" i="7"/>
  <c r="D320" i="7"/>
  <c r="E320" i="7"/>
  <c r="F320" i="7"/>
  <c r="V320" i="7" s="1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A321" i="7"/>
  <c r="B321" i="7"/>
  <c r="C321" i="7"/>
  <c r="D321" i="7"/>
  <c r="E321" i="7"/>
  <c r="F321" i="7"/>
  <c r="V321" i="7" s="1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A322" i="7"/>
  <c r="B322" i="7"/>
  <c r="C322" i="7"/>
  <c r="D322" i="7"/>
  <c r="E322" i="7"/>
  <c r="F322" i="7"/>
  <c r="V322" i="7" s="1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A323" i="7"/>
  <c r="B323" i="7"/>
  <c r="C323" i="7"/>
  <c r="D323" i="7"/>
  <c r="E323" i="7"/>
  <c r="F323" i="7"/>
  <c r="V323" i="7" s="1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A324" i="7"/>
  <c r="B324" i="7"/>
  <c r="C324" i="7"/>
  <c r="D324" i="7"/>
  <c r="E324" i="7"/>
  <c r="F324" i="7"/>
  <c r="V324" i="7" s="1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A325" i="7"/>
  <c r="B325" i="7"/>
  <c r="C325" i="7"/>
  <c r="D325" i="7"/>
  <c r="E325" i="7"/>
  <c r="F325" i="7"/>
  <c r="V325" i="7" s="1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A326" i="7"/>
  <c r="B326" i="7"/>
  <c r="C326" i="7"/>
  <c r="D326" i="7"/>
  <c r="E326" i="7"/>
  <c r="F326" i="7"/>
  <c r="V326" i="7" s="1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A327" i="7"/>
  <c r="B327" i="7"/>
  <c r="C327" i="7"/>
  <c r="D327" i="7"/>
  <c r="E327" i="7"/>
  <c r="F327" i="7"/>
  <c r="V327" i="7" s="1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A328" i="7"/>
  <c r="B328" i="7"/>
  <c r="C328" i="7"/>
  <c r="D328" i="7"/>
  <c r="E328" i="7"/>
  <c r="F328" i="7"/>
  <c r="V328" i="7" s="1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A329" i="7"/>
  <c r="B329" i="7"/>
  <c r="C329" i="7"/>
  <c r="D329" i="7"/>
  <c r="E329" i="7"/>
  <c r="F329" i="7"/>
  <c r="V329" i="7" s="1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A330" i="7"/>
  <c r="B330" i="7"/>
  <c r="C330" i="7"/>
  <c r="D330" i="7"/>
  <c r="E330" i="7"/>
  <c r="F330" i="7"/>
  <c r="V330" i="7" s="1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A331" i="7"/>
  <c r="B331" i="7"/>
  <c r="C331" i="7"/>
  <c r="D331" i="7"/>
  <c r="E331" i="7"/>
  <c r="F331" i="7"/>
  <c r="V331" i="7" s="1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A332" i="7"/>
  <c r="B332" i="7"/>
  <c r="C332" i="7"/>
  <c r="D332" i="7"/>
  <c r="E332" i="7"/>
  <c r="F332" i="7"/>
  <c r="V332" i="7" s="1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A333" i="7"/>
  <c r="B333" i="7"/>
  <c r="C333" i="7"/>
  <c r="D333" i="7"/>
  <c r="E333" i="7"/>
  <c r="F333" i="7"/>
  <c r="V333" i="7" s="1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A334" i="7"/>
  <c r="B334" i="7"/>
  <c r="C334" i="7"/>
  <c r="D334" i="7"/>
  <c r="E334" i="7"/>
  <c r="F334" i="7"/>
  <c r="V334" i="7" s="1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A335" i="7"/>
  <c r="B335" i="7"/>
  <c r="C335" i="7"/>
  <c r="D335" i="7"/>
  <c r="E335" i="7"/>
  <c r="F335" i="7"/>
  <c r="V335" i="7" s="1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A336" i="7"/>
  <c r="B336" i="7"/>
  <c r="C336" i="7"/>
  <c r="D336" i="7"/>
  <c r="E336" i="7"/>
  <c r="F336" i="7"/>
  <c r="V336" i="7" s="1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A337" i="7"/>
  <c r="B337" i="7"/>
  <c r="C337" i="7"/>
  <c r="D337" i="7"/>
  <c r="E337" i="7"/>
  <c r="F337" i="7"/>
  <c r="V337" i="7" s="1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A338" i="7"/>
  <c r="B338" i="7"/>
  <c r="C338" i="7"/>
  <c r="D338" i="7"/>
  <c r="E338" i="7"/>
  <c r="F338" i="7"/>
  <c r="V338" i="7" s="1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A339" i="7"/>
  <c r="B339" i="7"/>
  <c r="C339" i="7"/>
  <c r="D339" i="7"/>
  <c r="E339" i="7"/>
  <c r="F339" i="7"/>
  <c r="V339" i="7" s="1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A340" i="7"/>
  <c r="B340" i="7"/>
  <c r="C340" i="7"/>
  <c r="D340" i="7"/>
  <c r="E340" i="7"/>
  <c r="F340" i="7"/>
  <c r="V340" i="7" s="1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A341" i="7"/>
  <c r="B341" i="7"/>
  <c r="C341" i="7"/>
  <c r="D341" i="7"/>
  <c r="E341" i="7"/>
  <c r="F341" i="7"/>
  <c r="V341" i="7" s="1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A342" i="7"/>
  <c r="B342" i="7"/>
  <c r="C342" i="7"/>
  <c r="D342" i="7"/>
  <c r="E342" i="7"/>
  <c r="F342" i="7"/>
  <c r="V342" i="7" s="1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A343" i="7"/>
  <c r="B343" i="7"/>
  <c r="C343" i="7"/>
  <c r="D343" i="7"/>
  <c r="E343" i="7"/>
  <c r="F343" i="7"/>
  <c r="V343" i="7" s="1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A344" i="7"/>
  <c r="B344" i="7"/>
  <c r="C344" i="7"/>
  <c r="D344" i="7"/>
  <c r="E344" i="7"/>
  <c r="F344" i="7"/>
  <c r="V344" i="7" s="1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A345" i="7"/>
  <c r="B345" i="7"/>
  <c r="C345" i="7"/>
  <c r="D345" i="7"/>
  <c r="E345" i="7"/>
  <c r="F345" i="7"/>
  <c r="V345" i="7" s="1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A346" i="7"/>
  <c r="B346" i="7"/>
  <c r="C346" i="7"/>
  <c r="D346" i="7"/>
  <c r="E346" i="7"/>
  <c r="F346" i="7"/>
  <c r="V346" i="7" s="1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A347" i="7"/>
  <c r="B347" i="7"/>
  <c r="C347" i="7"/>
  <c r="D347" i="7"/>
  <c r="E347" i="7"/>
  <c r="F347" i="7"/>
  <c r="V347" i="7" s="1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A348" i="7"/>
  <c r="B348" i="7"/>
  <c r="C348" i="7"/>
  <c r="D348" i="7"/>
  <c r="E348" i="7"/>
  <c r="F348" i="7"/>
  <c r="V348" i="7" s="1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A349" i="7"/>
  <c r="B349" i="7"/>
  <c r="C349" i="7"/>
  <c r="D349" i="7"/>
  <c r="E349" i="7"/>
  <c r="F349" i="7"/>
  <c r="V349" i="7" s="1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A350" i="7"/>
  <c r="B350" i="7"/>
  <c r="C350" i="7"/>
  <c r="D350" i="7"/>
  <c r="E350" i="7"/>
  <c r="F350" i="7"/>
  <c r="V350" i="7" s="1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A351" i="7"/>
  <c r="B351" i="7"/>
  <c r="C351" i="7"/>
  <c r="D351" i="7"/>
  <c r="E351" i="7"/>
  <c r="F351" i="7"/>
  <c r="V351" i="7" s="1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A352" i="7"/>
  <c r="B352" i="7"/>
  <c r="C352" i="7"/>
  <c r="D352" i="7"/>
  <c r="E352" i="7"/>
  <c r="F352" i="7"/>
  <c r="V352" i="7" s="1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A353" i="7"/>
  <c r="B353" i="7"/>
  <c r="C353" i="7"/>
  <c r="D353" i="7"/>
  <c r="E353" i="7"/>
  <c r="F353" i="7"/>
  <c r="V353" i="7" s="1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A354" i="7"/>
  <c r="B354" i="7"/>
  <c r="C354" i="7"/>
  <c r="D354" i="7"/>
  <c r="E354" i="7"/>
  <c r="F354" i="7"/>
  <c r="V354" i="7" s="1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A355" i="7"/>
  <c r="B355" i="7"/>
  <c r="C355" i="7"/>
  <c r="D355" i="7"/>
  <c r="E355" i="7"/>
  <c r="F355" i="7"/>
  <c r="V355" i="7" s="1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A356" i="7"/>
  <c r="B356" i="7"/>
  <c r="C356" i="7"/>
  <c r="D356" i="7"/>
  <c r="E356" i="7"/>
  <c r="F356" i="7"/>
  <c r="V356" i="7" s="1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A357" i="7"/>
  <c r="B357" i="7"/>
  <c r="C357" i="7"/>
  <c r="D357" i="7"/>
  <c r="E357" i="7"/>
  <c r="F357" i="7"/>
  <c r="V357" i="7" s="1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A358" i="7"/>
  <c r="B358" i="7"/>
  <c r="C358" i="7"/>
  <c r="D358" i="7"/>
  <c r="E358" i="7"/>
  <c r="F358" i="7"/>
  <c r="V358" i="7" s="1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A359" i="7"/>
  <c r="B359" i="7"/>
  <c r="C359" i="7"/>
  <c r="D359" i="7"/>
  <c r="E359" i="7"/>
  <c r="F359" i="7"/>
  <c r="V359" i="7" s="1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A360" i="7"/>
  <c r="B360" i="7"/>
  <c r="C360" i="7"/>
  <c r="D360" i="7"/>
  <c r="E360" i="7"/>
  <c r="F360" i="7"/>
  <c r="V360" i="7" s="1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A361" i="7"/>
  <c r="B361" i="7"/>
  <c r="C361" i="7"/>
  <c r="D361" i="7"/>
  <c r="E361" i="7"/>
  <c r="F361" i="7"/>
  <c r="V361" i="7" s="1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A362" i="7"/>
  <c r="B362" i="7"/>
  <c r="C362" i="7"/>
  <c r="D362" i="7"/>
  <c r="E362" i="7"/>
  <c r="F362" i="7"/>
  <c r="V362" i="7" s="1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A363" i="7"/>
  <c r="B363" i="7"/>
  <c r="C363" i="7"/>
  <c r="D363" i="7"/>
  <c r="E363" i="7"/>
  <c r="F363" i="7"/>
  <c r="V363" i="7" s="1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A364" i="7"/>
  <c r="B364" i="7"/>
  <c r="C364" i="7"/>
  <c r="D364" i="7"/>
  <c r="E364" i="7"/>
  <c r="F364" i="7"/>
  <c r="V364" i="7" s="1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A365" i="7"/>
  <c r="B365" i="7"/>
  <c r="C365" i="7"/>
  <c r="D365" i="7"/>
  <c r="E365" i="7"/>
  <c r="F365" i="7"/>
  <c r="V365" i="7" s="1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A366" i="7"/>
  <c r="B366" i="7"/>
  <c r="C366" i="7"/>
  <c r="D366" i="7"/>
  <c r="E366" i="7"/>
  <c r="F366" i="7"/>
  <c r="V366" i="7" s="1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A367" i="7"/>
  <c r="B367" i="7"/>
  <c r="C367" i="7"/>
  <c r="D367" i="7"/>
  <c r="E367" i="7"/>
  <c r="F367" i="7"/>
  <c r="V367" i="7" s="1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A368" i="7"/>
  <c r="B368" i="7"/>
  <c r="C368" i="7"/>
  <c r="D368" i="7"/>
  <c r="E368" i="7"/>
  <c r="F368" i="7"/>
  <c r="V368" i="7" s="1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A369" i="7"/>
  <c r="B369" i="7"/>
  <c r="C369" i="7"/>
  <c r="D369" i="7"/>
  <c r="E369" i="7"/>
  <c r="F369" i="7"/>
  <c r="V369" i="7" s="1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A370" i="7"/>
  <c r="B370" i="7"/>
  <c r="C370" i="7"/>
  <c r="D370" i="7"/>
  <c r="E370" i="7"/>
  <c r="F370" i="7"/>
  <c r="V370" i="7" s="1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A371" i="7"/>
  <c r="B371" i="7"/>
  <c r="C371" i="7"/>
  <c r="D371" i="7"/>
  <c r="E371" i="7"/>
  <c r="F371" i="7"/>
  <c r="V371" i="7" s="1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A372" i="7"/>
  <c r="B372" i="7"/>
  <c r="C372" i="7"/>
  <c r="D372" i="7"/>
  <c r="E372" i="7"/>
  <c r="F372" i="7"/>
  <c r="V372" i="7" s="1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A373" i="7"/>
  <c r="B373" i="7"/>
  <c r="C373" i="7"/>
  <c r="D373" i="7"/>
  <c r="E373" i="7"/>
  <c r="F373" i="7"/>
  <c r="V373" i="7" s="1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A374" i="7"/>
  <c r="B374" i="7"/>
  <c r="C374" i="7"/>
  <c r="D374" i="7"/>
  <c r="E374" i="7"/>
  <c r="F374" i="7"/>
  <c r="V374" i="7" s="1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A375" i="7"/>
  <c r="B375" i="7"/>
  <c r="C375" i="7"/>
  <c r="D375" i="7"/>
  <c r="E375" i="7"/>
  <c r="F375" i="7"/>
  <c r="V375" i="7" s="1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A376" i="7"/>
  <c r="B376" i="7"/>
  <c r="C376" i="7"/>
  <c r="D376" i="7"/>
  <c r="E376" i="7"/>
  <c r="F376" i="7"/>
  <c r="V376" i="7" s="1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A377" i="7"/>
  <c r="B377" i="7"/>
  <c r="C377" i="7"/>
  <c r="D377" i="7"/>
  <c r="E377" i="7"/>
  <c r="F377" i="7"/>
  <c r="V377" i="7" s="1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A378" i="7"/>
  <c r="B378" i="7"/>
  <c r="C378" i="7"/>
  <c r="D378" i="7"/>
  <c r="E378" i="7"/>
  <c r="F378" i="7"/>
  <c r="V378" i="7" s="1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A379" i="7"/>
  <c r="B379" i="7"/>
  <c r="C379" i="7"/>
  <c r="D379" i="7"/>
  <c r="E379" i="7"/>
  <c r="F379" i="7"/>
  <c r="V379" i="7" s="1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A380" i="7"/>
  <c r="B380" i="7"/>
  <c r="C380" i="7"/>
  <c r="D380" i="7"/>
  <c r="E380" i="7"/>
  <c r="F380" i="7"/>
  <c r="V380" i="7" s="1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A381" i="7"/>
  <c r="B381" i="7"/>
  <c r="C381" i="7"/>
  <c r="D381" i="7"/>
  <c r="E381" i="7"/>
  <c r="F381" i="7"/>
  <c r="V381" i="7" s="1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A382" i="7"/>
  <c r="B382" i="7"/>
  <c r="C382" i="7"/>
  <c r="D382" i="7"/>
  <c r="E382" i="7"/>
  <c r="F382" i="7"/>
  <c r="V382" i="7" s="1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A383" i="7"/>
  <c r="B383" i="7"/>
  <c r="C383" i="7"/>
  <c r="D383" i="7"/>
  <c r="E383" i="7"/>
  <c r="F383" i="7"/>
  <c r="V383" i="7" s="1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A384" i="7"/>
  <c r="B384" i="7"/>
  <c r="C384" i="7"/>
  <c r="D384" i="7"/>
  <c r="E384" i="7"/>
  <c r="F384" i="7"/>
  <c r="V384" i="7" s="1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A385" i="7"/>
  <c r="B385" i="7"/>
  <c r="C385" i="7"/>
  <c r="D385" i="7"/>
  <c r="E385" i="7"/>
  <c r="F385" i="7"/>
  <c r="V385" i="7" s="1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A386" i="7"/>
  <c r="B386" i="7"/>
  <c r="C386" i="7"/>
  <c r="D386" i="7"/>
  <c r="E386" i="7"/>
  <c r="F386" i="7"/>
  <c r="V386" i="7" s="1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A387" i="7"/>
  <c r="B387" i="7"/>
  <c r="C387" i="7"/>
  <c r="D387" i="7"/>
  <c r="E387" i="7"/>
  <c r="F387" i="7"/>
  <c r="V387" i="7" s="1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A388" i="7"/>
  <c r="B388" i="7"/>
  <c r="C388" i="7"/>
  <c r="D388" i="7"/>
  <c r="E388" i="7"/>
  <c r="F388" i="7"/>
  <c r="V388" i="7" s="1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A389" i="7"/>
  <c r="B389" i="7"/>
  <c r="C389" i="7"/>
  <c r="D389" i="7"/>
  <c r="E389" i="7"/>
  <c r="F389" i="7"/>
  <c r="V389" i="7" s="1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A390" i="7"/>
  <c r="B390" i="7"/>
  <c r="C390" i="7"/>
  <c r="D390" i="7"/>
  <c r="E390" i="7"/>
  <c r="F390" i="7"/>
  <c r="V390" i="7" s="1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A391" i="7"/>
  <c r="B391" i="7"/>
  <c r="C391" i="7"/>
  <c r="D391" i="7"/>
  <c r="E391" i="7"/>
  <c r="F391" i="7"/>
  <c r="V391" i="7" s="1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A392" i="7"/>
  <c r="B392" i="7"/>
  <c r="C392" i="7"/>
  <c r="D392" i="7"/>
  <c r="E392" i="7"/>
  <c r="F392" i="7"/>
  <c r="V392" i="7" s="1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A393" i="7"/>
  <c r="B393" i="7"/>
  <c r="C393" i="7"/>
  <c r="D393" i="7"/>
  <c r="E393" i="7"/>
  <c r="F393" i="7"/>
  <c r="V393" i="7" s="1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A394" i="7"/>
  <c r="B394" i="7"/>
  <c r="C394" i="7"/>
  <c r="D394" i="7"/>
  <c r="E394" i="7"/>
  <c r="F394" i="7"/>
  <c r="V394" i="7" s="1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A395" i="7"/>
  <c r="B395" i="7"/>
  <c r="C395" i="7"/>
  <c r="D395" i="7"/>
  <c r="E395" i="7"/>
  <c r="F395" i="7"/>
  <c r="V395" i="7" s="1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A396" i="7"/>
  <c r="B396" i="7"/>
  <c r="C396" i="7"/>
  <c r="D396" i="7"/>
  <c r="E396" i="7"/>
  <c r="F396" i="7"/>
  <c r="V396" i="7" s="1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A397" i="7"/>
  <c r="B397" i="7"/>
  <c r="C397" i="7"/>
  <c r="D397" i="7"/>
  <c r="E397" i="7"/>
  <c r="F397" i="7"/>
  <c r="V397" i="7" s="1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A398" i="7"/>
  <c r="B398" i="7"/>
  <c r="C398" i="7"/>
  <c r="D398" i="7"/>
  <c r="E398" i="7"/>
  <c r="F398" i="7"/>
  <c r="V398" i="7" s="1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A399" i="7"/>
  <c r="B399" i="7"/>
  <c r="C399" i="7"/>
  <c r="D399" i="7"/>
  <c r="E399" i="7"/>
  <c r="F399" i="7"/>
  <c r="V399" i="7" s="1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A400" i="7"/>
  <c r="B400" i="7"/>
  <c r="C400" i="7"/>
  <c r="D400" i="7"/>
  <c r="E400" i="7"/>
  <c r="F400" i="7"/>
  <c r="V400" i="7" s="1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A401" i="7"/>
  <c r="B401" i="7"/>
  <c r="C401" i="7"/>
  <c r="D401" i="7"/>
  <c r="E401" i="7"/>
  <c r="F401" i="7"/>
  <c r="V401" i="7" s="1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A402" i="7"/>
  <c r="B402" i="7"/>
  <c r="C402" i="7"/>
  <c r="D402" i="7"/>
  <c r="E402" i="7"/>
  <c r="F402" i="7"/>
  <c r="V402" i="7" s="1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A403" i="7"/>
  <c r="B403" i="7"/>
  <c r="C403" i="7"/>
  <c r="D403" i="7"/>
  <c r="E403" i="7"/>
  <c r="F403" i="7"/>
  <c r="V403" i="7" s="1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A404" i="7"/>
  <c r="B404" i="7"/>
  <c r="C404" i="7"/>
  <c r="D404" i="7"/>
  <c r="E404" i="7"/>
  <c r="F404" i="7"/>
  <c r="V404" i="7" s="1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A405" i="7"/>
  <c r="B405" i="7"/>
  <c r="C405" i="7"/>
  <c r="D405" i="7"/>
  <c r="E405" i="7"/>
  <c r="F405" i="7"/>
  <c r="V405" i="7" s="1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A406" i="7"/>
  <c r="B406" i="7"/>
  <c r="C406" i="7"/>
  <c r="D406" i="7"/>
  <c r="E406" i="7"/>
  <c r="F406" i="7"/>
  <c r="V406" i="7" s="1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A407" i="7"/>
  <c r="B407" i="7"/>
  <c r="C407" i="7"/>
  <c r="D407" i="7"/>
  <c r="E407" i="7"/>
  <c r="F407" i="7"/>
  <c r="V407" i="7" s="1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A408" i="7"/>
  <c r="B408" i="7"/>
  <c r="C408" i="7"/>
  <c r="D408" i="7"/>
  <c r="E408" i="7"/>
  <c r="F408" i="7"/>
  <c r="V408" i="7" s="1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A409" i="7"/>
  <c r="B409" i="7"/>
  <c r="C409" i="7"/>
  <c r="D409" i="7"/>
  <c r="E409" i="7"/>
  <c r="F409" i="7"/>
  <c r="V409" i="7" s="1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A410" i="7"/>
  <c r="B410" i="7"/>
  <c r="C410" i="7"/>
  <c r="D410" i="7"/>
  <c r="E410" i="7"/>
  <c r="F410" i="7"/>
  <c r="V410" i="7" s="1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A411" i="7"/>
  <c r="B411" i="7"/>
  <c r="C411" i="7"/>
  <c r="D411" i="7"/>
  <c r="E411" i="7"/>
  <c r="F411" i="7"/>
  <c r="V411" i="7" s="1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A412" i="7"/>
  <c r="B412" i="7"/>
  <c r="C412" i="7"/>
  <c r="D412" i="7"/>
  <c r="E412" i="7"/>
  <c r="F412" i="7"/>
  <c r="V412" i="7" s="1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A413" i="7"/>
  <c r="B413" i="7"/>
  <c r="C413" i="7"/>
  <c r="D413" i="7"/>
  <c r="E413" i="7"/>
  <c r="F413" i="7"/>
  <c r="V413" i="7" s="1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A414" i="7"/>
  <c r="B414" i="7"/>
  <c r="C414" i="7"/>
  <c r="D414" i="7"/>
  <c r="E414" i="7"/>
  <c r="F414" i="7"/>
  <c r="V414" i="7" s="1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A415" i="7"/>
  <c r="B415" i="7"/>
  <c r="C415" i="7"/>
  <c r="D415" i="7"/>
  <c r="E415" i="7"/>
  <c r="F415" i="7"/>
  <c r="V415" i="7" s="1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A416" i="7"/>
  <c r="B416" i="7"/>
  <c r="C416" i="7"/>
  <c r="D416" i="7"/>
  <c r="E416" i="7"/>
  <c r="F416" i="7"/>
  <c r="V416" i="7" s="1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A417" i="7"/>
  <c r="B417" i="7"/>
  <c r="C417" i="7"/>
  <c r="D417" i="7"/>
  <c r="E417" i="7"/>
  <c r="F417" i="7"/>
  <c r="V417" i="7" s="1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A418" i="7"/>
  <c r="B418" i="7"/>
  <c r="C418" i="7"/>
  <c r="D418" i="7"/>
  <c r="E418" i="7"/>
  <c r="F418" i="7"/>
  <c r="V418" i="7" s="1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A419" i="7"/>
  <c r="B419" i="7"/>
  <c r="C419" i="7"/>
  <c r="D419" i="7"/>
  <c r="E419" i="7"/>
  <c r="F419" i="7"/>
  <c r="V419" i="7" s="1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A420" i="7"/>
  <c r="B420" i="7"/>
  <c r="C420" i="7"/>
  <c r="D420" i="7"/>
  <c r="E420" i="7"/>
  <c r="F420" i="7"/>
  <c r="V420" i="7" s="1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A421" i="7"/>
  <c r="B421" i="7"/>
  <c r="C421" i="7"/>
  <c r="D421" i="7"/>
  <c r="E421" i="7"/>
  <c r="F421" i="7"/>
  <c r="V421" i="7" s="1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A422" i="7"/>
  <c r="B422" i="7"/>
  <c r="C422" i="7"/>
  <c r="D422" i="7"/>
  <c r="E422" i="7"/>
  <c r="F422" i="7"/>
  <c r="V422" i="7" s="1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A423" i="7"/>
  <c r="B423" i="7"/>
  <c r="C423" i="7"/>
  <c r="D423" i="7"/>
  <c r="E423" i="7"/>
  <c r="F423" i="7"/>
  <c r="V423" i="7" s="1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A424" i="7"/>
  <c r="B424" i="7"/>
  <c r="C424" i="7"/>
  <c r="D424" i="7"/>
  <c r="E424" i="7"/>
  <c r="F424" i="7"/>
  <c r="V424" i="7" s="1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A425" i="7"/>
  <c r="B425" i="7"/>
  <c r="C425" i="7"/>
  <c r="D425" i="7"/>
  <c r="E425" i="7"/>
  <c r="F425" i="7"/>
  <c r="V425" i="7" s="1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A426" i="7"/>
  <c r="B426" i="7"/>
  <c r="C426" i="7"/>
  <c r="D426" i="7"/>
  <c r="E426" i="7"/>
  <c r="F426" i="7"/>
  <c r="V426" i="7" s="1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A427" i="7"/>
  <c r="B427" i="7"/>
  <c r="C427" i="7"/>
  <c r="D427" i="7"/>
  <c r="E427" i="7"/>
  <c r="F427" i="7"/>
  <c r="V427" i="7" s="1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A428" i="7"/>
  <c r="B428" i="7"/>
  <c r="C428" i="7"/>
  <c r="D428" i="7"/>
  <c r="E428" i="7"/>
  <c r="F428" i="7"/>
  <c r="V428" i="7" s="1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A429" i="7"/>
  <c r="B429" i="7"/>
  <c r="C429" i="7"/>
  <c r="D429" i="7"/>
  <c r="E429" i="7"/>
  <c r="F429" i="7"/>
  <c r="V429" i="7" s="1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A430" i="7"/>
  <c r="B430" i="7"/>
  <c r="C430" i="7"/>
  <c r="D430" i="7"/>
  <c r="E430" i="7"/>
  <c r="F430" i="7"/>
  <c r="V430" i="7" s="1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A431" i="7"/>
  <c r="B431" i="7"/>
  <c r="C431" i="7"/>
  <c r="D431" i="7"/>
  <c r="E431" i="7"/>
  <c r="F431" i="7"/>
  <c r="V431" i="7" s="1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A432" i="7"/>
  <c r="B432" i="7"/>
  <c r="C432" i="7"/>
  <c r="D432" i="7"/>
  <c r="E432" i="7"/>
  <c r="F432" i="7"/>
  <c r="V432" i="7" s="1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A433" i="7"/>
  <c r="B433" i="7"/>
  <c r="C433" i="7"/>
  <c r="D433" i="7"/>
  <c r="E433" i="7"/>
  <c r="F433" i="7"/>
  <c r="V433" i="7" s="1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A434" i="7"/>
  <c r="B434" i="7"/>
  <c r="C434" i="7"/>
  <c r="D434" i="7"/>
  <c r="E434" i="7"/>
  <c r="F434" i="7"/>
  <c r="V434" i="7" s="1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A435" i="7"/>
  <c r="B435" i="7"/>
  <c r="C435" i="7"/>
  <c r="D435" i="7"/>
  <c r="E435" i="7"/>
  <c r="F435" i="7"/>
  <c r="V435" i="7" s="1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A436" i="7"/>
  <c r="B436" i="7"/>
  <c r="C436" i="7"/>
  <c r="D436" i="7"/>
  <c r="E436" i="7"/>
  <c r="F436" i="7"/>
  <c r="V436" i="7" s="1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A437" i="7"/>
  <c r="B437" i="7"/>
  <c r="C437" i="7"/>
  <c r="D437" i="7"/>
  <c r="E437" i="7"/>
  <c r="F437" i="7"/>
  <c r="V437" i="7" s="1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A438" i="7"/>
  <c r="B438" i="7"/>
  <c r="C438" i="7"/>
  <c r="D438" i="7"/>
  <c r="E438" i="7"/>
  <c r="F438" i="7"/>
  <c r="V438" i="7" s="1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A439" i="7"/>
  <c r="B439" i="7"/>
  <c r="C439" i="7"/>
  <c r="D439" i="7"/>
  <c r="E439" i="7"/>
  <c r="F439" i="7"/>
  <c r="V439" i="7" s="1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A440" i="7"/>
  <c r="B440" i="7"/>
  <c r="C440" i="7"/>
  <c r="D440" i="7"/>
  <c r="E440" i="7"/>
  <c r="F440" i="7"/>
  <c r="V440" i="7" s="1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A441" i="7"/>
  <c r="B441" i="7"/>
  <c r="C441" i="7"/>
  <c r="D441" i="7"/>
  <c r="E441" i="7"/>
  <c r="F441" i="7"/>
  <c r="V441" i="7" s="1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A442" i="7"/>
  <c r="B442" i="7"/>
  <c r="C442" i="7"/>
  <c r="D442" i="7"/>
  <c r="E442" i="7"/>
  <c r="F442" i="7"/>
  <c r="V442" i="7" s="1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A443" i="7"/>
  <c r="B443" i="7"/>
  <c r="C443" i="7"/>
  <c r="D443" i="7"/>
  <c r="E443" i="7"/>
  <c r="F443" i="7"/>
  <c r="V443" i="7" s="1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A444" i="7"/>
  <c r="B444" i="7"/>
  <c r="C444" i="7"/>
  <c r="D444" i="7"/>
  <c r="E444" i="7"/>
  <c r="F444" i="7"/>
  <c r="V444" i="7" s="1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A445" i="7"/>
  <c r="B445" i="7"/>
  <c r="C445" i="7"/>
  <c r="D445" i="7"/>
  <c r="E445" i="7"/>
  <c r="F445" i="7"/>
  <c r="V445" i="7" s="1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A446" i="7"/>
  <c r="B446" i="7"/>
  <c r="C446" i="7"/>
  <c r="D446" i="7"/>
  <c r="E446" i="7"/>
  <c r="F446" i="7"/>
  <c r="V446" i="7" s="1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A447" i="7"/>
  <c r="B447" i="7"/>
  <c r="C447" i="7"/>
  <c r="D447" i="7"/>
  <c r="E447" i="7"/>
  <c r="F447" i="7"/>
  <c r="V447" i="7" s="1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A448" i="7"/>
  <c r="B448" i="7"/>
  <c r="C448" i="7"/>
  <c r="D448" i="7"/>
  <c r="E448" i="7"/>
  <c r="F448" i="7"/>
  <c r="V448" i="7" s="1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A449" i="7"/>
  <c r="B449" i="7"/>
  <c r="C449" i="7"/>
  <c r="D449" i="7"/>
  <c r="E449" i="7"/>
  <c r="F449" i="7"/>
  <c r="V449" i="7" s="1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A450" i="7"/>
  <c r="B450" i="7"/>
  <c r="C450" i="7"/>
  <c r="D450" i="7"/>
  <c r="E450" i="7"/>
  <c r="F450" i="7"/>
  <c r="V450" i="7" s="1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A451" i="7"/>
  <c r="B451" i="7"/>
  <c r="C451" i="7"/>
  <c r="D451" i="7"/>
  <c r="E451" i="7"/>
  <c r="F451" i="7"/>
  <c r="V451" i="7" s="1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A452" i="7"/>
  <c r="B452" i="7"/>
  <c r="C452" i="7"/>
  <c r="D452" i="7"/>
  <c r="E452" i="7"/>
  <c r="F452" i="7"/>
  <c r="V452" i="7" s="1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A453" i="7"/>
  <c r="B453" i="7"/>
  <c r="C453" i="7"/>
  <c r="D453" i="7"/>
  <c r="E453" i="7"/>
  <c r="F453" i="7"/>
  <c r="V453" i="7" s="1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A454" i="7"/>
  <c r="B454" i="7"/>
  <c r="C454" i="7"/>
  <c r="D454" i="7"/>
  <c r="E454" i="7"/>
  <c r="F454" i="7"/>
  <c r="V454" i="7" s="1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A455" i="7"/>
  <c r="B455" i="7"/>
  <c r="C455" i="7"/>
  <c r="D455" i="7"/>
  <c r="E455" i="7"/>
  <c r="F455" i="7"/>
  <c r="V455" i="7" s="1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A456" i="7"/>
  <c r="B456" i="7"/>
  <c r="C456" i="7"/>
  <c r="D456" i="7"/>
  <c r="E456" i="7"/>
  <c r="F456" i="7"/>
  <c r="V456" i="7" s="1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A457" i="7"/>
  <c r="B457" i="7"/>
  <c r="C457" i="7"/>
  <c r="D457" i="7"/>
  <c r="E457" i="7"/>
  <c r="F457" i="7"/>
  <c r="V457" i="7" s="1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A458" i="7"/>
  <c r="B458" i="7"/>
  <c r="C458" i="7"/>
  <c r="D458" i="7"/>
  <c r="E458" i="7"/>
  <c r="F458" i="7"/>
  <c r="V458" i="7" s="1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A459" i="7"/>
  <c r="B459" i="7"/>
  <c r="C459" i="7"/>
  <c r="D459" i="7"/>
  <c r="E459" i="7"/>
  <c r="F459" i="7"/>
  <c r="V459" i="7" s="1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A460" i="7"/>
  <c r="B460" i="7"/>
  <c r="C460" i="7"/>
  <c r="D460" i="7"/>
  <c r="E460" i="7"/>
  <c r="F460" i="7"/>
  <c r="V460" i="7" s="1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A461" i="7"/>
  <c r="B461" i="7"/>
  <c r="C461" i="7"/>
  <c r="D461" i="7"/>
  <c r="E461" i="7"/>
  <c r="F461" i="7"/>
  <c r="V461" i="7" s="1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A462" i="7"/>
  <c r="B462" i="7"/>
  <c r="C462" i="7"/>
  <c r="D462" i="7"/>
  <c r="E462" i="7"/>
  <c r="F462" i="7"/>
  <c r="V462" i="7" s="1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A463" i="7"/>
  <c r="B463" i="7"/>
  <c r="C463" i="7"/>
  <c r="D463" i="7"/>
  <c r="E463" i="7"/>
  <c r="F463" i="7"/>
  <c r="V463" i="7" s="1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A464" i="7"/>
  <c r="B464" i="7"/>
  <c r="C464" i="7"/>
  <c r="D464" i="7"/>
  <c r="E464" i="7"/>
  <c r="F464" i="7"/>
  <c r="V464" i="7" s="1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A465" i="7"/>
  <c r="B465" i="7"/>
  <c r="C465" i="7"/>
  <c r="D465" i="7"/>
  <c r="E465" i="7"/>
  <c r="F465" i="7"/>
  <c r="V465" i="7" s="1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A466" i="7"/>
  <c r="B466" i="7"/>
  <c r="C466" i="7"/>
  <c r="D466" i="7"/>
  <c r="E466" i="7"/>
  <c r="F466" i="7"/>
  <c r="V466" i="7" s="1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A467" i="7"/>
  <c r="B467" i="7"/>
  <c r="C467" i="7"/>
  <c r="D467" i="7"/>
  <c r="E467" i="7"/>
  <c r="F467" i="7"/>
  <c r="V467" i="7" s="1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A468" i="7"/>
  <c r="B468" i="7"/>
  <c r="C468" i="7"/>
  <c r="D468" i="7"/>
  <c r="E468" i="7"/>
  <c r="F468" i="7"/>
  <c r="V468" i="7" s="1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A469" i="7"/>
  <c r="B469" i="7"/>
  <c r="C469" i="7"/>
  <c r="D469" i="7"/>
  <c r="E469" i="7"/>
  <c r="F469" i="7"/>
  <c r="V469" i="7" s="1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A470" i="7"/>
  <c r="B470" i="7"/>
  <c r="C470" i="7"/>
  <c r="D470" i="7"/>
  <c r="E470" i="7"/>
  <c r="F470" i="7"/>
  <c r="V470" i="7" s="1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A471" i="7"/>
  <c r="B471" i="7"/>
  <c r="C471" i="7"/>
  <c r="D471" i="7"/>
  <c r="E471" i="7"/>
  <c r="F471" i="7"/>
  <c r="V471" i="7" s="1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A472" i="7"/>
  <c r="B472" i="7"/>
  <c r="C472" i="7"/>
  <c r="D472" i="7"/>
  <c r="E472" i="7"/>
  <c r="F472" i="7"/>
  <c r="V472" i="7" s="1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A473" i="7"/>
  <c r="B473" i="7"/>
  <c r="C473" i="7"/>
  <c r="D473" i="7"/>
  <c r="E473" i="7"/>
  <c r="F473" i="7"/>
  <c r="V473" i="7" s="1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A474" i="7"/>
  <c r="B474" i="7"/>
  <c r="C474" i="7"/>
  <c r="D474" i="7"/>
  <c r="E474" i="7"/>
  <c r="F474" i="7"/>
  <c r="V474" i="7" s="1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A475" i="7"/>
  <c r="B475" i="7"/>
  <c r="C475" i="7"/>
  <c r="D475" i="7"/>
  <c r="E475" i="7"/>
  <c r="F475" i="7"/>
  <c r="V475" i="7" s="1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A476" i="7"/>
  <c r="B476" i="7"/>
  <c r="C476" i="7"/>
  <c r="D476" i="7"/>
  <c r="E476" i="7"/>
  <c r="F476" i="7"/>
  <c r="V476" i="7" s="1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A477" i="7"/>
  <c r="B477" i="7"/>
  <c r="C477" i="7"/>
  <c r="D477" i="7"/>
  <c r="E477" i="7"/>
  <c r="F477" i="7"/>
  <c r="V477" i="7" s="1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A478" i="7"/>
  <c r="B478" i="7"/>
  <c r="C478" i="7"/>
  <c r="D478" i="7"/>
  <c r="E478" i="7"/>
  <c r="F478" i="7"/>
  <c r="V478" i="7" s="1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A479" i="7"/>
  <c r="B479" i="7"/>
  <c r="C479" i="7"/>
  <c r="D479" i="7"/>
  <c r="E479" i="7"/>
  <c r="F479" i="7"/>
  <c r="V479" i="7" s="1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A480" i="7"/>
  <c r="B480" i="7"/>
  <c r="C480" i="7"/>
  <c r="D480" i="7"/>
  <c r="E480" i="7"/>
  <c r="F480" i="7"/>
  <c r="V480" i="7" s="1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A481" i="7"/>
  <c r="B481" i="7"/>
  <c r="C481" i="7"/>
  <c r="D481" i="7"/>
  <c r="E481" i="7"/>
  <c r="F481" i="7"/>
  <c r="V481" i="7" s="1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A482" i="7"/>
  <c r="B482" i="7"/>
  <c r="C482" i="7"/>
  <c r="D482" i="7"/>
  <c r="E482" i="7"/>
  <c r="F482" i="7"/>
  <c r="V482" i="7" s="1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A483" i="7"/>
  <c r="B483" i="7"/>
  <c r="C483" i="7"/>
  <c r="D483" i="7"/>
  <c r="E483" i="7"/>
  <c r="F483" i="7"/>
  <c r="V483" i="7" s="1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A484" i="7"/>
  <c r="B484" i="7"/>
  <c r="C484" i="7"/>
  <c r="D484" i="7"/>
  <c r="E484" i="7"/>
  <c r="F484" i="7"/>
  <c r="V484" i="7" s="1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A485" i="7"/>
  <c r="B485" i="7"/>
  <c r="C485" i="7"/>
  <c r="D485" i="7"/>
  <c r="E485" i="7"/>
  <c r="F485" i="7"/>
  <c r="V485" i="7" s="1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A486" i="7"/>
  <c r="B486" i="7"/>
  <c r="C486" i="7"/>
  <c r="D486" i="7"/>
  <c r="E486" i="7"/>
  <c r="F486" i="7"/>
  <c r="V486" i="7" s="1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A487" i="7"/>
  <c r="B487" i="7"/>
  <c r="C487" i="7"/>
  <c r="D487" i="7"/>
  <c r="E487" i="7"/>
  <c r="F487" i="7"/>
  <c r="V487" i="7" s="1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A488" i="7"/>
  <c r="B488" i="7"/>
  <c r="C488" i="7"/>
  <c r="D488" i="7"/>
  <c r="E488" i="7"/>
  <c r="F488" i="7"/>
  <c r="V488" i="7" s="1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A489" i="7"/>
  <c r="B489" i="7"/>
  <c r="C489" i="7"/>
  <c r="D489" i="7"/>
  <c r="E489" i="7"/>
  <c r="F489" i="7"/>
  <c r="V489" i="7" s="1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A490" i="7"/>
  <c r="B490" i="7"/>
  <c r="C490" i="7"/>
  <c r="D490" i="7"/>
  <c r="E490" i="7"/>
  <c r="F490" i="7"/>
  <c r="V490" i="7" s="1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A491" i="7"/>
  <c r="B491" i="7"/>
  <c r="C491" i="7"/>
  <c r="D491" i="7"/>
  <c r="E491" i="7"/>
  <c r="F491" i="7"/>
  <c r="V491" i="7" s="1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A492" i="7"/>
  <c r="B492" i="7"/>
  <c r="C492" i="7"/>
  <c r="D492" i="7"/>
  <c r="E492" i="7"/>
  <c r="F492" i="7"/>
  <c r="V492" i="7" s="1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A493" i="7"/>
  <c r="B493" i="7"/>
  <c r="C493" i="7"/>
  <c r="D493" i="7"/>
  <c r="E493" i="7"/>
  <c r="F493" i="7"/>
  <c r="V493" i="7" s="1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A494" i="7"/>
  <c r="B494" i="7"/>
  <c r="C494" i="7"/>
  <c r="D494" i="7"/>
  <c r="E494" i="7"/>
  <c r="F494" i="7"/>
  <c r="V494" i="7" s="1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A495" i="7"/>
  <c r="B495" i="7"/>
  <c r="C495" i="7"/>
  <c r="D495" i="7"/>
  <c r="E495" i="7"/>
  <c r="F495" i="7"/>
  <c r="V495" i="7" s="1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A496" i="7"/>
  <c r="B496" i="7"/>
  <c r="C496" i="7"/>
  <c r="D496" i="7"/>
  <c r="E496" i="7"/>
  <c r="F496" i="7"/>
  <c r="V496" i="7" s="1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A497" i="7"/>
  <c r="B497" i="7"/>
  <c r="C497" i="7"/>
  <c r="D497" i="7"/>
  <c r="E497" i="7"/>
  <c r="F497" i="7"/>
  <c r="V497" i="7" s="1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A498" i="7"/>
  <c r="B498" i="7"/>
  <c r="C498" i="7"/>
  <c r="D498" i="7"/>
  <c r="E498" i="7"/>
  <c r="F498" i="7"/>
  <c r="V498" i="7" s="1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A499" i="7"/>
  <c r="B499" i="7"/>
  <c r="C499" i="7"/>
  <c r="D499" i="7"/>
  <c r="E499" i="7"/>
  <c r="F499" i="7"/>
  <c r="V499" i="7" s="1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A500" i="7"/>
  <c r="B500" i="7"/>
  <c r="C500" i="7"/>
  <c r="D500" i="7"/>
  <c r="E500" i="7"/>
  <c r="F500" i="7"/>
  <c r="V500" i="7" s="1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A501" i="7"/>
  <c r="B501" i="7"/>
  <c r="C501" i="7"/>
  <c r="D501" i="7"/>
  <c r="E501" i="7"/>
  <c r="F501" i="7"/>
  <c r="V501" i="7" s="1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A502" i="7"/>
  <c r="B502" i="7"/>
  <c r="C502" i="7"/>
  <c r="D502" i="7"/>
  <c r="E502" i="7"/>
  <c r="F502" i="7"/>
  <c r="V502" i="7" s="1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A503" i="7"/>
  <c r="B503" i="7"/>
  <c r="C503" i="7"/>
  <c r="D503" i="7"/>
  <c r="E503" i="7"/>
  <c r="F503" i="7"/>
  <c r="V503" i="7" s="1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A504" i="7"/>
  <c r="B504" i="7"/>
  <c r="C504" i="7"/>
  <c r="D504" i="7"/>
  <c r="E504" i="7"/>
  <c r="F504" i="7"/>
  <c r="V504" i="7" s="1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A505" i="7"/>
  <c r="B505" i="7"/>
  <c r="C505" i="7"/>
  <c r="D505" i="7"/>
  <c r="E505" i="7"/>
  <c r="F505" i="7"/>
  <c r="V505" i="7" s="1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A506" i="7"/>
  <c r="B506" i="7"/>
  <c r="C506" i="7"/>
  <c r="D506" i="7"/>
  <c r="E506" i="7"/>
  <c r="F506" i="7"/>
  <c r="V506" i="7" s="1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A507" i="7"/>
  <c r="B507" i="7"/>
  <c r="C507" i="7"/>
  <c r="D507" i="7"/>
  <c r="E507" i="7"/>
  <c r="F507" i="7"/>
  <c r="V507" i="7" s="1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A508" i="7"/>
  <c r="B508" i="7"/>
  <c r="C508" i="7"/>
  <c r="D508" i="7"/>
  <c r="E508" i="7"/>
  <c r="F508" i="7"/>
  <c r="V508" i="7" s="1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A509" i="7"/>
  <c r="B509" i="7"/>
  <c r="C509" i="7"/>
  <c r="D509" i="7"/>
  <c r="E509" i="7"/>
  <c r="F509" i="7"/>
  <c r="V509" i="7" s="1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A510" i="7"/>
  <c r="B510" i="7"/>
  <c r="C510" i="7"/>
  <c r="D510" i="7"/>
  <c r="E510" i="7"/>
  <c r="F510" i="7"/>
  <c r="V510" i="7" s="1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A511" i="7"/>
  <c r="B511" i="7"/>
  <c r="C511" i="7"/>
  <c r="D511" i="7"/>
  <c r="E511" i="7"/>
  <c r="F511" i="7"/>
  <c r="V511" i="7" s="1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A512" i="7"/>
  <c r="B512" i="7"/>
  <c r="C512" i="7"/>
  <c r="D512" i="7"/>
  <c r="E512" i="7"/>
  <c r="F512" i="7"/>
  <c r="V512" i="7" s="1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A513" i="7"/>
  <c r="B513" i="7"/>
  <c r="C513" i="7"/>
  <c r="D513" i="7"/>
  <c r="E513" i="7"/>
  <c r="F513" i="7"/>
  <c r="V513" i="7" s="1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A514" i="7"/>
  <c r="B514" i="7"/>
  <c r="C514" i="7"/>
  <c r="D514" i="7"/>
  <c r="E514" i="7"/>
  <c r="F514" i="7"/>
  <c r="V514" i="7" s="1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A515" i="7"/>
  <c r="B515" i="7"/>
  <c r="C515" i="7"/>
  <c r="D515" i="7"/>
  <c r="E515" i="7"/>
  <c r="F515" i="7"/>
  <c r="V515" i="7" s="1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A516" i="7"/>
  <c r="B516" i="7"/>
  <c r="C516" i="7"/>
  <c r="D516" i="7"/>
  <c r="E516" i="7"/>
  <c r="F516" i="7"/>
  <c r="V516" i="7" s="1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A517" i="7"/>
  <c r="B517" i="7"/>
  <c r="C517" i="7"/>
  <c r="D517" i="7"/>
  <c r="E517" i="7"/>
  <c r="F517" i="7"/>
  <c r="V517" i="7" s="1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A518" i="7"/>
  <c r="B518" i="7"/>
  <c r="C518" i="7"/>
  <c r="D518" i="7"/>
  <c r="E518" i="7"/>
  <c r="F518" i="7"/>
  <c r="V518" i="7" s="1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A519" i="7"/>
  <c r="B519" i="7"/>
  <c r="C519" i="7"/>
  <c r="D519" i="7"/>
  <c r="E519" i="7"/>
  <c r="F519" i="7"/>
  <c r="V519" i="7" s="1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A520" i="7"/>
  <c r="B520" i="7"/>
  <c r="C520" i="7"/>
  <c r="D520" i="7"/>
  <c r="E520" i="7"/>
  <c r="F520" i="7"/>
  <c r="V520" i="7" s="1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A521" i="7"/>
  <c r="B521" i="7"/>
  <c r="C521" i="7"/>
  <c r="D521" i="7"/>
  <c r="E521" i="7"/>
  <c r="F521" i="7"/>
  <c r="V521" i="7" s="1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A522" i="7"/>
  <c r="B522" i="7"/>
  <c r="C522" i="7"/>
  <c r="D522" i="7"/>
  <c r="E522" i="7"/>
  <c r="F522" i="7"/>
  <c r="V522" i="7" s="1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A523" i="7"/>
  <c r="B523" i="7"/>
  <c r="C523" i="7"/>
  <c r="D523" i="7"/>
  <c r="E523" i="7"/>
  <c r="F523" i="7"/>
  <c r="V523" i="7" s="1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A524" i="7"/>
  <c r="B524" i="7"/>
  <c r="C524" i="7"/>
  <c r="D524" i="7"/>
  <c r="E524" i="7"/>
  <c r="F524" i="7"/>
  <c r="V524" i="7" s="1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A525" i="7"/>
  <c r="B525" i="7"/>
  <c r="C525" i="7"/>
  <c r="D525" i="7"/>
  <c r="E525" i="7"/>
  <c r="F525" i="7"/>
  <c r="V525" i="7" s="1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A526" i="7"/>
  <c r="B526" i="7"/>
  <c r="C526" i="7"/>
  <c r="D526" i="7"/>
  <c r="E526" i="7"/>
  <c r="F526" i="7"/>
  <c r="V526" i="7" s="1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A527" i="7"/>
  <c r="B527" i="7"/>
  <c r="C527" i="7"/>
  <c r="D527" i="7"/>
  <c r="E527" i="7"/>
  <c r="F527" i="7"/>
  <c r="V527" i="7" s="1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A528" i="7"/>
  <c r="B528" i="7"/>
  <c r="C528" i="7"/>
  <c r="D528" i="7"/>
  <c r="E528" i="7"/>
  <c r="F528" i="7"/>
  <c r="V528" i="7" s="1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A529" i="7"/>
  <c r="B529" i="7"/>
  <c r="C529" i="7"/>
  <c r="D529" i="7"/>
  <c r="E529" i="7"/>
  <c r="F529" i="7"/>
  <c r="V529" i="7" s="1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A530" i="7"/>
  <c r="B530" i="7"/>
  <c r="C530" i="7"/>
  <c r="D530" i="7"/>
  <c r="E530" i="7"/>
  <c r="F530" i="7"/>
  <c r="V530" i="7" s="1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A531" i="7"/>
  <c r="B531" i="7"/>
  <c r="C531" i="7"/>
  <c r="D531" i="7"/>
  <c r="E531" i="7"/>
  <c r="F531" i="7"/>
  <c r="V531" i="7" s="1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A532" i="7"/>
  <c r="B532" i="7"/>
  <c r="C532" i="7"/>
  <c r="D532" i="7"/>
  <c r="E532" i="7"/>
  <c r="F532" i="7"/>
  <c r="V532" i="7" s="1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A533" i="7"/>
  <c r="B533" i="7"/>
  <c r="C533" i="7"/>
  <c r="D533" i="7"/>
  <c r="E533" i="7"/>
  <c r="F533" i="7"/>
  <c r="V533" i="7" s="1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A534" i="7"/>
  <c r="B534" i="7"/>
  <c r="C534" i="7"/>
  <c r="D534" i="7"/>
  <c r="E534" i="7"/>
  <c r="F534" i="7"/>
  <c r="V534" i="7" s="1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A535" i="7"/>
  <c r="B535" i="7"/>
  <c r="C535" i="7"/>
  <c r="D535" i="7"/>
  <c r="E535" i="7"/>
  <c r="F535" i="7"/>
  <c r="V535" i="7" s="1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A536" i="7"/>
  <c r="B536" i="7"/>
  <c r="C536" i="7"/>
  <c r="D536" i="7"/>
  <c r="E536" i="7"/>
  <c r="F536" i="7"/>
  <c r="V536" i="7" s="1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A537" i="7"/>
  <c r="B537" i="7"/>
  <c r="C537" i="7"/>
  <c r="D537" i="7"/>
  <c r="E537" i="7"/>
  <c r="F537" i="7"/>
  <c r="V537" i="7" s="1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A538" i="7"/>
  <c r="B538" i="7"/>
  <c r="C538" i="7"/>
  <c r="D538" i="7"/>
  <c r="E538" i="7"/>
  <c r="F538" i="7"/>
  <c r="V538" i="7" s="1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A539" i="7"/>
  <c r="B539" i="7"/>
  <c r="C539" i="7"/>
  <c r="D539" i="7"/>
  <c r="E539" i="7"/>
  <c r="F539" i="7"/>
  <c r="V539" i="7" s="1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A540" i="7"/>
  <c r="B540" i="7"/>
  <c r="C540" i="7"/>
  <c r="D540" i="7"/>
  <c r="E540" i="7"/>
  <c r="F540" i="7"/>
  <c r="V540" i="7" s="1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A541" i="7"/>
  <c r="B541" i="7"/>
  <c r="C541" i="7"/>
  <c r="D541" i="7"/>
  <c r="E541" i="7"/>
  <c r="F541" i="7"/>
  <c r="V541" i="7" s="1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A542" i="7"/>
  <c r="B542" i="7"/>
  <c r="C542" i="7"/>
  <c r="D542" i="7"/>
  <c r="E542" i="7"/>
  <c r="F542" i="7"/>
  <c r="V542" i="7" s="1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A543" i="7"/>
  <c r="B543" i="7"/>
  <c r="C543" i="7"/>
  <c r="D543" i="7"/>
  <c r="E543" i="7"/>
  <c r="F543" i="7"/>
  <c r="V543" i="7" s="1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A544" i="7"/>
  <c r="B544" i="7"/>
  <c r="C544" i="7"/>
  <c r="D544" i="7"/>
  <c r="E544" i="7"/>
  <c r="F544" i="7"/>
  <c r="V544" i="7" s="1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A545" i="7"/>
  <c r="B545" i="7"/>
  <c r="C545" i="7"/>
  <c r="D545" i="7"/>
  <c r="E545" i="7"/>
  <c r="F545" i="7"/>
  <c r="V545" i="7" s="1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A546" i="7"/>
  <c r="B546" i="7"/>
  <c r="C546" i="7"/>
  <c r="D546" i="7"/>
  <c r="E546" i="7"/>
  <c r="F546" i="7"/>
  <c r="V546" i="7" s="1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A547" i="7"/>
  <c r="B547" i="7"/>
  <c r="C547" i="7"/>
  <c r="D547" i="7"/>
  <c r="E547" i="7"/>
  <c r="F547" i="7"/>
  <c r="V547" i="7" s="1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A548" i="7"/>
  <c r="B548" i="7"/>
  <c r="C548" i="7"/>
  <c r="D548" i="7"/>
  <c r="E548" i="7"/>
  <c r="F548" i="7"/>
  <c r="V548" i="7" s="1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A549" i="7"/>
  <c r="B549" i="7"/>
  <c r="C549" i="7"/>
  <c r="D549" i="7"/>
  <c r="E549" i="7"/>
  <c r="F549" i="7"/>
  <c r="V549" i="7" s="1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A550" i="7"/>
  <c r="B550" i="7"/>
  <c r="C550" i="7"/>
  <c r="D550" i="7"/>
  <c r="E550" i="7"/>
  <c r="F550" i="7"/>
  <c r="V550" i="7" s="1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A551" i="7"/>
  <c r="B551" i="7"/>
  <c r="C551" i="7"/>
  <c r="D551" i="7"/>
  <c r="E551" i="7"/>
  <c r="F551" i="7"/>
  <c r="V551" i="7" s="1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A552" i="7"/>
  <c r="B552" i="7"/>
  <c r="C552" i="7"/>
  <c r="D552" i="7"/>
  <c r="E552" i="7"/>
  <c r="F552" i="7"/>
  <c r="V552" i="7" s="1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A553" i="7"/>
  <c r="B553" i="7"/>
  <c r="C553" i="7"/>
  <c r="D553" i="7"/>
  <c r="E553" i="7"/>
  <c r="F553" i="7"/>
  <c r="V553" i="7" s="1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A554" i="7"/>
  <c r="B554" i="7"/>
  <c r="C554" i="7"/>
  <c r="D554" i="7"/>
  <c r="E554" i="7"/>
  <c r="F554" i="7"/>
  <c r="V554" i="7" s="1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A555" i="7"/>
  <c r="B555" i="7"/>
  <c r="C555" i="7"/>
  <c r="D555" i="7"/>
  <c r="E555" i="7"/>
  <c r="F555" i="7"/>
  <c r="V555" i="7" s="1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A556" i="7"/>
  <c r="B556" i="7"/>
  <c r="C556" i="7"/>
  <c r="D556" i="7"/>
  <c r="E556" i="7"/>
  <c r="F556" i="7"/>
  <c r="V556" i="7" s="1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A557" i="7"/>
  <c r="B557" i="7"/>
  <c r="C557" i="7"/>
  <c r="D557" i="7"/>
  <c r="E557" i="7"/>
  <c r="F557" i="7"/>
  <c r="V557" i="7" s="1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A558" i="7"/>
  <c r="B558" i="7"/>
  <c r="C558" i="7"/>
  <c r="D558" i="7"/>
  <c r="E558" i="7"/>
  <c r="F558" i="7"/>
  <c r="V558" i="7" s="1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A559" i="7"/>
  <c r="B559" i="7"/>
  <c r="C559" i="7"/>
  <c r="D559" i="7"/>
  <c r="E559" i="7"/>
  <c r="F559" i="7"/>
  <c r="V559" i="7" s="1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A560" i="7"/>
  <c r="B560" i="7"/>
  <c r="C560" i="7"/>
  <c r="D560" i="7"/>
  <c r="E560" i="7"/>
  <c r="F560" i="7"/>
  <c r="V560" i="7" s="1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A561" i="7"/>
  <c r="B561" i="7"/>
  <c r="C561" i="7"/>
  <c r="D561" i="7"/>
  <c r="E561" i="7"/>
  <c r="F561" i="7"/>
  <c r="V561" i="7" s="1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A562" i="7"/>
  <c r="B562" i="7"/>
  <c r="C562" i="7"/>
  <c r="D562" i="7"/>
  <c r="E562" i="7"/>
  <c r="F562" i="7"/>
  <c r="V562" i="7" s="1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A563" i="7"/>
  <c r="B563" i="7"/>
  <c r="C563" i="7"/>
  <c r="D563" i="7"/>
  <c r="E563" i="7"/>
  <c r="F563" i="7"/>
  <c r="V563" i="7" s="1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A564" i="7"/>
  <c r="B564" i="7"/>
  <c r="C564" i="7"/>
  <c r="D564" i="7"/>
  <c r="E564" i="7"/>
  <c r="F564" i="7"/>
  <c r="V564" i="7" s="1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A565" i="7"/>
  <c r="B565" i="7"/>
  <c r="C565" i="7"/>
  <c r="D565" i="7"/>
  <c r="E565" i="7"/>
  <c r="F565" i="7"/>
  <c r="V565" i="7" s="1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A566" i="7"/>
  <c r="B566" i="7"/>
  <c r="C566" i="7"/>
  <c r="D566" i="7"/>
  <c r="E566" i="7"/>
  <c r="F566" i="7"/>
  <c r="V566" i="7" s="1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A567" i="7"/>
  <c r="B567" i="7"/>
  <c r="C567" i="7"/>
  <c r="D567" i="7"/>
  <c r="E567" i="7"/>
  <c r="F567" i="7"/>
  <c r="V567" i="7" s="1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A568" i="7"/>
  <c r="B568" i="7"/>
  <c r="C568" i="7"/>
  <c r="D568" i="7"/>
  <c r="E568" i="7"/>
  <c r="F568" i="7"/>
  <c r="V568" i="7" s="1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A569" i="7"/>
  <c r="B569" i="7"/>
  <c r="C569" i="7"/>
  <c r="D569" i="7"/>
  <c r="E569" i="7"/>
  <c r="F569" i="7"/>
  <c r="V569" i="7" s="1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A570" i="7"/>
  <c r="B570" i="7"/>
  <c r="C570" i="7"/>
  <c r="D570" i="7"/>
  <c r="E570" i="7"/>
  <c r="F570" i="7"/>
  <c r="V570" i="7" s="1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A571" i="7"/>
  <c r="B571" i="7"/>
  <c r="C571" i="7"/>
  <c r="D571" i="7"/>
  <c r="E571" i="7"/>
  <c r="F571" i="7"/>
  <c r="V571" i="7" s="1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A572" i="7"/>
  <c r="B572" i="7"/>
  <c r="C572" i="7"/>
  <c r="D572" i="7"/>
  <c r="E572" i="7"/>
  <c r="F572" i="7"/>
  <c r="V572" i="7" s="1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A573" i="7"/>
  <c r="B573" i="7"/>
  <c r="C573" i="7"/>
  <c r="D573" i="7"/>
  <c r="E573" i="7"/>
  <c r="F573" i="7"/>
  <c r="V573" i="7" s="1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A574" i="7"/>
  <c r="B574" i="7"/>
  <c r="C574" i="7"/>
  <c r="D574" i="7"/>
  <c r="E574" i="7"/>
  <c r="F574" i="7"/>
  <c r="V574" i="7" s="1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A575" i="7"/>
  <c r="B575" i="7"/>
  <c r="C575" i="7"/>
  <c r="D575" i="7"/>
  <c r="E575" i="7"/>
  <c r="F575" i="7"/>
  <c r="V575" i="7" s="1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A576" i="7"/>
  <c r="B576" i="7"/>
  <c r="C576" i="7"/>
  <c r="D576" i="7"/>
  <c r="E576" i="7"/>
  <c r="F576" i="7"/>
  <c r="V576" i="7" s="1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A577" i="7"/>
  <c r="B577" i="7"/>
  <c r="C577" i="7"/>
  <c r="D577" i="7"/>
  <c r="E577" i="7"/>
  <c r="F577" i="7"/>
  <c r="V577" i="7" s="1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A578" i="7"/>
  <c r="B578" i="7"/>
  <c r="C578" i="7"/>
  <c r="D578" i="7"/>
  <c r="E578" i="7"/>
  <c r="F578" i="7"/>
  <c r="V578" i="7" s="1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A579" i="7"/>
  <c r="B579" i="7"/>
  <c r="C579" i="7"/>
  <c r="D579" i="7"/>
  <c r="E579" i="7"/>
  <c r="F579" i="7"/>
  <c r="V579" i="7" s="1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A580" i="7"/>
  <c r="B580" i="7"/>
  <c r="C580" i="7"/>
  <c r="D580" i="7"/>
  <c r="E580" i="7"/>
  <c r="F580" i="7"/>
  <c r="V580" i="7" s="1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A581" i="7"/>
  <c r="B581" i="7"/>
  <c r="C581" i="7"/>
  <c r="D581" i="7"/>
  <c r="E581" i="7"/>
  <c r="F581" i="7"/>
  <c r="V581" i="7" s="1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A582" i="7"/>
  <c r="B582" i="7"/>
  <c r="C582" i="7"/>
  <c r="D582" i="7"/>
  <c r="E582" i="7"/>
  <c r="F582" i="7"/>
  <c r="V582" i="7" s="1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A583" i="7"/>
  <c r="B583" i="7"/>
  <c r="C583" i="7"/>
  <c r="D583" i="7"/>
  <c r="E583" i="7"/>
  <c r="F583" i="7"/>
  <c r="V583" i="7" s="1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A584" i="7"/>
  <c r="B584" i="7"/>
  <c r="C584" i="7"/>
  <c r="D584" i="7"/>
  <c r="E584" i="7"/>
  <c r="F584" i="7"/>
  <c r="V584" i="7" s="1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A585" i="7"/>
  <c r="B585" i="7"/>
  <c r="C585" i="7"/>
  <c r="D585" i="7"/>
  <c r="E585" i="7"/>
  <c r="F585" i="7"/>
  <c r="V585" i="7" s="1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A586" i="7"/>
  <c r="B586" i="7"/>
  <c r="C586" i="7"/>
  <c r="D586" i="7"/>
  <c r="E586" i="7"/>
  <c r="F586" i="7"/>
  <c r="V586" i="7" s="1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A587" i="7"/>
  <c r="B587" i="7"/>
  <c r="C587" i="7"/>
  <c r="D587" i="7"/>
  <c r="E587" i="7"/>
  <c r="F587" i="7"/>
  <c r="V587" i="7" s="1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A588" i="7"/>
  <c r="B588" i="7"/>
  <c r="C588" i="7"/>
  <c r="D588" i="7"/>
  <c r="E588" i="7"/>
  <c r="F588" i="7"/>
  <c r="V588" i="7" s="1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A589" i="7"/>
  <c r="B589" i="7"/>
  <c r="C589" i="7"/>
  <c r="D589" i="7"/>
  <c r="E589" i="7"/>
  <c r="F589" i="7"/>
  <c r="V589" i="7" s="1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A590" i="7"/>
  <c r="B590" i="7"/>
  <c r="C590" i="7"/>
  <c r="D590" i="7"/>
  <c r="E590" i="7"/>
  <c r="F590" i="7"/>
  <c r="V590" i="7" s="1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A591" i="7"/>
  <c r="B591" i="7"/>
  <c r="C591" i="7"/>
  <c r="D591" i="7"/>
  <c r="E591" i="7"/>
  <c r="F591" i="7"/>
  <c r="V591" i="7" s="1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A592" i="7"/>
  <c r="B592" i="7"/>
  <c r="C592" i="7"/>
  <c r="D592" i="7"/>
  <c r="E592" i="7"/>
  <c r="F592" i="7"/>
  <c r="V592" i="7" s="1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A593" i="7"/>
  <c r="B593" i="7"/>
  <c r="C593" i="7"/>
  <c r="D593" i="7"/>
  <c r="E593" i="7"/>
  <c r="F593" i="7"/>
  <c r="V593" i="7" s="1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A594" i="7"/>
  <c r="B594" i="7"/>
  <c r="C594" i="7"/>
  <c r="D594" i="7"/>
  <c r="E594" i="7"/>
  <c r="F594" i="7"/>
  <c r="V594" i="7" s="1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A595" i="7"/>
  <c r="B595" i="7"/>
  <c r="C595" i="7"/>
  <c r="D595" i="7"/>
  <c r="E595" i="7"/>
  <c r="F595" i="7"/>
  <c r="V595" i="7" s="1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A596" i="7"/>
  <c r="B596" i="7"/>
  <c r="C596" i="7"/>
  <c r="D596" i="7"/>
  <c r="E596" i="7"/>
  <c r="F596" i="7"/>
  <c r="V596" i="7" s="1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A597" i="7"/>
  <c r="B597" i="7"/>
  <c r="C597" i="7"/>
  <c r="D597" i="7"/>
  <c r="E597" i="7"/>
  <c r="F597" i="7"/>
  <c r="V597" i="7" s="1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A598" i="7"/>
  <c r="B598" i="7"/>
  <c r="C598" i="7"/>
  <c r="D598" i="7"/>
  <c r="E598" i="7"/>
  <c r="F598" i="7"/>
  <c r="V598" i="7" s="1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A599" i="7"/>
  <c r="B599" i="7"/>
  <c r="C599" i="7"/>
  <c r="D599" i="7"/>
  <c r="E599" i="7"/>
  <c r="F599" i="7"/>
  <c r="V599" i="7" s="1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A600" i="7"/>
  <c r="B600" i="7"/>
  <c r="C600" i="7"/>
  <c r="D600" i="7"/>
  <c r="E600" i="7"/>
  <c r="F600" i="7"/>
  <c r="V600" i="7" s="1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A601" i="7"/>
  <c r="B601" i="7"/>
  <c r="C601" i="7"/>
  <c r="D601" i="7"/>
  <c r="E601" i="7"/>
  <c r="F601" i="7"/>
  <c r="V601" i="7" s="1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A602" i="7"/>
  <c r="B602" i="7"/>
  <c r="C602" i="7"/>
  <c r="D602" i="7"/>
  <c r="E602" i="7"/>
  <c r="F602" i="7"/>
  <c r="V602" i="7" s="1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A603" i="7"/>
  <c r="B603" i="7"/>
  <c r="C603" i="7"/>
  <c r="D603" i="7"/>
  <c r="E603" i="7"/>
  <c r="F603" i="7"/>
  <c r="V603" i="7" s="1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A604" i="7"/>
  <c r="B604" i="7"/>
  <c r="C604" i="7"/>
  <c r="D604" i="7"/>
  <c r="E604" i="7"/>
  <c r="F604" i="7"/>
  <c r="V604" i="7" s="1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A605" i="7"/>
  <c r="B605" i="7"/>
  <c r="C605" i="7"/>
  <c r="D605" i="7"/>
  <c r="E605" i="7"/>
  <c r="F605" i="7"/>
  <c r="V605" i="7" s="1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A606" i="7"/>
  <c r="B606" i="7"/>
  <c r="C606" i="7"/>
  <c r="D606" i="7"/>
  <c r="E606" i="7"/>
  <c r="F606" i="7"/>
  <c r="V606" i="7" s="1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A607" i="7"/>
  <c r="B607" i="7"/>
  <c r="C607" i="7"/>
  <c r="D607" i="7"/>
  <c r="E607" i="7"/>
  <c r="F607" i="7"/>
  <c r="V607" i="7" s="1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A608" i="7"/>
  <c r="B608" i="7"/>
  <c r="C608" i="7"/>
  <c r="D608" i="7"/>
  <c r="E608" i="7"/>
  <c r="F608" i="7"/>
  <c r="V608" i="7" s="1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A609" i="7"/>
  <c r="B609" i="7"/>
  <c r="C609" i="7"/>
  <c r="D609" i="7"/>
  <c r="E609" i="7"/>
  <c r="F609" i="7"/>
  <c r="V609" i="7" s="1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A610" i="7"/>
  <c r="B610" i="7"/>
  <c r="C610" i="7"/>
  <c r="D610" i="7"/>
  <c r="E610" i="7"/>
  <c r="F610" i="7"/>
  <c r="V610" i="7" s="1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A611" i="7"/>
  <c r="B611" i="7"/>
  <c r="C611" i="7"/>
  <c r="D611" i="7"/>
  <c r="E611" i="7"/>
  <c r="F611" i="7"/>
  <c r="V611" i="7" s="1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A612" i="7"/>
  <c r="B612" i="7"/>
  <c r="C612" i="7"/>
  <c r="D612" i="7"/>
  <c r="E612" i="7"/>
  <c r="F612" i="7"/>
  <c r="V612" i="7" s="1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A613" i="7"/>
  <c r="B613" i="7"/>
  <c r="C613" i="7"/>
  <c r="D613" i="7"/>
  <c r="E613" i="7"/>
  <c r="F613" i="7"/>
  <c r="V613" i="7" s="1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A614" i="7"/>
  <c r="B614" i="7"/>
  <c r="C614" i="7"/>
  <c r="D614" i="7"/>
  <c r="E614" i="7"/>
  <c r="F614" i="7"/>
  <c r="V614" i="7" s="1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A615" i="7"/>
  <c r="B615" i="7"/>
  <c r="C615" i="7"/>
  <c r="D615" i="7"/>
  <c r="E615" i="7"/>
  <c r="F615" i="7"/>
  <c r="V615" i="7" s="1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A616" i="7"/>
  <c r="B616" i="7"/>
  <c r="C616" i="7"/>
  <c r="D616" i="7"/>
  <c r="E616" i="7"/>
  <c r="F616" i="7"/>
  <c r="V616" i="7" s="1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A617" i="7"/>
  <c r="B617" i="7"/>
  <c r="C617" i="7"/>
  <c r="D617" i="7"/>
  <c r="E617" i="7"/>
  <c r="F617" i="7"/>
  <c r="V617" i="7" s="1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A618" i="7"/>
  <c r="B618" i="7"/>
  <c r="C618" i="7"/>
  <c r="D618" i="7"/>
  <c r="E618" i="7"/>
  <c r="F618" i="7"/>
  <c r="V618" i="7" s="1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A619" i="7"/>
  <c r="B619" i="7"/>
  <c r="C619" i="7"/>
  <c r="D619" i="7"/>
  <c r="E619" i="7"/>
  <c r="F619" i="7"/>
  <c r="V619" i="7" s="1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A620" i="7"/>
  <c r="B620" i="7"/>
  <c r="C620" i="7"/>
  <c r="D620" i="7"/>
  <c r="E620" i="7"/>
  <c r="F620" i="7"/>
  <c r="V620" i="7" s="1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A621" i="7"/>
  <c r="B621" i="7"/>
  <c r="C621" i="7"/>
  <c r="D621" i="7"/>
  <c r="E621" i="7"/>
  <c r="F621" i="7"/>
  <c r="V621" i="7" s="1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A622" i="7"/>
  <c r="B622" i="7"/>
  <c r="C622" i="7"/>
  <c r="D622" i="7"/>
  <c r="E622" i="7"/>
  <c r="F622" i="7"/>
  <c r="V622" i="7" s="1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A623" i="7"/>
  <c r="B623" i="7"/>
  <c r="C623" i="7"/>
  <c r="D623" i="7"/>
  <c r="E623" i="7"/>
  <c r="F623" i="7"/>
  <c r="V623" i="7" s="1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A624" i="7"/>
  <c r="B624" i="7"/>
  <c r="C624" i="7"/>
  <c r="D624" i="7"/>
  <c r="E624" i="7"/>
  <c r="F624" i="7"/>
  <c r="V624" i="7" s="1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A625" i="7"/>
  <c r="B625" i="7"/>
  <c r="C625" i="7"/>
  <c r="D625" i="7"/>
  <c r="E625" i="7"/>
  <c r="F625" i="7"/>
  <c r="V625" i="7" s="1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A626" i="7"/>
  <c r="B626" i="7"/>
  <c r="C626" i="7"/>
  <c r="D626" i="7"/>
  <c r="E626" i="7"/>
  <c r="F626" i="7"/>
  <c r="V626" i="7" s="1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A627" i="7"/>
  <c r="B627" i="7"/>
  <c r="C627" i="7"/>
  <c r="D627" i="7"/>
  <c r="E627" i="7"/>
  <c r="F627" i="7"/>
  <c r="V627" i="7" s="1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A628" i="7"/>
  <c r="B628" i="7"/>
  <c r="C628" i="7"/>
  <c r="D628" i="7"/>
  <c r="E628" i="7"/>
  <c r="F628" i="7"/>
  <c r="V628" i="7" s="1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A629" i="7"/>
  <c r="B629" i="7"/>
  <c r="C629" i="7"/>
  <c r="D629" i="7"/>
  <c r="E629" i="7"/>
  <c r="F629" i="7"/>
  <c r="V629" i="7" s="1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A630" i="7"/>
  <c r="B630" i="7"/>
  <c r="C630" i="7"/>
  <c r="D630" i="7"/>
  <c r="E630" i="7"/>
  <c r="F630" i="7"/>
  <c r="V630" i="7" s="1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A631" i="7"/>
  <c r="B631" i="7"/>
  <c r="C631" i="7"/>
  <c r="D631" i="7"/>
  <c r="E631" i="7"/>
  <c r="F631" i="7"/>
  <c r="V631" i="7" s="1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A632" i="7"/>
  <c r="B632" i="7"/>
  <c r="C632" i="7"/>
  <c r="D632" i="7"/>
  <c r="E632" i="7"/>
  <c r="F632" i="7"/>
  <c r="V632" i="7" s="1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A633" i="7"/>
  <c r="B633" i="7"/>
  <c r="C633" i="7"/>
  <c r="D633" i="7"/>
  <c r="E633" i="7"/>
  <c r="F633" i="7"/>
  <c r="V633" i="7" s="1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A634" i="7"/>
  <c r="B634" i="7"/>
  <c r="C634" i="7"/>
  <c r="D634" i="7"/>
  <c r="E634" i="7"/>
  <c r="F634" i="7"/>
  <c r="V634" i="7" s="1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A635" i="7"/>
  <c r="B635" i="7"/>
  <c r="C635" i="7"/>
  <c r="D635" i="7"/>
  <c r="E635" i="7"/>
  <c r="F635" i="7"/>
  <c r="V635" i="7" s="1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A636" i="7"/>
  <c r="B636" i="7"/>
  <c r="C636" i="7"/>
  <c r="D636" i="7"/>
  <c r="E636" i="7"/>
  <c r="F636" i="7"/>
  <c r="V636" i="7" s="1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A637" i="7"/>
  <c r="B637" i="7"/>
  <c r="C637" i="7"/>
  <c r="D637" i="7"/>
  <c r="E637" i="7"/>
  <c r="F637" i="7"/>
  <c r="V637" i="7" s="1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A638" i="7"/>
  <c r="B638" i="7"/>
  <c r="C638" i="7"/>
  <c r="D638" i="7"/>
  <c r="E638" i="7"/>
  <c r="F638" i="7"/>
  <c r="V638" i="7" s="1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A639" i="7"/>
  <c r="B639" i="7"/>
  <c r="C639" i="7"/>
  <c r="D639" i="7"/>
  <c r="E639" i="7"/>
  <c r="F639" i="7"/>
  <c r="V639" i="7" s="1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A640" i="7"/>
  <c r="B640" i="7"/>
  <c r="C640" i="7"/>
  <c r="D640" i="7"/>
  <c r="E640" i="7"/>
  <c r="F640" i="7"/>
  <c r="V640" i="7" s="1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A641" i="7"/>
  <c r="B641" i="7"/>
  <c r="C641" i="7"/>
  <c r="D641" i="7"/>
  <c r="E641" i="7"/>
  <c r="F641" i="7"/>
  <c r="V641" i="7" s="1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A642" i="7"/>
  <c r="B642" i="7"/>
  <c r="C642" i="7"/>
  <c r="D642" i="7"/>
  <c r="E642" i="7"/>
  <c r="F642" i="7"/>
  <c r="V642" i="7" s="1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A643" i="7"/>
  <c r="B643" i="7"/>
  <c r="C643" i="7"/>
  <c r="D643" i="7"/>
  <c r="E643" i="7"/>
  <c r="F643" i="7"/>
  <c r="V643" i="7" s="1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A644" i="7"/>
  <c r="B644" i="7"/>
  <c r="C644" i="7"/>
  <c r="D644" i="7"/>
  <c r="E644" i="7"/>
  <c r="F644" i="7"/>
  <c r="V644" i="7" s="1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A645" i="7"/>
  <c r="B645" i="7"/>
  <c r="C645" i="7"/>
  <c r="D645" i="7"/>
  <c r="E645" i="7"/>
  <c r="F645" i="7"/>
  <c r="V645" i="7" s="1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A646" i="7"/>
  <c r="B646" i="7"/>
  <c r="C646" i="7"/>
  <c r="D646" i="7"/>
  <c r="E646" i="7"/>
  <c r="F646" i="7"/>
  <c r="V646" i="7" s="1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A647" i="7"/>
  <c r="B647" i="7"/>
  <c r="C647" i="7"/>
  <c r="D647" i="7"/>
  <c r="E647" i="7"/>
  <c r="F647" i="7"/>
  <c r="V647" i="7" s="1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A648" i="7"/>
  <c r="B648" i="7"/>
  <c r="C648" i="7"/>
  <c r="D648" i="7"/>
  <c r="E648" i="7"/>
  <c r="F648" i="7"/>
  <c r="V648" i="7" s="1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A649" i="7"/>
  <c r="B649" i="7"/>
  <c r="C649" i="7"/>
  <c r="D649" i="7"/>
  <c r="E649" i="7"/>
  <c r="F649" i="7"/>
  <c r="V649" i="7" s="1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A650" i="7"/>
  <c r="B650" i="7"/>
  <c r="C650" i="7"/>
  <c r="D650" i="7"/>
  <c r="E650" i="7"/>
  <c r="F650" i="7"/>
  <c r="V650" i="7" s="1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A651" i="7"/>
  <c r="B651" i="7"/>
  <c r="C651" i="7"/>
  <c r="D651" i="7"/>
  <c r="E651" i="7"/>
  <c r="F651" i="7"/>
  <c r="V651" i="7" s="1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A652" i="7"/>
  <c r="B652" i="7"/>
  <c r="C652" i="7"/>
  <c r="D652" i="7"/>
  <c r="E652" i="7"/>
  <c r="F652" i="7"/>
  <c r="V652" i="7" s="1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A653" i="7"/>
  <c r="B653" i="7"/>
  <c r="C653" i="7"/>
  <c r="D653" i="7"/>
  <c r="E653" i="7"/>
  <c r="F653" i="7"/>
  <c r="V653" i="7" s="1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A654" i="7"/>
  <c r="B654" i="7"/>
  <c r="C654" i="7"/>
  <c r="D654" i="7"/>
  <c r="E654" i="7"/>
  <c r="F654" i="7"/>
  <c r="V654" i="7" s="1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A655" i="7"/>
  <c r="B655" i="7"/>
  <c r="C655" i="7"/>
  <c r="D655" i="7"/>
  <c r="E655" i="7"/>
  <c r="F655" i="7"/>
  <c r="V655" i="7" s="1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A656" i="7"/>
  <c r="B656" i="7"/>
  <c r="C656" i="7"/>
  <c r="D656" i="7"/>
  <c r="E656" i="7"/>
  <c r="F656" i="7"/>
  <c r="V656" i="7" s="1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A657" i="7"/>
  <c r="B657" i="7"/>
  <c r="C657" i="7"/>
  <c r="D657" i="7"/>
  <c r="E657" i="7"/>
  <c r="F657" i="7"/>
  <c r="V657" i="7" s="1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A658" i="7"/>
  <c r="B658" i="7"/>
  <c r="C658" i="7"/>
  <c r="D658" i="7"/>
  <c r="E658" i="7"/>
  <c r="F658" i="7"/>
  <c r="V658" i="7" s="1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A659" i="7"/>
  <c r="B659" i="7"/>
  <c r="C659" i="7"/>
  <c r="D659" i="7"/>
  <c r="E659" i="7"/>
  <c r="F659" i="7"/>
  <c r="V659" i="7" s="1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A660" i="7"/>
  <c r="B660" i="7"/>
  <c r="C660" i="7"/>
  <c r="D660" i="7"/>
  <c r="E660" i="7"/>
  <c r="F660" i="7"/>
  <c r="V660" i="7" s="1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A661" i="7"/>
  <c r="B661" i="7"/>
  <c r="C661" i="7"/>
  <c r="D661" i="7"/>
  <c r="E661" i="7"/>
  <c r="F661" i="7"/>
  <c r="V661" i="7" s="1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A662" i="7"/>
  <c r="B662" i="7"/>
  <c r="C662" i="7"/>
  <c r="D662" i="7"/>
  <c r="E662" i="7"/>
  <c r="F662" i="7"/>
  <c r="V662" i="7" s="1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A663" i="7"/>
  <c r="B663" i="7"/>
  <c r="C663" i="7"/>
  <c r="D663" i="7"/>
  <c r="E663" i="7"/>
  <c r="F663" i="7"/>
  <c r="V663" i="7" s="1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A664" i="7"/>
  <c r="B664" i="7"/>
  <c r="C664" i="7"/>
  <c r="D664" i="7"/>
  <c r="E664" i="7"/>
  <c r="F664" i="7"/>
  <c r="V664" i="7" s="1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A665" i="7"/>
  <c r="B665" i="7"/>
  <c r="C665" i="7"/>
  <c r="D665" i="7"/>
  <c r="E665" i="7"/>
  <c r="F665" i="7"/>
  <c r="V665" i="7" s="1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A666" i="7"/>
  <c r="B666" i="7"/>
  <c r="C666" i="7"/>
  <c r="D666" i="7"/>
  <c r="E666" i="7"/>
  <c r="F666" i="7"/>
  <c r="V666" i="7" s="1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A667" i="7"/>
  <c r="B667" i="7"/>
  <c r="C667" i="7"/>
  <c r="D667" i="7"/>
  <c r="E667" i="7"/>
  <c r="F667" i="7"/>
  <c r="V667" i="7" s="1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A668" i="7"/>
  <c r="B668" i="7"/>
  <c r="C668" i="7"/>
  <c r="D668" i="7"/>
  <c r="E668" i="7"/>
  <c r="F668" i="7"/>
  <c r="V668" i="7" s="1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A669" i="7"/>
  <c r="B669" i="7"/>
  <c r="C669" i="7"/>
  <c r="D669" i="7"/>
  <c r="E669" i="7"/>
  <c r="F669" i="7"/>
  <c r="V669" i="7" s="1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A670" i="7"/>
  <c r="B670" i="7"/>
  <c r="C670" i="7"/>
  <c r="D670" i="7"/>
  <c r="E670" i="7"/>
  <c r="F670" i="7"/>
  <c r="V670" i="7" s="1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A671" i="7"/>
  <c r="B671" i="7"/>
  <c r="C671" i="7"/>
  <c r="D671" i="7"/>
  <c r="E671" i="7"/>
  <c r="F671" i="7"/>
  <c r="V671" i="7" s="1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A672" i="7"/>
  <c r="B672" i="7"/>
  <c r="C672" i="7"/>
  <c r="D672" i="7"/>
  <c r="E672" i="7"/>
  <c r="F672" i="7"/>
  <c r="V672" i="7" s="1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A673" i="7"/>
  <c r="B673" i="7"/>
  <c r="C673" i="7"/>
  <c r="D673" i="7"/>
  <c r="E673" i="7"/>
  <c r="F673" i="7"/>
  <c r="V673" i="7" s="1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A674" i="7"/>
  <c r="B674" i="7"/>
  <c r="C674" i="7"/>
  <c r="D674" i="7"/>
  <c r="E674" i="7"/>
  <c r="F674" i="7"/>
  <c r="V674" i="7" s="1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A675" i="7"/>
  <c r="B675" i="7"/>
  <c r="C675" i="7"/>
  <c r="D675" i="7"/>
  <c r="E675" i="7"/>
  <c r="F675" i="7"/>
  <c r="V675" i="7" s="1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A676" i="7"/>
  <c r="B676" i="7"/>
  <c r="C676" i="7"/>
  <c r="D676" i="7"/>
  <c r="E676" i="7"/>
  <c r="F676" i="7"/>
  <c r="V676" i="7" s="1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A677" i="7"/>
  <c r="B677" i="7"/>
  <c r="C677" i="7"/>
  <c r="D677" i="7"/>
  <c r="E677" i="7"/>
  <c r="F677" i="7"/>
  <c r="V677" i="7" s="1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A678" i="7"/>
  <c r="B678" i="7"/>
  <c r="C678" i="7"/>
  <c r="D678" i="7"/>
  <c r="E678" i="7"/>
  <c r="F678" i="7"/>
  <c r="V678" i="7" s="1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A679" i="7"/>
  <c r="B679" i="7"/>
  <c r="C679" i="7"/>
  <c r="D679" i="7"/>
  <c r="E679" i="7"/>
  <c r="F679" i="7"/>
  <c r="V679" i="7" s="1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A680" i="7"/>
  <c r="B680" i="7"/>
  <c r="C680" i="7"/>
  <c r="D680" i="7"/>
  <c r="E680" i="7"/>
  <c r="F680" i="7"/>
  <c r="V680" i="7" s="1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A681" i="7"/>
  <c r="B681" i="7"/>
  <c r="C681" i="7"/>
  <c r="D681" i="7"/>
  <c r="E681" i="7"/>
  <c r="F681" i="7"/>
  <c r="V681" i="7" s="1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A682" i="7"/>
  <c r="B682" i="7"/>
  <c r="C682" i="7"/>
  <c r="D682" i="7"/>
  <c r="E682" i="7"/>
  <c r="F682" i="7"/>
  <c r="V682" i="7" s="1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A683" i="7"/>
  <c r="B683" i="7"/>
  <c r="C683" i="7"/>
  <c r="D683" i="7"/>
  <c r="E683" i="7"/>
  <c r="F683" i="7"/>
  <c r="V683" i="7" s="1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A684" i="7"/>
  <c r="B684" i="7"/>
  <c r="C684" i="7"/>
  <c r="D684" i="7"/>
  <c r="E684" i="7"/>
  <c r="F684" i="7"/>
  <c r="V684" i="7" s="1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A685" i="7"/>
  <c r="B685" i="7"/>
  <c r="C685" i="7"/>
  <c r="D685" i="7"/>
  <c r="E685" i="7"/>
  <c r="F685" i="7"/>
  <c r="V685" i="7" s="1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A686" i="7"/>
  <c r="B686" i="7"/>
  <c r="C686" i="7"/>
  <c r="D686" i="7"/>
  <c r="E686" i="7"/>
  <c r="F686" i="7"/>
  <c r="V686" i="7" s="1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A687" i="7"/>
  <c r="B687" i="7"/>
  <c r="C687" i="7"/>
  <c r="D687" i="7"/>
  <c r="E687" i="7"/>
  <c r="F687" i="7"/>
  <c r="V687" i="7" s="1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A688" i="7"/>
  <c r="B688" i="7"/>
  <c r="C688" i="7"/>
  <c r="D688" i="7"/>
  <c r="E688" i="7"/>
  <c r="F688" i="7"/>
  <c r="V688" i="7" s="1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A689" i="7"/>
  <c r="B689" i="7"/>
  <c r="C689" i="7"/>
  <c r="D689" i="7"/>
  <c r="E689" i="7"/>
  <c r="F689" i="7"/>
  <c r="V689" i="7" s="1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A690" i="7"/>
  <c r="B690" i="7"/>
  <c r="C690" i="7"/>
  <c r="D690" i="7"/>
  <c r="E690" i="7"/>
  <c r="F690" i="7"/>
  <c r="V690" i="7" s="1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A691" i="7"/>
  <c r="B691" i="7"/>
  <c r="C691" i="7"/>
  <c r="D691" i="7"/>
  <c r="E691" i="7"/>
  <c r="F691" i="7"/>
  <c r="V691" i="7" s="1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A692" i="7"/>
  <c r="B692" i="7"/>
  <c r="C692" i="7"/>
  <c r="D692" i="7"/>
  <c r="E692" i="7"/>
  <c r="F692" i="7"/>
  <c r="V692" i="7" s="1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A693" i="7"/>
  <c r="B693" i="7"/>
  <c r="C693" i="7"/>
  <c r="D693" i="7"/>
  <c r="E693" i="7"/>
  <c r="F693" i="7"/>
  <c r="V693" i="7" s="1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A694" i="7"/>
  <c r="B694" i="7"/>
  <c r="C694" i="7"/>
  <c r="D694" i="7"/>
  <c r="E694" i="7"/>
  <c r="F694" i="7"/>
  <c r="V694" i="7" s="1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A695" i="7"/>
  <c r="B695" i="7"/>
  <c r="C695" i="7"/>
  <c r="D695" i="7"/>
  <c r="E695" i="7"/>
  <c r="F695" i="7"/>
  <c r="V695" i="7" s="1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A696" i="7"/>
  <c r="B696" i="7"/>
  <c r="C696" i="7"/>
  <c r="D696" i="7"/>
  <c r="E696" i="7"/>
  <c r="F696" i="7"/>
  <c r="V696" i="7" s="1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A697" i="7"/>
  <c r="B697" i="7"/>
  <c r="C697" i="7"/>
  <c r="D697" i="7"/>
  <c r="E697" i="7"/>
  <c r="F697" i="7"/>
  <c r="V697" i="7" s="1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A698" i="7"/>
  <c r="B698" i="7"/>
  <c r="C698" i="7"/>
  <c r="D698" i="7"/>
  <c r="E698" i="7"/>
  <c r="F698" i="7"/>
  <c r="V698" i="7" s="1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A699" i="7"/>
  <c r="B699" i="7"/>
  <c r="C699" i="7"/>
  <c r="D699" i="7"/>
  <c r="E699" i="7"/>
  <c r="F699" i="7"/>
  <c r="V699" i="7" s="1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A700" i="7"/>
  <c r="B700" i="7"/>
  <c r="C700" i="7"/>
  <c r="D700" i="7"/>
  <c r="E700" i="7"/>
  <c r="F700" i="7"/>
  <c r="V700" i="7" s="1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A701" i="7"/>
  <c r="B701" i="7"/>
  <c r="C701" i="7"/>
  <c r="D701" i="7"/>
  <c r="E701" i="7"/>
  <c r="F701" i="7"/>
  <c r="V701" i="7" s="1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A702" i="7"/>
  <c r="B702" i="7"/>
  <c r="C702" i="7"/>
  <c r="D702" i="7"/>
  <c r="E702" i="7"/>
  <c r="F702" i="7"/>
  <c r="V702" i="7" s="1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A703" i="7"/>
  <c r="B703" i="7"/>
  <c r="C703" i="7"/>
  <c r="D703" i="7"/>
  <c r="E703" i="7"/>
  <c r="F703" i="7"/>
  <c r="V703" i="7" s="1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A704" i="7"/>
  <c r="B704" i="7"/>
  <c r="C704" i="7"/>
  <c r="D704" i="7"/>
  <c r="E704" i="7"/>
  <c r="F704" i="7"/>
  <c r="V704" i="7" s="1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A705" i="7"/>
  <c r="B705" i="7"/>
  <c r="C705" i="7"/>
  <c r="D705" i="7"/>
  <c r="E705" i="7"/>
  <c r="F705" i="7"/>
  <c r="V705" i="7" s="1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A706" i="7"/>
  <c r="B706" i="7"/>
  <c r="C706" i="7"/>
  <c r="D706" i="7"/>
  <c r="E706" i="7"/>
  <c r="F706" i="7"/>
  <c r="V706" i="7" s="1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A707" i="7"/>
  <c r="B707" i="7"/>
  <c r="C707" i="7"/>
  <c r="D707" i="7"/>
  <c r="E707" i="7"/>
  <c r="F707" i="7"/>
  <c r="V707" i="7" s="1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A708" i="7"/>
  <c r="B708" i="7"/>
  <c r="C708" i="7"/>
  <c r="D708" i="7"/>
  <c r="E708" i="7"/>
  <c r="F708" i="7"/>
  <c r="V708" i="7" s="1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A709" i="7"/>
  <c r="B709" i="7"/>
  <c r="C709" i="7"/>
  <c r="D709" i="7"/>
  <c r="E709" i="7"/>
  <c r="F709" i="7"/>
  <c r="V709" i="7" s="1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A710" i="7"/>
  <c r="B710" i="7"/>
  <c r="C710" i="7"/>
  <c r="D710" i="7"/>
  <c r="E710" i="7"/>
  <c r="F710" i="7"/>
  <c r="V710" i="7" s="1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A711" i="7"/>
  <c r="B711" i="7"/>
  <c r="C711" i="7"/>
  <c r="D711" i="7"/>
  <c r="E711" i="7"/>
  <c r="F711" i="7"/>
  <c r="V711" i="7" s="1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A712" i="7"/>
  <c r="B712" i="7"/>
  <c r="C712" i="7"/>
  <c r="D712" i="7"/>
  <c r="E712" i="7"/>
  <c r="F712" i="7"/>
  <c r="V712" i="7" s="1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A713" i="7"/>
  <c r="B713" i="7"/>
  <c r="C713" i="7"/>
  <c r="D713" i="7"/>
  <c r="E713" i="7"/>
  <c r="F713" i="7"/>
  <c r="V713" i="7" s="1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A714" i="7"/>
  <c r="B714" i="7"/>
  <c r="C714" i="7"/>
  <c r="D714" i="7"/>
  <c r="E714" i="7"/>
  <c r="F714" i="7"/>
  <c r="V714" i="7" s="1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A715" i="7"/>
  <c r="B715" i="7"/>
  <c r="C715" i="7"/>
  <c r="D715" i="7"/>
  <c r="E715" i="7"/>
  <c r="F715" i="7"/>
  <c r="V715" i="7" s="1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A716" i="7"/>
  <c r="B716" i="7"/>
  <c r="C716" i="7"/>
  <c r="D716" i="7"/>
  <c r="E716" i="7"/>
  <c r="F716" i="7"/>
  <c r="V716" i="7" s="1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A717" i="7"/>
  <c r="B717" i="7"/>
  <c r="C717" i="7"/>
  <c r="D717" i="7"/>
  <c r="E717" i="7"/>
  <c r="F717" i="7"/>
  <c r="V717" i="7" s="1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A718" i="7"/>
  <c r="B718" i="7"/>
  <c r="C718" i="7"/>
  <c r="D718" i="7"/>
  <c r="E718" i="7"/>
  <c r="F718" i="7"/>
  <c r="V718" i="7" s="1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A719" i="7"/>
  <c r="B719" i="7"/>
  <c r="C719" i="7"/>
  <c r="D719" i="7"/>
  <c r="E719" i="7"/>
  <c r="F719" i="7"/>
  <c r="V719" i="7" s="1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A720" i="7"/>
  <c r="B720" i="7"/>
  <c r="C720" i="7"/>
  <c r="D720" i="7"/>
  <c r="E720" i="7"/>
  <c r="F720" i="7"/>
  <c r="V720" i="7" s="1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A721" i="7"/>
  <c r="B721" i="7"/>
  <c r="C721" i="7"/>
  <c r="D721" i="7"/>
  <c r="E721" i="7"/>
  <c r="F721" i="7"/>
  <c r="V721" i="7" s="1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A722" i="7"/>
  <c r="B722" i="7"/>
  <c r="C722" i="7"/>
  <c r="D722" i="7"/>
  <c r="E722" i="7"/>
  <c r="F722" i="7"/>
  <c r="V722" i="7" s="1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A723" i="7"/>
  <c r="B723" i="7"/>
  <c r="C723" i="7"/>
  <c r="D723" i="7"/>
  <c r="E723" i="7"/>
  <c r="F723" i="7"/>
  <c r="V723" i="7" s="1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A724" i="7"/>
  <c r="B724" i="7"/>
  <c r="C724" i="7"/>
  <c r="D724" i="7"/>
  <c r="E724" i="7"/>
  <c r="F724" i="7"/>
  <c r="V724" i="7" s="1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A725" i="7"/>
  <c r="B725" i="7"/>
  <c r="C725" i="7"/>
  <c r="D725" i="7"/>
  <c r="E725" i="7"/>
  <c r="F725" i="7"/>
  <c r="V725" i="7" s="1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A726" i="7"/>
  <c r="B726" i="7"/>
  <c r="C726" i="7"/>
  <c r="D726" i="7"/>
  <c r="E726" i="7"/>
  <c r="F726" i="7"/>
  <c r="V726" i="7" s="1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A727" i="7"/>
  <c r="B727" i="7"/>
  <c r="C727" i="7"/>
  <c r="D727" i="7"/>
  <c r="E727" i="7"/>
  <c r="F727" i="7"/>
  <c r="V727" i="7" s="1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A728" i="7"/>
  <c r="B728" i="7"/>
  <c r="C728" i="7"/>
  <c r="D728" i="7"/>
  <c r="E728" i="7"/>
  <c r="F728" i="7"/>
  <c r="V728" i="7" s="1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A729" i="7"/>
  <c r="B729" i="7"/>
  <c r="C729" i="7"/>
  <c r="D729" i="7"/>
  <c r="E729" i="7"/>
  <c r="F729" i="7"/>
  <c r="V729" i="7" s="1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A730" i="7"/>
  <c r="B730" i="7"/>
  <c r="C730" i="7"/>
  <c r="D730" i="7"/>
  <c r="E730" i="7"/>
  <c r="F730" i="7"/>
  <c r="V730" i="7" s="1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A731" i="7"/>
  <c r="B731" i="7"/>
  <c r="C731" i="7"/>
  <c r="D731" i="7"/>
  <c r="E731" i="7"/>
  <c r="F731" i="7"/>
  <c r="V731" i="7" s="1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A732" i="7"/>
  <c r="B732" i="7"/>
  <c r="C732" i="7"/>
  <c r="D732" i="7"/>
  <c r="E732" i="7"/>
  <c r="F732" i="7"/>
  <c r="V732" i="7" s="1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A733" i="7"/>
  <c r="B733" i="7"/>
  <c r="C733" i="7"/>
  <c r="D733" i="7"/>
  <c r="E733" i="7"/>
  <c r="F733" i="7"/>
  <c r="V733" i="7" s="1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E2" i="7"/>
  <c r="F2" i="7"/>
  <c r="V2" i="7" s="1"/>
  <c r="B2" i="7"/>
  <c r="C2" i="7"/>
  <c r="D2" i="7"/>
  <c r="G2" i="7"/>
  <c r="H2" i="7"/>
  <c r="I2" i="7"/>
  <c r="J2" i="7"/>
  <c r="K2" i="7"/>
  <c r="L2" i="7"/>
  <c r="M2" i="7"/>
  <c r="N2" i="7"/>
  <c r="O2" i="7"/>
  <c r="P2" i="7"/>
  <c r="Q2" i="7"/>
  <c r="R2" i="7"/>
  <c r="S2" i="7"/>
  <c r="A2" i="7"/>
  <c r="U842" i="6"/>
  <c r="T842" i="6"/>
  <c r="U841" i="6"/>
  <c r="T841" i="6"/>
  <c r="U840" i="6"/>
  <c r="T840" i="6"/>
  <c r="U839" i="6"/>
  <c r="T839" i="6"/>
  <c r="U838" i="6"/>
  <c r="T838" i="6"/>
  <c r="U837" i="6"/>
  <c r="T837" i="6"/>
  <c r="U836" i="6"/>
  <c r="T836" i="6"/>
  <c r="U835" i="6"/>
  <c r="T835" i="6"/>
  <c r="U834" i="6"/>
  <c r="T834" i="6"/>
  <c r="U833" i="6"/>
  <c r="T833" i="6"/>
  <c r="U832" i="6"/>
  <c r="T832" i="6"/>
  <c r="U831" i="6"/>
  <c r="T831" i="6"/>
  <c r="U830" i="6"/>
  <c r="T830" i="6"/>
  <c r="U829" i="6"/>
  <c r="T829" i="6"/>
  <c r="U828" i="6"/>
  <c r="T828" i="6"/>
  <c r="U827" i="6"/>
  <c r="T827" i="6"/>
  <c r="U826" i="6"/>
  <c r="T826" i="6"/>
  <c r="U825" i="6"/>
  <c r="T825" i="6"/>
  <c r="U824" i="6"/>
  <c r="T824" i="6"/>
  <c r="U823" i="6"/>
  <c r="T823" i="6"/>
  <c r="U822" i="6"/>
  <c r="T822" i="6"/>
  <c r="U821" i="6"/>
  <c r="T821" i="6"/>
  <c r="U820" i="6"/>
  <c r="T820" i="6"/>
  <c r="U819" i="6"/>
  <c r="T819" i="6"/>
  <c r="U818" i="6"/>
  <c r="T818" i="6"/>
  <c r="U817" i="6"/>
  <c r="T817" i="6"/>
  <c r="U816" i="6"/>
  <c r="T816" i="6"/>
  <c r="U815" i="6"/>
  <c r="T815" i="6"/>
  <c r="U814" i="6"/>
  <c r="T814" i="6"/>
  <c r="U813" i="6"/>
  <c r="T813" i="6"/>
  <c r="U812" i="6"/>
  <c r="T812" i="6"/>
  <c r="U811" i="6"/>
  <c r="T811" i="6"/>
  <c r="U810" i="6"/>
  <c r="T810" i="6"/>
  <c r="U809" i="6"/>
  <c r="T809" i="6"/>
  <c r="U808" i="6"/>
  <c r="T808" i="6"/>
  <c r="U807" i="6"/>
  <c r="T807" i="6"/>
  <c r="U806" i="6"/>
  <c r="T806" i="6"/>
  <c r="U805" i="6"/>
  <c r="T805" i="6"/>
  <c r="U804" i="6"/>
  <c r="T804" i="6"/>
  <c r="U803" i="6"/>
  <c r="T803" i="6"/>
  <c r="U802" i="6"/>
  <c r="T802" i="6"/>
  <c r="U801" i="6"/>
  <c r="T801" i="6"/>
  <c r="U800" i="6"/>
  <c r="T800" i="6"/>
  <c r="U799" i="6"/>
  <c r="T799" i="6"/>
  <c r="U798" i="6"/>
  <c r="T798" i="6"/>
  <c r="U797" i="6"/>
  <c r="T797" i="6"/>
  <c r="U796" i="6"/>
  <c r="T796" i="6"/>
  <c r="U795" i="6"/>
  <c r="T795" i="6"/>
  <c r="U794" i="6"/>
  <c r="T794" i="6"/>
  <c r="U793" i="6"/>
  <c r="T793" i="6"/>
  <c r="U792" i="6"/>
  <c r="T792" i="6"/>
  <c r="U791" i="6"/>
  <c r="T791" i="6"/>
  <c r="U790" i="6"/>
  <c r="T790" i="6"/>
  <c r="U789" i="6"/>
  <c r="T789" i="6"/>
  <c r="U788" i="6"/>
  <c r="T788" i="6"/>
  <c r="U787" i="6"/>
  <c r="T787" i="6"/>
  <c r="U786" i="6"/>
  <c r="T786" i="6"/>
  <c r="U785" i="6"/>
  <c r="T785" i="6"/>
  <c r="U784" i="6"/>
  <c r="T784" i="6"/>
  <c r="U783" i="6"/>
  <c r="T783" i="6"/>
  <c r="U782" i="6"/>
  <c r="T782" i="6"/>
  <c r="U781" i="6"/>
  <c r="T781" i="6"/>
  <c r="U780" i="6"/>
  <c r="T780" i="6"/>
  <c r="U779" i="6"/>
  <c r="T779" i="6"/>
  <c r="U778" i="6"/>
  <c r="T778" i="6"/>
  <c r="U777" i="6"/>
  <c r="T777" i="6"/>
  <c r="U776" i="6"/>
  <c r="T776" i="6"/>
  <c r="U775" i="6"/>
  <c r="T775" i="6"/>
  <c r="U774" i="6"/>
  <c r="T774" i="6"/>
  <c r="U773" i="6"/>
  <c r="T773" i="6"/>
  <c r="U772" i="6"/>
  <c r="T772" i="6"/>
  <c r="U771" i="6"/>
  <c r="T771" i="6"/>
  <c r="U770" i="6"/>
  <c r="T770" i="6"/>
  <c r="U769" i="6"/>
  <c r="T769" i="6"/>
  <c r="U768" i="6"/>
  <c r="T768" i="6"/>
  <c r="U767" i="6"/>
  <c r="T767" i="6"/>
  <c r="U766" i="6"/>
  <c r="T766" i="6"/>
  <c r="U765" i="6"/>
  <c r="T765" i="6"/>
  <c r="U764" i="6"/>
  <c r="T764" i="6"/>
  <c r="U763" i="6"/>
  <c r="T763" i="6"/>
  <c r="U762" i="6"/>
  <c r="T762" i="6"/>
  <c r="U761" i="6"/>
  <c r="T761" i="6"/>
  <c r="U760" i="6"/>
  <c r="T760" i="6"/>
  <c r="U759" i="6"/>
  <c r="T759" i="6"/>
  <c r="U758" i="6"/>
  <c r="T758" i="6"/>
  <c r="U757" i="6"/>
  <c r="T757" i="6"/>
  <c r="U756" i="6"/>
  <c r="T756" i="6"/>
  <c r="U755" i="6"/>
  <c r="T755" i="6"/>
  <c r="U754" i="6"/>
  <c r="T754" i="6"/>
  <c r="U753" i="6"/>
  <c r="T753" i="6"/>
  <c r="U752" i="6"/>
  <c r="T752" i="6"/>
  <c r="U751" i="6"/>
  <c r="T751" i="6"/>
  <c r="U750" i="6"/>
  <c r="T750" i="6"/>
  <c r="U749" i="6"/>
  <c r="T749" i="6"/>
  <c r="U748" i="6"/>
  <c r="T748" i="6"/>
  <c r="U747" i="6"/>
  <c r="T747" i="6"/>
  <c r="U746" i="6"/>
  <c r="T746" i="6"/>
  <c r="U745" i="6"/>
  <c r="T745" i="6"/>
  <c r="U744" i="6"/>
  <c r="T744" i="6"/>
  <c r="U743" i="6"/>
  <c r="T743" i="6"/>
  <c r="U742" i="6"/>
  <c r="T742" i="6"/>
  <c r="U741" i="6"/>
  <c r="T741" i="6"/>
  <c r="U740" i="6"/>
  <c r="T740" i="6"/>
  <c r="U739" i="6"/>
  <c r="T739" i="6"/>
  <c r="U738" i="6"/>
  <c r="T738" i="6"/>
  <c r="U737" i="6"/>
  <c r="T737" i="6"/>
  <c r="U736" i="6"/>
  <c r="T736" i="6"/>
  <c r="U735" i="6"/>
  <c r="T735" i="6"/>
  <c r="U734" i="6"/>
  <c r="T734" i="6"/>
  <c r="U733" i="6"/>
  <c r="T733" i="6"/>
  <c r="U732" i="6"/>
  <c r="T732" i="6"/>
  <c r="U731" i="6"/>
  <c r="T731" i="6"/>
  <c r="U730" i="6"/>
  <c r="T730" i="6"/>
  <c r="U729" i="6"/>
  <c r="T729" i="6"/>
  <c r="U728" i="6"/>
  <c r="T728" i="6"/>
  <c r="U727" i="6"/>
  <c r="T727" i="6"/>
  <c r="U726" i="6"/>
  <c r="T726" i="6"/>
  <c r="U725" i="6"/>
  <c r="T725" i="6"/>
  <c r="U724" i="6"/>
  <c r="T724" i="6"/>
  <c r="U723" i="6"/>
  <c r="T723" i="6"/>
  <c r="U722" i="6"/>
  <c r="T722" i="6"/>
  <c r="U721" i="6"/>
  <c r="T721" i="6"/>
  <c r="U720" i="6"/>
  <c r="T720" i="6"/>
  <c r="U719" i="6"/>
  <c r="T719" i="6"/>
  <c r="U718" i="6"/>
  <c r="T718" i="6"/>
  <c r="U717" i="6"/>
  <c r="T717" i="6"/>
  <c r="U716" i="6"/>
  <c r="T716" i="6"/>
  <c r="U715" i="6"/>
  <c r="T715" i="6"/>
  <c r="U714" i="6"/>
  <c r="T714" i="6"/>
  <c r="U713" i="6"/>
  <c r="T713" i="6"/>
  <c r="U712" i="6"/>
  <c r="T712" i="6"/>
  <c r="U711" i="6"/>
  <c r="T711" i="6"/>
  <c r="U710" i="6"/>
  <c r="T710" i="6"/>
  <c r="U709" i="6"/>
  <c r="T709" i="6"/>
  <c r="U708" i="6"/>
  <c r="T708" i="6"/>
  <c r="U707" i="6"/>
  <c r="T707" i="6"/>
  <c r="U706" i="6"/>
  <c r="T706" i="6"/>
  <c r="U705" i="6"/>
  <c r="T705" i="6"/>
  <c r="U704" i="6"/>
  <c r="T704" i="6"/>
  <c r="U703" i="6"/>
  <c r="T703" i="6"/>
  <c r="U702" i="6"/>
  <c r="T702" i="6"/>
  <c r="U701" i="6"/>
  <c r="T701" i="6"/>
  <c r="U700" i="6"/>
  <c r="T700" i="6"/>
  <c r="U699" i="6"/>
  <c r="T699" i="6"/>
  <c r="U698" i="6"/>
  <c r="T698" i="6"/>
  <c r="U697" i="6"/>
  <c r="T697" i="6"/>
  <c r="U696" i="6"/>
  <c r="T696" i="6"/>
  <c r="U695" i="6"/>
  <c r="T695" i="6"/>
  <c r="U694" i="6"/>
  <c r="T694" i="6"/>
  <c r="U693" i="6"/>
  <c r="T693" i="6"/>
  <c r="U692" i="6"/>
  <c r="T692" i="6"/>
  <c r="U691" i="6"/>
  <c r="T691" i="6"/>
  <c r="U690" i="6"/>
  <c r="T690" i="6"/>
  <c r="U689" i="6"/>
  <c r="T689" i="6"/>
  <c r="U688" i="6"/>
  <c r="T688" i="6"/>
  <c r="U687" i="6"/>
  <c r="T687" i="6"/>
  <c r="U686" i="6"/>
  <c r="T686" i="6"/>
  <c r="U685" i="6"/>
  <c r="T685" i="6"/>
  <c r="U684" i="6"/>
  <c r="T684" i="6"/>
  <c r="U683" i="6"/>
  <c r="T683" i="6"/>
  <c r="U682" i="6"/>
  <c r="T682" i="6"/>
  <c r="U681" i="6"/>
  <c r="T681" i="6"/>
  <c r="U680" i="6"/>
  <c r="T680" i="6"/>
  <c r="U679" i="6"/>
  <c r="T679" i="6"/>
  <c r="U678" i="6"/>
  <c r="T678" i="6"/>
  <c r="U677" i="6"/>
  <c r="T677" i="6"/>
  <c r="U676" i="6"/>
  <c r="T676" i="6"/>
  <c r="U675" i="6"/>
  <c r="T675" i="6"/>
  <c r="U674" i="6"/>
  <c r="T674" i="6"/>
  <c r="U673" i="6"/>
  <c r="T673" i="6"/>
  <c r="U672" i="6"/>
  <c r="T672" i="6"/>
  <c r="U671" i="6"/>
  <c r="T671" i="6"/>
  <c r="U670" i="6"/>
  <c r="T670" i="6"/>
  <c r="U669" i="6"/>
  <c r="T669" i="6"/>
  <c r="U668" i="6"/>
  <c r="T668" i="6"/>
  <c r="U667" i="6"/>
  <c r="T667" i="6"/>
  <c r="U666" i="6"/>
  <c r="T666" i="6"/>
  <c r="U665" i="6"/>
  <c r="T665" i="6"/>
  <c r="U664" i="6"/>
  <c r="T664" i="6"/>
  <c r="U663" i="6"/>
  <c r="T663" i="6"/>
  <c r="U662" i="6"/>
  <c r="T662" i="6"/>
  <c r="U661" i="6"/>
  <c r="T661" i="6"/>
  <c r="U660" i="6"/>
  <c r="T660" i="6"/>
  <c r="U659" i="6"/>
  <c r="T659" i="6"/>
  <c r="U658" i="6"/>
  <c r="T658" i="6"/>
  <c r="U657" i="6"/>
  <c r="T657" i="6"/>
  <c r="U656" i="6"/>
  <c r="T656" i="6"/>
  <c r="U655" i="6"/>
  <c r="T655" i="6"/>
  <c r="U654" i="6"/>
  <c r="T654" i="6"/>
  <c r="U653" i="6"/>
  <c r="T653" i="6"/>
  <c r="U652" i="6"/>
  <c r="T652" i="6"/>
  <c r="U651" i="6"/>
  <c r="T651" i="6"/>
  <c r="U650" i="6"/>
  <c r="T650" i="6"/>
  <c r="U649" i="6"/>
  <c r="T649" i="6"/>
  <c r="U648" i="6"/>
  <c r="T648" i="6"/>
  <c r="U647" i="6"/>
  <c r="T647" i="6"/>
  <c r="U646" i="6"/>
  <c r="T646" i="6"/>
  <c r="U645" i="6"/>
  <c r="T645" i="6"/>
  <c r="U644" i="6"/>
  <c r="T644" i="6"/>
  <c r="U643" i="6"/>
  <c r="T643" i="6"/>
  <c r="U642" i="6"/>
  <c r="T642" i="6"/>
  <c r="U641" i="6"/>
  <c r="T641" i="6"/>
  <c r="U640" i="6"/>
  <c r="T640" i="6"/>
  <c r="U639" i="6"/>
  <c r="T639" i="6"/>
  <c r="U638" i="6"/>
  <c r="T638" i="6"/>
  <c r="U637" i="6"/>
  <c r="T637" i="6"/>
  <c r="U636" i="6"/>
  <c r="T636" i="6"/>
  <c r="U635" i="6"/>
  <c r="T635" i="6"/>
  <c r="U634" i="6"/>
  <c r="T634" i="6"/>
  <c r="U633" i="6"/>
  <c r="T633" i="6"/>
  <c r="U632" i="6"/>
  <c r="T632" i="6"/>
  <c r="U631" i="6"/>
  <c r="T631" i="6"/>
  <c r="U630" i="6"/>
  <c r="T630" i="6"/>
  <c r="U629" i="6"/>
  <c r="T629" i="6"/>
  <c r="U628" i="6"/>
  <c r="T628" i="6"/>
  <c r="U627" i="6"/>
  <c r="T627" i="6"/>
  <c r="U626" i="6"/>
  <c r="T626" i="6"/>
  <c r="U625" i="6"/>
  <c r="T625" i="6"/>
  <c r="U624" i="6"/>
  <c r="T624" i="6"/>
  <c r="U623" i="6"/>
  <c r="T623" i="6"/>
  <c r="U622" i="6"/>
  <c r="T622" i="6"/>
  <c r="U621" i="6"/>
  <c r="T621" i="6"/>
  <c r="U620" i="6"/>
  <c r="T620" i="6"/>
  <c r="U619" i="6"/>
  <c r="T619" i="6"/>
  <c r="U618" i="6"/>
  <c r="T618" i="6"/>
  <c r="U617" i="6"/>
  <c r="T617" i="6"/>
  <c r="U616" i="6"/>
  <c r="T616" i="6"/>
  <c r="U615" i="6"/>
  <c r="T615" i="6"/>
  <c r="U614" i="6"/>
  <c r="T614" i="6"/>
  <c r="U613" i="6"/>
  <c r="T613" i="6"/>
  <c r="U612" i="6"/>
  <c r="T612" i="6"/>
  <c r="U611" i="6"/>
  <c r="T611" i="6"/>
  <c r="U610" i="6"/>
  <c r="T610" i="6"/>
  <c r="U609" i="6"/>
  <c r="T609" i="6"/>
  <c r="U608" i="6"/>
  <c r="T608" i="6"/>
  <c r="U607" i="6"/>
  <c r="T607" i="6"/>
  <c r="U606" i="6"/>
  <c r="T606" i="6"/>
  <c r="U605" i="6"/>
  <c r="T605" i="6"/>
  <c r="U604" i="6"/>
  <c r="T604" i="6"/>
  <c r="U603" i="6"/>
  <c r="T603" i="6"/>
  <c r="U602" i="6"/>
  <c r="T602" i="6"/>
  <c r="U601" i="6"/>
  <c r="T601" i="6"/>
  <c r="U600" i="6"/>
  <c r="T600" i="6"/>
  <c r="U599" i="6"/>
  <c r="T599" i="6"/>
  <c r="U598" i="6"/>
  <c r="T598" i="6"/>
  <c r="U597" i="6"/>
  <c r="T597" i="6"/>
  <c r="U596" i="6"/>
  <c r="T596" i="6"/>
  <c r="U595" i="6"/>
  <c r="T595" i="6"/>
  <c r="U594" i="6"/>
  <c r="T594" i="6"/>
  <c r="U593" i="6"/>
  <c r="T593" i="6"/>
  <c r="U592" i="6"/>
  <c r="T592" i="6"/>
  <c r="U591" i="6"/>
  <c r="T591" i="6"/>
  <c r="U590" i="6"/>
  <c r="T590" i="6"/>
  <c r="U589" i="6"/>
  <c r="T589" i="6"/>
  <c r="U588" i="6"/>
  <c r="T588" i="6"/>
  <c r="U587" i="6"/>
  <c r="T587" i="6"/>
  <c r="U586" i="6"/>
  <c r="T586" i="6"/>
  <c r="U585" i="6"/>
  <c r="T585" i="6"/>
  <c r="U584" i="6"/>
  <c r="T584" i="6"/>
  <c r="U583" i="6"/>
  <c r="T583" i="6"/>
  <c r="U582" i="6"/>
  <c r="T582" i="6"/>
  <c r="U581" i="6"/>
  <c r="T581" i="6"/>
  <c r="U580" i="6"/>
  <c r="T580" i="6"/>
  <c r="U579" i="6"/>
  <c r="T579" i="6"/>
  <c r="U578" i="6"/>
  <c r="T578" i="6"/>
  <c r="U577" i="6"/>
  <c r="T577" i="6"/>
  <c r="U576" i="6"/>
  <c r="T576" i="6"/>
  <c r="U575" i="6"/>
  <c r="T575" i="6"/>
  <c r="U574" i="6"/>
  <c r="T574" i="6"/>
  <c r="U573" i="6"/>
  <c r="T573" i="6"/>
  <c r="U572" i="6"/>
  <c r="T572" i="6"/>
  <c r="U571" i="6"/>
  <c r="T571" i="6"/>
  <c r="U570" i="6"/>
  <c r="T570" i="6"/>
  <c r="U569" i="6"/>
  <c r="T569" i="6"/>
  <c r="U568" i="6"/>
  <c r="T568" i="6"/>
  <c r="U567" i="6"/>
  <c r="T567" i="6"/>
  <c r="U566" i="6"/>
  <c r="T566" i="6"/>
  <c r="U565" i="6"/>
  <c r="T565" i="6"/>
  <c r="U564" i="6"/>
  <c r="T564" i="6"/>
  <c r="U563" i="6"/>
  <c r="T563" i="6"/>
  <c r="U562" i="6"/>
  <c r="T562" i="6"/>
  <c r="U561" i="6"/>
  <c r="T561" i="6"/>
  <c r="U560" i="6"/>
  <c r="T560" i="6"/>
  <c r="U559" i="6"/>
  <c r="T559" i="6"/>
  <c r="U558" i="6"/>
  <c r="T558" i="6"/>
  <c r="U557" i="6"/>
  <c r="T557" i="6"/>
  <c r="U556" i="6"/>
  <c r="T556" i="6"/>
  <c r="U555" i="6"/>
  <c r="T555" i="6"/>
  <c r="U554" i="6"/>
  <c r="T554" i="6"/>
  <c r="U553" i="6"/>
  <c r="T553" i="6"/>
  <c r="U552" i="6"/>
  <c r="T552" i="6"/>
  <c r="U551" i="6"/>
  <c r="T551" i="6"/>
  <c r="U550" i="6"/>
  <c r="T550" i="6"/>
  <c r="U549" i="6"/>
  <c r="T549" i="6"/>
  <c r="U548" i="6"/>
  <c r="T548" i="6"/>
  <c r="U547" i="6"/>
  <c r="T547" i="6"/>
  <c r="U546" i="6"/>
  <c r="T546" i="6"/>
  <c r="U545" i="6"/>
  <c r="T545" i="6"/>
  <c r="U544" i="6"/>
  <c r="T544" i="6"/>
  <c r="U543" i="6"/>
  <c r="T543" i="6"/>
  <c r="U542" i="6"/>
  <c r="T542" i="6"/>
  <c r="U541" i="6"/>
  <c r="T541" i="6"/>
  <c r="U540" i="6"/>
  <c r="T540" i="6"/>
  <c r="U539" i="6"/>
  <c r="T539" i="6"/>
  <c r="U538" i="6"/>
  <c r="T538" i="6"/>
  <c r="U537" i="6"/>
  <c r="T537" i="6"/>
  <c r="U536" i="6"/>
  <c r="T536" i="6"/>
  <c r="U535" i="6"/>
  <c r="T535" i="6"/>
  <c r="U534" i="6"/>
  <c r="T534" i="6"/>
  <c r="U533" i="6"/>
  <c r="T533" i="6"/>
  <c r="U532" i="6"/>
  <c r="T532" i="6"/>
  <c r="U531" i="6"/>
  <c r="T531" i="6"/>
  <c r="U530" i="6"/>
  <c r="T530" i="6"/>
  <c r="U529" i="6"/>
  <c r="T529" i="6"/>
  <c r="U528" i="6"/>
  <c r="T528" i="6"/>
  <c r="U527" i="6"/>
  <c r="T527" i="6"/>
  <c r="U526" i="6"/>
  <c r="T526" i="6"/>
  <c r="U525" i="6"/>
  <c r="T525" i="6"/>
  <c r="U524" i="6"/>
  <c r="T524" i="6"/>
  <c r="U523" i="6"/>
  <c r="T523" i="6"/>
  <c r="U522" i="6"/>
  <c r="T522" i="6"/>
  <c r="U521" i="6"/>
  <c r="T521" i="6"/>
  <c r="U520" i="6"/>
  <c r="T520" i="6"/>
  <c r="U519" i="6"/>
  <c r="T519" i="6"/>
  <c r="U518" i="6"/>
  <c r="T518" i="6"/>
  <c r="U517" i="6"/>
  <c r="T517" i="6"/>
  <c r="U516" i="6"/>
  <c r="T516" i="6"/>
  <c r="U515" i="6"/>
  <c r="T515" i="6"/>
  <c r="U514" i="6"/>
  <c r="T514" i="6"/>
  <c r="U513" i="6"/>
  <c r="T513" i="6"/>
  <c r="U512" i="6"/>
  <c r="T512" i="6"/>
  <c r="U511" i="6"/>
  <c r="T511" i="6"/>
  <c r="U510" i="6"/>
  <c r="T510" i="6"/>
  <c r="U509" i="6"/>
  <c r="T509" i="6"/>
  <c r="U508" i="6"/>
  <c r="T508" i="6"/>
  <c r="U507" i="6"/>
  <c r="T507" i="6"/>
  <c r="U506" i="6"/>
  <c r="T506" i="6"/>
  <c r="U505" i="6"/>
  <c r="T505" i="6"/>
  <c r="U504" i="6"/>
  <c r="T504" i="6"/>
  <c r="U503" i="6"/>
  <c r="T503" i="6"/>
  <c r="U502" i="6"/>
  <c r="T502" i="6"/>
  <c r="U501" i="6"/>
  <c r="T501" i="6"/>
  <c r="U500" i="6"/>
  <c r="T500" i="6"/>
  <c r="U499" i="6"/>
  <c r="T499" i="6"/>
  <c r="U498" i="6"/>
  <c r="T498" i="6"/>
  <c r="U497" i="6"/>
  <c r="T497" i="6"/>
  <c r="U496" i="6"/>
  <c r="T496" i="6"/>
  <c r="U495" i="6"/>
  <c r="T495" i="6"/>
  <c r="U494" i="6"/>
  <c r="T494" i="6"/>
  <c r="U493" i="6"/>
  <c r="T493" i="6"/>
  <c r="U492" i="6"/>
  <c r="T492" i="6"/>
  <c r="U491" i="6"/>
  <c r="T491" i="6"/>
  <c r="U490" i="6"/>
  <c r="T490" i="6"/>
  <c r="U489" i="6"/>
  <c r="T489" i="6"/>
  <c r="U488" i="6"/>
  <c r="T488" i="6"/>
  <c r="U487" i="6"/>
  <c r="T487" i="6"/>
  <c r="U486" i="6"/>
  <c r="T486" i="6"/>
  <c r="U485" i="6"/>
  <c r="T485" i="6"/>
  <c r="U484" i="6"/>
  <c r="T484" i="6"/>
  <c r="U483" i="6"/>
  <c r="T483" i="6"/>
  <c r="U482" i="6"/>
  <c r="T482" i="6"/>
  <c r="U481" i="6"/>
  <c r="T481" i="6"/>
  <c r="U480" i="6"/>
  <c r="T480" i="6"/>
  <c r="U479" i="6"/>
  <c r="T479" i="6"/>
  <c r="U478" i="6"/>
  <c r="T478" i="6"/>
  <c r="U477" i="6"/>
  <c r="T477" i="6"/>
  <c r="U476" i="6"/>
  <c r="T476" i="6"/>
  <c r="U475" i="6"/>
  <c r="T475" i="6"/>
  <c r="U474" i="6"/>
  <c r="T474" i="6"/>
  <c r="U473" i="6"/>
  <c r="T473" i="6"/>
  <c r="U472" i="6"/>
  <c r="T472" i="6"/>
  <c r="U471" i="6"/>
  <c r="T471" i="6"/>
  <c r="U470" i="6"/>
  <c r="T470" i="6"/>
  <c r="U469" i="6"/>
  <c r="T469" i="6"/>
  <c r="U468" i="6"/>
  <c r="T468" i="6"/>
  <c r="U467" i="6"/>
  <c r="T467" i="6"/>
  <c r="U466" i="6"/>
  <c r="T466" i="6"/>
  <c r="U465" i="6"/>
  <c r="T465" i="6"/>
  <c r="U464" i="6"/>
  <c r="T464" i="6"/>
  <c r="U463" i="6"/>
  <c r="T463" i="6"/>
  <c r="U462" i="6"/>
  <c r="T462" i="6"/>
  <c r="U461" i="6"/>
  <c r="T461" i="6"/>
  <c r="U460" i="6"/>
  <c r="T460" i="6"/>
  <c r="U459" i="6"/>
  <c r="T459" i="6"/>
  <c r="U458" i="6"/>
  <c r="T458" i="6"/>
  <c r="U457" i="6"/>
  <c r="T457" i="6"/>
  <c r="U456" i="6"/>
  <c r="T456" i="6"/>
  <c r="U455" i="6"/>
  <c r="T455" i="6"/>
  <c r="U454" i="6"/>
  <c r="T454" i="6"/>
  <c r="U453" i="6"/>
  <c r="T453" i="6"/>
  <c r="U452" i="6"/>
  <c r="T452" i="6"/>
  <c r="U451" i="6"/>
  <c r="T451" i="6"/>
  <c r="U450" i="6"/>
  <c r="T450" i="6"/>
  <c r="U449" i="6"/>
  <c r="T449" i="6"/>
  <c r="U448" i="6"/>
  <c r="T448" i="6"/>
  <c r="U447" i="6"/>
  <c r="T447" i="6"/>
  <c r="U446" i="6"/>
  <c r="T446" i="6"/>
  <c r="U445" i="6"/>
  <c r="T445" i="6"/>
  <c r="U444" i="6"/>
  <c r="T444" i="6"/>
  <c r="U443" i="6"/>
  <c r="T443" i="6"/>
  <c r="U442" i="6"/>
  <c r="T442" i="6"/>
  <c r="U441" i="6"/>
  <c r="T441" i="6"/>
  <c r="U440" i="6"/>
  <c r="T440" i="6"/>
  <c r="U439" i="6"/>
  <c r="T439" i="6"/>
  <c r="U438" i="6"/>
  <c r="T438" i="6"/>
  <c r="U437" i="6"/>
  <c r="T437" i="6"/>
  <c r="U436" i="6"/>
  <c r="T436" i="6"/>
  <c r="U435" i="6"/>
  <c r="T435" i="6"/>
  <c r="U434" i="6"/>
  <c r="T434" i="6"/>
  <c r="U433" i="6"/>
  <c r="T433" i="6"/>
  <c r="U432" i="6"/>
  <c r="T432" i="6"/>
  <c r="U431" i="6"/>
  <c r="T431" i="6"/>
  <c r="U430" i="6"/>
  <c r="T430" i="6"/>
  <c r="U429" i="6"/>
  <c r="T429" i="6"/>
  <c r="U428" i="6"/>
  <c r="T428" i="6"/>
  <c r="U427" i="6"/>
  <c r="T427" i="6"/>
  <c r="U426" i="6"/>
  <c r="T426" i="6"/>
  <c r="U425" i="6"/>
  <c r="T425" i="6"/>
  <c r="U424" i="6"/>
  <c r="T424" i="6"/>
  <c r="U423" i="6"/>
  <c r="T423" i="6"/>
  <c r="U422" i="6"/>
  <c r="T422" i="6"/>
  <c r="U421" i="6"/>
  <c r="T421" i="6"/>
  <c r="U420" i="6"/>
  <c r="T420" i="6"/>
  <c r="U419" i="6"/>
  <c r="T419" i="6"/>
  <c r="U418" i="6"/>
  <c r="T418" i="6"/>
  <c r="U417" i="6"/>
  <c r="T417" i="6"/>
  <c r="U416" i="6"/>
  <c r="T416" i="6"/>
  <c r="U415" i="6"/>
  <c r="T415" i="6"/>
  <c r="U414" i="6"/>
  <c r="T414" i="6"/>
  <c r="U413" i="6"/>
  <c r="T413" i="6"/>
  <c r="U412" i="6"/>
  <c r="T412" i="6"/>
  <c r="U411" i="6"/>
  <c r="T411" i="6"/>
  <c r="U410" i="6"/>
  <c r="T410" i="6"/>
  <c r="U409" i="6"/>
  <c r="T409" i="6"/>
  <c r="U408" i="6"/>
  <c r="T408" i="6"/>
  <c r="U407" i="6"/>
  <c r="T407" i="6"/>
  <c r="U406" i="6"/>
  <c r="T406" i="6"/>
  <c r="U405" i="6"/>
  <c r="T405" i="6"/>
  <c r="U404" i="6"/>
  <c r="T404" i="6"/>
  <c r="U403" i="6"/>
  <c r="T403" i="6"/>
  <c r="U402" i="6"/>
  <c r="T402" i="6"/>
  <c r="U401" i="6"/>
  <c r="T401" i="6"/>
  <c r="U400" i="6"/>
  <c r="T400" i="6"/>
  <c r="U399" i="6"/>
  <c r="T399" i="6"/>
  <c r="U398" i="6"/>
  <c r="T398" i="6"/>
  <c r="U397" i="6"/>
  <c r="T397" i="6"/>
  <c r="U396" i="6"/>
  <c r="T396" i="6"/>
  <c r="U395" i="6"/>
  <c r="T395" i="6"/>
  <c r="U394" i="6"/>
  <c r="T394" i="6"/>
  <c r="U393" i="6"/>
  <c r="T393" i="6"/>
  <c r="U392" i="6"/>
  <c r="T392" i="6"/>
  <c r="U391" i="6"/>
  <c r="T391" i="6"/>
  <c r="U390" i="6"/>
  <c r="T390" i="6"/>
  <c r="U389" i="6"/>
  <c r="T389" i="6"/>
  <c r="U388" i="6"/>
  <c r="T388" i="6"/>
  <c r="U387" i="6"/>
  <c r="T387" i="6"/>
  <c r="U386" i="6"/>
  <c r="T386" i="6"/>
  <c r="U385" i="6"/>
  <c r="T385" i="6"/>
  <c r="U384" i="6"/>
  <c r="T384" i="6"/>
  <c r="U383" i="6"/>
  <c r="T383" i="6"/>
  <c r="U382" i="6"/>
  <c r="T382" i="6"/>
  <c r="U381" i="6"/>
  <c r="T381" i="6"/>
  <c r="U380" i="6"/>
  <c r="T380" i="6"/>
  <c r="U379" i="6"/>
  <c r="T379" i="6"/>
  <c r="U378" i="6"/>
  <c r="T378" i="6"/>
  <c r="U377" i="6"/>
  <c r="T377" i="6"/>
  <c r="U376" i="6"/>
  <c r="T376" i="6"/>
  <c r="U375" i="6"/>
  <c r="T375" i="6"/>
  <c r="U374" i="6"/>
  <c r="T374" i="6"/>
  <c r="U373" i="6"/>
  <c r="T373" i="6"/>
  <c r="U372" i="6"/>
  <c r="T372" i="6"/>
  <c r="U371" i="6"/>
  <c r="T371" i="6"/>
  <c r="U370" i="6"/>
  <c r="T370" i="6"/>
  <c r="U369" i="6"/>
  <c r="T369" i="6"/>
  <c r="U368" i="6"/>
  <c r="T368" i="6"/>
  <c r="U367" i="6"/>
  <c r="T367" i="6"/>
  <c r="U366" i="6"/>
  <c r="T366" i="6"/>
  <c r="U365" i="6"/>
  <c r="T365" i="6"/>
  <c r="U364" i="6"/>
  <c r="T364" i="6"/>
  <c r="U363" i="6"/>
  <c r="T363" i="6"/>
  <c r="U362" i="6"/>
  <c r="T362" i="6"/>
  <c r="U361" i="6"/>
  <c r="T361" i="6"/>
  <c r="U360" i="6"/>
  <c r="T360" i="6"/>
  <c r="U359" i="6"/>
  <c r="T359" i="6"/>
  <c r="U358" i="6"/>
  <c r="T358" i="6"/>
  <c r="U357" i="6"/>
  <c r="T357" i="6"/>
  <c r="U356" i="6"/>
  <c r="T356" i="6"/>
  <c r="U355" i="6"/>
  <c r="T355" i="6"/>
  <c r="U354" i="6"/>
  <c r="T354" i="6"/>
  <c r="U353" i="6"/>
  <c r="T353" i="6"/>
  <c r="U352" i="6"/>
  <c r="T352" i="6"/>
  <c r="U351" i="6"/>
  <c r="T351" i="6"/>
  <c r="U350" i="6"/>
  <c r="T350" i="6"/>
  <c r="U349" i="6"/>
  <c r="T349" i="6"/>
  <c r="U348" i="6"/>
  <c r="T348" i="6"/>
  <c r="U347" i="6"/>
  <c r="T347" i="6"/>
  <c r="U346" i="6"/>
  <c r="T346" i="6"/>
  <c r="U345" i="6"/>
  <c r="T345" i="6"/>
  <c r="U344" i="6"/>
  <c r="T344" i="6"/>
  <c r="U343" i="6"/>
  <c r="T343" i="6"/>
  <c r="U342" i="6"/>
  <c r="T342" i="6"/>
  <c r="U341" i="6"/>
  <c r="T341" i="6"/>
  <c r="U340" i="6"/>
  <c r="T340" i="6"/>
  <c r="U339" i="6"/>
  <c r="T339" i="6"/>
  <c r="U338" i="6"/>
  <c r="T338" i="6"/>
  <c r="U337" i="6"/>
  <c r="T337" i="6"/>
  <c r="U336" i="6"/>
  <c r="T336" i="6"/>
  <c r="U335" i="6"/>
  <c r="T335" i="6"/>
  <c r="U334" i="6"/>
  <c r="T334" i="6"/>
  <c r="U333" i="6"/>
  <c r="T333" i="6"/>
  <c r="U332" i="6"/>
  <c r="T332" i="6"/>
  <c r="U331" i="6"/>
  <c r="T331" i="6"/>
  <c r="U330" i="6"/>
  <c r="T330" i="6"/>
  <c r="U329" i="6"/>
  <c r="T329" i="6"/>
  <c r="U328" i="6"/>
  <c r="T328" i="6"/>
  <c r="U327" i="6"/>
  <c r="T327" i="6"/>
  <c r="U326" i="6"/>
  <c r="T326" i="6"/>
  <c r="U325" i="6"/>
  <c r="T325" i="6"/>
  <c r="U324" i="6"/>
  <c r="T324" i="6"/>
  <c r="U323" i="6"/>
  <c r="T323" i="6"/>
  <c r="U322" i="6"/>
  <c r="T322" i="6"/>
  <c r="U321" i="6"/>
  <c r="T321" i="6"/>
  <c r="U320" i="6"/>
  <c r="T320" i="6"/>
  <c r="U319" i="6"/>
  <c r="T319" i="6"/>
  <c r="U318" i="6"/>
  <c r="T318" i="6"/>
  <c r="U317" i="6"/>
  <c r="T317" i="6"/>
  <c r="U316" i="6"/>
  <c r="T316" i="6"/>
  <c r="U315" i="6"/>
  <c r="T315" i="6"/>
  <c r="U314" i="6"/>
  <c r="T314" i="6"/>
  <c r="U313" i="6"/>
  <c r="T313" i="6"/>
  <c r="U312" i="6"/>
  <c r="T312" i="6"/>
  <c r="U311" i="6"/>
  <c r="T311" i="6"/>
  <c r="U310" i="6"/>
  <c r="T310" i="6"/>
  <c r="U309" i="6"/>
  <c r="T309" i="6"/>
  <c r="U308" i="6"/>
  <c r="T308" i="6"/>
  <c r="U307" i="6"/>
  <c r="T307" i="6"/>
  <c r="U306" i="6"/>
  <c r="T306" i="6"/>
  <c r="U305" i="6"/>
  <c r="T305" i="6"/>
  <c r="U304" i="6"/>
  <c r="T304" i="6"/>
  <c r="U303" i="6"/>
  <c r="T303" i="6"/>
  <c r="U302" i="6"/>
  <c r="T302" i="6"/>
  <c r="U301" i="6"/>
  <c r="T301" i="6"/>
  <c r="U300" i="6"/>
  <c r="T300" i="6"/>
  <c r="U299" i="6"/>
  <c r="T299" i="6"/>
  <c r="U298" i="6"/>
  <c r="T298" i="6"/>
  <c r="U297" i="6"/>
  <c r="T297" i="6"/>
  <c r="U296" i="6"/>
  <c r="T296" i="6"/>
  <c r="U295" i="6"/>
  <c r="T295" i="6"/>
  <c r="U294" i="6"/>
  <c r="T294" i="6"/>
  <c r="U293" i="6"/>
  <c r="T293" i="6"/>
  <c r="U292" i="6"/>
  <c r="T292" i="6"/>
  <c r="U291" i="6"/>
  <c r="T291" i="6"/>
  <c r="U290" i="6"/>
  <c r="T290" i="6"/>
  <c r="U289" i="6"/>
  <c r="T289" i="6"/>
  <c r="U288" i="6"/>
  <c r="T288" i="6"/>
  <c r="U287" i="6"/>
  <c r="T287" i="6"/>
  <c r="U286" i="6"/>
  <c r="T286" i="6"/>
  <c r="U285" i="6"/>
  <c r="T285" i="6"/>
  <c r="U284" i="6"/>
  <c r="T284" i="6"/>
  <c r="U283" i="6"/>
  <c r="T283" i="6"/>
  <c r="U282" i="6"/>
  <c r="T282" i="6"/>
  <c r="U281" i="6"/>
  <c r="T281" i="6"/>
  <c r="U280" i="6"/>
  <c r="T280" i="6"/>
  <c r="U279" i="6"/>
  <c r="T279" i="6"/>
  <c r="U278" i="6"/>
  <c r="T278" i="6"/>
  <c r="U277" i="6"/>
  <c r="T277" i="6"/>
  <c r="U276" i="6"/>
  <c r="T276" i="6"/>
  <c r="U275" i="6"/>
  <c r="T275" i="6"/>
  <c r="U274" i="6"/>
  <c r="T274" i="6"/>
  <c r="U273" i="6"/>
  <c r="T273" i="6"/>
  <c r="U272" i="6"/>
  <c r="T272" i="6"/>
  <c r="U271" i="6"/>
  <c r="T271" i="6"/>
  <c r="U270" i="6"/>
  <c r="T270" i="6"/>
  <c r="U269" i="6"/>
  <c r="T269" i="6"/>
  <c r="U268" i="6"/>
  <c r="T268" i="6"/>
  <c r="U267" i="6"/>
  <c r="T267" i="6"/>
  <c r="U266" i="6"/>
  <c r="T266" i="6"/>
  <c r="U265" i="6"/>
  <c r="T265" i="6"/>
  <c r="U264" i="6"/>
  <c r="T264" i="6"/>
  <c r="U263" i="6"/>
  <c r="T263" i="6"/>
  <c r="U262" i="6"/>
  <c r="T262" i="6"/>
  <c r="U261" i="6"/>
  <c r="T261" i="6"/>
  <c r="U260" i="6"/>
  <c r="T260" i="6"/>
  <c r="U259" i="6"/>
  <c r="T259" i="6"/>
  <c r="U258" i="6"/>
  <c r="T258" i="6"/>
  <c r="U257" i="6"/>
  <c r="T257" i="6"/>
  <c r="U256" i="6"/>
  <c r="T256" i="6"/>
  <c r="U255" i="6"/>
  <c r="T255" i="6"/>
  <c r="U254" i="6"/>
  <c r="T254" i="6"/>
  <c r="U253" i="6"/>
  <c r="T253" i="6"/>
  <c r="U252" i="6"/>
  <c r="T252" i="6"/>
  <c r="U251" i="6"/>
  <c r="T251" i="6"/>
  <c r="U250" i="6"/>
  <c r="T250" i="6"/>
  <c r="U249" i="6"/>
  <c r="T249" i="6"/>
  <c r="U248" i="6"/>
  <c r="T248" i="6"/>
  <c r="U247" i="6"/>
  <c r="T247" i="6"/>
  <c r="U246" i="6"/>
  <c r="T246" i="6"/>
  <c r="U245" i="6"/>
  <c r="T245" i="6"/>
  <c r="U244" i="6"/>
  <c r="T244" i="6"/>
  <c r="U243" i="6"/>
  <c r="T243" i="6"/>
  <c r="U242" i="6"/>
  <c r="T242" i="6"/>
  <c r="U241" i="6"/>
  <c r="T241" i="6"/>
  <c r="U240" i="6"/>
  <c r="T240" i="6"/>
  <c r="U239" i="6"/>
  <c r="T239" i="6"/>
  <c r="U238" i="6"/>
  <c r="T238" i="6"/>
  <c r="U237" i="6"/>
  <c r="T237" i="6"/>
  <c r="U236" i="6"/>
  <c r="T236" i="6"/>
  <c r="U235" i="6"/>
  <c r="T235" i="6"/>
  <c r="U234" i="6"/>
  <c r="T234" i="6"/>
  <c r="U233" i="6"/>
  <c r="T233" i="6"/>
  <c r="U232" i="6"/>
  <c r="T232" i="6"/>
  <c r="U231" i="6"/>
  <c r="T231" i="6"/>
  <c r="U230" i="6"/>
  <c r="T230" i="6"/>
  <c r="U229" i="6"/>
  <c r="T229" i="6"/>
  <c r="U228" i="6"/>
  <c r="T228" i="6"/>
  <c r="U227" i="6"/>
  <c r="T227" i="6"/>
  <c r="U226" i="6"/>
  <c r="T226" i="6"/>
  <c r="U225" i="6"/>
  <c r="T225" i="6"/>
  <c r="U224" i="6"/>
  <c r="T224" i="6"/>
  <c r="U223" i="6"/>
  <c r="T223" i="6"/>
  <c r="U222" i="6"/>
  <c r="T222" i="6"/>
  <c r="U221" i="6"/>
  <c r="T221" i="6"/>
  <c r="U220" i="6"/>
  <c r="T220" i="6"/>
  <c r="U219" i="6"/>
  <c r="T219" i="6"/>
  <c r="U218" i="6"/>
  <c r="T218" i="6"/>
  <c r="U217" i="6"/>
  <c r="T217" i="6"/>
  <c r="U216" i="6"/>
  <c r="T216" i="6"/>
  <c r="U215" i="6"/>
  <c r="T215" i="6"/>
  <c r="U214" i="6"/>
  <c r="T214" i="6"/>
  <c r="U213" i="6"/>
  <c r="T213" i="6"/>
  <c r="U212" i="6"/>
  <c r="T212" i="6"/>
  <c r="U211" i="6"/>
  <c r="T211" i="6"/>
  <c r="U210" i="6"/>
  <c r="T210" i="6"/>
  <c r="U209" i="6"/>
  <c r="T209" i="6"/>
  <c r="U208" i="6"/>
  <c r="T208" i="6"/>
  <c r="U207" i="6"/>
  <c r="T207" i="6"/>
  <c r="U206" i="6"/>
  <c r="T206" i="6"/>
  <c r="U205" i="6"/>
  <c r="T205" i="6"/>
  <c r="U204" i="6"/>
  <c r="T204" i="6"/>
  <c r="U203" i="6"/>
  <c r="T203" i="6"/>
  <c r="U202" i="6"/>
  <c r="T202" i="6"/>
  <c r="U201" i="6"/>
  <c r="T201" i="6"/>
  <c r="U200" i="6"/>
  <c r="T200" i="6"/>
  <c r="U199" i="6"/>
  <c r="T199" i="6"/>
  <c r="U198" i="6"/>
  <c r="T198" i="6"/>
  <c r="U197" i="6"/>
  <c r="T197" i="6"/>
  <c r="U196" i="6"/>
  <c r="T196" i="6"/>
  <c r="U195" i="6"/>
  <c r="T195" i="6"/>
  <c r="U194" i="6"/>
  <c r="T194" i="6"/>
  <c r="U193" i="6"/>
  <c r="T193" i="6"/>
  <c r="U192" i="6"/>
  <c r="T192" i="6"/>
  <c r="U191" i="6"/>
  <c r="T191" i="6"/>
  <c r="U190" i="6"/>
  <c r="T190" i="6"/>
  <c r="U189" i="6"/>
  <c r="T189" i="6"/>
  <c r="U188" i="6"/>
  <c r="T188" i="6"/>
  <c r="U187" i="6"/>
  <c r="T187" i="6"/>
  <c r="U186" i="6"/>
  <c r="T186" i="6"/>
  <c r="U185" i="6"/>
  <c r="T185" i="6"/>
  <c r="U184" i="6"/>
  <c r="T184" i="6"/>
  <c r="U183" i="6"/>
  <c r="T183" i="6"/>
  <c r="U182" i="6"/>
  <c r="T182" i="6"/>
  <c r="U181" i="6"/>
  <c r="T181" i="6"/>
  <c r="U180" i="6"/>
  <c r="T180" i="6"/>
  <c r="U179" i="6"/>
  <c r="T179" i="6"/>
  <c r="U178" i="6"/>
  <c r="T178" i="6"/>
  <c r="U177" i="6"/>
  <c r="T177" i="6"/>
  <c r="U176" i="6"/>
  <c r="T176" i="6"/>
  <c r="U175" i="6"/>
  <c r="T175" i="6"/>
  <c r="U174" i="6"/>
  <c r="T174" i="6"/>
  <c r="U173" i="6"/>
  <c r="T173" i="6"/>
  <c r="U172" i="6"/>
  <c r="T172" i="6"/>
  <c r="U171" i="6"/>
  <c r="T171" i="6"/>
  <c r="U170" i="6"/>
  <c r="T170" i="6"/>
  <c r="U169" i="6"/>
  <c r="T169" i="6"/>
  <c r="U168" i="6"/>
  <c r="T168" i="6"/>
  <c r="U167" i="6"/>
  <c r="T167" i="6"/>
  <c r="U166" i="6"/>
  <c r="T166" i="6"/>
  <c r="U165" i="6"/>
  <c r="T165" i="6"/>
  <c r="U164" i="6"/>
  <c r="T164" i="6"/>
  <c r="U163" i="6"/>
  <c r="T163" i="6"/>
  <c r="U162" i="6"/>
  <c r="T162" i="6"/>
  <c r="U161" i="6"/>
  <c r="T161" i="6"/>
  <c r="U160" i="6"/>
  <c r="T160" i="6"/>
  <c r="U159" i="6"/>
  <c r="T159" i="6"/>
  <c r="U158" i="6"/>
  <c r="T158" i="6"/>
  <c r="U157" i="6"/>
  <c r="T157" i="6"/>
  <c r="U156" i="6"/>
  <c r="T156" i="6"/>
  <c r="U155" i="6"/>
  <c r="T155" i="6"/>
  <c r="U154" i="6"/>
  <c r="T154" i="6"/>
  <c r="U153" i="6"/>
  <c r="T153" i="6"/>
  <c r="U152" i="6"/>
  <c r="T152" i="6"/>
  <c r="U151" i="6"/>
  <c r="T151" i="6"/>
  <c r="U150" i="6"/>
  <c r="T150" i="6"/>
  <c r="U149" i="6"/>
  <c r="T149" i="6"/>
  <c r="U148" i="6"/>
  <c r="T148" i="6"/>
  <c r="U147" i="6"/>
  <c r="T147" i="6"/>
  <c r="U146" i="6"/>
  <c r="T146" i="6"/>
  <c r="U145" i="6"/>
  <c r="T145" i="6"/>
  <c r="U144" i="6"/>
  <c r="T144" i="6"/>
  <c r="U143" i="6"/>
  <c r="T143" i="6"/>
  <c r="U142" i="6"/>
  <c r="T142" i="6"/>
  <c r="U141" i="6"/>
  <c r="T141" i="6"/>
  <c r="U140" i="6"/>
  <c r="T140" i="6"/>
  <c r="U139" i="6"/>
  <c r="T139" i="6"/>
  <c r="U138" i="6"/>
  <c r="T138" i="6"/>
  <c r="U137" i="6"/>
  <c r="T137" i="6"/>
  <c r="U136" i="6"/>
  <c r="T136" i="6"/>
  <c r="U135" i="6"/>
  <c r="T135" i="6"/>
  <c r="U134" i="6"/>
  <c r="T134" i="6"/>
  <c r="U133" i="6"/>
  <c r="T133" i="6"/>
  <c r="U132" i="6"/>
  <c r="T132" i="6"/>
  <c r="U131" i="6"/>
  <c r="T131" i="6"/>
  <c r="U130" i="6"/>
  <c r="T130" i="6"/>
  <c r="U129" i="6"/>
  <c r="T129" i="6"/>
  <c r="U128" i="6"/>
  <c r="T128" i="6"/>
  <c r="U127" i="6"/>
  <c r="T127" i="6"/>
  <c r="U126" i="6"/>
  <c r="T126" i="6"/>
  <c r="U125" i="6"/>
  <c r="T125" i="6"/>
  <c r="U124" i="6"/>
  <c r="T124" i="6"/>
  <c r="U123" i="6"/>
  <c r="T123" i="6"/>
  <c r="U122" i="6"/>
  <c r="T122" i="6"/>
  <c r="U121" i="6"/>
  <c r="T121" i="6"/>
  <c r="U120" i="6"/>
  <c r="T120" i="6"/>
  <c r="U119" i="6"/>
  <c r="T119" i="6"/>
  <c r="U118" i="6"/>
  <c r="T118" i="6"/>
  <c r="U117" i="6"/>
  <c r="T117" i="6"/>
  <c r="U116" i="6"/>
  <c r="T116" i="6"/>
  <c r="U115" i="6"/>
  <c r="T115" i="6"/>
  <c r="U114" i="6"/>
  <c r="T114" i="6"/>
  <c r="U113" i="6"/>
  <c r="T113" i="6"/>
  <c r="U112" i="6"/>
  <c r="T112" i="6"/>
  <c r="U111" i="6"/>
  <c r="T111" i="6"/>
  <c r="U110" i="6"/>
  <c r="T110" i="6"/>
  <c r="U109" i="6"/>
  <c r="T109" i="6"/>
  <c r="U108" i="6"/>
  <c r="T108" i="6"/>
  <c r="U107" i="6"/>
  <c r="T107" i="6"/>
  <c r="U106" i="6"/>
  <c r="T106" i="6"/>
  <c r="U105" i="6"/>
  <c r="T105" i="6"/>
  <c r="U104" i="6"/>
  <c r="T104" i="6"/>
  <c r="U103" i="6"/>
  <c r="T103" i="6"/>
  <c r="U102" i="6"/>
  <c r="T102" i="6"/>
  <c r="U101" i="6"/>
  <c r="T101" i="6"/>
  <c r="U100" i="6"/>
  <c r="T100" i="6"/>
  <c r="U99" i="6"/>
  <c r="T99" i="6"/>
  <c r="U98" i="6"/>
  <c r="T98" i="6"/>
  <c r="U97" i="6"/>
  <c r="T97" i="6"/>
  <c r="U96" i="6"/>
  <c r="T96" i="6"/>
  <c r="U95" i="6"/>
  <c r="T95" i="6"/>
  <c r="U94" i="6"/>
  <c r="T94" i="6"/>
  <c r="U93" i="6"/>
  <c r="T93" i="6"/>
  <c r="U92" i="6"/>
  <c r="T92" i="6"/>
  <c r="U91" i="6"/>
  <c r="T91" i="6"/>
  <c r="U90" i="6"/>
  <c r="T90" i="6"/>
  <c r="U89" i="6"/>
  <c r="T89" i="6"/>
  <c r="U88" i="6"/>
  <c r="T88" i="6"/>
  <c r="U87" i="6"/>
  <c r="T87" i="6"/>
  <c r="U86" i="6"/>
  <c r="T86" i="6"/>
  <c r="U85" i="6"/>
  <c r="T85" i="6"/>
  <c r="U84" i="6"/>
  <c r="T84" i="6"/>
  <c r="U83" i="6"/>
  <c r="T83" i="6"/>
  <c r="U82" i="6"/>
  <c r="T82" i="6"/>
  <c r="U81" i="6"/>
  <c r="T81" i="6"/>
  <c r="U80" i="6"/>
  <c r="T80" i="6"/>
  <c r="U79" i="6"/>
  <c r="T79" i="6"/>
  <c r="U78" i="6"/>
  <c r="T78" i="6"/>
  <c r="U77" i="6"/>
  <c r="T77" i="6"/>
  <c r="U76" i="6"/>
  <c r="T76" i="6"/>
  <c r="U75" i="6"/>
  <c r="T75" i="6"/>
  <c r="U74" i="6"/>
  <c r="T74" i="6"/>
  <c r="U73" i="6"/>
  <c r="T73" i="6"/>
  <c r="U72" i="6"/>
  <c r="T72" i="6"/>
  <c r="U71" i="6"/>
  <c r="T71" i="6"/>
  <c r="U70" i="6"/>
  <c r="T70" i="6"/>
  <c r="U69" i="6"/>
  <c r="T69" i="6"/>
  <c r="U68" i="6"/>
  <c r="T68" i="6"/>
  <c r="U67" i="6"/>
  <c r="T67" i="6"/>
  <c r="U66" i="6"/>
  <c r="T66" i="6"/>
  <c r="U65" i="6"/>
  <c r="T65" i="6"/>
  <c r="U64" i="6"/>
  <c r="T64" i="6"/>
  <c r="U63" i="6"/>
  <c r="T63" i="6"/>
  <c r="U62" i="6"/>
  <c r="T62" i="6"/>
  <c r="U61" i="6"/>
  <c r="T61" i="6"/>
  <c r="U60" i="6"/>
  <c r="T60" i="6"/>
  <c r="U59" i="6"/>
  <c r="T59" i="6"/>
  <c r="U58" i="6"/>
  <c r="T58" i="6"/>
  <c r="U57" i="6"/>
  <c r="T57" i="6"/>
  <c r="U56" i="6"/>
  <c r="T56" i="6"/>
  <c r="U55" i="6"/>
  <c r="T55" i="6"/>
  <c r="U54" i="6"/>
  <c r="T54" i="6"/>
  <c r="U53" i="6"/>
  <c r="T53" i="6"/>
  <c r="U52" i="6"/>
  <c r="T52" i="6"/>
  <c r="U51" i="6"/>
  <c r="T51" i="6"/>
  <c r="U50" i="6"/>
  <c r="T50" i="6"/>
  <c r="U49" i="6"/>
  <c r="T49" i="6"/>
  <c r="U48" i="6"/>
  <c r="T48" i="6"/>
  <c r="U47" i="6"/>
  <c r="T47" i="6"/>
  <c r="U46" i="6"/>
  <c r="T46" i="6"/>
  <c r="U45" i="6"/>
  <c r="T45" i="6"/>
  <c r="U44" i="6"/>
  <c r="T44" i="6"/>
  <c r="U43" i="6"/>
  <c r="T43" i="6"/>
  <c r="U42" i="6"/>
  <c r="T42" i="6"/>
  <c r="U41" i="6"/>
  <c r="T41" i="6"/>
  <c r="U40" i="6"/>
  <c r="T40" i="6"/>
  <c r="U39" i="6"/>
  <c r="T39" i="6"/>
  <c r="U38" i="6"/>
  <c r="T38" i="6"/>
  <c r="U37" i="6"/>
  <c r="T37" i="6"/>
  <c r="U36" i="6"/>
  <c r="T36" i="6"/>
  <c r="U35" i="6"/>
  <c r="T35" i="6"/>
  <c r="U34" i="6"/>
  <c r="T34" i="6"/>
  <c r="U33" i="6"/>
  <c r="T33" i="6"/>
  <c r="U32" i="6"/>
  <c r="T32" i="6"/>
  <c r="U31" i="6"/>
  <c r="T31" i="6"/>
  <c r="U30" i="6"/>
  <c r="T30" i="6"/>
  <c r="U29" i="6"/>
  <c r="T29" i="6"/>
  <c r="U28" i="6"/>
  <c r="T28" i="6"/>
  <c r="U27" i="6"/>
  <c r="T27" i="6"/>
  <c r="U26" i="6"/>
  <c r="T26" i="6"/>
  <c r="U25" i="6"/>
  <c r="T25" i="6"/>
  <c r="U24" i="6"/>
  <c r="T24" i="6"/>
  <c r="U23" i="6"/>
  <c r="T23" i="6"/>
  <c r="U22" i="6"/>
  <c r="T22" i="6"/>
  <c r="U21" i="6"/>
  <c r="T21" i="6"/>
  <c r="U20" i="6"/>
  <c r="T20" i="6"/>
  <c r="U19" i="6"/>
  <c r="T19" i="6"/>
  <c r="U18" i="6"/>
  <c r="T18" i="6"/>
  <c r="U17" i="6"/>
  <c r="T17" i="6"/>
  <c r="U16" i="6"/>
  <c r="T16" i="6"/>
  <c r="U15" i="6"/>
  <c r="T15" i="6"/>
  <c r="U14" i="6"/>
  <c r="T14" i="6"/>
  <c r="U13" i="6"/>
  <c r="T13" i="6"/>
  <c r="U12" i="6"/>
  <c r="T12" i="6"/>
  <c r="U11" i="6"/>
  <c r="T11" i="6"/>
  <c r="U10" i="6"/>
  <c r="T10" i="6"/>
  <c r="U9" i="6"/>
  <c r="T9" i="6"/>
  <c r="U8" i="6"/>
  <c r="T8" i="6"/>
  <c r="U7" i="6"/>
  <c r="T7" i="6"/>
  <c r="U6" i="6"/>
  <c r="T6" i="6"/>
  <c r="U5" i="6"/>
  <c r="T5" i="6"/>
  <c r="U4" i="6"/>
  <c r="T4" i="6"/>
  <c r="U3" i="6"/>
  <c r="T3" i="6"/>
  <c r="U2" i="6"/>
  <c r="T2" i="6"/>
  <c r="D552" i="4"/>
  <c r="C552" i="4"/>
  <c r="B552" i="4"/>
  <c r="E2" i="2"/>
  <c r="E4" i="2"/>
  <c r="E5" i="2"/>
  <c r="E6" i="2"/>
  <c r="E7" i="2"/>
  <c r="E8" i="2"/>
  <c r="E9" i="2"/>
  <c r="E10" i="2"/>
  <c r="E11" i="2"/>
  <c r="E12" i="2"/>
  <c r="U386" i="3"/>
  <c r="F629" i="4" s="1"/>
  <c r="U562" i="3"/>
  <c r="F630" i="4" s="1"/>
  <c r="U484" i="3"/>
  <c r="F631" i="4" s="1"/>
  <c r="U553" i="3"/>
  <c r="F632" i="4" s="1"/>
  <c r="U449" i="3"/>
  <c r="F633" i="4" s="1"/>
  <c r="U435" i="3"/>
  <c r="F634" i="4" s="1"/>
  <c r="U309" i="3"/>
  <c r="F635" i="4" s="1"/>
  <c r="U116" i="3"/>
  <c r="F636" i="4" s="1"/>
  <c r="U40" i="3"/>
  <c r="F637" i="4" s="1"/>
  <c r="U38" i="3"/>
  <c r="F638" i="4" s="1"/>
  <c r="U211" i="3"/>
  <c r="F564" i="4" s="1"/>
  <c r="U212" i="3"/>
  <c r="F565" i="4" s="1"/>
  <c r="U632" i="3"/>
  <c r="F693" i="4" s="1"/>
  <c r="U626" i="3"/>
  <c r="F697" i="4" s="1"/>
  <c r="U607" i="3"/>
  <c r="F699" i="4" s="1"/>
  <c r="U427" i="3"/>
  <c r="F131" i="4" s="1"/>
  <c r="U433" i="3"/>
  <c r="F698" i="4" s="1"/>
  <c r="U557" i="3"/>
  <c r="F219" i="4" s="1"/>
  <c r="U571" i="3"/>
  <c r="F384" i="4" s="1"/>
  <c r="U443" i="3"/>
  <c r="F191" i="4" s="1"/>
  <c r="U29" i="3"/>
  <c r="F515" i="4" s="1"/>
  <c r="U610" i="3"/>
  <c r="F193" i="4" s="1"/>
  <c r="U645" i="3"/>
  <c r="F624" i="4" s="1"/>
  <c r="U555" i="3"/>
  <c r="F675" i="4" s="1"/>
  <c r="U504" i="3"/>
  <c r="F616" i="4" s="1"/>
  <c r="U603" i="3"/>
  <c r="F670" i="4" s="1"/>
  <c r="U489" i="3"/>
  <c r="F147" i="4" s="1"/>
  <c r="U487" i="3"/>
  <c r="F134" i="4" s="1"/>
  <c r="U354" i="3"/>
  <c r="F473" i="4" s="1"/>
  <c r="U670" i="3"/>
  <c r="F222" i="4" s="1"/>
  <c r="U647" i="3"/>
  <c r="F574" i="4" s="1"/>
  <c r="U383" i="3"/>
  <c r="F4" i="4" s="1"/>
  <c r="U396" i="3"/>
  <c r="F431" i="4" s="1"/>
  <c r="U365" i="3"/>
  <c r="F344" i="4" s="1"/>
  <c r="U337" i="3"/>
  <c r="F435" i="4" s="1"/>
  <c r="U583" i="3"/>
  <c r="F690" i="4" s="1"/>
  <c r="U556" i="3"/>
  <c r="F195" i="4" s="1"/>
  <c r="U293" i="3"/>
  <c r="F11" i="4" s="1"/>
  <c r="U490" i="3"/>
  <c r="F197" i="4" s="1"/>
  <c r="U372" i="3"/>
  <c r="F364" i="4" s="1"/>
  <c r="U518" i="3"/>
  <c r="F485" i="4" s="1"/>
  <c r="U389" i="3"/>
  <c r="F487" i="4" s="1"/>
  <c r="U370" i="3"/>
  <c r="F613" i="4" s="1"/>
  <c r="U429" i="3"/>
  <c r="F437" i="4" s="1"/>
  <c r="U413" i="3"/>
  <c r="F499" i="4" s="1"/>
  <c r="U375" i="3"/>
  <c r="F146" i="4" s="1"/>
  <c r="U457" i="3"/>
  <c r="F569" i="4" s="1"/>
  <c r="U561" i="3"/>
  <c r="F396" i="4" s="1"/>
  <c r="U516" i="3"/>
  <c r="F387" i="4" s="1"/>
  <c r="U352" i="3"/>
  <c r="F425" i="4" s="1"/>
  <c r="U408" i="3"/>
  <c r="F511" i="4" s="1"/>
  <c r="U326" i="3"/>
  <c r="F24" i="4" s="1"/>
  <c r="U331" i="3"/>
  <c r="F440" i="4" s="1"/>
  <c r="U523" i="3"/>
  <c r="F226" i="4" s="1"/>
  <c r="U351" i="3"/>
  <c r="F577" i="4" s="1"/>
  <c r="U318" i="3"/>
  <c r="F474" i="4" s="1"/>
  <c r="U627" i="3"/>
  <c r="F34" i="4" s="1"/>
  <c r="U620" i="3"/>
  <c r="F300" i="4" s="1"/>
  <c r="U473" i="3"/>
  <c r="F471" i="4" s="1"/>
  <c r="U578" i="3"/>
  <c r="F679" i="4" s="1"/>
  <c r="U399" i="3"/>
  <c r="F187" i="4" s="1"/>
  <c r="U349" i="3"/>
  <c r="F378" i="4" s="1"/>
  <c r="U415" i="3"/>
  <c r="F298" i="4" s="1"/>
  <c r="U471" i="3"/>
  <c r="F423" i="4" s="1"/>
  <c r="U379" i="3"/>
  <c r="F501" i="4" s="1"/>
  <c r="U480" i="3"/>
  <c r="F691" i="4" s="1"/>
  <c r="U303" i="3"/>
  <c r="F89" i="4" s="1"/>
  <c r="U451" i="3"/>
  <c r="F379" i="4" s="1"/>
  <c r="U612" i="3"/>
  <c r="F663" i="4" s="1"/>
  <c r="U594" i="3"/>
  <c r="F668" i="4" s="1"/>
  <c r="U472" i="3"/>
  <c r="F684" i="4" s="1"/>
  <c r="U387" i="3"/>
  <c r="F105" i="4" s="1"/>
  <c r="U321" i="3"/>
  <c r="F225" i="4" s="1"/>
  <c r="U395" i="3"/>
  <c r="F346" i="4" s="1"/>
  <c r="U340" i="3"/>
  <c r="F363" i="4" s="1"/>
  <c r="U662" i="3"/>
  <c r="F661" i="4" s="1"/>
  <c r="U348" i="3"/>
  <c r="F576" i="4" s="1"/>
  <c r="U217" i="3"/>
  <c r="F25" i="4" s="1"/>
  <c r="U425" i="3"/>
  <c r="F23" i="4" s="1"/>
  <c r="U605" i="3"/>
  <c r="F92" i="4" s="1"/>
  <c r="U546" i="3"/>
  <c r="F133" i="4" s="1"/>
  <c r="U403" i="3"/>
  <c r="F140" i="4" s="1"/>
  <c r="U534" i="3"/>
  <c r="F171" i="4" s="1"/>
  <c r="U428" i="3"/>
  <c r="F251" i="4" s="1"/>
  <c r="U446" i="3"/>
  <c r="F266" i="4" s="1"/>
  <c r="U378" i="3"/>
  <c r="F318" i="4" s="1"/>
  <c r="U405" i="3"/>
  <c r="F361" i="4" s="1"/>
  <c r="U595" i="3"/>
  <c r="F389" i="4" s="1"/>
  <c r="U508" i="3"/>
  <c r="F479" i="4" s="1"/>
  <c r="U407" i="3"/>
  <c r="F488" i="4" s="1"/>
  <c r="U418" i="3"/>
  <c r="F169" i="4" s="1"/>
  <c r="U276" i="3"/>
  <c r="F145" i="4" s="1"/>
  <c r="U342" i="3"/>
  <c r="F307" i="4" s="1"/>
  <c r="U642" i="3"/>
  <c r="F282" i="4" s="1"/>
  <c r="U579" i="3"/>
  <c r="F189" i="4" s="1"/>
  <c r="U663" i="3"/>
  <c r="F673" i="4" s="1"/>
  <c r="U377" i="3"/>
  <c r="F149" i="4" s="1"/>
  <c r="U572" i="3"/>
  <c r="F121" i="4" s="1"/>
  <c r="U369" i="3"/>
  <c r="F357" i="4" s="1"/>
  <c r="U512" i="3"/>
  <c r="F391" i="4" s="1"/>
  <c r="U398" i="3"/>
  <c r="F392" i="4" s="1"/>
  <c r="U406" i="3"/>
  <c r="F395" i="4" s="1"/>
  <c r="U593" i="3"/>
  <c r="F500" i="4" s="1"/>
  <c r="U271" i="3"/>
  <c r="F296" i="4" s="1"/>
  <c r="U294" i="3"/>
  <c r="F331" i="4" s="1"/>
  <c r="U240" i="3"/>
  <c r="F26" i="4" s="1"/>
  <c r="U332" i="3"/>
  <c r="F217" i="4" s="1"/>
  <c r="U333" i="3"/>
  <c r="F247" i="4" s="1"/>
  <c r="U568" i="3"/>
  <c r="F672" i="4" s="1"/>
  <c r="U437" i="3"/>
  <c r="F130" i="4" s="1"/>
  <c r="U506" i="3"/>
  <c r="F150" i="4" s="1"/>
  <c r="U463" i="3"/>
  <c r="F267" i="4" s="1"/>
  <c r="U411" i="3"/>
  <c r="F314" i="4" s="1"/>
  <c r="U515" i="3"/>
  <c r="F362" i="4" s="1"/>
  <c r="U524" i="3"/>
  <c r="F401" i="4" s="1"/>
  <c r="U442" i="3"/>
  <c r="F433" i="4" s="1"/>
  <c r="U409" i="3"/>
  <c r="F539" i="4" s="1"/>
  <c r="U355" i="3"/>
  <c r="F303" i="4" s="1"/>
  <c r="U264" i="3"/>
  <c r="F170" i="4" s="1"/>
  <c r="U245" i="3"/>
  <c r="F294" i="4" s="1"/>
  <c r="U385" i="3"/>
  <c r="F493" i="4" s="1"/>
  <c r="U439" i="3"/>
  <c r="F3" i="4" s="1"/>
  <c r="U456" i="3"/>
  <c r="F10" i="4" s="1"/>
  <c r="U509" i="3"/>
  <c r="F221" i="4" s="1"/>
  <c r="U528" i="3"/>
  <c r="F243" i="4" s="1"/>
  <c r="U421" i="3"/>
  <c r="F22" i="4" s="1"/>
  <c r="U232" i="3"/>
  <c r="F365" i="4" s="1"/>
  <c r="U661" i="3"/>
  <c r="F117" i="4" s="1"/>
  <c r="U600" i="3"/>
  <c r="F122" i="4" s="1"/>
  <c r="U431" i="3"/>
  <c r="F184" i="4" s="1"/>
  <c r="U613" i="3"/>
  <c r="U441" i="3"/>
  <c r="F432" i="4" s="1"/>
  <c r="U527" i="3"/>
  <c r="F452" i="4" s="1"/>
  <c r="U590" i="3"/>
  <c r="F513" i="4" s="1"/>
  <c r="U381" i="3"/>
  <c r="F381" i="4" s="1"/>
  <c r="U336" i="3"/>
  <c r="F434" i="4" s="1"/>
  <c r="U445" i="3"/>
  <c r="F223" i="4" s="1"/>
  <c r="U479" i="3"/>
  <c r="F429" i="4" s="1"/>
  <c r="U653" i="3"/>
  <c r="F33" i="4" s="1"/>
  <c r="U570" i="3"/>
  <c r="F572" i="4" s="1"/>
  <c r="U495" i="3"/>
  <c r="F609" i="4" s="1"/>
  <c r="U302" i="3"/>
  <c r="F7" i="4" s="1"/>
  <c r="U270" i="3"/>
  <c r="F304" i="4" s="1"/>
  <c r="U234" i="3"/>
  <c r="F329" i="4" s="1"/>
  <c r="U481" i="3"/>
  <c r="F186" i="4" s="1"/>
  <c r="U482" i="3"/>
  <c r="F347" i="4" s="1"/>
  <c r="U464" i="3"/>
  <c r="F393" i="4" s="1"/>
  <c r="U373" i="3"/>
  <c r="F417" i="4" s="1"/>
  <c r="U492" i="3"/>
  <c r="F424" i="4" s="1"/>
  <c r="U461" i="3"/>
  <c r="F443" i="4" s="1"/>
  <c r="U360" i="3"/>
  <c r="F486" i="4" s="1"/>
  <c r="U651" i="3"/>
  <c r="F656" i="4" s="1"/>
  <c r="U599" i="3"/>
  <c r="F666" i="4" s="1"/>
  <c r="U656" i="3"/>
  <c r="F669" i="4" s="1"/>
  <c r="U665" i="3"/>
  <c r="F677" i="4" s="1"/>
  <c r="U393" i="3"/>
  <c r="F132" i="4" s="1"/>
  <c r="U498" i="3"/>
  <c r="F627" i="4" s="1"/>
  <c r="U344" i="3"/>
  <c r="F475" i="4" s="1"/>
  <c r="U539" i="3"/>
  <c r="F12" i="4" s="1"/>
  <c r="U654" i="3"/>
  <c r="F75" i="4" s="1"/>
  <c r="U558" i="3"/>
  <c r="F674" i="4" s="1"/>
  <c r="U641" i="3"/>
  <c r="F676" i="4" s="1"/>
  <c r="U577" i="3"/>
  <c r="F686" i="4" s="1"/>
  <c r="U664" i="3"/>
  <c r="F657" i="4" s="1"/>
  <c r="U314" i="3"/>
  <c r="F420" i="4" s="1"/>
  <c r="U335" i="3"/>
  <c r="F573" i="4" s="1"/>
  <c r="U323" i="3"/>
  <c r="F9" i="4" s="1"/>
  <c r="U195" i="3"/>
  <c r="F305" i="4" s="1"/>
  <c r="U563" i="3"/>
  <c r="F575" i="4" s="1"/>
  <c r="U601" i="3"/>
  <c r="F662" i="4" s="1"/>
  <c r="U450" i="3"/>
  <c r="F141" i="4" s="1"/>
  <c r="U511" i="3"/>
  <c r="F256" i="4" s="1"/>
  <c r="U459" i="3"/>
  <c r="F302" i="4" s="1"/>
  <c r="U356" i="3"/>
  <c r="F350" i="4" s="1"/>
  <c r="U658" i="3"/>
  <c r="F465" i="4" s="1"/>
  <c r="U538" i="3"/>
  <c r="F667" i="4" s="1"/>
  <c r="U586" i="3"/>
  <c r="F683" i="4" s="1"/>
  <c r="U319" i="3"/>
  <c r="F492" i="4" s="1"/>
  <c r="U256" i="3"/>
  <c r="F224" i="4" s="1"/>
  <c r="U287" i="3"/>
  <c r="F328" i="4" s="1"/>
  <c r="U587" i="3"/>
  <c r="F137" i="4" s="1"/>
  <c r="U631" i="3"/>
  <c r="F512" i="4" s="1"/>
  <c r="U368" i="3"/>
  <c r="F355" i="4" s="1"/>
  <c r="U537" i="3"/>
  <c r="F220" i="4" s="1"/>
  <c r="U548" i="3"/>
  <c r="F297" i="4" s="1"/>
  <c r="U499" i="3"/>
  <c r="F588" i="4" s="1"/>
  <c r="U397" i="3"/>
  <c r="F578" i="4" s="1"/>
  <c r="U325" i="3"/>
  <c r="F446" i="4" s="1"/>
  <c r="U273" i="3"/>
  <c r="F138" i="4" s="1"/>
  <c r="U210" i="3"/>
  <c r="F178" i="4" s="1"/>
  <c r="U400" i="3"/>
  <c r="F601" i="4" s="1"/>
  <c r="U535" i="3"/>
  <c r="F176" i="4" s="1"/>
  <c r="U469" i="3"/>
  <c r="F218" i="4" s="1"/>
  <c r="U494" i="3"/>
  <c r="F490" i="4" s="1"/>
  <c r="U452" i="3"/>
  <c r="F604" i="4" s="1"/>
  <c r="U366" i="3"/>
  <c r="F388" i="4" s="1"/>
  <c r="U444" i="3"/>
  <c r="F142" i="4" s="1"/>
  <c r="U460" i="3"/>
  <c r="F498" i="4" s="1"/>
  <c r="U540" i="3"/>
  <c r="F398" i="4" s="1"/>
  <c r="U648" i="3"/>
  <c r="F685" i="4" s="1"/>
  <c r="U138" i="3"/>
  <c r="F358" i="4" s="1"/>
  <c r="U573" i="3"/>
  <c r="F399" i="4" s="1"/>
  <c r="U628" i="3"/>
  <c r="F664" i="4" s="1"/>
  <c r="U350" i="3"/>
  <c r="F93" i="4" s="1"/>
  <c r="U483" i="3"/>
  <c r="F264" i="4" s="1"/>
  <c r="U513" i="3"/>
  <c r="F268" i="4" s="1"/>
  <c r="U569" i="3"/>
  <c r="F253" i="4" s="1"/>
  <c r="U454" i="3"/>
  <c r="F430" i="4" s="1"/>
  <c r="U284" i="3"/>
  <c r="F411" i="4" s="1"/>
  <c r="U223" i="3"/>
  <c r="F8" i="4" s="1"/>
  <c r="U307" i="3"/>
  <c r="F409" i="4" s="1"/>
  <c r="U503" i="3"/>
  <c r="F185" i="4" s="1"/>
  <c r="U388" i="3"/>
  <c r="F538" i="4" s="1"/>
  <c r="U529" i="3"/>
  <c r="F262" i="4" s="1"/>
  <c r="U679" i="3"/>
  <c r="F671" i="4" s="1"/>
  <c r="U560" i="3"/>
  <c r="F255" i="4" s="1"/>
  <c r="U517" i="3"/>
  <c r="F394" i="4" s="1"/>
  <c r="U536" i="3"/>
  <c r="F439" i="4" s="1"/>
  <c r="U322" i="3"/>
  <c r="F533" i="4" s="1"/>
  <c r="U617" i="3"/>
  <c r="F201" i="4" s="1"/>
  <c r="U486" i="3"/>
  <c r="F227" i="4" s="1"/>
  <c r="U274" i="3"/>
  <c r="F320" i="4" s="1"/>
  <c r="U277" i="3"/>
  <c r="F213" i="4" s="1"/>
  <c r="U260" i="3"/>
  <c r="F687" i="4" s="1"/>
  <c r="U157" i="3"/>
  <c r="F299" i="4" s="1"/>
  <c r="U502" i="3"/>
  <c r="F571" i="4" s="1"/>
  <c r="U320" i="3"/>
  <c r="F254" i="4" s="1"/>
  <c r="U424" i="3"/>
  <c r="F385" i="4" s="1"/>
  <c r="U221" i="3"/>
  <c r="F327" i="4" s="1"/>
  <c r="U153" i="3"/>
  <c r="F311" i="4" s="1"/>
  <c r="U250" i="3"/>
  <c r="F319" i="4" s="1"/>
  <c r="U521" i="3"/>
  <c r="F519" i="4" s="1"/>
  <c r="U544" i="3"/>
  <c r="F5" i="4" s="1"/>
  <c r="U149" i="3"/>
  <c r="F461" i="4" s="1"/>
  <c r="U301" i="3"/>
  <c r="F579" i="4" s="1"/>
  <c r="U696" i="3"/>
  <c r="F665" i="4" s="1"/>
  <c r="U526" i="3"/>
  <c r="F614" i="4" s="1"/>
  <c r="U124" i="3"/>
  <c r="F359" i="4" s="1"/>
  <c r="U619" i="3"/>
  <c r="F95" i="4" s="1"/>
  <c r="U477" i="3"/>
  <c r="F265" i="4" s="1"/>
  <c r="U618" i="3"/>
  <c r="F660" i="4" s="1"/>
  <c r="U549" i="3"/>
  <c r="F345" i="4" s="1"/>
  <c r="U148" i="3"/>
  <c r="F173" i="4" s="1"/>
  <c r="U552" i="3"/>
  <c r="F112" i="4" s="1"/>
  <c r="U493" i="3"/>
  <c r="F175" i="4" s="1"/>
  <c r="U248" i="3"/>
  <c r="F330" i="4" s="1"/>
  <c r="U575" i="3"/>
  <c r="F174" i="4" s="1"/>
  <c r="U361" i="3"/>
  <c r="F517" i="4" s="1"/>
  <c r="U346" i="3"/>
  <c r="F172" i="4" s="1"/>
  <c r="U485" i="3"/>
  <c r="F35" i="4" s="1"/>
  <c r="U32" i="3"/>
  <c r="F462" i="4" s="1"/>
  <c r="U290" i="3"/>
  <c r="F559" i="4" s="1"/>
  <c r="U596" i="3"/>
  <c r="F158" i="4" s="1"/>
  <c r="U507" i="3"/>
  <c r="F416" i="4" s="1"/>
  <c r="U222" i="3"/>
  <c r="F31" i="4" s="1"/>
  <c r="U532" i="3"/>
  <c r="F418" i="4" s="1"/>
  <c r="U239" i="3"/>
  <c r="F594" i="4" s="1"/>
  <c r="U308" i="3"/>
  <c r="F547" i="4" s="1"/>
  <c r="U253" i="3"/>
  <c r="F157" i="4" s="1"/>
  <c r="U343" i="3"/>
  <c r="F525" i="4" s="1"/>
  <c r="U589" i="3"/>
  <c r="F128" i="4" s="1"/>
  <c r="U510" i="3"/>
  <c r="F210" i="4" s="1"/>
  <c r="U565" i="3"/>
  <c r="F689" i="4" s="1"/>
  <c r="U327" i="3"/>
  <c r="U339" i="3"/>
  <c r="F37" i="4" s="1"/>
  <c r="U252" i="3"/>
  <c r="F212" i="4" s="1"/>
  <c r="U238" i="3"/>
  <c r="F214" i="4" s="1"/>
  <c r="U151" i="3"/>
  <c r="F129" i="4" s="1"/>
  <c r="U432" i="3"/>
  <c r="F76" i="4" s="1"/>
  <c r="U545" i="3"/>
  <c r="F681" i="4" s="1"/>
  <c r="U123" i="3"/>
  <c r="F273" i="4" s="1"/>
  <c r="U353" i="3"/>
  <c r="F700" i="4" s="1"/>
  <c r="U300" i="3"/>
  <c r="F522" i="4" s="1"/>
  <c r="U203" i="3"/>
  <c r="F277" i="4" s="1"/>
  <c r="U574" i="3"/>
  <c r="F21" i="4" s="1"/>
  <c r="U624" i="3"/>
  <c r="F71" i="4" s="1"/>
  <c r="U159" i="3"/>
  <c r="F342" i="4" s="1"/>
  <c r="U167" i="3"/>
  <c r="F209" i="4" s="1"/>
  <c r="U176" i="3"/>
  <c r="F279" i="4" s="1"/>
  <c r="U438" i="3"/>
  <c r="F514" i="4" s="1"/>
  <c r="U448" i="3"/>
  <c r="F640" i="4" s="1"/>
  <c r="U458" i="3"/>
  <c r="F70" i="4" s="1"/>
  <c r="U255" i="3"/>
  <c r="F529" i="4" s="1"/>
  <c r="U296" i="3"/>
  <c r="F152" i="4" s="1"/>
  <c r="U501" i="3"/>
  <c r="F308" i="4" s="1"/>
  <c r="U440" i="3"/>
  <c r="F211" i="4" s="1"/>
  <c r="U637" i="3"/>
  <c r="F464" i="4" s="1"/>
  <c r="U367" i="3"/>
  <c r="F119" i="4" s="1"/>
  <c r="U191" i="3"/>
  <c r="F280" i="4" s="1"/>
  <c r="U520" i="3"/>
  <c r="F682" i="4" s="1"/>
  <c r="U392" i="3"/>
  <c r="U391" i="3"/>
  <c r="F532" i="4" s="1"/>
  <c r="U543" i="3"/>
  <c r="F426" i="4" s="1"/>
  <c r="U194" i="3"/>
  <c r="F274" i="4" s="1"/>
  <c r="U402" i="3"/>
  <c r="F696" i="4" s="1"/>
  <c r="U201" i="3"/>
  <c r="F84" i="4" s="1"/>
  <c r="U262" i="3"/>
  <c r="F460" i="4" s="1"/>
  <c r="U228" i="3"/>
  <c r="F549" i="4" s="1"/>
  <c r="U278" i="3"/>
  <c r="F589" i="4" s="1"/>
  <c r="U434" i="3"/>
  <c r="F180" i="4" s="1"/>
  <c r="U313" i="3"/>
  <c r="F124" i="4" s="1"/>
  <c r="U315" i="3"/>
  <c r="F270" i="4" s="1"/>
  <c r="U364" i="3"/>
  <c r="F118" i="4" s="1"/>
  <c r="U329" i="3"/>
  <c r="F100" i="4" s="1"/>
  <c r="U357" i="3"/>
  <c r="F600" i="4" s="1"/>
  <c r="U414" i="3"/>
  <c r="F231" i="4" s="1"/>
  <c r="U218" i="3"/>
  <c r="F272" i="4" s="1"/>
  <c r="U639" i="3"/>
  <c r="F38" i="4" s="1"/>
  <c r="U530" i="3"/>
  <c r="F352" i="4" s="1"/>
  <c r="U362" i="3"/>
  <c r="F182" i="4" s="1"/>
  <c r="U158" i="3"/>
  <c r="F46" i="4" s="1"/>
  <c r="U291" i="3"/>
  <c r="F203" i="4" s="1"/>
  <c r="U478" i="3"/>
  <c r="F351" i="4" s="1"/>
  <c r="U207" i="3"/>
  <c r="F88" i="4" s="1"/>
  <c r="U254" i="3"/>
  <c r="F202" i="4" s="1"/>
  <c r="U246" i="3"/>
  <c r="F48" i="4" s="1"/>
  <c r="U462" i="3"/>
  <c r="F585" i="4" s="1"/>
  <c r="U258" i="3"/>
  <c r="F332" i="4" s="1"/>
  <c r="U3" i="3"/>
  <c r="F583" i="4" s="1"/>
  <c r="U422" i="3"/>
  <c r="F32" i="4" s="1"/>
  <c r="U7" i="3"/>
  <c r="F109" i="4" s="1"/>
  <c r="U13" i="3"/>
  <c r="F453" i="4" s="1"/>
  <c r="U180" i="3"/>
  <c r="F644" i="4" s="1"/>
  <c r="U144" i="3"/>
  <c r="F289" i="4" s="1"/>
  <c r="U541" i="3"/>
  <c r="F694" i="4" s="1"/>
  <c r="U25" i="3"/>
  <c r="F382" i="4" s="1"/>
  <c r="U22" i="3"/>
  <c r="F165" i="4" s="1"/>
  <c r="U5" i="3"/>
  <c r="F541" i="4" s="1"/>
  <c r="U42" i="3"/>
  <c r="F139" i="4" s="1"/>
  <c r="U33" i="3"/>
  <c r="F639" i="4" s="1"/>
  <c r="U41" i="3"/>
  <c r="F14" i="4" s="1"/>
  <c r="U23" i="3"/>
  <c r="F518" i="4" s="1"/>
  <c r="U36" i="3"/>
  <c r="F383" i="4" s="1"/>
  <c r="U31" i="3"/>
  <c r="F366" i="4" s="1"/>
  <c r="U9" i="3"/>
  <c r="F496" i="4" s="1"/>
  <c r="U297" i="3"/>
  <c r="F288" i="4" s="1"/>
  <c r="U50" i="3"/>
  <c r="F316" i="4" s="1"/>
  <c r="U78" i="3"/>
  <c r="F13" i="4" s="1"/>
  <c r="U28" i="3"/>
  <c r="F455" i="4" s="1"/>
  <c r="U66" i="3"/>
  <c r="F94" i="4" s="1"/>
  <c r="U52" i="3"/>
  <c r="F466" i="4" s="1"/>
  <c r="U16" i="3"/>
  <c r="F237" i="4" s="1"/>
  <c r="U14" i="3"/>
  <c r="F468" i="4" s="1"/>
  <c r="U10" i="3"/>
  <c r="F428" i="4" s="1"/>
  <c r="U58" i="3"/>
  <c r="F504" i="4" s="1"/>
  <c r="U48" i="3"/>
  <c r="F582" i="4" s="1"/>
  <c r="U316" i="3"/>
  <c r="F326" i="4" s="1"/>
  <c r="U263" i="3"/>
  <c r="F646" i="4" s="1"/>
  <c r="U27" i="3"/>
  <c r="F108" i="4" s="1"/>
  <c r="U49" i="3"/>
  <c r="F72" i="4" s="1"/>
  <c r="U6" i="3"/>
  <c r="F523" i="4" s="1"/>
  <c r="U382" i="3"/>
  <c r="F290" i="4" s="1"/>
  <c r="U51" i="3"/>
  <c r="F107" i="4" s="1"/>
  <c r="U24" i="3"/>
  <c r="F506" i="4" s="1"/>
  <c r="U8" i="3"/>
  <c r="F368" i="4" s="1"/>
  <c r="U94" i="3"/>
  <c r="F476" i="4" s="1"/>
  <c r="U20" i="3"/>
  <c r="F16" i="4" s="1"/>
  <c r="U80" i="3"/>
  <c r="F317" i="4" s="1"/>
  <c r="U37" i="3"/>
  <c r="F438" i="4" s="1"/>
  <c r="U44" i="3"/>
  <c r="F325" i="4" s="1"/>
  <c r="U89" i="3"/>
  <c r="F482" i="4" s="1"/>
  <c r="U56" i="3"/>
  <c r="F161" i="4" s="1"/>
  <c r="U21" i="3"/>
  <c r="F456" i="4" s="1"/>
  <c r="U95" i="3"/>
  <c r="F315" i="4" s="1"/>
  <c r="U105" i="3"/>
  <c r="F246" i="4" s="1"/>
  <c r="U61" i="3"/>
  <c r="F530" i="4" s="1"/>
  <c r="U45" i="3"/>
  <c r="F688" i="4" s="1"/>
  <c r="U104" i="3"/>
  <c r="F414" i="4" s="1"/>
  <c r="U202" i="3"/>
  <c r="F495" i="4" s="1"/>
  <c r="U93" i="3"/>
  <c r="F312" i="4" s="1"/>
  <c r="U11" i="3"/>
  <c r="F367" i="4" s="1"/>
  <c r="U114" i="3"/>
  <c r="F126" i="4" s="1"/>
  <c r="U121" i="3"/>
  <c r="F489" i="4" s="1"/>
  <c r="U18" i="3"/>
  <c r="F244" i="4" s="1"/>
  <c r="U53" i="3"/>
  <c r="F36" i="4" s="1"/>
  <c r="U4" i="3"/>
  <c r="F114" i="4" s="1"/>
  <c r="U72" i="3"/>
  <c r="F250" i="4" s="1"/>
  <c r="U17" i="3"/>
  <c r="F232" i="4" s="1"/>
  <c r="U81" i="3"/>
  <c r="F628" i="4" s="1"/>
  <c r="U347" i="3"/>
  <c r="F695" i="4" s="1"/>
  <c r="U119" i="3"/>
  <c r="F349" i="4" s="1"/>
  <c r="U70" i="3"/>
  <c r="F148" i="4" s="1"/>
  <c r="U109" i="3"/>
  <c r="F491" i="4" s="1"/>
  <c r="U88" i="3"/>
  <c r="F306" i="4" s="1"/>
  <c r="U125" i="3"/>
  <c r="F199" i="4" s="1"/>
  <c r="U65" i="3"/>
  <c r="F457" i="4" s="1"/>
  <c r="U74" i="3"/>
  <c r="F544" i="4" s="1"/>
  <c r="U126" i="3"/>
  <c r="F309" i="4" s="1"/>
  <c r="U77" i="3"/>
  <c r="F369" i="4" s="1"/>
  <c r="U26" i="3"/>
  <c r="F649" i="4" s="1"/>
  <c r="U140" i="3"/>
  <c r="F415" i="4" s="1"/>
  <c r="U46" i="3"/>
  <c r="F52" i="4" s="1"/>
  <c r="U43" i="3"/>
  <c r="F240" i="4" s="1"/>
  <c r="U34" i="3"/>
  <c r="F43" i="4" s="1"/>
  <c r="U111" i="3"/>
  <c r="F295" i="4" s="1"/>
  <c r="U112" i="3"/>
  <c r="F333" i="4" s="1"/>
  <c r="U64" i="3"/>
  <c r="F483" i="4" s="1"/>
  <c r="U85" i="3"/>
  <c r="F648" i="4" s="1"/>
  <c r="U103" i="3"/>
  <c r="F321" i="4" s="1"/>
  <c r="U35" i="3"/>
  <c r="F229" i="4" s="1"/>
  <c r="U416" i="3"/>
  <c r="F692" i="4" s="1"/>
  <c r="U82" i="3"/>
  <c r="F73" i="4" s="1"/>
  <c r="U79" i="3"/>
  <c r="F228" i="4" s="1"/>
  <c r="U90" i="3"/>
  <c r="F502" i="4" s="1"/>
  <c r="U102" i="3"/>
  <c r="F548" i="4" s="1"/>
  <c r="U110" i="3"/>
  <c r="F110" i="4" s="1"/>
  <c r="U62" i="3"/>
  <c r="F115" i="4" s="1"/>
  <c r="U91" i="3"/>
  <c r="F120" i="4" s="1"/>
  <c r="U55" i="3"/>
  <c r="F135" i="4" s="1"/>
  <c r="U145" i="3"/>
  <c r="F477" i="4" s="1"/>
  <c r="U127" i="3"/>
  <c r="F412" i="4" s="1"/>
  <c r="U75" i="3"/>
  <c r="F252" i="4" s="1"/>
  <c r="U118" i="3"/>
  <c r="F557" i="4" s="1"/>
  <c r="U73" i="3"/>
  <c r="F524" i="4" s="1"/>
  <c r="U137" i="3"/>
  <c r="F293" i="4" s="1"/>
  <c r="U54" i="3"/>
  <c r="F59" i="4" s="1"/>
  <c r="U133" i="3"/>
  <c r="F596" i="4" s="1"/>
  <c r="U84" i="3"/>
  <c r="F15" i="4" s="1"/>
  <c r="U106" i="3"/>
  <c r="F510" i="4" s="1"/>
  <c r="U198" i="3"/>
  <c r="F701" i="4" s="1"/>
  <c r="U156" i="3"/>
  <c r="F188" i="4" s="1"/>
  <c r="U39" i="3"/>
  <c r="F257" i="4" s="1"/>
  <c r="U47" i="3"/>
  <c r="F581" i="4" s="1"/>
  <c r="U57" i="3"/>
  <c r="F339" i="4" s="1"/>
  <c r="U99" i="3"/>
  <c r="F623" i="4" s="1"/>
  <c r="U132" i="3"/>
  <c r="F444" i="4" s="1"/>
  <c r="U166" i="3"/>
  <c r="F192" i="4" s="1"/>
  <c r="U83" i="3"/>
  <c r="F239" i="4" s="1"/>
  <c r="U154" i="3"/>
  <c r="F469" i="4" s="1"/>
  <c r="U69" i="3"/>
  <c r="F622" i="4" s="1"/>
  <c r="U97" i="3"/>
  <c r="F136" i="4" s="1"/>
  <c r="U192" i="3"/>
  <c r="F51" i="4" s="1"/>
  <c r="U129" i="3"/>
  <c r="F560" i="4" s="1"/>
  <c r="U186" i="3"/>
  <c r="F354" i="4" s="1"/>
  <c r="U113" i="3"/>
  <c r="F448" i="4" s="1"/>
  <c r="U130" i="3"/>
  <c r="F400" i="4" s="1"/>
  <c r="U161" i="3"/>
  <c r="F413" i="4" s="1"/>
  <c r="U117" i="3"/>
  <c r="F546" i="4" s="1"/>
  <c r="U175" i="3"/>
  <c r="F612" i="4" s="1"/>
  <c r="U139" i="3"/>
  <c r="F403" i="4" s="1"/>
  <c r="U101" i="3"/>
  <c r="F647" i="4" s="1"/>
  <c r="U86" i="3"/>
  <c r="F87" i="4" s="1"/>
  <c r="U150" i="3"/>
  <c r="F537" i="4" s="1"/>
  <c r="U204" i="3"/>
  <c r="F348" i="4" s="1"/>
  <c r="U172" i="3"/>
  <c r="F610" i="4" s="1"/>
  <c r="U98" i="3"/>
  <c r="F503" i="4" s="1"/>
  <c r="U188" i="3"/>
  <c r="F478" i="4" s="1"/>
  <c r="U152" i="3"/>
  <c r="F334" i="4" s="1"/>
  <c r="U193" i="3"/>
  <c r="F608" i="4" s="1"/>
  <c r="U183" i="3"/>
  <c r="F451" i="4" s="1"/>
  <c r="U219" i="3"/>
  <c r="F292" i="4" s="1"/>
  <c r="U92" i="3"/>
  <c r="F44" i="4" s="1"/>
  <c r="U226" i="3"/>
  <c r="F310" i="4" s="1"/>
  <c r="U168" i="3"/>
  <c r="F323" i="4" s="1"/>
  <c r="U173" i="3"/>
  <c r="F642" i="4" s="1"/>
  <c r="U209" i="3"/>
  <c r="F6" i="4" s="1"/>
  <c r="U214" i="3"/>
  <c r="F406" i="4" s="1"/>
  <c r="U169" i="3"/>
  <c r="F556" i="4" s="1"/>
  <c r="U225" i="3"/>
  <c r="F259" i="4" s="1"/>
  <c r="U143" i="3"/>
  <c r="F97" i="4" s="1"/>
  <c r="U171" i="3"/>
  <c r="F65" i="4" s="1"/>
  <c r="U185" i="3"/>
  <c r="F30" i="4" s="1"/>
  <c r="U242" i="3"/>
  <c r="F404" i="4" s="1"/>
  <c r="U230" i="3"/>
  <c r="F91" i="4" s="1"/>
  <c r="U100" i="3"/>
  <c r="F343" i="4" s="1"/>
  <c r="U122" i="3"/>
  <c r="F162" i="4" s="1"/>
  <c r="U155" i="3"/>
  <c r="F527" i="4" s="1"/>
  <c r="U184" i="3"/>
  <c r="F531" i="4" s="1"/>
  <c r="U247" i="3"/>
  <c r="F216" i="4" s="1"/>
  <c r="U178" i="3"/>
  <c r="F551" i="4" s="1"/>
  <c r="U189" i="3"/>
  <c r="U164" i="3"/>
  <c r="F160" i="4" s="1"/>
  <c r="U170" i="3"/>
  <c r="F207" i="4" s="1"/>
  <c r="U249" i="3"/>
  <c r="F245" i="4" s="1"/>
  <c r="U231" i="3"/>
  <c r="F90" i="4" s="1"/>
  <c r="U206" i="3"/>
  <c r="F540" i="4" s="1"/>
  <c r="U131" i="3"/>
  <c r="F155" i="4" s="1"/>
  <c r="U200" i="3"/>
  <c r="F555" i="4" s="1"/>
  <c r="U251" i="3"/>
  <c r="F570" i="4" s="1"/>
  <c r="U265" i="3"/>
  <c r="F421" i="4" s="1"/>
  <c r="U213" i="3"/>
  <c r="F106" i="4" s="1"/>
  <c r="U135" i="3"/>
  <c r="F402" i="4" s="1"/>
  <c r="U107" i="3"/>
  <c r="F260" i="4" s="1"/>
  <c r="U220" i="3"/>
  <c r="F441" i="4" s="1"/>
  <c r="U269" i="3"/>
  <c r="F278" i="4" s="1"/>
  <c r="U282" i="3"/>
  <c r="F447" i="4" s="1"/>
  <c r="U280" i="3"/>
  <c r="F64" i="4" s="1"/>
  <c r="U312" i="3"/>
  <c r="F442" i="4" s="1"/>
  <c r="U244" i="3"/>
  <c r="F454" i="4" s="1"/>
  <c r="U285" i="3"/>
  <c r="F467" i="4" s="1"/>
  <c r="U236" i="3"/>
  <c r="F599" i="4" s="1"/>
  <c r="U275" i="3"/>
  <c r="F472" i="4" s="1"/>
  <c r="U288" i="3"/>
  <c r="F390" i="4" s="1"/>
  <c r="U298" i="3"/>
  <c r="F470" i="4" s="1"/>
  <c r="U235" i="3"/>
  <c r="F507" i="4" s="1"/>
  <c r="U243" i="3"/>
  <c r="F96" i="4" s="1"/>
  <c r="U306" i="3"/>
  <c r="F376" i="4" s="1"/>
  <c r="U259" i="3"/>
  <c r="F558" i="4" s="1"/>
  <c r="U310" i="3"/>
  <c r="F380" i="4" s="1"/>
  <c r="U197" i="3"/>
  <c r="F602" i="4" s="1"/>
  <c r="U623" i="3"/>
  <c r="F2" i="4" s="1"/>
  <c r="U674" i="3"/>
  <c r="F17" i="4" s="1"/>
  <c r="U608" i="3"/>
  <c r="F18" i="4" s="1"/>
  <c r="U564" i="3"/>
  <c r="F19" i="4" s="1"/>
  <c r="U584" i="3"/>
  <c r="F20" i="4" s="1"/>
  <c r="U59" i="3"/>
  <c r="F28" i="4" s="1"/>
  <c r="U134" i="3"/>
  <c r="F29" i="4" s="1"/>
  <c r="U436" i="3"/>
  <c r="F39" i="4" s="1"/>
  <c r="U551" i="3"/>
  <c r="F40" i="4" s="1"/>
  <c r="U616" i="3"/>
  <c r="F41" i="4" s="1"/>
  <c r="U591" i="3"/>
  <c r="F42" i="4" s="1"/>
  <c r="U426" i="3"/>
  <c r="F45" i="4" s="1"/>
  <c r="U215" i="3"/>
  <c r="F47" i="4" s="1"/>
  <c r="U241" i="3"/>
  <c r="F49" i="4" s="1"/>
  <c r="U224" i="3"/>
  <c r="F50" i="4" s="1"/>
  <c r="U453" i="3"/>
  <c r="F53" i="4" s="1"/>
  <c r="U423" i="3"/>
  <c r="F54" i="4" s="1"/>
  <c r="U514" i="3"/>
  <c r="F55" i="4" s="1"/>
  <c r="U635" i="3"/>
  <c r="F56" i="4" s="1"/>
  <c r="U216" i="3"/>
  <c r="F57" i="4" s="1"/>
  <c r="U299" i="3"/>
  <c r="F58" i="4" s="1"/>
  <c r="U266" i="3"/>
  <c r="F60" i="4" s="1"/>
  <c r="U673" i="3"/>
  <c r="F61" i="4" s="1"/>
  <c r="U286" i="3"/>
  <c r="F62" i="4" s="1"/>
  <c r="U205" i="3"/>
  <c r="F63" i="4" s="1"/>
  <c r="U455" i="3"/>
  <c r="F66" i="4" s="1"/>
  <c r="U474" i="3"/>
  <c r="F67" i="4" s="1"/>
  <c r="U345" i="3"/>
  <c r="F68" i="4" s="1"/>
  <c r="U581" i="3"/>
  <c r="F69" i="4" s="1"/>
  <c r="U500" i="3"/>
  <c r="F74" i="4" s="1"/>
  <c r="U267" i="3"/>
  <c r="F77" i="4" s="1"/>
  <c r="U505" i="3"/>
  <c r="F78" i="4" s="1"/>
  <c r="U229" i="3"/>
  <c r="F79" i="4" s="1"/>
  <c r="U317" i="3"/>
  <c r="F81" i="4" s="1"/>
  <c r="U643" i="3"/>
  <c r="F82" i="4" s="1"/>
  <c r="U609" i="3"/>
  <c r="F83" i="4" s="1"/>
  <c r="U475" i="3"/>
  <c r="F85" i="4" s="1"/>
  <c r="U430" i="3"/>
  <c r="F86" i="4" s="1"/>
  <c r="U531" i="3"/>
  <c r="F98" i="4" s="1"/>
  <c r="U547" i="3"/>
  <c r="F99" i="4" s="1"/>
  <c r="U279" i="3"/>
  <c r="F101" i="4" s="1"/>
  <c r="U136" i="3"/>
  <c r="F102" i="4" s="1"/>
  <c r="U190" i="3"/>
  <c r="F103" i="4" s="1"/>
  <c r="U162" i="3"/>
  <c r="F104" i="4" s="1"/>
  <c r="U420" i="3"/>
  <c r="F111" i="4" s="1"/>
  <c r="U181" i="3"/>
  <c r="F113" i="4" s="1"/>
  <c r="U682" i="3"/>
  <c r="F116" i="4" s="1"/>
  <c r="U163" i="3"/>
  <c r="F123" i="4" s="1"/>
  <c r="U257" i="3"/>
  <c r="F125" i="4" s="1"/>
  <c r="U542" i="3"/>
  <c r="F127" i="4" s="1"/>
  <c r="U160" i="3"/>
  <c r="F143" i="4" s="1"/>
  <c r="U659" i="3"/>
  <c r="F144" i="4" s="1"/>
  <c r="U63" i="3"/>
  <c r="F151" i="4" s="1"/>
  <c r="U692" i="3"/>
  <c r="F154" i="4" s="1"/>
  <c r="U669" i="3"/>
  <c r="F156" i="4" s="1"/>
  <c r="U295" i="3"/>
  <c r="F159" i="4" s="1"/>
  <c r="U380" i="3"/>
  <c r="F163" i="4" s="1"/>
  <c r="U67" i="3"/>
  <c r="F164" i="4" s="1"/>
  <c r="U468" i="3"/>
  <c r="F166" i="4" s="1"/>
  <c r="U621" i="3"/>
  <c r="F167" i="4" s="1"/>
  <c r="U640" i="3"/>
  <c r="F168" i="4" s="1"/>
  <c r="U582" i="3"/>
  <c r="F177" i="4" s="1"/>
  <c r="U419" i="3"/>
  <c r="F179" i="4" s="1"/>
  <c r="U390" i="3"/>
  <c r="F181" i="4" s="1"/>
  <c r="U394" i="3"/>
  <c r="F183" i="4" s="1"/>
  <c r="U376" i="3"/>
  <c r="F190" i="4" s="1"/>
  <c r="U289" i="3"/>
  <c r="F194" i="4" s="1"/>
  <c r="U330" i="3"/>
  <c r="F196" i="4" s="1"/>
  <c r="U655" i="3"/>
  <c r="F200" i="4" s="1"/>
  <c r="U233" i="3"/>
  <c r="F204" i="4" s="1"/>
  <c r="U491" i="3"/>
  <c r="F205" i="4" s="1"/>
  <c r="U598" i="3"/>
  <c r="F206" i="4" s="1"/>
  <c r="U30" i="3"/>
  <c r="F208" i="4" s="1"/>
  <c r="U371" i="3"/>
  <c r="F215" i="4" s="1"/>
  <c r="U576" i="3"/>
  <c r="F230" i="4" s="1"/>
  <c r="U633" i="3"/>
  <c r="F233" i="4" s="1"/>
  <c r="U567" i="3"/>
  <c r="F234" i="4" s="1"/>
  <c r="U630" i="3"/>
  <c r="F235" i="4" s="1"/>
  <c r="U622" i="3"/>
  <c r="F236" i="4" s="1"/>
  <c r="U470" i="3"/>
  <c r="F238" i="4" s="1"/>
  <c r="U559" i="3"/>
  <c r="F241" i="4" s="1"/>
  <c r="U602" i="3"/>
  <c r="F242" i="4" s="1"/>
  <c r="U283" i="3"/>
  <c r="F248" i="4" s="1"/>
  <c r="U328" i="3"/>
  <c r="F249" i="4" s="1"/>
  <c r="U128" i="3"/>
  <c r="F258" i="4" s="1"/>
  <c r="U146" i="3"/>
  <c r="F261" i="4" s="1"/>
  <c r="U636" i="3"/>
  <c r="F263" i="4" s="1"/>
  <c r="U268" i="3"/>
  <c r="F269" i="4" s="1"/>
  <c r="U108" i="3"/>
  <c r="F271" i="4" s="1"/>
  <c r="U644" i="3"/>
  <c r="F275" i="4" s="1"/>
  <c r="U592" i="3"/>
  <c r="F276" i="4" s="1"/>
  <c r="U677" i="3"/>
  <c r="F281" i="4" s="1"/>
  <c r="U585" i="3"/>
  <c r="F283" i="4" s="1"/>
  <c r="U667" i="3"/>
  <c r="F284" i="4" s="1"/>
  <c r="U683" i="3"/>
  <c r="F285" i="4" s="1"/>
  <c r="U588" i="3"/>
  <c r="F286" i="4" s="1"/>
  <c r="U447" i="3"/>
  <c r="F287" i="4" s="1"/>
  <c r="U311" i="3"/>
  <c r="F291" i="4" s="1"/>
  <c r="U634" i="3"/>
  <c r="F301" i="4" s="1"/>
  <c r="U142" i="3"/>
  <c r="F313" i="4" s="1"/>
  <c r="U182" i="3"/>
  <c r="F322" i="4" s="1"/>
  <c r="U15" i="3"/>
  <c r="F324" i="4" s="1"/>
  <c r="U19" i="3"/>
  <c r="F335" i="4" s="1"/>
  <c r="U465" i="3"/>
  <c r="F336" i="4" s="1"/>
  <c r="U87" i="3"/>
  <c r="F337" i="4" s="1"/>
  <c r="U174" i="3"/>
  <c r="F338" i="4" s="1"/>
  <c r="U666" i="3"/>
  <c r="F340" i="4" s="1"/>
  <c r="U404" i="3"/>
  <c r="F341" i="4" s="1"/>
  <c r="U76" i="3"/>
  <c r="F353" i="4" s="1"/>
  <c r="U412" i="3"/>
  <c r="F356" i="4" s="1"/>
  <c r="U359" i="3"/>
  <c r="F360" i="4" s="1"/>
  <c r="U700" i="3"/>
  <c r="F370" i="4" s="1"/>
  <c r="U695" i="3"/>
  <c r="F371" i="4" s="1"/>
  <c r="U652" i="3"/>
  <c r="F372" i="4" s="1"/>
  <c r="U488" i="3"/>
  <c r="F373" i="4" s="1"/>
  <c r="U671" i="3"/>
  <c r="F374" i="4" s="1"/>
  <c r="U604" i="3"/>
  <c r="F375" i="4" s="1"/>
  <c r="U554" i="3"/>
  <c r="F377" i="4" s="1"/>
  <c r="U580" i="3"/>
  <c r="F386" i="4" s="1"/>
  <c r="U566" i="3"/>
  <c r="F397" i="4" s="1"/>
  <c r="U525" i="3"/>
  <c r="F405" i="4" s="1"/>
  <c r="U208" i="3"/>
  <c r="F407" i="4" s="1"/>
  <c r="U68" i="3"/>
  <c r="F408" i="4" s="1"/>
  <c r="U12" i="3"/>
  <c r="F410" i="4" s="1"/>
  <c r="U629" i="3"/>
  <c r="F419" i="4" s="1"/>
  <c r="U466" i="3"/>
  <c r="F422" i="4" s="1"/>
  <c r="U417" i="3"/>
  <c r="F427" i="4" s="1"/>
  <c r="U165" i="3"/>
  <c r="F436" i="4" s="1"/>
  <c r="U606" i="3"/>
  <c r="F445" i="4" s="1"/>
  <c r="U60" i="3"/>
  <c r="F449" i="4" s="1"/>
  <c r="U684" i="3"/>
  <c r="F450" i="4" s="1"/>
  <c r="U187" i="3"/>
  <c r="F458" i="4" s="1"/>
  <c r="U292" i="3"/>
  <c r="F459" i="4" s="1"/>
  <c r="U324" i="3"/>
  <c r="F463" i="4" s="1"/>
  <c r="U227" i="3"/>
  <c r="F480" i="4" s="1"/>
  <c r="U115" i="3"/>
  <c r="F481" i="4" s="1"/>
  <c r="U638" i="3"/>
  <c r="F484" i="4" s="1"/>
  <c r="U120" i="3"/>
  <c r="F494" i="4" s="1"/>
  <c r="U675" i="3"/>
  <c r="F497" i="4" s="1"/>
  <c r="U96" i="3"/>
  <c r="F505" i="4" s="1"/>
  <c r="U363" i="3"/>
  <c r="F508" i="4" s="1"/>
  <c r="U691" i="3"/>
  <c r="F509" i="4" s="1"/>
  <c r="U614" i="3"/>
  <c r="F516" i="4" s="1"/>
  <c r="U650" i="3"/>
  <c r="F520" i="4" s="1"/>
  <c r="U141" i="3"/>
  <c r="F521" i="4" s="1"/>
  <c r="U689" i="3"/>
  <c r="F526" i="4" s="1"/>
  <c r="U686" i="3"/>
  <c r="F528" i="4" s="1"/>
  <c r="U690" i="3"/>
  <c r="F534" i="4" s="1"/>
  <c r="U615" i="3"/>
  <c r="F535" i="4" s="1"/>
  <c r="U646" i="3"/>
  <c r="F536" i="4" s="1"/>
  <c r="U199" i="3"/>
  <c r="F542" i="4" s="1"/>
  <c r="U476" i="3"/>
  <c r="F543" i="4" s="1"/>
  <c r="U676" i="3"/>
  <c r="F545" i="4" s="1"/>
  <c r="U281" i="3"/>
  <c r="F550" i="4" s="1"/>
  <c r="U550" i="3"/>
  <c r="F553" i="4" s="1"/>
  <c r="U701" i="3"/>
  <c r="F554" i="4" s="1"/>
  <c r="U261" i="3"/>
  <c r="F561" i="4" s="1"/>
  <c r="U334" i="3"/>
  <c r="F562" i="4" s="1"/>
  <c r="U533" i="3"/>
  <c r="F563" i="4" s="1"/>
  <c r="U672" i="3"/>
  <c r="F566" i="4" s="1"/>
  <c r="U657" i="3"/>
  <c r="F567" i="4" s="1"/>
  <c r="U680" i="3"/>
  <c r="F568" i="4" s="1"/>
  <c r="U410" i="3"/>
  <c r="F580" i="4" s="1"/>
  <c r="U358" i="3"/>
  <c r="F584" i="4" s="1"/>
  <c r="U522" i="3"/>
  <c r="F586" i="4" s="1"/>
  <c r="U338" i="3"/>
  <c r="F587" i="4" s="1"/>
  <c r="U196" i="3"/>
  <c r="F590" i="4" s="1"/>
  <c r="U384" i="3"/>
  <c r="F591" i="4" s="1"/>
  <c r="U177" i="3"/>
  <c r="F592" i="4" s="1"/>
  <c r="U237" i="3"/>
  <c r="F593" i="4" s="1"/>
  <c r="U71" i="3"/>
  <c r="F595" i="4" s="1"/>
  <c r="U179" i="3"/>
  <c r="F597" i="4" s="1"/>
  <c r="U147" i="3"/>
  <c r="F598" i="4" s="1"/>
  <c r="U697" i="3"/>
  <c r="F603" i="4" s="1"/>
  <c r="U519" i="3"/>
  <c r="F605" i="4" s="1"/>
  <c r="U625" i="3"/>
  <c r="F606" i="4" s="1"/>
  <c r="U272" i="3"/>
  <c r="F607" i="4" s="1"/>
  <c r="U649" i="3"/>
  <c r="F611" i="4" s="1"/>
  <c r="U496" i="3"/>
  <c r="F615" i="4" s="1"/>
  <c r="U401" i="3"/>
  <c r="F617" i="4" s="1"/>
  <c r="U341" i="3"/>
  <c r="F618" i="4" s="1"/>
  <c r="U497" i="3"/>
  <c r="F619" i="4" s="1"/>
  <c r="U374" i="3"/>
  <c r="F620" i="4" s="1"/>
  <c r="U678" i="3"/>
  <c r="F621" i="4" s="1"/>
  <c r="U597" i="3"/>
  <c r="F626" i="4" s="1"/>
  <c r="U688" i="3"/>
  <c r="F641" i="4" s="1"/>
  <c r="U305" i="3"/>
  <c r="F643" i="4" s="1"/>
  <c r="U687" i="3"/>
  <c r="F645" i="4" s="1"/>
  <c r="U694" i="3"/>
  <c r="F650" i="4" s="1"/>
  <c r="U304" i="3"/>
  <c r="F651" i="4" s="1"/>
  <c r="U668" i="3"/>
  <c r="F652" i="4" s="1"/>
  <c r="U681" i="3"/>
  <c r="F653" i="4" s="1"/>
  <c r="U611" i="3"/>
  <c r="F654" i="4" s="1"/>
  <c r="U698" i="3"/>
  <c r="F655" i="4" s="1"/>
  <c r="U660" i="3"/>
  <c r="F658" i="4" s="1"/>
  <c r="U699" i="3"/>
  <c r="F659" i="4" s="1"/>
  <c r="U685" i="3"/>
  <c r="F678" i="4" s="1"/>
  <c r="U693" i="3"/>
  <c r="F680" i="4" s="1"/>
  <c r="U467" i="3"/>
  <c r="F625" i="4" s="1"/>
  <c r="F709" i="4" l="1"/>
  <c r="V709" i="3"/>
  <c r="F718" i="4"/>
  <c r="V717" i="3"/>
  <c r="F727" i="4"/>
  <c r="V725" i="3"/>
  <c r="V726" i="3"/>
  <c r="F725" i="4"/>
  <c r="F719" i="4"/>
  <c r="V718" i="3"/>
  <c r="F710" i="4"/>
  <c r="V710" i="3"/>
  <c r="F702" i="4"/>
  <c r="V702" i="3"/>
  <c r="F717" i="4"/>
  <c r="V716" i="3"/>
  <c r="F708" i="4"/>
  <c r="V708" i="3"/>
  <c r="E714" i="4"/>
  <c r="V723" i="3"/>
  <c r="V724" i="3"/>
  <c r="V116" i="3"/>
  <c r="V553" i="3"/>
  <c r="V309" i="3"/>
  <c r="V449" i="3"/>
  <c r="V562" i="3"/>
  <c r="V484" i="3"/>
  <c r="V38" i="3"/>
  <c r="V386" i="3"/>
  <c r="V40" i="3"/>
  <c r="V435" i="3"/>
  <c r="T842" i="1"/>
  <c r="U842" i="1"/>
  <c r="V701" i="3"/>
  <c r="V699" i="3"/>
  <c r="V697" i="3"/>
  <c r="V695" i="3"/>
  <c r="V693" i="3"/>
  <c r="V691" i="3"/>
  <c r="V689" i="3"/>
  <c r="V687" i="3"/>
  <c r="V685" i="3"/>
  <c r="V683" i="3"/>
  <c r="V681" i="3"/>
  <c r="V679" i="3"/>
  <c r="V677" i="3"/>
  <c r="V675" i="3"/>
  <c r="V673" i="3"/>
  <c r="V672" i="3"/>
  <c r="V670" i="3"/>
  <c r="V668" i="3"/>
  <c r="V666" i="3"/>
  <c r="V664" i="3"/>
  <c r="V662" i="3"/>
  <c r="V660" i="3"/>
  <c r="V658" i="3"/>
  <c r="V656" i="3"/>
  <c r="V654" i="3"/>
  <c r="V652" i="3"/>
  <c r="V650" i="3"/>
  <c r="V648" i="3"/>
  <c r="V646" i="3"/>
  <c r="V644" i="3"/>
  <c r="V642" i="3"/>
  <c r="V640" i="3"/>
  <c r="V638" i="3"/>
  <c r="V636" i="3"/>
  <c r="V634" i="3"/>
  <c r="V632" i="3"/>
  <c r="V630" i="3"/>
  <c r="V628" i="3"/>
  <c r="V626" i="3"/>
  <c r="V624" i="3"/>
  <c r="V623" i="3"/>
  <c r="V551" i="3"/>
  <c r="V549" i="3"/>
  <c r="V547" i="3"/>
  <c r="V545" i="3"/>
  <c r="V543" i="3"/>
  <c r="V541" i="3"/>
  <c r="V539" i="3"/>
  <c r="V537" i="3"/>
  <c r="V535" i="3"/>
  <c r="V534" i="3"/>
  <c r="V532" i="3"/>
  <c r="V530" i="3"/>
  <c r="V528" i="3"/>
  <c r="V526" i="3"/>
  <c r="V524" i="3"/>
  <c r="V522" i="3"/>
  <c r="V520" i="3"/>
  <c r="V518" i="3"/>
  <c r="V516" i="3"/>
  <c r="V514" i="3"/>
  <c r="V512" i="3"/>
  <c r="V510" i="3"/>
  <c r="V508" i="3"/>
  <c r="V506" i="3"/>
  <c r="V504" i="3"/>
  <c r="V502" i="3"/>
  <c r="V500" i="3"/>
  <c r="V498" i="3"/>
  <c r="V496" i="3"/>
  <c r="V494" i="3"/>
  <c r="V492" i="3"/>
  <c r="V490" i="3"/>
  <c r="V488" i="3"/>
  <c r="V486" i="3"/>
  <c r="V482" i="3"/>
  <c r="V479" i="3"/>
  <c r="V478" i="3"/>
  <c r="V476" i="3"/>
  <c r="V474" i="3"/>
  <c r="V472" i="3"/>
  <c r="V470" i="3"/>
  <c r="V468" i="3"/>
  <c r="V465" i="3"/>
  <c r="V463" i="3"/>
  <c r="V461" i="3"/>
  <c r="V459" i="3"/>
  <c r="V457" i="3"/>
  <c r="V455" i="3"/>
  <c r="V453" i="3"/>
  <c r="V451" i="3"/>
  <c r="V447" i="3"/>
  <c r="V445" i="3"/>
  <c r="V443" i="3"/>
  <c r="V441" i="3"/>
  <c r="V439" i="3"/>
  <c r="V437" i="3"/>
  <c r="V433" i="3"/>
  <c r="V431" i="3"/>
  <c r="V429" i="3"/>
  <c r="V426" i="3"/>
  <c r="V424" i="3"/>
  <c r="V422" i="3"/>
  <c r="V420" i="3"/>
  <c r="V418" i="3"/>
  <c r="V416" i="3"/>
  <c r="V414" i="3"/>
  <c r="V412" i="3"/>
  <c r="V410" i="3"/>
  <c r="V408" i="3"/>
  <c r="V406" i="3"/>
  <c r="V404" i="3"/>
  <c r="V402" i="3"/>
  <c r="V400" i="3"/>
  <c r="V398" i="3"/>
  <c r="V396" i="3"/>
  <c r="V394" i="3"/>
  <c r="V392" i="3"/>
  <c r="V390" i="3"/>
  <c r="V388" i="3"/>
  <c r="V387" i="3"/>
  <c r="V385" i="3"/>
  <c r="V383" i="3"/>
  <c r="V381" i="3"/>
  <c r="V379" i="3"/>
  <c r="V377" i="3"/>
  <c r="V375" i="3"/>
  <c r="V373" i="3"/>
  <c r="V371" i="3"/>
  <c r="V369" i="3"/>
  <c r="V367" i="3"/>
  <c r="V365" i="3"/>
  <c r="V363" i="3"/>
  <c r="V361" i="3"/>
  <c r="V359" i="3"/>
  <c r="V357" i="3"/>
  <c r="V355" i="3"/>
  <c r="V353" i="3"/>
  <c r="V351" i="3"/>
  <c r="V349" i="3"/>
  <c r="V347" i="3"/>
  <c r="V345" i="3"/>
  <c r="V343" i="3"/>
  <c r="V341" i="3"/>
  <c r="V339" i="3"/>
  <c r="V337" i="3"/>
  <c r="V335" i="3"/>
  <c r="V333" i="3"/>
  <c r="V331" i="3"/>
  <c r="V329" i="3"/>
  <c r="V327" i="3"/>
  <c r="V325" i="3"/>
  <c r="V323" i="3"/>
  <c r="V321" i="3"/>
  <c r="V319" i="3"/>
  <c r="V317" i="3"/>
  <c r="V315" i="3"/>
  <c r="V313" i="3"/>
  <c r="V311" i="3"/>
  <c r="V307" i="3"/>
  <c r="V305" i="3"/>
  <c r="V303" i="3"/>
  <c r="V301" i="3"/>
  <c r="V299" i="3"/>
  <c r="V297" i="3"/>
  <c r="V295" i="3"/>
  <c r="V293" i="3"/>
  <c r="V291" i="3"/>
  <c r="V289" i="3"/>
  <c r="V287" i="3"/>
  <c r="V285" i="3"/>
  <c r="V283" i="3"/>
  <c r="V281" i="3"/>
  <c r="V279" i="3"/>
  <c r="V277" i="3"/>
  <c r="V275" i="3"/>
  <c r="V273" i="3"/>
  <c r="V271" i="3"/>
  <c r="V269" i="3"/>
  <c r="V267" i="3"/>
  <c r="V265" i="3"/>
  <c r="V263" i="3"/>
  <c r="V261" i="3"/>
  <c r="V259" i="3"/>
  <c r="V257" i="3"/>
  <c r="V255" i="3"/>
  <c r="V253" i="3"/>
  <c r="V251" i="3"/>
  <c r="V249" i="3"/>
  <c r="V247" i="3"/>
  <c r="V245" i="3"/>
  <c r="V243" i="3"/>
  <c r="V241" i="3"/>
  <c r="V239" i="3"/>
  <c r="V237" i="3"/>
  <c r="V235" i="3"/>
  <c r="V233" i="3"/>
  <c r="V231" i="3"/>
  <c r="V229" i="3"/>
  <c r="V227" i="3"/>
  <c r="V225" i="3"/>
  <c r="V223" i="3"/>
  <c r="V221" i="3"/>
  <c r="V219" i="3"/>
  <c r="V217" i="3"/>
  <c r="V215" i="3"/>
  <c r="V213" i="3"/>
  <c r="V211" i="3"/>
  <c r="V209" i="3"/>
  <c r="V207" i="3"/>
  <c r="V205" i="3"/>
  <c r="V203" i="3"/>
  <c r="V201" i="3"/>
  <c r="V199" i="3"/>
  <c r="V197" i="3"/>
  <c r="V195" i="3"/>
  <c r="V193" i="3"/>
  <c r="V191" i="3"/>
  <c r="V189" i="3"/>
  <c r="V187" i="3"/>
  <c r="V185" i="3"/>
  <c r="V183" i="3"/>
  <c r="V181" i="3"/>
  <c r="V179" i="3"/>
  <c r="V177" i="3"/>
  <c r="V175" i="3"/>
  <c r="V173" i="3"/>
  <c r="V171" i="3"/>
  <c r="V169" i="3"/>
  <c r="V167" i="3"/>
  <c r="V165" i="3"/>
  <c r="V163" i="3"/>
  <c r="V161" i="3"/>
  <c r="V159" i="3"/>
  <c r="V157" i="3"/>
  <c r="V155" i="3"/>
  <c r="V153" i="3"/>
  <c r="V151" i="3"/>
  <c r="V149" i="3"/>
  <c r="V147" i="3"/>
  <c r="V145" i="3"/>
  <c r="V143" i="3"/>
  <c r="V141" i="3"/>
  <c r="V139" i="3"/>
  <c r="V137" i="3"/>
  <c r="V135" i="3"/>
  <c r="V133" i="3"/>
  <c r="V130" i="3"/>
  <c r="V128" i="3"/>
  <c r="V126" i="3"/>
  <c r="V124" i="3"/>
  <c r="V122" i="3"/>
  <c r="V120" i="3"/>
  <c r="V118" i="3"/>
  <c r="V114" i="3"/>
  <c r="V112" i="3"/>
  <c r="V110" i="3"/>
  <c r="V108" i="3"/>
  <c r="V106" i="3"/>
  <c r="V104" i="3"/>
  <c r="V102" i="3"/>
  <c r="V100" i="3"/>
  <c r="V98" i="3"/>
  <c r="V96" i="3"/>
  <c r="V94" i="3"/>
  <c r="V92" i="3"/>
  <c r="V90" i="3"/>
  <c r="V88" i="3"/>
  <c r="V87" i="3"/>
  <c r="V86" i="3"/>
  <c r="V84" i="3"/>
  <c r="V82" i="3"/>
  <c r="V80" i="3"/>
  <c r="V78" i="3"/>
  <c r="V76" i="3"/>
  <c r="V74" i="3"/>
  <c r="V72" i="3"/>
  <c r="V70" i="3"/>
  <c r="V68" i="3"/>
  <c r="V66" i="3"/>
  <c r="V64" i="3"/>
  <c r="V62" i="3"/>
  <c r="V60" i="3"/>
  <c r="V58" i="3"/>
  <c r="V56" i="3"/>
  <c r="V54" i="3"/>
  <c r="V52" i="3"/>
  <c r="V50" i="3"/>
  <c r="V48" i="3"/>
  <c r="V46" i="3"/>
  <c r="V44" i="3"/>
  <c r="V42" i="3"/>
  <c r="V36" i="3"/>
  <c r="V34" i="3"/>
  <c r="V32" i="3"/>
  <c r="V30" i="3"/>
  <c r="V28" i="3"/>
  <c r="V26" i="3"/>
  <c r="V24" i="3"/>
  <c r="V22" i="3"/>
  <c r="V20" i="3"/>
  <c r="V18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T704" i="1"/>
  <c r="T596" i="7" s="1"/>
  <c r="U704" i="1"/>
  <c r="U596" i="7" s="1"/>
  <c r="T578" i="1"/>
  <c r="T470" i="7" s="1"/>
  <c r="U578" i="1"/>
  <c r="U470" i="7" s="1"/>
  <c r="T522" i="1"/>
  <c r="T414" i="7" s="1"/>
  <c r="U522" i="1"/>
  <c r="U414" i="7" s="1"/>
  <c r="T683" i="1"/>
  <c r="T575" i="7" s="1"/>
  <c r="U683" i="1"/>
  <c r="U575" i="7" s="1"/>
  <c r="T348" i="1"/>
  <c r="T240" i="7" s="1"/>
  <c r="U348" i="1"/>
  <c r="U240" i="7" s="1"/>
  <c r="T441" i="1"/>
  <c r="T333" i="7" s="1"/>
  <c r="U441" i="1"/>
  <c r="U333" i="7" s="1"/>
  <c r="T362" i="1"/>
  <c r="T254" i="7" s="1"/>
  <c r="U362" i="1"/>
  <c r="U254" i="7" s="1"/>
  <c r="T462" i="1"/>
  <c r="T354" i="7" s="1"/>
  <c r="U462" i="1"/>
  <c r="U354" i="7" s="1"/>
  <c r="T595" i="1"/>
  <c r="T487" i="7" s="1"/>
  <c r="U595" i="1"/>
  <c r="U487" i="7" s="1"/>
  <c r="T432" i="1"/>
  <c r="T324" i="7" s="1"/>
  <c r="U432" i="1"/>
  <c r="U324" i="7" s="1"/>
  <c r="T678" i="1"/>
  <c r="T570" i="7" s="1"/>
  <c r="U678" i="1"/>
  <c r="U570" i="7" s="1"/>
  <c r="T218" i="1"/>
  <c r="T110" i="7" s="1"/>
  <c r="U218" i="1"/>
  <c r="U110" i="7" s="1"/>
  <c r="T181" i="1"/>
  <c r="T73" i="7" s="1"/>
  <c r="U181" i="1"/>
  <c r="U73" i="7" s="1"/>
  <c r="T224" i="1"/>
  <c r="T116" i="7" s="1"/>
  <c r="U224" i="1"/>
  <c r="U116" i="7" s="1"/>
  <c r="T160" i="1"/>
  <c r="T52" i="7" s="1"/>
  <c r="U160" i="1"/>
  <c r="U52" i="7" s="1"/>
  <c r="T814" i="1"/>
  <c r="T706" i="7" s="1"/>
  <c r="U814" i="1"/>
  <c r="U706" i="7" s="1"/>
  <c r="T747" i="1"/>
  <c r="T639" i="7" s="1"/>
  <c r="U747" i="1"/>
  <c r="U639" i="7" s="1"/>
  <c r="T703" i="1"/>
  <c r="T595" i="7" s="1"/>
  <c r="U703" i="1"/>
  <c r="U595" i="7" s="1"/>
  <c r="T723" i="1"/>
  <c r="T615" i="7" s="1"/>
  <c r="U723" i="1"/>
  <c r="U615" i="7" s="1"/>
  <c r="T713" i="1"/>
  <c r="T605" i="7" s="1"/>
  <c r="U713" i="1"/>
  <c r="U605" i="7" s="1"/>
  <c r="T561" i="1"/>
  <c r="T453" i="7" s="1"/>
  <c r="U561" i="1"/>
  <c r="U453" i="7" s="1"/>
  <c r="T565" i="1"/>
  <c r="T457" i="7" s="1"/>
  <c r="U565" i="1"/>
  <c r="U457" i="7" s="1"/>
  <c r="T465" i="1"/>
  <c r="T357" i="7" s="1"/>
  <c r="U465" i="1"/>
  <c r="U357" i="7" s="1"/>
  <c r="T356" i="1"/>
  <c r="T248" i="7" s="1"/>
  <c r="U356" i="1"/>
  <c r="U248" i="7" s="1"/>
  <c r="T379" i="1"/>
  <c r="T271" i="7" s="1"/>
  <c r="U379" i="1"/>
  <c r="U271" i="7" s="1"/>
  <c r="T532" i="1"/>
  <c r="T424" i="7" s="1"/>
  <c r="U532" i="1"/>
  <c r="U424" i="7" s="1"/>
  <c r="T199" i="1"/>
  <c r="T91" i="7" s="1"/>
  <c r="U199" i="1"/>
  <c r="U91" i="7" s="1"/>
  <c r="T273" i="1"/>
  <c r="T165" i="7" s="1"/>
  <c r="U273" i="1"/>
  <c r="U165" i="7" s="1"/>
  <c r="T324" i="1"/>
  <c r="T216" i="7" s="1"/>
  <c r="U324" i="1"/>
  <c r="U216" i="7" s="1"/>
  <c r="T361" i="1"/>
  <c r="T253" i="7" s="1"/>
  <c r="U361" i="1"/>
  <c r="U253" i="7" s="1"/>
  <c r="T562" i="1"/>
  <c r="T454" i="7" s="1"/>
  <c r="U562" i="1"/>
  <c r="U454" i="7" s="1"/>
  <c r="T792" i="1"/>
  <c r="T684" i="7" s="1"/>
  <c r="U792" i="1"/>
  <c r="U684" i="7" s="1"/>
  <c r="T766" i="1"/>
  <c r="T658" i="7" s="1"/>
  <c r="U766" i="1"/>
  <c r="U658" i="7" s="1"/>
  <c r="T623" i="1"/>
  <c r="T515" i="7" s="1"/>
  <c r="U623" i="1"/>
  <c r="U515" i="7" s="1"/>
  <c r="T193" i="1"/>
  <c r="T85" i="7" s="1"/>
  <c r="U193" i="1"/>
  <c r="U85" i="7" s="1"/>
  <c r="T478" i="1"/>
  <c r="T370" i="7" s="1"/>
  <c r="U478" i="1"/>
  <c r="U370" i="7" s="1"/>
  <c r="T778" i="1"/>
  <c r="T670" i="7" s="1"/>
  <c r="U778" i="1"/>
  <c r="U670" i="7" s="1"/>
  <c r="T575" i="1"/>
  <c r="T467" i="7" s="1"/>
  <c r="U575" i="1"/>
  <c r="U467" i="7" s="1"/>
  <c r="T690" i="1"/>
  <c r="T582" i="7" s="1"/>
  <c r="U690" i="1"/>
  <c r="U582" i="7" s="1"/>
  <c r="T755" i="1"/>
  <c r="T647" i="7" s="1"/>
  <c r="U755" i="1"/>
  <c r="U647" i="7" s="1"/>
  <c r="T730" i="1"/>
  <c r="T622" i="7" s="1"/>
  <c r="U730" i="1"/>
  <c r="U622" i="7" s="1"/>
  <c r="T174" i="1"/>
  <c r="T66" i="7" s="1"/>
  <c r="U174" i="1"/>
  <c r="U66" i="7" s="1"/>
  <c r="T232" i="1"/>
  <c r="T124" i="7" s="1"/>
  <c r="U232" i="1"/>
  <c r="U124" i="7" s="1"/>
  <c r="T566" i="1"/>
  <c r="T458" i="7" s="1"/>
  <c r="U566" i="1"/>
  <c r="U458" i="7" s="1"/>
  <c r="T297" i="1"/>
  <c r="T189" i="7" s="1"/>
  <c r="U297" i="1"/>
  <c r="U189" i="7" s="1"/>
  <c r="T354" i="1"/>
  <c r="T246" i="7" s="1"/>
  <c r="U354" i="1"/>
  <c r="U246" i="7" s="1"/>
  <c r="T385" i="1"/>
  <c r="T277" i="7" s="1"/>
  <c r="U385" i="1"/>
  <c r="U277" i="7" s="1"/>
  <c r="T380" i="1"/>
  <c r="T272" i="7" s="1"/>
  <c r="U380" i="1"/>
  <c r="U272" i="7" s="1"/>
  <c r="T363" i="1"/>
  <c r="T255" i="7" s="1"/>
  <c r="U363" i="1"/>
  <c r="U255" i="7" s="1"/>
  <c r="T331" i="1"/>
  <c r="T223" i="7" s="1"/>
  <c r="U331" i="1"/>
  <c r="U223" i="7" s="1"/>
  <c r="T186" i="1"/>
  <c r="T78" i="7" s="1"/>
  <c r="U186" i="1"/>
  <c r="U78" i="7" s="1"/>
  <c r="T592" i="1"/>
  <c r="T484" i="7" s="1"/>
  <c r="U592" i="1"/>
  <c r="U484" i="7" s="1"/>
  <c r="T563" i="1"/>
  <c r="T455" i="7" s="1"/>
  <c r="U563" i="1"/>
  <c r="U455" i="7" s="1"/>
  <c r="T652" i="1"/>
  <c r="T544" i="7" s="1"/>
  <c r="U652" i="1"/>
  <c r="U544" i="7" s="1"/>
  <c r="T774" i="1"/>
  <c r="T666" i="7" s="1"/>
  <c r="U774" i="1"/>
  <c r="U666" i="7" s="1"/>
  <c r="T355" i="1"/>
  <c r="T247" i="7" s="1"/>
  <c r="U355" i="1"/>
  <c r="U247" i="7" s="1"/>
  <c r="T438" i="1"/>
  <c r="T330" i="7" s="1"/>
  <c r="U438" i="1"/>
  <c r="U330" i="7" s="1"/>
  <c r="T194" i="1"/>
  <c r="T86" i="7" s="1"/>
  <c r="U194" i="1"/>
  <c r="U86" i="7" s="1"/>
  <c r="T405" i="1"/>
  <c r="T297" i="7" s="1"/>
  <c r="U405" i="1"/>
  <c r="U297" i="7" s="1"/>
  <c r="T813" i="1"/>
  <c r="T705" i="7" s="1"/>
  <c r="U813" i="1"/>
  <c r="U705" i="7" s="1"/>
  <c r="T425" i="1"/>
  <c r="T317" i="7" s="1"/>
  <c r="U425" i="1"/>
  <c r="U317" i="7" s="1"/>
  <c r="T344" i="1"/>
  <c r="T236" i="7" s="1"/>
  <c r="U344" i="1"/>
  <c r="U236" i="7" s="1"/>
  <c r="T419" i="1"/>
  <c r="T311" i="7" s="1"/>
  <c r="U419" i="1"/>
  <c r="U311" i="7" s="1"/>
  <c r="T310" i="1"/>
  <c r="T202" i="7" s="1"/>
  <c r="U310" i="1"/>
  <c r="U202" i="7" s="1"/>
  <c r="T594" i="1"/>
  <c r="T486" i="7" s="1"/>
  <c r="U594" i="1"/>
  <c r="U486" i="7" s="1"/>
  <c r="T612" i="1"/>
  <c r="T504" i="7" s="1"/>
  <c r="U612" i="1"/>
  <c r="U504" i="7" s="1"/>
  <c r="T484" i="1"/>
  <c r="T376" i="7" s="1"/>
  <c r="U484" i="1"/>
  <c r="U376" i="7" s="1"/>
  <c r="T720" i="1"/>
  <c r="T612" i="7" s="1"/>
  <c r="U720" i="1"/>
  <c r="U612" i="7" s="1"/>
  <c r="T597" i="1"/>
  <c r="T489" i="7" s="1"/>
  <c r="U597" i="1"/>
  <c r="U489" i="7" s="1"/>
  <c r="T763" i="1"/>
  <c r="T655" i="7" s="1"/>
  <c r="U763" i="1"/>
  <c r="U655" i="7" s="1"/>
  <c r="T189" i="1"/>
  <c r="T81" i="7" s="1"/>
  <c r="U189" i="1"/>
  <c r="U81" i="7" s="1"/>
  <c r="T222" i="1"/>
  <c r="T114" i="7" s="1"/>
  <c r="U222" i="1"/>
  <c r="U114" i="7" s="1"/>
  <c r="T638" i="1"/>
  <c r="T530" i="7" s="1"/>
  <c r="U638" i="1"/>
  <c r="U530" i="7" s="1"/>
  <c r="T793" i="1"/>
  <c r="T685" i="7" s="1"/>
  <c r="U793" i="1"/>
  <c r="U685" i="7" s="1"/>
  <c r="T571" i="1"/>
  <c r="T463" i="7" s="1"/>
  <c r="U571" i="1"/>
  <c r="U463" i="7" s="1"/>
  <c r="T406" i="1"/>
  <c r="T298" i="7" s="1"/>
  <c r="U406" i="1"/>
  <c r="U298" i="7" s="1"/>
  <c r="T643" i="1"/>
  <c r="T535" i="7" s="1"/>
  <c r="U643" i="1"/>
  <c r="U535" i="7" s="1"/>
  <c r="T368" i="1"/>
  <c r="T260" i="7" s="1"/>
  <c r="U368" i="1"/>
  <c r="U260" i="7" s="1"/>
  <c r="T466" i="1"/>
  <c r="T358" i="7" s="1"/>
  <c r="U466" i="1"/>
  <c r="U358" i="7" s="1"/>
  <c r="T456" i="1"/>
  <c r="T348" i="7" s="1"/>
  <c r="U456" i="1"/>
  <c r="U348" i="7" s="1"/>
  <c r="T782" i="1"/>
  <c r="T674" i="7" s="1"/>
  <c r="U782" i="1"/>
  <c r="U674" i="7" s="1"/>
  <c r="T748" i="1"/>
  <c r="T640" i="7" s="1"/>
  <c r="U748" i="1"/>
  <c r="U640" i="7" s="1"/>
  <c r="T340" i="1"/>
  <c r="T232" i="7" s="1"/>
  <c r="U340" i="1"/>
  <c r="U232" i="7" s="1"/>
  <c r="T613" i="1"/>
  <c r="T505" i="7" s="1"/>
  <c r="U613" i="1"/>
  <c r="U505" i="7" s="1"/>
  <c r="T569" i="1"/>
  <c r="T461" i="7" s="1"/>
  <c r="U569" i="1"/>
  <c r="U461" i="7" s="1"/>
  <c r="T226" i="1"/>
  <c r="T118" i="7" s="1"/>
  <c r="U226" i="1"/>
  <c r="U118" i="7" s="1"/>
  <c r="T2" i="1"/>
  <c r="T2" i="7" s="1"/>
  <c r="U2" i="1"/>
  <c r="U2" i="7" s="1"/>
  <c r="T346" i="1"/>
  <c r="T238" i="7" s="1"/>
  <c r="U346" i="1"/>
  <c r="U238" i="7" s="1"/>
  <c r="T442" i="1"/>
  <c r="T334" i="7" s="1"/>
  <c r="U442" i="1"/>
  <c r="U334" i="7" s="1"/>
  <c r="T370" i="1"/>
  <c r="T262" i="7" s="1"/>
  <c r="U370" i="1"/>
  <c r="U262" i="7" s="1"/>
  <c r="T369" i="1"/>
  <c r="T261" i="7" s="1"/>
  <c r="U369" i="1"/>
  <c r="U261" i="7" s="1"/>
  <c r="T744" i="1"/>
  <c r="T636" i="7" s="1"/>
  <c r="U744" i="1"/>
  <c r="U636" i="7" s="1"/>
  <c r="T489" i="1"/>
  <c r="T381" i="7" s="1"/>
  <c r="U489" i="1"/>
  <c r="U381" i="7" s="1"/>
  <c r="T206" i="1"/>
  <c r="T98" i="7" s="1"/>
  <c r="U206" i="1"/>
  <c r="U98" i="7" s="1"/>
  <c r="T758" i="1"/>
  <c r="T650" i="7" s="1"/>
  <c r="U758" i="1"/>
  <c r="U650" i="7" s="1"/>
  <c r="T382" i="1"/>
  <c r="T274" i="7" s="1"/>
  <c r="U382" i="1"/>
  <c r="U274" i="7" s="1"/>
  <c r="T282" i="1"/>
  <c r="T174" i="7" s="1"/>
  <c r="U282" i="1"/>
  <c r="U174" i="7" s="1"/>
  <c r="T669" i="1"/>
  <c r="T561" i="7" s="1"/>
  <c r="U669" i="1"/>
  <c r="U561" i="7" s="1"/>
  <c r="T686" i="1"/>
  <c r="T578" i="7" s="1"/>
  <c r="U686" i="1"/>
  <c r="U578" i="7" s="1"/>
  <c r="T468" i="1"/>
  <c r="T360" i="7" s="1"/>
  <c r="U468" i="1"/>
  <c r="U360" i="7" s="1"/>
  <c r="T418" i="1"/>
  <c r="T310" i="7" s="1"/>
  <c r="U418" i="1"/>
  <c r="U310" i="7" s="1"/>
  <c r="T275" i="1"/>
  <c r="T167" i="7" s="1"/>
  <c r="U275" i="1"/>
  <c r="U167" i="7" s="1"/>
  <c r="T329" i="1"/>
  <c r="T221" i="7" s="1"/>
  <c r="U329" i="1"/>
  <c r="U221" i="7" s="1"/>
  <c r="T3" i="1"/>
  <c r="T3" i="7" s="1"/>
  <c r="U3" i="1"/>
  <c r="U3" i="7" s="1"/>
  <c r="T301" i="1"/>
  <c r="T193" i="7" s="1"/>
  <c r="U301" i="1"/>
  <c r="U193" i="7" s="1"/>
  <c r="T526" i="1"/>
  <c r="T418" i="7" s="1"/>
  <c r="U526" i="1"/>
  <c r="U418" i="7" s="1"/>
  <c r="T352" i="1"/>
  <c r="T244" i="7" s="1"/>
  <c r="U352" i="1"/>
  <c r="U244" i="7" s="1"/>
  <c r="T191" i="1"/>
  <c r="T83" i="7" s="1"/>
  <c r="U191" i="1"/>
  <c r="U83" i="7" s="1"/>
  <c r="T167" i="1"/>
  <c r="T59" i="7" s="1"/>
  <c r="U167" i="1"/>
  <c r="U59" i="7" s="1"/>
  <c r="T147" i="1"/>
  <c r="T39" i="7" s="1"/>
  <c r="U147" i="1"/>
  <c r="U39" i="7" s="1"/>
  <c r="T250" i="1"/>
  <c r="T142" i="7" s="1"/>
  <c r="U250" i="1"/>
  <c r="U142" i="7" s="1"/>
  <c r="T560" i="1"/>
  <c r="T452" i="7" s="1"/>
  <c r="U560" i="1"/>
  <c r="U452" i="7" s="1"/>
  <c r="T691" i="1"/>
  <c r="T583" i="7" s="1"/>
  <c r="U691" i="1"/>
  <c r="U583" i="7" s="1"/>
  <c r="T4" i="1"/>
  <c r="T4" i="7" s="1"/>
  <c r="U4" i="1"/>
  <c r="U4" i="7" s="1"/>
  <c r="T5" i="1"/>
  <c r="T5" i="7" s="1"/>
  <c r="U5" i="1"/>
  <c r="U5" i="7" s="1"/>
  <c r="T320" i="1"/>
  <c r="T212" i="7" s="1"/>
  <c r="U320" i="1"/>
  <c r="U212" i="7" s="1"/>
  <c r="T144" i="1"/>
  <c r="T36" i="7" s="1"/>
  <c r="U144" i="1"/>
  <c r="U36" i="7" s="1"/>
  <c r="T202" i="1"/>
  <c r="T94" i="7" s="1"/>
  <c r="U202" i="1"/>
  <c r="U94" i="7" s="1"/>
  <c r="T822" i="1"/>
  <c r="T714" i="7" s="1"/>
  <c r="U822" i="1"/>
  <c r="U714" i="7" s="1"/>
  <c r="T800" i="1"/>
  <c r="T692" i="7" s="1"/>
  <c r="U800" i="1"/>
  <c r="U692" i="7" s="1"/>
  <c r="T503" i="1"/>
  <c r="T395" i="7" s="1"/>
  <c r="U503" i="1"/>
  <c r="U395" i="7" s="1"/>
  <c r="T506" i="1"/>
  <c r="T398" i="7" s="1"/>
  <c r="U506" i="1"/>
  <c r="U398" i="7" s="1"/>
  <c r="T231" i="1"/>
  <c r="T123" i="7" s="1"/>
  <c r="U231" i="1"/>
  <c r="U123" i="7" s="1"/>
  <c r="T711" i="1"/>
  <c r="T603" i="7" s="1"/>
  <c r="U711" i="1"/>
  <c r="U603" i="7" s="1"/>
  <c r="T739" i="1"/>
  <c r="T631" i="7" s="1"/>
  <c r="U739" i="1"/>
  <c r="U631" i="7" s="1"/>
  <c r="T302" i="1"/>
  <c r="T194" i="7" s="1"/>
  <c r="U302" i="1"/>
  <c r="U194" i="7" s="1"/>
  <c r="T452" i="1"/>
  <c r="T344" i="7" s="1"/>
  <c r="U452" i="1"/>
  <c r="U344" i="7" s="1"/>
  <c r="T396" i="1"/>
  <c r="T288" i="7" s="1"/>
  <c r="U396" i="1"/>
  <c r="U288" i="7" s="1"/>
  <c r="T254" i="1"/>
  <c r="T146" i="7" s="1"/>
  <c r="U254" i="1"/>
  <c r="U146" i="7" s="1"/>
  <c r="T681" i="1"/>
  <c r="T573" i="7" s="1"/>
  <c r="U681" i="1"/>
  <c r="U573" i="7" s="1"/>
  <c r="T728" i="1"/>
  <c r="T620" i="7" s="1"/>
  <c r="U728" i="1"/>
  <c r="U620" i="7" s="1"/>
  <c r="T6" i="1"/>
  <c r="T6" i="7" s="1"/>
  <c r="U6" i="1"/>
  <c r="U6" i="7" s="1"/>
  <c r="T290" i="1"/>
  <c r="T182" i="7" s="1"/>
  <c r="U290" i="1"/>
  <c r="U182" i="7" s="1"/>
  <c r="T7" i="1"/>
  <c r="U7" i="1"/>
  <c r="T8" i="1"/>
  <c r="U8" i="1"/>
  <c r="T576" i="1"/>
  <c r="T468" i="7" s="1"/>
  <c r="U576" i="1"/>
  <c r="U468" i="7" s="1"/>
  <c r="T673" i="1"/>
  <c r="T565" i="7" s="1"/>
  <c r="U673" i="1"/>
  <c r="U565" i="7" s="1"/>
  <c r="T533" i="1"/>
  <c r="T425" i="7" s="1"/>
  <c r="U533" i="1"/>
  <c r="U425" i="7" s="1"/>
  <c r="T685" i="1"/>
  <c r="T577" i="7" s="1"/>
  <c r="U685" i="1"/>
  <c r="U577" i="7" s="1"/>
  <c r="T625" i="1"/>
  <c r="T517" i="7" s="1"/>
  <c r="U625" i="1"/>
  <c r="U517" i="7" s="1"/>
  <c r="T195" i="1"/>
  <c r="T87" i="7" s="1"/>
  <c r="U195" i="1"/>
  <c r="U87" i="7" s="1"/>
  <c r="T237" i="1"/>
  <c r="T129" i="7" s="1"/>
  <c r="U237" i="1"/>
  <c r="U129" i="7" s="1"/>
  <c r="T726" i="1"/>
  <c r="T618" i="7" s="1"/>
  <c r="U726" i="1"/>
  <c r="U618" i="7" s="1"/>
  <c r="T412" i="1"/>
  <c r="T304" i="7" s="1"/>
  <c r="U412" i="1"/>
  <c r="U304" i="7" s="1"/>
  <c r="T182" i="1"/>
  <c r="T74" i="7" s="1"/>
  <c r="U182" i="1"/>
  <c r="U74" i="7" s="1"/>
  <c r="T543" i="1"/>
  <c r="T435" i="7" s="1"/>
  <c r="U543" i="1"/>
  <c r="U435" i="7" s="1"/>
  <c r="T589" i="1"/>
  <c r="T481" i="7" s="1"/>
  <c r="U589" i="1"/>
  <c r="U481" i="7" s="1"/>
  <c r="T583" i="1"/>
  <c r="T475" i="7" s="1"/>
  <c r="U583" i="1"/>
  <c r="U475" i="7" s="1"/>
  <c r="T299" i="1"/>
  <c r="T191" i="7" s="1"/>
  <c r="U299" i="1"/>
  <c r="U191" i="7" s="1"/>
  <c r="T798" i="1"/>
  <c r="T690" i="7" s="1"/>
  <c r="U798" i="1"/>
  <c r="U690" i="7" s="1"/>
  <c r="T415" i="1"/>
  <c r="T307" i="7" s="1"/>
  <c r="U415" i="1"/>
  <c r="U307" i="7" s="1"/>
  <c r="T514" i="1"/>
  <c r="T406" i="7" s="1"/>
  <c r="U514" i="1"/>
  <c r="U406" i="7" s="1"/>
  <c r="T627" i="1"/>
  <c r="T519" i="7" s="1"/>
  <c r="U627" i="1"/>
  <c r="U519" i="7" s="1"/>
  <c r="T210" i="1"/>
  <c r="T102" i="7" s="1"/>
  <c r="U210" i="1"/>
  <c r="U102" i="7" s="1"/>
  <c r="T516" i="1"/>
  <c r="T408" i="7" s="1"/>
  <c r="U516" i="1"/>
  <c r="U408" i="7" s="1"/>
  <c r="T644" i="1"/>
  <c r="T536" i="7" s="1"/>
  <c r="U644" i="1"/>
  <c r="U536" i="7" s="1"/>
  <c r="T203" i="1"/>
  <c r="T95" i="7" s="1"/>
  <c r="U203" i="1"/>
  <c r="U95" i="7" s="1"/>
  <c r="T435" i="1"/>
  <c r="T327" i="7" s="1"/>
  <c r="U435" i="1"/>
  <c r="U327" i="7" s="1"/>
  <c r="T328" i="1"/>
  <c r="T220" i="7" s="1"/>
  <c r="U328" i="1"/>
  <c r="U220" i="7" s="1"/>
  <c r="T9" i="1"/>
  <c r="T7" i="7" s="1"/>
  <c r="U9" i="1"/>
  <c r="U7" i="7" s="1"/>
  <c r="T832" i="1"/>
  <c r="T724" i="7" s="1"/>
  <c r="U832" i="1"/>
  <c r="U724" i="7" s="1"/>
  <c r="T271" i="1"/>
  <c r="T163" i="7" s="1"/>
  <c r="U271" i="1"/>
  <c r="U163" i="7" s="1"/>
  <c r="T808" i="1"/>
  <c r="T700" i="7" s="1"/>
  <c r="U808" i="1"/>
  <c r="U700" i="7" s="1"/>
  <c r="T392" i="1"/>
  <c r="T284" i="7" s="1"/>
  <c r="U392" i="1"/>
  <c r="U284" i="7" s="1"/>
  <c r="T735" i="1"/>
  <c r="T627" i="7" s="1"/>
  <c r="U735" i="1"/>
  <c r="U627" i="7" s="1"/>
  <c r="T434" i="1"/>
  <c r="T326" i="7" s="1"/>
  <c r="U434" i="1"/>
  <c r="U326" i="7" s="1"/>
  <c r="T10" i="1"/>
  <c r="T8" i="7" s="1"/>
  <c r="U10" i="1"/>
  <c r="U8" i="7" s="1"/>
  <c r="T303" i="1"/>
  <c r="T195" i="7" s="1"/>
  <c r="U303" i="1"/>
  <c r="U195" i="7" s="1"/>
  <c r="T196" i="1"/>
  <c r="T88" i="7" s="1"/>
  <c r="U196" i="1"/>
  <c r="U88" i="7" s="1"/>
  <c r="T262" i="1"/>
  <c r="T154" i="7" s="1"/>
  <c r="U262" i="1"/>
  <c r="U154" i="7" s="1"/>
  <c r="T519" i="1"/>
  <c r="T411" i="7" s="1"/>
  <c r="U519" i="1"/>
  <c r="U411" i="7" s="1"/>
  <c r="T207" i="1"/>
  <c r="T99" i="7" s="1"/>
  <c r="U207" i="1"/>
  <c r="U99" i="7" s="1"/>
  <c r="T162" i="1"/>
  <c r="T54" i="7" s="1"/>
  <c r="U162" i="1"/>
  <c r="U54" i="7" s="1"/>
  <c r="T606" i="1"/>
  <c r="T498" i="7" s="1"/>
  <c r="U606" i="1"/>
  <c r="U498" i="7" s="1"/>
  <c r="T760" i="1"/>
  <c r="T652" i="7" s="1"/>
  <c r="U760" i="1"/>
  <c r="U652" i="7" s="1"/>
  <c r="T11" i="1"/>
  <c r="T9" i="7" s="1"/>
  <c r="U11" i="1"/>
  <c r="U9" i="7" s="1"/>
  <c r="T779" i="1"/>
  <c r="T671" i="7" s="1"/>
  <c r="U779" i="1"/>
  <c r="U671" i="7" s="1"/>
  <c r="T558" i="1"/>
  <c r="T450" i="7" s="1"/>
  <c r="U558" i="1"/>
  <c r="U450" i="7" s="1"/>
  <c r="T12" i="1"/>
  <c r="T10" i="7" s="1"/>
  <c r="U12" i="1"/>
  <c r="U10" i="7" s="1"/>
  <c r="T403" i="1"/>
  <c r="T295" i="7" s="1"/>
  <c r="U403" i="1"/>
  <c r="U295" i="7" s="1"/>
  <c r="T672" i="1"/>
  <c r="T564" i="7" s="1"/>
  <c r="U672" i="1"/>
  <c r="U564" i="7" s="1"/>
  <c r="T485" i="1"/>
  <c r="T377" i="7" s="1"/>
  <c r="U485" i="1"/>
  <c r="U377" i="7" s="1"/>
  <c r="T287" i="1"/>
  <c r="T179" i="7" s="1"/>
  <c r="U287" i="1"/>
  <c r="U179" i="7" s="1"/>
  <c r="T714" i="1"/>
  <c r="T606" i="7" s="1"/>
  <c r="U714" i="1"/>
  <c r="U606" i="7" s="1"/>
  <c r="T631" i="1"/>
  <c r="T523" i="7" s="1"/>
  <c r="U631" i="1"/>
  <c r="U523" i="7" s="1"/>
  <c r="T674" i="1"/>
  <c r="T566" i="7" s="1"/>
  <c r="U674" i="1"/>
  <c r="U566" i="7" s="1"/>
  <c r="T721" i="1"/>
  <c r="T613" i="7" s="1"/>
  <c r="U721" i="1"/>
  <c r="U613" i="7" s="1"/>
  <c r="T349" i="1"/>
  <c r="T241" i="7" s="1"/>
  <c r="U349" i="1"/>
  <c r="U241" i="7" s="1"/>
  <c r="T559" i="1"/>
  <c r="T451" i="7" s="1"/>
  <c r="U559" i="1"/>
  <c r="U451" i="7" s="1"/>
  <c r="T573" i="1"/>
  <c r="T465" i="7" s="1"/>
  <c r="U573" i="1"/>
  <c r="U465" i="7" s="1"/>
  <c r="T13" i="1"/>
  <c r="T11" i="7" s="1"/>
  <c r="U13" i="1"/>
  <c r="U11" i="7" s="1"/>
  <c r="T530" i="1"/>
  <c r="T422" i="7" s="1"/>
  <c r="U530" i="1"/>
  <c r="U422" i="7" s="1"/>
  <c r="T501" i="1"/>
  <c r="T393" i="7" s="1"/>
  <c r="U501" i="1"/>
  <c r="U393" i="7" s="1"/>
  <c r="T534" i="1"/>
  <c r="T426" i="7" s="1"/>
  <c r="U534" i="1"/>
  <c r="U426" i="7" s="1"/>
  <c r="T570" i="1"/>
  <c r="T462" i="7" s="1"/>
  <c r="U570" i="1"/>
  <c r="U462" i="7" s="1"/>
  <c r="T641" i="1"/>
  <c r="T533" i="7" s="1"/>
  <c r="U641" i="1"/>
  <c r="U533" i="7" s="1"/>
  <c r="T619" i="1"/>
  <c r="T511" i="7" s="1"/>
  <c r="U619" i="1"/>
  <c r="U511" i="7" s="1"/>
  <c r="T539" i="1"/>
  <c r="T431" i="7" s="1"/>
  <c r="U539" i="1"/>
  <c r="U431" i="7" s="1"/>
  <c r="T295" i="1"/>
  <c r="T187" i="7" s="1"/>
  <c r="U295" i="1"/>
  <c r="U187" i="7" s="1"/>
  <c r="T718" i="1"/>
  <c r="T610" i="7" s="1"/>
  <c r="U718" i="1"/>
  <c r="U610" i="7" s="1"/>
  <c r="T515" i="1"/>
  <c r="T407" i="7" s="1"/>
  <c r="U515" i="1"/>
  <c r="U407" i="7" s="1"/>
  <c r="T582" i="1"/>
  <c r="T474" i="7" s="1"/>
  <c r="U582" i="1"/>
  <c r="U474" i="7" s="1"/>
  <c r="T305" i="1"/>
  <c r="T197" i="7" s="1"/>
  <c r="U305" i="1"/>
  <c r="U197" i="7" s="1"/>
  <c r="T749" i="1"/>
  <c r="T641" i="7" s="1"/>
  <c r="U749" i="1"/>
  <c r="U641" i="7" s="1"/>
  <c r="T428" i="1"/>
  <c r="T320" i="7" s="1"/>
  <c r="U428" i="1"/>
  <c r="U320" i="7" s="1"/>
  <c r="T695" i="1"/>
  <c r="T587" i="7" s="1"/>
  <c r="U695" i="1"/>
  <c r="U587" i="7" s="1"/>
  <c r="T469" i="1"/>
  <c r="T361" i="7" s="1"/>
  <c r="U469" i="1"/>
  <c r="U361" i="7" s="1"/>
  <c r="T14" i="1"/>
  <c r="T12" i="7" s="1"/>
  <c r="U14" i="1"/>
  <c r="U12" i="7" s="1"/>
  <c r="T628" i="1"/>
  <c r="T520" i="7" s="1"/>
  <c r="U628" i="1"/>
  <c r="U520" i="7" s="1"/>
  <c r="T752" i="1"/>
  <c r="T644" i="7" s="1"/>
  <c r="U752" i="1"/>
  <c r="U644" i="7" s="1"/>
  <c r="T265" i="1"/>
  <c r="T157" i="7" s="1"/>
  <c r="U265" i="1"/>
  <c r="U157" i="7" s="1"/>
  <c r="T794" i="1"/>
  <c r="T686" i="7" s="1"/>
  <c r="U794" i="1"/>
  <c r="U686" i="7" s="1"/>
  <c r="T756" i="1"/>
  <c r="T648" i="7" s="1"/>
  <c r="U756" i="1"/>
  <c r="U648" i="7" s="1"/>
  <c r="T393" i="1"/>
  <c r="T285" i="7" s="1"/>
  <c r="U393" i="1"/>
  <c r="U285" i="7" s="1"/>
  <c r="T430" i="1"/>
  <c r="T322" i="7" s="1"/>
  <c r="U430" i="1"/>
  <c r="U322" i="7" s="1"/>
  <c r="T372" i="1"/>
  <c r="T264" i="7" s="1"/>
  <c r="U372" i="1"/>
  <c r="U264" i="7" s="1"/>
  <c r="T629" i="1"/>
  <c r="T521" i="7" s="1"/>
  <c r="U629" i="1"/>
  <c r="U521" i="7" s="1"/>
  <c r="T737" i="1"/>
  <c r="T629" i="7" s="1"/>
  <c r="U737" i="1"/>
  <c r="U629" i="7" s="1"/>
  <c r="T309" i="1"/>
  <c r="T201" i="7" s="1"/>
  <c r="U309" i="1"/>
  <c r="U201" i="7" s="1"/>
  <c r="T170" i="1"/>
  <c r="T62" i="7" s="1"/>
  <c r="U170" i="1"/>
  <c r="U62" i="7" s="1"/>
  <c r="T306" i="1"/>
  <c r="T198" i="7" s="1"/>
  <c r="U306" i="1"/>
  <c r="U198" i="7" s="1"/>
  <c r="T648" i="1"/>
  <c r="T540" i="7" s="1"/>
  <c r="U648" i="1"/>
  <c r="U540" i="7" s="1"/>
  <c r="T579" i="1"/>
  <c r="T471" i="7" s="1"/>
  <c r="U579" i="1"/>
  <c r="U471" i="7" s="1"/>
  <c r="T391" i="1"/>
  <c r="T283" i="7" s="1"/>
  <c r="U391" i="1"/>
  <c r="U283" i="7" s="1"/>
  <c r="T416" i="1"/>
  <c r="T308" i="7" s="1"/>
  <c r="U416" i="1"/>
  <c r="U308" i="7" s="1"/>
  <c r="T377" i="1"/>
  <c r="T269" i="7" s="1"/>
  <c r="U377" i="1"/>
  <c r="U269" i="7" s="1"/>
  <c r="T510" i="1"/>
  <c r="T402" i="7" s="1"/>
  <c r="U510" i="1"/>
  <c r="U402" i="7" s="1"/>
  <c r="T386" i="1"/>
  <c r="T278" i="7" s="1"/>
  <c r="U386" i="1"/>
  <c r="U278" i="7" s="1"/>
  <c r="T471" i="1"/>
  <c r="T363" i="7" s="1"/>
  <c r="U471" i="1"/>
  <c r="U363" i="7" s="1"/>
  <c r="T607" i="1"/>
  <c r="T499" i="7" s="1"/>
  <c r="U607" i="1"/>
  <c r="U499" i="7" s="1"/>
  <c r="T696" i="1"/>
  <c r="T588" i="7" s="1"/>
  <c r="U696" i="1"/>
  <c r="U588" i="7" s="1"/>
  <c r="T676" i="1"/>
  <c r="T568" i="7" s="1"/>
  <c r="U676" i="1"/>
  <c r="U568" i="7" s="1"/>
  <c r="T647" i="1"/>
  <c r="T539" i="7" s="1"/>
  <c r="U647" i="1"/>
  <c r="U539" i="7" s="1"/>
  <c r="T809" i="1"/>
  <c r="T701" i="7" s="1"/>
  <c r="U809" i="1"/>
  <c r="U701" i="7" s="1"/>
  <c r="T584" i="1"/>
  <c r="T476" i="7" s="1"/>
  <c r="U584" i="1"/>
  <c r="U476" i="7" s="1"/>
  <c r="T395" i="1"/>
  <c r="T287" i="7" s="1"/>
  <c r="U395" i="1"/>
  <c r="U287" i="7" s="1"/>
  <c r="T460" i="1"/>
  <c r="T352" i="7" s="1"/>
  <c r="U460" i="1"/>
  <c r="U352" i="7" s="1"/>
  <c r="T661" i="1"/>
  <c r="T553" i="7" s="1"/>
  <c r="U661" i="1"/>
  <c r="U553" i="7" s="1"/>
  <c r="T624" i="1"/>
  <c r="T516" i="7" s="1"/>
  <c r="U624" i="1"/>
  <c r="U516" i="7" s="1"/>
  <c r="T219" i="1"/>
  <c r="T111" i="7" s="1"/>
  <c r="U219" i="1"/>
  <c r="U111" i="7" s="1"/>
  <c r="T175" i="1"/>
  <c r="T67" i="7" s="1"/>
  <c r="U175" i="1"/>
  <c r="U67" i="7" s="1"/>
  <c r="T715" i="1"/>
  <c r="T607" i="7" s="1"/>
  <c r="U715" i="1"/>
  <c r="U607" i="7" s="1"/>
  <c r="T554" i="1"/>
  <c r="T446" i="7" s="1"/>
  <c r="U554" i="1"/>
  <c r="U446" i="7" s="1"/>
  <c r="T157" i="1"/>
  <c r="T49" i="7" s="1"/>
  <c r="U157" i="1"/>
  <c r="U49" i="7" s="1"/>
  <c r="T772" i="1"/>
  <c r="T664" i="7" s="1"/>
  <c r="U772" i="1"/>
  <c r="U664" i="7" s="1"/>
  <c r="T706" i="1"/>
  <c r="T598" i="7" s="1"/>
  <c r="U706" i="1"/>
  <c r="U598" i="7" s="1"/>
  <c r="T769" i="1"/>
  <c r="T661" i="7" s="1"/>
  <c r="U769" i="1"/>
  <c r="U661" i="7" s="1"/>
  <c r="T761" i="1"/>
  <c r="T653" i="7" s="1"/>
  <c r="U761" i="1"/>
  <c r="U653" i="7" s="1"/>
  <c r="T156" i="1"/>
  <c r="T48" i="7" s="1"/>
  <c r="U156" i="1"/>
  <c r="U48" i="7" s="1"/>
  <c r="T608" i="1"/>
  <c r="T500" i="7" s="1"/>
  <c r="U608" i="1"/>
  <c r="U500" i="7" s="1"/>
  <c r="T15" i="1"/>
  <c r="T13" i="7" s="1"/>
  <c r="U15" i="1"/>
  <c r="U13" i="7" s="1"/>
  <c r="T223" i="1"/>
  <c r="T115" i="7" s="1"/>
  <c r="U223" i="1"/>
  <c r="U115" i="7" s="1"/>
  <c r="T183" i="1"/>
  <c r="T75" i="7" s="1"/>
  <c r="U183" i="1"/>
  <c r="U75" i="7" s="1"/>
  <c r="T698" i="1"/>
  <c r="T590" i="7" s="1"/>
  <c r="U698" i="1"/>
  <c r="U590" i="7" s="1"/>
  <c r="T741" i="1"/>
  <c r="T633" i="7" s="1"/>
  <c r="U741" i="1"/>
  <c r="U633" i="7" s="1"/>
  <c r="T666" i="1"/>
  <c r="T558" i="7" s="1"/>
  <c r="U666" i="1"/>
  <c r="U558" i="7" s="1"/>
  <c r="T158" i="1"/>
  <c r="T50" i="7" s="1"/>
  <c r="U158" i="1"/>
  <c r="U50" i="7" s="1"/>
  <c r="T388" i="1"/>
  <c r="T280" i="7" s="1"/>
  <c r="U388" i="1"/>
  <c r="U280" i="7" s="1"/>
  <c r="T245" i="1"/>
  <c r="T137" i="7" s="1"/>
  <c r="U245" i="1"/>
  <c r="U137" i="7" s="1"/>
  <c r="T472" i="1"/>
  <c r="T364" i="7" s="1"/>
  <c r="U472" i="1"/>
  <c r="U364" i="7" s="1"/>
  <c r="T422" i="1"/>
  <c r="T314" i="7" s="1"/>
  <c r="U422" i="1"/>
  <c r="U314" i="7" s="1"/>
  <c r="T467" i="1"/>
  <c r="T359" i="7" s="1"/>
  <c r="U467" i="1"/>
  <c r="U359" i="7" s="1"/>
  <c r="T212" i="1"/>
  <c r="T104" i="7" s="1"/>
  <c r="U212" i="1"/>
  <c r="U104" i="7" s="1"/>
  <c r="T567" i="1"/>
  <c r="T459" i="7" s="1"/>
  <c r="U567" i="1"/>
  <c r="U459" i="7" s="1"/>
  <c r="T215" i="1"/>
  <c r="T107" i="7" s="1"/>
  <c r="U215" i="1"/>
  <c r="U107" i="7" s="1"/>
  <c r="T708" i="1"/>
  <c r="T600" i="7" s="1"/>
  <c r="U708" i="1"/>
  <c r="U600" i="7" s="1"/>
  <c r="T459" i="1"/>
  <c r="T351" i="7" s="1"/>
  <c r="U459" i="1"/>
  <c r="U351" i="7" s="1"/>
  <c r="T699" i="1"/>
  <c r="T591" i="7" s="1"/>
  <c r="U699" i="1"/>
  <c r="U591" i="7" s="1"/>
  <c r="T649" i="1"/>
  <c r="T541" i="7" s="1"/>
  <c r="U649" i="1"/>
  <c r="U541" i="7" s="1"/>
  <c r="T179" i="1"/>
  <c r="T71" i="7" s="1"/>
  <c r="U179" i="1"/>
  <c r="U71" i="7" s="1"/>
  <c r="T268" i="1"/>
  <c r="T160" i="7" s="1"/>
  <c r="U268" i="1"/>
  <c r="U160" i="7" s="1"/>
  <c r="T364" i="1"/>
  <c r="T256" i="7" s="1"/>
  <c r="U364" i="1"/>
  <c r="U256" i="7" s="1"/>
  <c r="T247" i="1"/>
  <c r="T139" i="7" s="1"/>
  <c r="U247" i="1"/>
  <c r="U139" i="7" s="1"/>
  <c r="T285" i="1"/>
  <c r="T177" i="7" s="1"/>
  <c r="U285" i="1"/>
  <c r="U177" i="7" s="1"/>
  <c r="T667" i="1"/>
  <c r="T559" i="7" s="1"/>
  <c r="U667" i="1"/>
  <c r="U559" i="7" s="1"/>
  <c r="T775" i="1"/>
  <c r="T667" i="7" s="1"/>
  <c r="U775" i="1"/>
  <c r="U667" i="7" s="1"/>
  <c r="T621" i="1"/>
  <c r="T513" i="7" s="1"/>
  <c r="U621" i="1"/>
  <c r="U513" i="7" s="1"/>
  <c r="T615" i="1"/>
  <c r="T507" i="7" s="1"/>
  <c r="U615" i="1"/>
  <c r="U507" i="7" s="1"/>
  <c r="T585" i="1"/>
  <c r="T477" i="7" s="1"/>
  <c r="U585" i="1"/>
  <c r="U477" i="7" s="1"/>
  <c r="T602" i="1"/>
  <c r="T494" i="7" s="1"/>
  <c r="U602" i="1"/>
  <c r="U494" i="7" s="1"/>
  <c r="T651" i="1"/>
  <c r="T543" i="7" s="1"/>
  <c r="U651" i="1"/>
  <c r="U543" i="7" s="1"/>
  <c r="T407" i="1"/>
  <c r="T299" i="7" s="1"/>
  <c r="U407" i="1"/>
  <c r="U299" i="7" s="1"/>
  <c r="T454" i="1"/>
  <c r="T346" i="7" s="1"/>
  <c r="U454" i="1"/>
  <c r="U346" i="7" s="1"/>
  <c r="T248" i="1"/>
  <c r="T140" i="7" s="1"/>
  <c r="U248" i="1"/>
  <c r="U140" i="7" s="1"/>
  <c r="T357" i="1"/>
  <c r="T249" i="7" s="1"/>
  <c r="U357" i="1"/>
  <c r="U249" i="7" s="1"/>
  <c r="T263" i="1"/>
  <c r="T155" i="7" s="1"/>
  <c r="U263" i="1"/>
  <c r="U155" i="7" s="1"/>
  <c r="T333" i="1"/>
  <c r="T225" i="7" s="1"/>
  <c r="U333" i="1"/>
  <c r="U225" i="7" s="1"/>
  <c r="T783" i="1"/>
  <c r="T675" i="7" s="1"/>
  <c r="U783" i="1"/>
  <c r="U675" i="7" s="1"/>
  <c r="T731" i="1"/>
  <c r="T623" i="7" s="1"/>
  <c r="U731" i="1"/>
  <c r="U623" i="7" s="1"/>
  <c r="T16" i="1"/>
  <c r="T14" i="7" s="1"/>
  <c r="U16" i="1"/>
  <c r="U14" i="7" s="1"/>
  <c r="T342" i="1"/>
  <c r="T234" i="7" s="1"/>
  <c r="U342" i="1"/>
  <c r="U234" i="7" s="1"/>
  <c r="T408" i="1"/>
  <c r="T300" i="7" s="1"/>
  <c r="U408" i="1"/>
  <c r="U300" i="7" s="1"/>
  <c r="T315" i="1"/>
  <c r="T207" i="7" s="1"/>
  <c r="U315" i="1"/>
  <c r="U207" i="7" s="1"/>
  <c r="T330" i="1"/>
  <c r="T222" i="7" s="1"/>
  <c r="U330" i="1"/>
  <c r="U222" i="7" s="1"/>
  <c r="T817" i="1"/>
  <c r="T709" i="7" s="1"/>
  <c r="U817" i="1"/>
  <c r="U709" i="7" s="1"/>
  <c r="T781" i="1"/>
  <c r="T673" i="7" s="1"/>
  <c r="U781" i="1"/>
  <c r="U673" i="7" s="1"/>
  <c r="T724" i="1"/>
  <c r="T616" i="7" s="1"/>
  <c r="U724" i="1"/>
  <c r="U616" i="7" s="1"/>
  <c r="T806" i="1"/>
  <c r="T698" i="7" s="1"/>
  <c r="U806" i="1"/>
  <c r="U698" i="7" s="1"/>
  <c r="T823" i="1"/>
  <c r="T715" i="7" s="1"/>
  <c r="U823" i="1"/>
  <c r="U715" i="7" s="1"/>
  <c r="T727" i="1"/>
  <c r="T619" i="7" s="1"/>
  <c r="U727" i="1"/>
  <c r="U619" i="7" s="1"/>
  <c r="T586" i="1"/>
  <c r="T478" i="7" s="1"/>
  <c r="U586" i="1"/>
  <c r="U478" i="7" s="1"/>
  <c r="T436" i="1"/>
  <c r="T328" i="7" s="1"/>
  <c r="U436" i="1"/>
  <c r="U328" i="7" s="1"/>
  <c r="T283" i="1"/>
  <c r="T175" i="7" s="1"/>
  <c r="U283" i="1"/>
  <c r="U175" i="7" s="1"/>
  <c r="T521" i="1"/>
  <c r="T413" i="7" s="1"/>
  <c r="U521" i="1"/>
  <c r="U413" i="7" s="1"/>
  <c r="T450" i="1"/>
  <c r="T342" i="7" s="1"/>
  <c r="U450" i="1"/>
  <c r="U342" i="7" s="1"/>
  <c r="T358" i="1"/>
  <c r="T250" i="7" s="1"/>
  <c r="U358" i="1"/>
  <c r="U250" i="7" s="1"/>
  <c r="T276" i="1"/>
  <c r="T168" i="7" s="1"/>
  <c r="U276" i="1"/>
  <c r="U168" i="7" s="1"/>
  <c r="T384" i="1"/>
  <c r="T276" i="7" s="1"/>
  <c r="U384" i="1"/>
  <c r="U276" i="7" s="1"/>
  <c r="T251" i="1"/>
  <c r="T143" i="7" s="1"/>
  <c r="U251" i="1"/>
  <c r="U143" i="7" s="1"/>
  <c r="T410" i="1"/>
  <c r="T302" i="7" s="1"/>
  <c r="U410" i="1"/>
  <c r="U302" i="7" s="1"/>
  <c r="T687" i="1"/>
  <c r="T579" i="7" s="1"/>
  <c r="U687" i="1"/>
  <c r="U579" i="7" s="1"/>
  <c r="T555" i="1"/>
  <c r="T447" i="7" s="1"/>
  <c r="U555" i="1"/>
  <c r="U447" i="7" s="1"/>
  <c r="T296" i="1"/>
  <c r="T188" i="7" s="1"/>
  <c r="U296" i="1"/>
  <c r="U188" i="7" s="1"/>
  <c r="T759" i="1"/>
  <c r="T651" i="7" s="1"/>
  <c r="U759" i="1"/>
  <c r="U651" i="7" s="1"/>
  <c r="T773" i="1"/>
  <c r="T665" i="7" s="1"/>
  <c r="U773" i="1"/>
  <c r="U665" i="7" s="1"/>
  <c r="T598" i="1"/>
  <c r="T490" i="7" s="1"/>
  <c r="U598" i="1"/>
  <c r="U490" i="7" s="1"/>
  <c r="T494" i="1"/>
  <c r="T386" i="7" s="1"/>
  <c r="U494" i="1"/>
  <c r="U386" i="7" s="1"/>
  <c r="T409" i="1"/>
  <c r="T301" i="7" s="1"/>
  <c r="U409" i="1"/>
  <c r="U301" i="7" s="1"/>
  <c r="T334" i="1"/>
  <c r="T226" i="7" s="1"/>
  <c r="U334" i="1"/>
  <c r="U226" i="7" s="1"/>
  <c r="T228" i="1"/>
  <c r="T120" i="7" s="1"/>
  <c r="U228" i="1"/>
  <c r="U120" i="7" s="1"/>
  <c r="T481" i="1"/>
  <c r="T373" i="7" s="1"/>
  <c r="U481" i="1"/>
  <c r="U373" i="7" s="1"/>
  <c r="T639" i="1"/>
  <c r="T531" i="7" s="1"/>
  <c r="U639" i="1"/>
  <c r="U531" i="7" s="1"/>
  <c r="T266" i="1"/>
  <c r="T158" i="7" s="1"/>
  <c r="U266" i="1"/>
  <c r="U158" i="7" s="1"/>
  <c r="T365" i="1"/>
  <c r="T257" i="7" s="1"/>
  <c r="U365" i="1"/>
  <c r="U257" i="7" s="1"/>
  <c r="T292" i="1"/>
  <c r="T184" i="7" s="1"/>
  <c r="U292" i="1"/>
  <c r="U184" i="7" s="1"/>
  <c r="T233" i="1"/>
  <c r="T125" i="7" s="1"/>
  <c r="U233" i="1"/>
  <c r="U125" i="7" s="1"/>
  <c r="T281" i="1"/>
  <c r="T173" i="7" s="1"/>
  <c r="U281" i="1"/>
  <c r="U173" i="7" s="1"/>
  <c r="T551" i="1"/>
  <c r="T443" i="7" s="1"/>
  <c r="U551" i="1"/>
  <c r="U443" i="7" s="1"/>
  <c r="T235" i="1"/>
  <c r="T127" i="7" s="1"/>
  <c r="U235" i="1"/>
  <c r="U127" i="7" s="1"/>
  <c r="T17" i="1"/>
  <c r="T15" i="7" s="1"/>
  <c r="U17" i="1"/>
  <c r="U15" i="7" s="1"/>
  <c r="T190" i="1"/>
  <c r="T82" i="7" s="1"/>
  <c r="U190" i="1"/>
  <c r="U82" i="7" s="1"/>
  <c r="T220" i="1"/>
  <c r="T112" i="7" s="1"/>
  <c r="U220" i="1"/>
  <c r="U112" i="7" s="1"/>
  <c r="T517" i="1"/>
  <c r="T409" i="7" s="1"/>
  <c r="U517" i="1"/>
  <c r="U409" i="7" s="1"/>
  <c r="T389" i="1"/>
  <c r="T281" i="7" s="1"/>
  <c r="U389" i="1"/>
  <c r="U281" i="7" s="1"/>
  <c r="T18" i="1"/>
  <c r="T16" i="7" s="1"/>
  <c r="U18" i="1"/>
  <c r="U16" i="7" s="1"/>
  <c r="T413" i="1"/>
  <c r="T305" i="7" s="1"/>
  <c r="U413" i="1"/>
  <c r="U305" i="7" s="1"/>
  <c r="T243" i="1"/>
  <c r="T135" i="7" s="1"/>
  <c r="U243" i="1"/>
  <c r="U135" i="7" s="1"/>
  <c r="T321" i="1"/>
  <c r="T213" i="7" s="1"/>
  <c r="U321" i="1"/>
  <c r="U213" i="7" s="1"/>
  <c r="T307" i="1"/>
  <c r="T199" i="7" s="1"/>
  <c r="U307" i="1"/>
  <c r="U199" i="7" s="1"/>
  <c r="T155" i="1"/>
  <c r="T47" i="7" s="1"/>
  <c r="U155" i="1"/>
  <c r="U47" i="7" s="1"/>
  <c r="T19" i="1"/>
  <c r="T17" i="7" s="1"/>
  <c r="U19" i="1"/>
  <c r="U17" i="7" s="1"/>
  <c r="T184" i="1"/>
  <c r="T76" i="7" s="1"/>
  <c r="U184" i="1"/>
  <c r="U76" i="7" s="1"/>
  <c r="T455" i="1"/>
  <c r="T347" i="7" s="1"/>
  <c r="U455" i="1"/>
  <c r="U347" i="7" s="1"/>
  <c r="T360" i="1"/>
  <c r="T252" i="7" s="1"/>
  <c r="U360" i="1"/>
  <c r="U252" i="7" s="1"/>
  <c r="T426" i="1"/>
  <c r="T318" i="7" s="1"/>
  <c r="U426" i="1"/>
  <c r="U318" i="7" s="1"/>
  <c r="T373" i="1"/>
  <c r="T265" i="7" s="1"/>
  <c r="U373" i="1"/>
  <c r="U265" i="7" s="1"/>
  <c r="T387" i="1"/>
  <c r="T279" i="7" s="1"/>
  <c r="U387" i="1"/>
  <c r="U279" i="7" s="1"/>
  <c r="T433" i="1"/>
  <c r="T325" i="7" s="1"/>
  <c r="U433" i="1"/>
  <c r="U325" i="7" s="1"/>
  <c r="T397" i="1"/>
  <c r="T289" i="7" s="1"/>
  <c r="U397" i="1"/>
  <c r="U289" i="7" s="1"/>
  <c r="T252" i="1"/>
  <c r="T144" i="7" s="1"/>
  <c r="U252" i="1"/>
  <c r="U144" i="7" s="1"/>
  <c r="T291" i="1"/>
  <c r="T183" i="7" s="1"/>
  <c r="U291" i="1"/>
  <c r="U183" i="7" s="1"/>
  <c r="T159" i="1"/>
  <c r="T51" i="7" s="1"/>
  <c r="U159" i="1"/>
  <c r="U51" i="7" s="1"/>
  <c r="T604" i="1"/>
  <c r="T496" i="7" s="1"/>
  <c r="U604" i="1"/>
  <c r="U496" i="7" s="1"/>
  <c r="T227" i="1"/>
  <c r="T119" i="7" s="1"/>
  <c r="U227" i="1"/>
  <c r="U119" i="7" s="1"/>
  <c r="T313" i="1"/>
  <c r="T205" i="7" s="1"/>
  <c r="U313" i="1"/>
  <c r="U205" i="7" s="1"/>
  <c r="T197" i="1"/>
  <c r="T89" i="7" s="1"/>
  <c r="U197" i="1"/>
  <c r="U89" i="7" s="1"/>
  <c r="T805" i="1"/>
  <c r="T697" i="7" s="1"/>
  <c r="U805" i="1"/>
  <c r="U697" i="7" s="1"/>
  <c r="T544" i="1"/>
  <c r="T436" i="7" s="1"/>
  <c r="U544" i="1"/>
  <c r="U436" i="7" s="1"/>
  <c r="T298" i="1"/>
  <c r="T190" i="7" s="1"/>
  <c r="U298" i="1"/>
  <c r="U190" i="7" s="1"/>
  <c r="T240" i="1"/>
  <c r="T132" i="7" s="1"/>
  <c r="U240" i="1"/>
  <c r="U132" i="7" s="1"/>
  <c r="T504" i="1"/>
  <c r="T396" i="7" s="1"/>
  <c r="U504" i="1"/>
  <c r="U396" i="7" s="1"/>
  <c r="T688" i="1"/>
  <c r="T580" i="7" s="1"/>
  <c r="U688" i="1"/>
  <c r="U580" i="7" s="1"/>
  <c r="T535" i="1"/>
  <c r="T427" i="7" s="1"/>
  <c r="U535" i="1"/>
  <c r="U427" i="7" s="1"/>
  <c r="T620" i="1"/>
  <c r="T512" i="7" s="1"/>
  <c r="U620" i="1"/>
  <c r="U512" i="7" s="1"/>
  <c r="T343" i="1"/>
  <c r="T235" i="7" s="1"/>
  <c r="U343" i="1"/>
  <c r="U235" i="7" s="1"/>
  <c r="T259" i="1"/>
  <c r="T151" i="7" s="1"/>
  <c r="U259" i="1"/>
  <c r="U151" i="7" s="1"/>
  <c r="T495" i="1"/>
  <c r="T387" i="7" s="1"/>
  <c r="U495" i="1"/>
  <c r="U387" i="7" s="1"/>
  <c r="T616" i="1"/>
  <c r="T508" i="7" s="1"/>
  <c r="U616" i="1"/>
  <c r="U508" i="7" s="1"/>
  <c r="T668" i="1"/>
  <c r="T560" i="7" s="1"/>
  <c r="U668" i="1"/>
  <c r="U560" i="7" s="1"/>
  <c r="T216" i="1"/>
  <c r="T108" i="7" s="1"/>
  <c r="U216" i="1"/>
  <c r="U108" i="7" s="1"/>
  <c r="T325" i="1"/>
  <c r="T217" i="7" s="1"/>
  <c r="U325" i="1"/>
  <c r="U217" i="7" s="1"/>
  <c r="T507" i="1"/>
  <c r="T399" i="7" s="1"/>
  <c r="U507" i="1"/>
  <c r="U399" i="7" s="1"/>
  <c r="T552" i="1"/>
  <c r="T444" i="7" s="1"/>
  <c r="U552" i="1"/>
  <c r="U444" i="7" s="1"/>
  <c r="T508" i="1"/>
  <c r="T400" i="7" s="1"/>
  <c r="U508" i="1"/>
  <c r="U400" i="7" s="1"/>
  <c r="T277" i="1"/>
  <c r="T169" i="7" s="1"/>
  <c r="U277" i="1"/>
  <c r="U169" i="7" s="1"/>
  <c r="T264" i="1"/>
  <c r="T156" i="7" s="1"/>
  <c r="U264" i="1"/>
  <c r="U156" i="7" s="1"/>
  <c r="T498" i="1"/>
  <c r="T390" i="7" s="1"/>
  <c r="U498" i="1"/>
  <c r="U390" i="7" s="1"/>
  <c r="T545" i="1"/>
  <c r="T437" i="7" s="1"/>
  <c r="U545" i="1"/>
  <c r="U437" i="7" s="1"/>
  <c r="T653" i="1"/>
  <c r="T545" i="7" s="1"/>
  <c r="U653" i="1"/>
  <c r="U545" i="7" s="1"/>
  <c r="T479" i="1"/>
  <c r="T371" i="7" s="1"/>
  <c r="U479" i="1"/>
  <c r="U371" i="7" s="1"/>
  <c r="T511" i="1"/>
  <c r="T403" i="7" s="1"/>
  <c r="U511" i="1"/>
  <c r="U403" i="7" s="1"/>
  <c r="T371" i="1"/>
  <c r="T263" i="7" s="1"/>
  <c r="U371" i="1"/>
  <c r="U263" i="7" s="1"/>
  <c r="T171" i="1"/>
  <c r="T63" i="7" s="1"/>
  <c r="U171" i="1"/>
  <c r="U63" i="7" s="1"/>
  <c r="T722" i="1"/>
  <c r="T614" i="7" s="1"/>
  <c r="U722" i="1"/>
  <c r="U614" i="7" s="1"/>
  <c r="T617" i="1"/>
  <c r="T509" i="7" s="1"/>
  <c r="U617" i="1"/>
  <c r="U509" i="7" s="1"/>
  <c r="T20" i="1"/>
  <c r="T18" i="7" s="1"/>
  <c r="U20" i="1"/>
  <c r="U18" i="7" s="1"/>
  <c r="T151" i="1"/>
  <c r="T43" i="7" s="1"/>
  <c r="U151" i="1"/>
  <c r="U43" i="7" s="1"/>
  <c r="T148" i="1"/>
  <c r="T40" i="7" s="1"/>
  <c r="U148" i="1"/>
  <c r="U40" i="7" s="1"/>
  <c r="T217" i="1"/>
  <c r="T109" i="7" s="1"/>
  <c r="U217" i="1"/>
  <c r="U109" i="7" s="1"/>
  <c r="T840" i="1"/>
  <c r="T732" i="7" s="1"/>
  <c r="U840" i="1"/>
  <c r="U732" i="7" s="1"/>
  <c r="T835" i="1"/>
  <c r="T727" i="7" s="1"/>
  <c r="U835" i="1"/>
  <c r="U727" i="7" s="1"/>
  <c r="T21" i="1"/>
  <c r="T19" i="7" s="1"/>
  <c r="U21" i="1"/>
  <c r="U19" i="7" s="1"/>
  <c r="T791" i="1"/>
  <c r="T683" i="7" s="1"/>
  <c r="U791" i="1"/>
  <c r="U683" i="7" s="1"/>
  <c r="T626" i="1"/>
  <c r="T518" i="7" s="1"/>
  <c r="U626" i="1"/>
  <c r="U518" i="7" s="1"/>
  <c r="T810" i="1"/>
  <c r="T702" i="7" s="1"/>
  <c r="U810" i="1"/>
  <c r="U702" i="7" s="1"/>
  <c r="T743" i="1"/>
  <c r="T635" i="7" s="1"/>
  <c r="U743" i="1"/>
  <c r="U635" i="7" s="1"/>
  <c r="T445" i="1"/>
  <c r="T337" i="7" s="1"/>
  <c r="U445" i="1"/>
  <c r="U337" i="7" s="1"/>
  <c r="T693" i="1"/>
  <c r="T585" i="7" s="1"/>
  <c r="U693" i="1"/>
  <c r="U585" i="7" s="1"/>
  <c r="T488" i="1"/>
  <c r="T380" i="7" s="1"/>
  <c r="U488" i="1"/>
  <c r="U380" i="7" s="1"/>
  <c r="T590" i="1"/>
  <c r="T482" i="7" s="1"/>
  <c r="U590" i="1"/>
  <c r="U482" i="7" s="1"/>
  <c r="T449" i="1"/>
  <c r="T341" i="7" s="1"/>
  <c r="U449" i="1"/>
  <c r="U341" i="7" s="1"/>
  <c r="T520" i="1"/>
  <c r="T412" i="7" s="1"/>
  <c r="U520" i="1"/>
  <c r="U412" i="7" s="1"/>
  <c r="T165" i="1"/>
  <c r="T57" i="7" s="1"/>
  <c r="U165" i="1"/>
  <c r="U57" i="7" s="1"/>
  <c r="T176" i="1"/>
  <c r="T68" i="7" s="1"/>
  <c r="U176" i="1"/>
  <c r="U68" i="7" s="1"/>
  <c r="T710" i="1"/>
  <c r="T602" i="7" s="1"/>
  <c r="U710" i="1"/>
  <c r="U602" i="7" s="1"/>
  <c r="T564" i="1"/>
  <c r="T456" i="7" s="1"/>
  <c r="U564" i="1"/>
  <c r="U456" i="7" s="1"/>
  <c r="T719" i="1"/>
  <c r="T611" i="7" s="1"/>
  <c r="U719" i="1"/>
  <c r="U611" i="7" s="1"/>
  <c r="T654" i="1"/>
  <c r="T546" i="7" s="1"/>
  <c r="U654" i="1"/>
  <c r="U546" i="7" s="1"/>
  <c r="T505" i="1"/>
  <c r="T397" i="7" s="1"/>
  <c r="U505" i="1"/>
  <c r="U397" i="7" s="1"/>
  <c r="T734" i="1"/>
  <c r="T626" i="7" s="1"/>
  <c r="U734" i="1"/>
  <c r="U626" i="7" s="1"/>
  <c r="T427" i="1"/>
  <c r="T319" i="7" s="1"/>
  <c r="U427" i="1"/>
  <c r="U319" i="7" s="1"/>
  <c r="T650" i="1"/>
  <c r="T542" i="7" s="1"/>
  <c r="U650" i="1"/>
  <c r="U542" i="7" s="1"/>
  <c r="T538" i="1"/>
  <c r="T430" i="7" s="1"/>
  <c r="U538" i="1"/>
  <c r="U430" i="7" s="1"/>
  <c r="T603" i="1"/>
  <c r="T495" i="7" s="1"/>
  <c r="U603" i="1"/>
  <c r="U495" i="7" s="1"/>
  <c r="T655" i="1"/>
  <c r="T547" i="7" s="1"/>
  <c r="U655" i="1"/>
  <c r="U547" i="7" s="1"/>
  <c r="T546" i="1"/>
  <c r="T438" i="7" s="1"/>
  <c r="U546" i="1"/>
  <c r="U438" i="7" s="1"/>
  <c r="T700" i="1"/>
  <c r="T592" i="7" s="1"/>
  <c r="U700" i="1"/>
  <c r="U592" i="7" s="1"/>
  <c r="T705" i="1"/>
  <c r="T597" i="7" s="1"/>
  <c r="U705" i="1"/>
  <c r="U597" i="7" s="1"/>
  <c r="T679" i="1"/>
  <c r="T571" i="7" s="1"/>
  <c r="U679" i="1"/>
  <c r="U571" i="7" s="1"/>
  <c r="T712" i="1"/>
  <c r="T604" i="7" s="1"/>
  <c r="U712" i="1"/>
  <c r="U604" i="7" s="1"/>
  <c r="T270" i="1"/>
  <c r="T162" i="7" s="1"/>
  <c r="U270" i="1"/>
  <c r="U162" i="7" s="1"/>
  <c r="T662" i="1"/>
  <c r="T554" i="7" s="1"/>
  <c r="U662" i="1"/>
  <c r="U554" i="7" s="1"/>
  <c r="T274" i="1"/>
  <c r="T166" i="7" s="1"/>
  <c r="U274" i="1"/>
  <c r="U166" i="7" s="1"/>
  <c r="T278" i="1"/>
  <c r="T170" i="7" s="1"/>
  <c r="U278" i="1"/>
  <c r="U170" i="7" s="1"/>
  <c r="T381" i="1"/>
  <c r="T273" i="7" s="1"/>
  <c r="U381" i="1"/>
  <c r="U273" i="7" s="1"/>
  <c r="T663" i="1"/>
  <c r="T555" i="7" s="1"/>
  <c r="U663" i="1"/>
  <c r="U555" i="7" s="1"/>
  <c r="T353" i="1"/>
  <c r="T245" i="7" s="1"/>
  <c r="U353" i="1"/>
  <c r="U245" i="7" s="1"/>
  <c r="T22" i="1"/>
  <c r="T20" i="7" s="1"/>
  <c r="U22" i="1"/>
  <c r="U20" i="7" s="1"/>
  <c r="T347" i="1"/>
  <c r="T239" i="7" s="1"/>
  <c r="U347" i="1"/>
  <c r="U239" i="7" s="1"/>
  <c r="T208" i="1"/>
  <c r="T100" i="7" s="1"/>
  <c r="U208" i="1"/>
  <c r="U100" i="7" s="1"/>
  <c r="T446" i="1"/>
  <c r="T338" i="7" s="1"/>
  <c r="U446" i="1"/>
  <c r="U338" i="7" s="1"/>
  <c r="T152" i="1"/>
  <c r="T44" i="7" s="1"/>
  <c r="U152" i="1"/>
  <c r="U44" i="7" s="1"/>
  <c r="T423" i="1"/>
  <c r="T315" i="7" s="1"/>
  <c r="U423" i="1"/>
  <c r="U315" i="7" s="1"/>
  <c r="T267" i="1"/>
  <c r="T159" i="7" s="1"/>
  <c r="U267" i="1"/>
  <c r="U159" i="7" s="1"/>
  <c r="T300" i="1"/>
  <c r="T192" i="7" s="1"/>
  <c r="U300" i="1"/>
  <c r="U192" i="7" s="1"/>
  <c r="T244" i="1"/>
  <c r="T136" i="7" s="1"/>
  <c r="U244" i="1"/>
  <c r="U136" i="7" s="1"/>
  <c r="T279" i="1"/>
  <c r="T171" i="7" s="1"/>
  <c r="U279" i="1"/>
  <c r="U171" i="7" s="1"/>
  <c r="T645" i="1"/>
  <c r="T537" i="7" s="1"/>
  <c r="U645" i="1"/>
  <c r="U537" i="7" s="1"/>
  <c r="T512" i="1"/>
  <c r="T404" i="7" s="1"/>
  <c r="U512" i="1"/>
  <c r="U404" i="7" s="1"/>
  <c r="T670" i="1"/>
  <c r="T562" i="7" s="1"/>
  <c r="U670" i="1"/>
  <c r="U562" i="7" s="1"/>
  <c r="T768" i="1"/>
  <c r="T660" i="7" s="1"/>
  <c r="U768" i="1"/>
  <c r="U660" i="7" s="1"/>
  <c r="T453" i="1"/>
  <c r="T345" i="7" s="1"/>
  <c r="U453" i="1"/>
  <c r="U345" i="7" s="1"/>
  <c r="T404" i="1"/>
  <c r="T296" i="7" s="1"/>
  <c r="U404" i="1"/>
  <c r="U296" i="7" s="1"/>
  <c r="T605" i="1"/>
  <c r="T497" i="7" s="1"/>
  <c r="U605" i="1"/>
  <c r="U497" i="7" s="1"/>
  <c r="T609" i="1"/>
  <c r="T501" i="7" s="1"/>
  <c r="U609" i="1"/>
  <c r="U501" i="7" s="1"/>
  <c r="T630" i="1"/>
  <c r="T522" i="7" s="1"/>
  <c r="U630" i="1"/>
  <c r="U522" i="7" s="1"/>
  <c r="T491" i="1"/>
  <c r="T383" i="7" s="1"/>
  <c r="U491" i="1"/>
  <c r="U383" i="7" s="1"/>
  <c r="T682" i="1"/>
  <c r="T574" i="7" s="1"/>
  <c r="U682" i="1"/>
  <c r="U574" i="7" s="1"/>
  <c r="T557" i="1"/>
  <c r="T449" i="7" s="1"/>
  <c r="U557" i="1"/>
  <c r="U449" i="7" s="1"/>
  <c r="T150" i="1"/>
  <c r="T42" i="7" s="1"/>
  <c r="U150" i="1"/>
  <c r="U42" i="7" s="1"/>
  <c r="T618" i="1"/>
  <c r="T510" i="7" s="1"/>
  <c r="U618" i="1"/>
  <c r="U510" i="7" s="1"/>
  <c r="T593" i="1"/>
  <c r="T485" i="7" s="1"/>
  <c r="U593" i="1"/>
  <c r="U485" i="7" s="1"/>
  <c r="T536" i="1"/>
  <c r="T428" i="7" s="1"/>
  <c r="U536" i="1"/>
  <c r="U428" i="7" s="1"/>
  <c r="T580" i="1"/>
  <c r="T472" i="7" s="1"/>
  <c r="U580" i="1"/>
  <c r="U472" i="7" s="1"/>
  <c r="T581" i="1"/>
  <c r="T473" i="7" s="1"/>
  <c r="U581" i="1"/>
  <c r="U473" i="7" s="1"/>
  <c r="T475" i="1"/>
  <c r="T367" i="7" s="1"/>
  <c r="U475" i="1"/>
  <c r="U367" i="7" s="1"/>
  <c r="T476" i="1"/>
  <c r="T368" i="7" s="1"/>
  <c r="U476" i="1"/>
  <c r="U368" i="7" s="1"/>
  <c r="T304" i="1"/>
  <c r="T196" i="7" s="1"/>
  <c r="U304" i="1"/>
  <c r="U196" i="7" s="1"/>
  <c r="T568" i="1"/>
  <c r="T460" i="7" s="1"/>
  <c r="U568" i="1"/>
  <c r="U460" i="7" s="1"/>
  <c r="T177" i="1"/>
  <c r="T69" i="7" s="1"/>
  <c r="U177" i="1"/>
  <c r="U69" i="7" s="1"/>
  <c r="T23" i="1"/>
  <c r="T21" i="7" s="1"/>
  <c r="U23" i="1"/>
  <c r="U21" i="7" s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675" i="1"/>
  <c r="T567" i="7" s="1"/>
  <c r="U675" i="1"/>
  <c r="U567" i="7" s="1"/>
  <c r="T51" i="1"/>
  <c r="T22" i="7" s="1"/>
  <c r="U51" i="1"/>
  <c r="U22" i="7" s="1"/>
  <c r="T470" i="1"/>
  <c r="T362" i="7" s="1"/>
  <c r="U470" i="1"/>
  <c r="U362" i="7" s="1"/>
  <c r="T359" i="1"/>
  <c r="T251" i="7" s="1"/>
  <c r="U359" i="1"/>
  <c r="U251" i="7" s="1"/>
  <c r="T451" i="1"/>
  <c r="T343" i="7" s="1"/>
  <c r="U451" i="1"/>
  <c r="U343" i="7" s="1"/>
  <c r="T600" i="1"/>
  <c r="T492" i="7" s="1"/>
  <c r="U600" i="1"/>
  <c r="U492" i="7" s="1"/>
  <c r="T527" i="1"/>
  <c r="T419" i="7" s="1"/>
  <c r="U527" i="1"/>
  <c r="U419" i="7" s="1"/>
  <c r="T745" i="1"/>
  <c r="T637" i="7" s="1"/>
  <c r="U745" i="1"/>
  <c r="U637" i="7" s="1"/>
  <c r="T464" i="1"/>
  <c r="T356" i="7" s="1"/>
  <c r="U464" i="1"/>
  <c r="U356" i="7" s="1"/>
  <c r="T421" i="1"/>
  <c r="T313" i="7" s="1"/>
  <c r="U421" i="1"/>
  <c r="U313" i="7" s="1"/>
  <c r="T253" i="1"/>
  <c r="T145" i="7" s="1"/>
  <c r="U253" i="1"/>
  <c r="U145" i="7" s="1"/>
  <c r="T200" i="1"/>
  <c r="T92" i="7" s="1"/>
  <c r="U200" i="1"/>
  <c r="U92" i="7" s="1"/>
  <c r="T824" i="1"/>
  <c r="T716" i="7" s="1"/>
  <c r="U824" i="1"/>
  <c r="U716" i="7" s="1"/>
  <c r="T322" i="1"/>
  <c r="T214" i="7" s="1"/>
  <c r="U322" i="1"/>
  <c r="U214" i="7" s="1"/>
  <c r="T665" i="1"/>
  <c r="T557" i="7" s="1"/>
  <c r="U665" i="1"/>
  <c r="U557" i="7" s="1"/>
  <c r="T153" i="1"/>
  <c r="T45" i="7" s="1"/>
  <c r="U153" i="1"/>
  <c r="U45" i="7" s="1"/>
  <c r="T383" i="1"/>
  <c r="T275" i="7" s="1"/>
  <c r="U383" i="1"/>
  <c r="U275" i="7" s="1"/>
  <c r="T168" i="1"/>
  <c r="T60" i="7" s="1"/>
  <c r="U168" i="1"/>
  <c r="U60" i="7" s="1"/>
  <c r="T161" i="1"/>
  <c r="T53" i="7" s="1"/>
  <c r="U161" i="1"/>
  <c r="U53" i="7" s="1"/>
  <c r="T205" i="1"/>
  <c r="T97" i="7" s="1"/>
  <c r="U205" i="1"/>
  <c r="U97" i="7" s="1"/>
  <c r="T326" i="1"/>
  <c r="T218" i="7" s="1"/>
  <c r="U326" i="1"/>
  <c r="U218" i="7" s="1"/>
  <c r="T431" i="1"/>
  <c r="T323" i="7" s="1"/>
  <c r="U431" i="1"/>
  <c r="U323" i="7" s="1"/>
  <c r="T401" i="1"/>
  <c r="T293" i="7" s="1"/>
  <c r="U401" i="1"/>
  <c r="U293" i="7" s="1"/>
  <c r="T288" i="1"/>
  <c r="T180" i="7" s="1"/>
  <c r="U288" i="1"/>
  <c r="U180" i="7" s="1"/>
  <c r="T172" i="1"/>
  <c r="T64" i="7" s="1"/>
  <c r="U172" i="1"/>
  <c r="U64" i="7" s="1"/>
  <c r="T463" i="1"/>
  <c r="T355" i="7" s="1"/>
  <c r="U463" i="1"/>
  <c r="U355" i="7" s="1"/>
  <c r="T776" i="1"/>
  <c r="T668" i="7" s="1"/>
  <c r="U776" i="1"/>
  <c r="U668" i="7" s="1"/>
  <c r="T797" i="1"/>
  <c r="T689" i="7" s="1"/>
  <c r="U797" i="1"/>
  <c r="U689" i="7" s="1"/>
  <c r="T192" i="1"/>
  <c r="T84" i="7" s="1"/>
  <c r="U192" i="1"/>
  <c r="U84" i="7" s="1"/>
  <c r="T424" i="1"/>
  <c r="T316" i="7" s="1"/>
  <c r="U424" i="1"/>
  <c r="U316" i="7" s="1"/>
  <c r="T154" i="1"/>
  <c r="T46" i="7" s="1"/>
  <c r="U154" i="1"/>
  <c r="U46" i="7" s="1"/>
  <c r="T293" i="1"/>
  <c r="T185" i="7" s="1"/>
  <c r="U293" i="1"/>
  <c r="U185" i="7" s="1"/>
  <c r="T437" i="1"/>
  <c r="T329" i="7" s="1"/>
  <c r="U437" i="1"/>
  <c r="U329" i="7" s="1"/>
  <c r="T611" i="1"/>
  <c r="T503" i="7" s="1"/>
  <c r="U611" i="1"/>
  <c r="U503" i="7" s="1"/>
  <c r="T414" i="1"/>
  <c r="T306" i="7" s="1"/>
  <c r="U414" i="1"/>
  <c r="U306" i="7" s="1"/>
  <c r="T52" i="1"/>
  <c r="T23" i="7" s="1"/>
  <c r="U52" i="1"/>
  <c r="U23" i="7" s="1"/>
  <c r="T53" i="1"/>
  <c r="T24" i="7" s="1"/>
  <c r="U53" i="1"/>
  <c r="U24" i="7" s="1"/>
  <c r="T54" i="1"/>
  <c r="T25" i="7" s="1"/>
  <c r="U54" i="1"/>
  <c r="U25" i="7" s="1"/>
  <c r="T493" i="1"/>
  <c r="T385" i="7" s="1"/>
  <c r="U493" i="1"/>
  <c r="U385" i="7" s="1"/>
  <c r="T457" i="1"/>
  <c r="T349" i="7" s="1"/>
  <c r="U457" i="1"/>
  <c r="U349" i="7" s="1"/>
  <c r="T483" i="1"/>
  <c r="T375" i="7" s="1"/>
  <c r="U483" i="1"/>
  <c r="U375" i="7" s="1"/>
  <c r="T234" i="1"/>
  <c r="T126" i="7" s="1"/>
  <c r="U234" i="1"/>
  <c r="U126" i="7" s="1"/>
  <c r="T284" i="1"/>
  <c r="T176" i="7" s="1"/>
  <c r="U284" i="1"/>
  <c r="U176" i="7" s="1"/>
  <c r="T327" i="1"/>
  <c r="T219" i="7" s="1"/>
  <c r="U327" i="1"/>
  <c r="U219" i="7" s="1"/>
  <c r="T646" i="1"/>
  <c r="T538" i="7" s="1"/>
  <c r="U646" i="1"/>
  <c r="U538" i="7" s="1"/>
  <c r="T366" i="1"/>
  <c r="T258" i="7" s="1"/>
  <c r="U366" i="1"/>
  <c r="U258" i="7" s="1"/>
  <c r="T255" i="1"/>
  <c r="T147" i="7" s="1"/>
  <c r="U255" i="1"/>
  <c r="U147" i="7" s="1"/>
  <c r="T229" i="1"/>
  <c r="T121" i="7" s="1"/>
  <c r="U229" i="1"/>
  <c r="U121" i="7" s="1"/>
  <c r="T204" i="1"/>
  <c r="T96" i="7" s="1"/>
  <c r="U204" i="1"/>
  <c r="U96" i="7" s="1"/>
  <c r="T777" i="1"/>
  <c r="T669" i="7" s="1"/>
  <c r="U777" i="1"/>
  <c r="U669" i="7" s="1"/>
  <c r="T656" i="1"/>
  <c r="T548" i="7" s="1"/>
  <c r="U656" i="1"/>
  <c r="U548" i="7" s="1"/>
  <c r="T499" i="1"/>
  <c r="T391" i="7" s="1"/>
  <c r="U499" i="1"/>
  <c r="U391" i="7" s="1"/>
  <c r="T529" i="1"/>
  <c r="T421" i="7" s="1"/>
  <c r="U529" i="1"/>
  <c r="U421" i="7" s="1"/>
  <c r="T547" i="1"/>
  <c r="T439" i="7" s="1"/>
  <c r="U547" i="1"/>
  <c r="U439" i="7" s="1"/>
  <c r="T261" i="1"/>
  <c r="T153" i="7" s="1"/>
  <c r="U261" i="1"/>
  <c r="U153" i="7" s="1"/>
  <c r="T632" i="1"/>
  <c r="T524" i="7" s="1"/>
  <c r="U632" i="1"/>
  <c r="U524" i="7" s="1"/>
  <c r="T249" i="1"/>
  <c r="T141" i="7" s="1"/>
  <c r="U249" i="1"/>
  <c r="U141" i="7" s="1"/>
  <c r="T458" i="1"/>
  <c r="T350" i="7" s="1"/>
  <c r="U458" i="1"/>
  <c r="U350" i="7" s="1"/>
  <c r="T524" i="1"/>
  <c r="T416" i="7" s="1"/>
  <c r="U524" i="1"/>
  <c r="U416" i="7" s="1"/>
  <c r="T260" i="1"/>
  <c r="T152" i="7" s="1"/>
  <c r="U260" i="1"/>
  <c r="U152" i="7" s="1"/>
  <c r="T341" i="1"/>
  <c r="T233" i="7" s="1"/>
  <c r="U341" i="1"/>
  <c r="U233" i="7" s="1"/>
  <c r="T149" i="1"/>
  <c r="T41" i="7" s="1"/>
  <c r="U149" i="1"/>
  <c r="U41" i="7" s="1"/>
  <c r="T815" i="1"/>
  <c r="T707" i="7" s="1"/>
  <c r="U815" i="1"/>
  <c r="U707" i="7" s="1"/>
  <c r="T599" i="1"/>
  <c r="T491" i="7" s="1"/>
  <c r="U599" i="1"/>
  <c r="U491" i="7" s="1"/>
  <c r="T553" i="1"/>
  <c r="T445" i="7" s="1"/>
  <c r="U553" i="1"/>
  <c r="U445" i="7" s="1"/>
  <c r="T732" i="1"/>
  <c r="T624" i="7" s="1"/>
  <c r="U732" i="1"/>
  <c r="U624" i="7" s="1"/>
  <c r="T518" i="1"/>
  <c r="T410" i="7" s="1"/>
  <c r="U518" i="1"/>
  <c r="U410" i="7" s="1"/>
  <c r="T230" i="1"/>
  <c r="T122" i="7" s="1"/>
  <c r="U230" i="1"/>
  <c r="U122" i="7" s="1"/>
  <c r="T238" i="1"/>
  <c r="T130" i="7" s="1"/>
  <c r="U238" i="1"/>
  <c r="U130" i="7" s="1"/>
  <c r="T198" i="1"/>
  <c r="T90" i="7" s="1"/>
  <c r="U198" i="1"/>
  <c r="U90" i="7" s="1"/>
  <c r="T236" i="1"/>
  <c r="T128" i="7" s="1"/>
  <c r="U236" i="1"/>
  <c r="U128" i="7" s="1"/>
  <c r="T164" i="1"/>
  <c r="T56" i="7" s="1"/>
  <c r="U164" i="1"/>
  <c r="U56" i="7" s="1"/>
  <c r="T374" i="1"/>
  <c r="T266" i="7" s="1"/>
  <c r="U374" i="1"/>
  <c r="U266" i="7" s="1"/>
  <c r="T502" i="1"/>
  <c r="T394" i="7" s="1"/>
  <c r="U502" i="1"/>
  <c r="U394" i="7" s="1"/>
  <c r="T831" i="1"/>
  <c r="T723" i="7" s="1"/>
  <c r="U831" i="1"/>
  <c r="U723" i="7" s="1"/>
  <c r="T246" i="1"/>
  <c r="T138" i="7" s="1"/>
  <c r="U246" i="1"/>
  <c r="U138" i="7" s="1"/>
  <c r="T548" i="1"/>
  <c r="T440" i="7" s="1"/>
  <c r="U548" i="1"/>
  <c r="U440" i="7" s="1"/>
  <c r="T770" i="1"/>
  <c r="T662" i="7" s="1"/>
  <c r="U770" i="1"/>
  <c r="U662" i="7" s="1"/>
  <c r="T729" i="1"/>
  <c r="T621" i="7" s="1"/>
  <c r="U729" i="1"/>
  <c r="U621" i="7" s="1"/>
  <c r="T577" i="1"/>
  <c r="T469" i="7" s="1"/>
  <c r="U577" i="1"/>
  <c r="U469" i="7" s="1"/>
  <c r="T169" i="1"/>
  <c r="T61" i="7" s="1"/>
  <c r="U169" i="1"/>
  <c r="U61" i="7" s="1"/>
  <c r="T753" i="1"/>
  <c r="T645" i="7" s="1"/>
  <c r="U753" i="1"/>
  <c r="U645" i="7" s="1"/>
  <c r="T500" i="1"/>
  <c r="T392" i="7" s="1"/>
  <c r="U500" i="1"/>
  <c r="U392" i="7" s="1"/>
  <c r="T163" i="1"/>
  <c r="T55" i="7" s="1"/>
  <c r="U163" i="1"/>
  <c r="U55" i="7" s="1"/>
  <c r="T659" i="1"/>
  <c r="T551" i="7" s="1"/>
  <c r="U659" i="1"/>
  <c r="U551" i="7" s="1"/>
  <c r="T789" i="1"/>
  <c r="T681" i="7" s="1"/>
  <c r="U789" i="1"/>
  <c r="U681" i="7" s="1"/>
  <c r="T280" i="1"/>
  <c r="T172" i="7" s="1"/>
  <c r="U280" i="1"/>
  <c r="U172" i="7" s="1"/>
  <c r="T439" i="1"/>
  <c r="T331" i="7" s="1"/>
  <c r="U439" i="1"/>
  <c r="U331" i="7" s="1"/>
  <c r="T146" i="1"/>
  <c r="T38" i="7" s="1"/>
  <c r="U146" i="1"/>
  <c r="U38" i="7" s="1"/>
  <c r="T213" i="1"/>
  <c r="T105" i="7" s="1"/>
  <c r="U213" i="1"/>
  <c r="U105" i="7" s="1"/>
  <c r="T482" i="1"/>
  <c r="T374" i="7" s="1"/>
  <c r="U482" i="1"/>
  <c r="U374" i="7" s="1"/>
  <c r="T829" i="1"/>
  <c r="T721" i="7" s="1"/>
  <c r="U829" i="1"/>
  <c r="U721" i="7" s="1"/>
  <c r="T294" i="1"/>
  <c r="T186" i="7" s="1"/>
  <c r="U294" i="1"/>
  <c r="U186" i="7" s="1"/>
  <c r="T826" i="1"/>
  <c r="T718" i="7" s="1"/>
  <c r="U826" i="1"/>
  <c r="U718" i="7" s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394" i="1"/>
  <c r="T286" i="7" s="1"/>
  <c r="U394" i="1"/>
  <c r="U286" i="7" s="1"/>
  <c r="T201" i="1"/>
  <c r="T93" i="7" s="1"/>
  <c r="U201" i="1"/>
  <c r="U93" i="7" s="1"/>
  <c r="T323" i="1"/>
  <c r="T215" i="7" s="1"/>
  <c r="U323" i="1"/>
  <c r="U215" i="7" s="1"/>
  <c r="T531" i="1"/>
  <c r="T423" i="7" s="1"/>
  <c r="U531" i="1"/>
  <c r="U423" i="7" s="1"/>
  <c r="T461" i="1"/>
  <c r="T353" i="7" s="1"/>
  <c r="U461" i="1"/>
  <c r="U353" i="7" s="1"/>
  <c r="T830" i="1"/>
  <c r="T722" i="7" s="1"/>
  <c r="U830" i="1"/>
  <c r="U722" i="7" s="1"/>
  <c r="T754" i="1"/>
  <c r="T646" i="7" s="1"/>
  <c r="U754" i="1"/>
  <c r="U646" i="7" s="1"/>
  <c r="T785" i="1"/>
  <c r="T677" i="7" s="1"/>
  <c r="U785" i="1"/>
  <c r="U677" i="7" s="1"/>
  <c r="T289" i="1"/>
  <c r="T181" i="7" s="1"/>
  <c r="U289" i="1"/>
  <c r="U181" i="7" s="1"/>
  <c r="T528" i="1"/>
  <c r="T420" i="7" s="1"/>
  <c r="U528" i="1"/>
  <c r="U420" i="7" s="1"/>
  <c r="T549" i="1"/>
  <c r="T441" i="7" s="1"/>
  <c r="U549" i="1"/>
  <c r="U441" i="7" s="1"/>
  <c r="T345" i="1"/>
  <c r="T237" i="7" s="1"/>
  <c r="U345" i="1"/>
  <c r="U237" i="7" s="1"/>
  <c r="T145" i="1"/>
  <c r="T37" i="7" s="1"/>
  <c r="U145" i="1"/>
  <c r="U37" i="7" s="1"/>
  <c r="T65" i="1"/>
  <c r="T26" i="7" s="1"/>
  <c r="U65" i="1"/>
  <c r="U26" i="7" s="1"/>
  <c r="T338" i="1"/>
  <c r="T230" i="7" s="1"/>
  <c r="U338" i="1"/>
  <c r="U230" i="7" s="1"/>
  <c r="T614" i="1"/>
  <c r="T506" i="7" s="1"/>
  <c r="U614" i="1"/>
  <c r="U506" i="7" s="1"/>
  <c r="T214" i="1"/>
  <c r="T106" i="7" s="1"/>
  <c r="U214" i="1"/>
  <c r="U106" i="7" s="1"/>
  <c r="T816" i="1"/>
  <c r="T708" i="7" s="1"/>
  <c r="U816" i="1"/>
  <c r="U708" i="7" s="1"/>
  <c r="T257" i="1"/>
  <c r="T149" i="7" s="1"/>
  <c r="U257" i="1"/>
  <c r="U149" i="7" s="1"/>
  <c r="T447" i="1"/>
  <c r="T339" i="7" s="1"/>
  <c r="U447" i="1"/>
  <c r="U339" i="7" s="1"/>
  <c r="T242" i="1"/>
  <c r="T134" i="7" s="1"/>
  <c r="U242" i="1"/>
  <c r="U134" i="7" s="1"/>
  <c r="T367" i="1"/>
  <c r="T259" i="7" s="1"/>
  <c r="U367" i="1"/>
  <c r="U259" i="7" s="1"/>
  <c r="T420" i="1"/>
  <c r="T312" i="7" s="1"/>
  <c r="U420" i="1"/>
  <c r="U312" i="7" s="1"/>
  <c r="T317" i="1"/>
  <c r="T209" i="7" s="1"/>
  <c r="U317" i="1"/>
  <c r="U209" i="7" s="1"/>
  <c r="T142" i="1"/>
  <c r="T34" i="7" s="1"/>
  <c r="U142" i="1"/>
  <c r="U34" i="7" s="1"/>
  <c r="T689" i="1"/>
  <c r="T581" i="7" s="1"/>
  <c r="U689" i="1"/>
  <c r="U581" i="7" s="1"/>
  <c r="T841" i="1"/>
  <c r="T733" i="7" s="1"/>
  <c r="U841" i="1"/>
  <c r="U733" i="7" s="1"/>
  <c r="T339" i="1"/>
  <c r="T231" i="7" s="1"/>
  <c r="U339" i="1"/>
  <c r="U231" i="7" s="1"/>
  <c r="T308" i="1"/>
  <c r="T200" i="7" s="1"/>
  <c r="U308" i="1"/>
  <c r="U200" i="7" s="1"/>
  <c r="T258" i="1"/>
  <c r="T150" i="7" s="1"/>
  <c r="U258" i="1"/>
  <c r="U150" i="7" s="1"/>
  <c r="T398" i="1"/>
  <c r="T290" i="7" s="1"/>
  <c r="U398" i="1"/>
  <c r="U290" i="7" s="1"/>
  <c r="T429" i="1"/>
  <c r="T321" i="7" s="1"/>
  <c r="U429" i="1"/>
  <c r="U321" i="7" s="1"/>
  <c r="T269" i="1"/>
  <c r="T161" i="7" s="1"/>
  <c r="U269" i="1"/>
  <c r="U161" i="7" s="1"/>
  <c r="T400" i="1"/>
  <c r="T292" i="7" s="1"/>
  <c r="U400" i="1"/>
  <c r="U292" i="7" s="1"/>
  <c r="T473" i="1"/>
  <c r="T365" i="7" s="1"/>
  <c r="U473" i="1"/>
  <c r="U365" i="7" s="1"/>
  <c r="T671" i="1"/>
  <c r="T563" i="7" s="1"/>
  <c r="U671" i="1"/>
  <c r="U563" i="7" s="1"/>
  <c r="T350" i="1"/>
  <c r="T242" i="7" s="1"/>
  <c r="U350" i="1"/>
  <c r="U242" i="7" s="1"/>
  <c r="T351" i="1"/>
  <c r="T243" i="7" s="1"/>
  <c r="U351" i="1"/>
  <c r="U243" i="7" s="1"/>
  <c r="T811" i="1"/>
  <c r="T703" i="7" s="1"/>
  <c r="U811" i="1"/>
  <c r="U703" i="7" s="1"/>
  <c r="T796" i="1"/>
  <c r="T688" i="7" s="1"/>
  <c r="U796" i="1"/>
  <c r="U688" i="7" s="1"/>
  <c r="T820" i="1"/>
  <c r="T712" i="7" s="1"/>
  <c r="U820" i="1"/>
  <c r="U712" i="7" s="1"/>
  <c r="T596" i="1"/>
  <c r="T488" i="7" s="1"/>
  <c r="U596" i="1"/>
  <c r="U488" i="7" s="1"/>
  <c r="T390" i="1"/>
  <c r="T282" i="7" s="1"/>
  <c r="U390" i="1"/>
  <c r="U282" i="7" s="1"/>
  <c r="T640" i="1"/>
  <c r="T532" i="7" s="1"/>
  <c r="U640" i="1"/>
  <c r="U532" i="7" s="1"/>
  <c r="T709" i="1"/>
  <c r="T601" i="7" s="1"/>
  <c r="U709" i="1"/>
  <c r="U601" i="7" s="1"/>
  <c r="T474" i="1"/>
  <c r="T366" i="7" s="1"/>
  <c r="U474" i="1"/>
  <c r="U366" i="7" s="1"/>
  <c r="T786" i="1"/>
  <c r="T678" i="7" s="1"/>
  <c r="U786" i="1"/>
  <c r="U678" i="7" s="1"/>
  <c r="T702" i="1"/>
  <c r="T594" i="7" s="1"/>
  <c r="U702" i="1"/>
  <c r="U594" i="7" s="1"/>
  <c r="T487" i="1"/>
  <c r="T379" i="7" s="1"/>
  <c r="U487" i="1"/>
  <c r="U379" i="7" s="1"/>
  <c r="T490" i="1"/>
  <c r="T382" i="7" s="1"/>
  <c r="U490" i="1"/>
  <c r="U382" i="7" s="1"/>
  <c r="T537" i="1"/>
  <c r="T429" i="7" s="1"/>
  <c r="U537" i="1"/>
  <c r="U429" i="7" s="1"/>
  <c r="T440" i="1"/>
  <c r="T332" i="7" s="1"/>
  <c r="U440" i="1"/>
  <c r="U332" i="7" s="1"/>
  <c r="T550" i="1"/>
  <c r="T442" i="7" s="1"/>
  <c r="U550" i="1"/>
  <c r="U442" i="7" s="1"/>
  <c r="T187" i="1"/>
  <c r="T79" i="7" s="1"/>
  <c r="U187" i="1"/>
  <c r="U79" i="7" s="1"/>
  <c r="T188" i="1"/>
  <c r="T80" i="7" s="1"/>
  <c r="U188" i="1"/>
  <c r="U80" i="7" s="1"/>
  <c r="T143" i="1"/>
  <c r="T35" i="7" s="1"/>
  <c r="U143" i="1"/>
  <c r="U35" i="7" s="1"/>
  <c r="T497" i="1"/>
  <c r="T389" i="7" s="1"/>
  <c r="U497" i="1"/>
  <c r="U389" i="7" s="1"/>
  <c r="T601" i="1"/>
  <c r="T493" i="7" s="1"/>
  <c r="U601" i="1"/>
  <c r="U493" i="7" s="1"/>
  <c r="T660" i="1"/>
  <c r="T552" i="7" s="1"/>
  <c r="U660" i="1"/>
  <c r="U552" i="7" s="1"/>
  <c r="T477" i="1"/>
  <c r="T369" i="7" s="1"/>
  <c r="U477" i="1"/>
  <c r="U369" i="7" s="1"/>
  <c r="T637" i="1"/>
  <c r="T529" i="7" s="1"/>
  <c r="U637" i="1"/>
  <c r="U529" i="7" s="1"/>
  <c r="T417" i="1"/>
  <c r="T309" i="7" s="1"/>
  <c r="U417" i="1"/>
  <c r="U309" i="7" s="1"/>
  <c r="T335" i="1"/>
  <c r="T227" i="7" s="1"/>
  <c r="U335" i="1"/>
  <c r="U227" i="7" s="1"/>
  <c r="T523" i="1"/>
  <c r="T415" i="7" s="1"/>
  <c r="U523" i="1"/>
  <c r="U415" i="7" s="1"/>
  <c r="T316" i="1"/>
  <c r="T208" i="7" s="1"/>
  <c r="U316" i="1"/>
  <c r="U208" i="7" s="1"/>
  <c r="T376" i="1"/>
  <c r="T268" i="7" s="1"/>
  <c r="U376" i="1"/>
  <c r="U268" i="7" s="1"/>
  <c r="T378" i="1"/>
  <c r="T270" i="7" s="1"/>
  <c r="U378" i="1"/>
  <c r="U270" i="7" s="1"/>
  <c r="T211" i="1"/>
  <c r="T103" i="7" s="1"/>
  <c r="U211" i="1"/>
  <c r="U103" i="7" s="1"/>
  <c r="T272" i="1"/>
  <c r="T164" i="7" s="1"/>
  <c r="U272" i="1"/>
  <c r="U164" i="7" s="1"/>
  <c r="T318" i="1"/>
  <c r="T210" i="7" s="1"/>
  <c r="U318" i="1"/>
  <c r="U210" i="7" s="1"/>
  <c r="T286" i="1"/>
  <c r="T178" i="7" s="1"/>
  <c r="U286" i="1"/>
  <c r="U178" i="7" s="1"/>
  <c r="T375" i="1"/>
  <c r="T267" i="7" s="1"/>
  <c r="U375" i="1"/>
  <c r="U267" i="7" s="1"/>
  <c r="T496" i="1"/>
  <c r="T388" i="7" s="1"/>
  <c r="U496" i="1"/>
  <c r="U388" i="7" s="1"/>
  <c r="T540" i="1"/>
  <c r="T432" i="7" s="1"/>
  <c r="U540" i="1"/>
  <c r="U432" i="7" s="1"/>
  <c r="T336" i="1"/>
  <c r="T228" i="7" s="1"/>
  <c r="U336" i="1"/>
  <c r="U228" i="7" s="1"/>
  <c r="T837" i="1"/>
  <c r="T729" i="7" s="1"/>
  <c r="U837" i="1"/>
  <c r="U729" i="7" s="1"/>
  <c r="T66" i="1"/>
  <c r="T27" i="7" s="1"/>
  <c r="U66" i="1"/>
  <c r="U27" i="7" s="1"/>
  <c r="T591" i="1"/>
  <c r="T483" i="7" s="1"/>
  <c r="U591" i="1"/>
  <c r="U483" i="7" s="1"/>
  <c r="T67" i="1"/>
  <c r="T28" i="7" s="1"/>
  <c r="U67" i="1"/>
  <c r="U28" i="7" s="1"/>
  <c r="T657" i="1"/>
  <c r="T549" i="7" s="1"/>
  <c r="U657" i="1"/>
  <c r="U549" i="7" s="1"/>
  <c r="T764" i="1"/>
  <c r="T656" i="7" s="1"/>
  <c r="U764" i="1"/>
  <c r="U656" i="7" s="1"/>
  <c r="T411" i="1"/>
  <c r="T303" i="7" s="1"/>
  <c r="U411" i="1"/>
  <c r="U303" i="7" s="1"/>
  <c r="T332" i="1"/>
  <c r="T224" i="7" s="1"/>
  <c r="U332" i="1"/>
  <c r="U224" i="7" s="1"/>
  <c r="T633" i="1"/>
  <c r="T525" i="7" s="1"/>
  <c r="U633" i="1"/>
  <c r="U525" i="7" s="1"/>
  <c r="T311" i="1"/>
  <c r="T203" i="7" s="1"/>
  <c r="U311" i="1"/>
  <c r="U203" i="7" s="1"/>
  <c r="T788" i="1"/>
  <c r="T680" i="7" s="1"/>
  <c r="U788" i="1"/>
  <c r="U680" i="7" s="1"/>
  <c r="T314" i="1"/>
  <c r="T206" i="7" s="1"/>
  <c r="U314" i="1"/>
  <c r="U206" i="7" s="1"/>
  <c r="T509" i="1"/>
  <c r="T401" i="7" s="1"/>
  <c r="U509" i="1"/>
  <c r="U401" i="7" s="1"/>
  <c r="T664" i="1"/>
  <c r="T556" i="7" s="1"/>
  <c r="U664" i="1"/>
  <c r="U556" i="7" s="1"/>
  <c r="T68" i="1"/>
  <c r="T29" i="7" s="1"/>
  <c r="U68" i="1"/>
  <c r="U29" i="7" s="1"/>
  <c r="T634" i="1"/>
  <c r="T526" i="7" s="1"/>
  <c r="U634" i="1"/>
  <c r="U526" i="7" s="1"/>
  <c r="T642" i="1"/>
  <c r="T534" i="7" s="1"/>
  <c r="U642" i="1"/>
  <c r="U534" i="7" s="1"/>
  <c r="T541" i="1"/>
  <c r="T433" i="7" s="1"/>
  <c r="U541" i="1"/>
  <c r="U433" i="7" s="1"/>
  <c r="T480" i="1"/>
  <c r="T372" i="7" s="1"/>
  <c r="U480" i="1"/>
  <c r="U372" i="7" s="1"/>
  <c r="T635" i="1"/>
  <c r="T527" i="7" s="1"/>
  <c r="U635" i="1"/>
  <c r="U527" i="7" s="1"/>
  <c r="T513" i="1"/>
  <c r="T405" i="7" s="1"/>
  <c r="U513" i="1"/>
  <c r="U405" i="7" s="1"/>
  <c r="T818" i="1"/>
  <c r="T710" i="7" s="1"/>
  <c r="U818" i="1"/>
  <c r="U710" i="7" s="1"/>
  <c r="T209" i="1"/>
  <c r="T101" i="7" s="1"/>
  <c r="U209" i="1"/>
  <c r="U101" i="7" s="1"/>
  <c r="T239" i="1"/>
  <c r="T131" i="7" s="1"/>
  <c r="U239" i="1"/>
  <c r="U131" i="7" s="1"/>
  <c r="T784" i="1"/>
  <c r="T676" i="7" s="1"/>
  <c r="U784" i="1"/>
  <c r="U676" i="7" s="1"/>
  <c r="T812" i="1"/>
  <c r="T704" i="7" s="1"/>
  <c r="U812" i="1"/>
  <c r="U704" i="7" s="1"/>
  <c r="T736" i="1"/>
  <c r="T628" i="7" s="1"/>
  <c r="U736" i="1"/>
  <c r="U628" i="7" s="1"/>
  <c r="T636" i="1"/>
  <c r="T528" i="7" s="1"/>
  <c r="U636" i="1"/>
  <c r="U528" i="7" s="1"/>
  <c r="T221" i="1"/>
  <c r="T113" i="7" s="1"/>
  <c r="U221" i="1"/>
  <c r="U113" i="7" s="1"/>
  <c r="T69" i="1"/>
  <c r="T30" i="7" s="1"/>
  <c r="U69" i="1"/>
  <c r="U30" i="7" s="1"/>
  <c r="T70" i="1"/>
  <c r="T31" i="7" s="1"/>
  <c r="U70" i="1"/>
  <c r="U31" i="7" s="1"/>
  <c r="T71" i="1"/>
  <c r="T32" i="7" s="1"/>
  <c r="U71" i="1"/>
  <c r="U32" i="7" s="1"/>
  <c r="T525" i="1"/>
  <c r="T417" i="7" s="1"/>
  <c r="U525" i="1"/>
  <c r="U417" i="7" s="1"/>
  <c r="T556" i="1"/>
  <c r="T448" i="7" s="1"/>
  <c r="U556" i="1"/>
  <c r="U448" i="7" s="1"/>
  <c r="T771" i="1"/>
  <c r="T663" i="7" s="1"/>
  <c r="U771" i="1"/>
  <c r="U663" i="7" s="1"/>
  <c r="T680" i="1"/>
  <c r="T572" i="7" s="1"/>
  <c r="U680" i="1"/>
  <c r="U572" i="7" s="1"/>
  <c r="T486" i="1"/>
  <c r="T378" i="7" s="1"/>
  <c r="U486" i="1"/>
  <c r="U378" i="7" s="1"/>
  <c r="T542" i="1"/>
  <c r="T434" i="7" s="1"/>
  <c r="U542" i="1"/>
  <c r="U434" i="7" s="1"/>
  <c r="T765" i="1"/>
  <c r="T657" i="7" s="1"/>
  <c r="U765" i="1"/>
  <c r="U657" i="7" s="1"/>
  <c r="T572" i="1"/>
  <c r="T464" i="7" s="1"/>
  <c r="U572" i="1"/>
  <c r="U464" i="7" s="1"/>
  <c r="T746" i="1"/>
  <c r="T638" i="7" s="1"/>
  <c r="U746" i="1"/>
  <c r="U638" i="7" s="1"/>
  <c r="T492" i="1"/>
  <c r="T384" i="7" s="1"/>
  <c r="U492" i="1"/>
  <c r="U384" i="7" s="1"/>
  <c r="T337" i="1"/>
  <c r="T229" i="7" s="1"/>
  <c r="U337" i="1"/>
  <c r="U229" i="7" s="1"/>
  <c r="T701" i="1"/>
  <c r="T593" i="7" s="1"/>
  <c r="U701" i="1"/>
  <c r="U593" i="7" s="1"/>
  <c r="T622" i="1"/>
  <c r="T514" i="7" s="1"/>
  <c r="U622" i="1"/>
  <c r="U514" i="7" s="1"/>
  <c r="T692" i="1"/>
  <c r="T584" i="7" s="1"/>
  <c r="U692" i="1"/>
  <c r="U584" i="7" s="1"/>
  <c r="T588" i="1"/>
  <c r="T480" i="7" s="1"/>
  <c r="U588" i="1"/>
  <c r="U480" i="7" s="1"/>
  <c r="T574" i="1"/>
  <c r="T466" i="7" s="1"/>
  <c r="U574" i="1"/>
  <c r="U466" i="7" s="1"/>
  <c r="T448" i="1"/>
  <c r="T340" i="7" s="1"/>
  <c r="U448" i="1"/>
  <c r="U340" i="7" s="1"/>
  <c r="T256" i="1"/>
  <c r="T148" i="7" s="1"/>
  <c r="U256" i="1"/>
  <c r="U148" i="7" s="1"/>
  <c r="T180" i="1"/>
  <c r="T72" i="7" s="1"/>
  <c r="U180" i="1"/>
  <c r="U72" i="7" s="1"/>
  <c r="T178" i="1"/>
  <c r="T70" i="7" s="1"/>
  <c r="U178" i="1"/>
  <c r="U70" i="7" s="1"/>
  <c r="T173" i="1"/>
  <c r="T65" i="7" s="1"/>
  <c r="U173" i="1"/>
  <c r="U65" i="7" s="1"/>
  <c r="T587" i="1"/>
  <c r="T479" i="7" s="1"/>
  <c r="U587" i="1"/>
  <c r="U479" i="7" s="1"/>
  <c r="T828" i="1"/>
  <c r="T720" i="7" s="1"/>
  <c r="U828" i="1"/>
  <c r="U720" i="7" s="1"/>
  <c r="T312" i="1"/>
  <c r="T204" i="7" s="1"/>
  <c r="U312" i="1"/>
  <c r="U204" i="7" s="1"/>
  <c r="T444" i="1"/>
  <c r="T336" i="7" s="1"/>
  <c r="U444" i="1"/>
  <c r="U336" i="7" s="1"/>
  <c r="T319" i="1"/>
  <c r="T211" i="7" s="1"/>
  <c r="U319" i="1"/>
  <c r="U211" i="7" s="1"/>
  <c r="T827" i="1"/>
  <c r="T719" i="7" s="1"/>
  <c r="U827" i="1"/>
  <c r="U719" i="7" s="1"/>
  <c r="T402" i="1"/>
  <c r="T294" i="7" s="1"/>
  <c r="U402" i="1"/>
  <c r="U294" i="7" s="1"/>
  <c r="T241" i="1"/>
  <c r="T133" i="7" s="1"/>
  <c r="U241" i="1"/>
  <c r="U133" i="7" s="1"/>
  <c r="T225" i="1"/>
  <c r="T117" i="7" s="1"/>
  <c r="U225" i="1"/>
  <c r="U117" i="7" s="1"/>
  <c r="T72" i="1"/>
  <c r="T33" i="7" s="1"/>
  <c r="U72" i="1"/>
  <c r="U33" i="7" s="1"/>
  <c r="T166" i="1"/>
  <c r="T58" i="7" s="1"/>
  <c r="U166" i="1"/>
  <c r="U58" i="7" s="1"/>
  <c r="T834" i="1"/>
  <c r="T726" i="7" s="1"/>
  <c r="U834" i="1"/>
  <c r="U726" i="7" s="1"/>
  <c r="T443" i="1"/>
  <c r="T335" i="7" s="1"/>
  <c r="U443" i="1"/>
  <c r="U335" i="7" s="1"/>
  <c r="T807" i="1"/>
  <c r="T699" i="7" s="1"/>
  <c r="U807" i="1"/>
  <c r="U699" i="7" s="1"/>
  <c r="T821" i="1"/>
  <c r="T713" i="7" s="1"/>
  <c r="U821" i="1"/>
  <c r="U713" i="7" s="1"/>
  <c r="T750" i="1"/>
  <c r="T642" i="7" s="1"/>
  <c r="U750" i="1"/>
  <c r="U642" i="7" s="1"/>
  <c r="T838" i="1"/>
  <c r="T730" i="7" s="1"/>
  <c r="U838" i="1"/>
  <c r="U730" i="7" s="1"/>
  <c r="T790" i="1"/>
  <c r="T682" i="7" s="1"/>
  <c r="U790" i="1"/>
  <c r="U682" i="7" s="1"/>
  <c r="T803" i="1"/>
  <c r="T695" i="7" s="1"/>
  <c r="U803" i="1"/>
  <c r="U695" i="7" s="1"/>
  <c r="T799" i="1"/>
  <c r="T691" i="7" s="1"/>
  <c r="U799" i="1"/>
  <c r="U691" i="7" s="1"/>
  <c r="T839" i="1"/>
  <c r="T731" i="7" s="1"/>
  <c r="U839" i="1"/>
  <c r="U731" i="7" s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757" i="1"/>
  <c r="T649" i="7" s="1"/>
  <c r="U757" i="1"/>
  <c r="U649" i="7" s="1"/>
  <c r="T801" i="1"/>
  <c r="T693" i="7" s="1"/>
  <c r="U801" i="1"/>
  <c r="U693" i="7" s="1"/>
  <c r="T740" i="1"/>
  <c r="T632" i="7" s="1"/>
  <c r="U740" i="1"/>
  <c r="U632" i="7" s="1"/>
  <c r="T751" i="1"/>
  <c r="T643" i="7" s="1"/>
  <c r="U751" i="1"/>
  <c r="U643" i="7" s="1"/>
  <c r="T767" i="1"/>
  <c r="T659" i="7" s="1"/>
  <c r="U767" i="1"/>
  <c r="U659" i="7" s="1"/>
  <c r="T836" i="1"/>
  <c r="T728" i="7" s="1"/>
  <c r="U836" i="1"/>
  <c r="U728" i="7" s="1"/>
  <c r="T738" i="1"/>
  <c r="T630" i="7" s="1"/>
  <c r="U738" i="1"/>
  <c r="U630" i="7" s="1"/>
  <c r="T677" i="1"/>
  <c r="T569" i="7" s="1"/>
  <c r="U677" i="1"/>
  <c r="U569" i="7" s="1"/>
  <c r="T733" i="1"/>
  <c r="T625" i="7" s="1"/>
  <c r="U733" i="1"/>
  <c r="U625" i="7" s="1"/>
  <c r="T795" i="1"/>
  <c r="T687" i="7" s="1"/>
  <c r="U795" i="1"/>
  <c r="U687" i="7" s="1"/>
  <c r="T742" i="1"/>
  <c r="T634" i="7" s="1"/>
  <c r="U742" i="1"/>
  <c r="U634" i="7" s="1"/>
  <c r="T819" i="1"/>
  <c r="T711" i="7" s="1"/>
  <c r="U819" i="1"/>
  <c r="U711" i="7" s="1"/>
  <c r="T707" i="1"/>
  <c r="T599" i="7" s="1"/>
  <c r="U707" i="1"/>
  <c r="U599" i="7" s="1"/>
  <c r="T802" i="1"/>
  <c r="T694" i="7" s="1"/>
  <c r="U802" i="1"/>
  <c r="U694" i="7" s="1"/>
  <c r="T697" i="1"/>
  <c r="T589" i="7" s="1"/>
  <c r="U697" i="1"/>
  <c r="U589" i="7" s="1"/>
  <c r="T694" i="1"/>
  <c r="T586" i="7" s="1"/>
  <c r="U694" i="1"/>
  <c r="U586" i="7" s="1"/>
  <c r="T780" i="1"/>
  <c r="T672" i="7" s="1"/>
  <c r="U780" i="1"/>
  <c r="U672" i="7" s="1"/>
  <c r="T804" i="1"/>
  <c r="T696" i="7" s="1"/>
  <c r="U804" i="1"/>
  <c r="U696" i="7" s="1"/>
  <c r="T825" i="1"/>
  <c r="T717" i="7" s="1"/>
  <c r="U825" i="1"/>
  <c r="U717" i="7" s="1"/>
  <c r="T717" i="1"/>
  <c r="T609" i="7" s="1"/>
  <c r="U717" i="1"/>
  <c r="U609" i="7" s="1"/>
  <c r="T833" i="1"/>
  <c r="T725" i="7" s="1"/>
  <c r="U833" i="1"/>
  <c r="U725" i="7" s="1"/>
  <c r="T684" i="1"/>
  <c r="T576" i="7" s="1"/>
  <c r="U684" i="1"/>
  <c r="U576" i="7" s="1"/>
  <c r="T658" i="1"/>
  <c r="T550" i="7" s="1"/>
  <c r="U658" i="1"/>
  <c r="U550" i="7" s="1"/>
  <c r="T725" i="1"/>
  <c r="T617" i="7" s="1"/>
  <c r="U725" i="1"/>
  <c r="U617" i="7" s="1"/>
  <c r="T610" i="1"/>
  <c r="T502" i="7" s="1"/>
  <c r="U610" i="1"/>
  <c r="U502" i="7" s="1"/>
  <c r="T787" i="1"/>
  <c r="T679" i="7" s="1"/>
  <c r="U787" i="1"/>
  <c r="U679" i="7" s="1"/>
  <c r="T716" i="1"/>
  <c r="T608" i="7" s="1"/>
  <c r="U716" i="1"/>
  <c r="U608" i="7" s="1"/>
  <c r="T399" i="1"/>
  <c r="T291" i="7" s="1"/>
  <c r="U399" i="1"/>
  <c r="U291" i="7" s="1"/>
  <c r="T185" i="1"/>
  <c r="T77" i="7" s="1"/>
  <c r="U185" i="1"/>
  <c r="U77" i="7" s="1"/>
  <c r="U762" i="1"/>
  <c r="U654" i="7" s="1"/>
  <c r="T762" i="1"/>
  <c r="T654" i="7" s="1"/>
  <c r="V2" i="3" l="1"/>
  <c r="E552" i="4"/>
  <c r="V17" i="3"/>
  <c r="V19" i="3"/>
  <c r="V21" i="3"/>
  <c r="V23" i="3"/>
  <c r="V25" i="3"/>
  <c r="V27" i="3"/>
  <c r="V29" i="3"/>
  <c r="V31" i="3"/>
  <c r="V33" i="3"/>
  <c r="V35" i="3"/>
  <c r="V37" i="3"/>
  <c r="V39" i="3"/>
  <c r="V41" i="3"/>
  <c r="V43" i="3"/>
  <c r="V45" i="3"/>
  <c r="V47" i="3"/>
  <c r="V49" i="3"/>
  <c r="V51" i="3"/>
  <c r="V53" i="3"/>
  <c r="V55" i="3"/>
  <c r="V57" i="3"/>
  <c r="V59" i="3"/>
  <c r="V61" i="3"/>
  <c r="V63" i="3"/>
  <c r="V65" i="3"/>
  <c r="V67" i="3"/>
  <c r="V69" i="3"/>
  <c r="V71" i="3"/>
  <c r="V73" i="3"/>
  <c r="V75" i="3"/>
  <c r="V77" i="3"/>
  <c r="V79" i="3"/>
  <c r="V81" i="3"/>
  <c r="V83" i="3"/>
  <c r="V85" i="3"/>
  <c r="V89" i="3"/>
  <c r="V91" i="3"/>
  <c r="V95" i="3"/>
  <c r="V99" i="3"/>
  <c r="V103" i="3"/>
  <c r="V107" i="3"/>
  <c r="V111" i="3"/>
  <c r="V113" i="3"/>
  <c r="V117" i="3"/>
  <c r="V121" i="3"/>
  <c r="V125" i="3"/>
  <c r="V129" i="3"/>
  <c r="V131" i="3"/>
  <c r="V136" i="3"/>
  <c r="V138" i="3"/>
  <c r="V142" i="3"/>
  <c r="V144" i="3"/>
  <c r="V146" i="3"/>
  <c r="V148" i="3"/>
  <c r="V150" i="3"/>
  <c r="V152" i="3"/>
  <c r="V154" i="3"/>
  <c r="V156" i="3"/>
  <c r="V158" i="3"/>
  <c r="V160" i="3"/>
  <c r="V162" i="3"/>
  <c r="V164" i="3"/>
  <c r="V166" i="3"/>
  <c r="V168" i="3"/>
  <c r="V170" i="3"/>
  <c r="V172" i="3"/>
  <c r="V176" i="3"/>
  <c r="V178" i="3"/>
  <c r="V180" i="3"/>
  <c r="V182" i="3"/>
  <c r="V184" i="3"/>
  <c r="V186" i="3"/>
  <c r="V188" i="3"/>
  <c r="V190" i="3"/>
  <c r="V192" i="3"/>
  <c r="V194" i="3"/>
  <c r="V196" i="3"/>
  <c r="V198" i="3"/>
  <c r="V200" i="3"/>
  <c r="V202" i="3"/>
  <c r="V204" i="3"/>
  <c r="V206" i="3"/>
  <c r="V208" i="3"/>
  <c r="V210" i="3"/>
  <c r="V212" i="3"/>
  <c r="V214" i="3"/>
  <c r="V216" i="3"/>
  <c r="V218" i="3"/>
  <c r="V220" i="3"/>
  <c r="V222" i="3"/>
  <c r="V224" i="3"/>
  <c r="V226" i="3"/>
  <c r="V228" i="3"/>
  <c r="V230" i="3"/>
  <c r="V232" i="3"/>
  <c r="V234" i="3"/>
  <c r="V236" i="3"/>
  <c r="V238" i="3"/>
  <c r="V240" i="3"/>
  <c r="V242" i="3"/>
  <c r="V244" i="3"/>
  <c r="V246" i="3"/>
  <c r="V248" i="3"/>
  <c r="V250" i="3"/>
  <c r="V252" i="3"/>
  <c r="V254" i="3"/>
  <c r="V256" i="3"/>
  <c r="V258" i="3"/>
  <c r="V260" i="3"/>
  <c r="V262" i="3"/>
  <c r="V264" i="3"/>
  <c r="V266" i="3"/>
  <c r="V268" i="3"/>
  <c r="V270" i="3"/>
  <c r="V272" i="3"/>
  <c r="V274" i="3"/>
  <c r="V276" i="3"/>
  <c r="V278" i="3"/>
  <c r="V280" i="3"/>
  <c r="V282" i="3"/>
  <c r="V284" i="3"/>
  <c r="V286" i="3"/>
  <c r="V288" i="3"/>
  <c r="V290" i="3"/>
  <c r="V292" i="3"/>
  <c r="V294" i="3"/>
  <c r="V296" i="3"/>
  <c r="V298" i="3"/>
  <c r="V300" i="3"/>
  <c r="V302" i="3"/>
  <c r="V304" i="3"/>
  <c r="V306" i="3"/>
  <c r="V308" i="3"/>
  <c r="V310" i="3"/>
  <c r="V312" i="3"/>
  <c r="V314" i="3"/>
  <c r="V316" i="3"/>
  <c r="V318" i="3"/>
  <c r="V320" i="3"/>
  <c r="V322" i="3"/>
  <c r="V324" i="3"/>
  <c r="V326" i="3"/>
  <c r="V328" i="3"/>
  <c r="V330" i="3"/>
  <c r="V332" i="3"/>
  <c r="V334" i="3"/>
  <c r="V336" i="3"/>
  <c r="V338" i="3"/>
  <c r="V340" i="3"/>
  <c r="V342" i="3"/>
  <c r="V344" i="3"/>
  <c r="V346" i="3"/>
  <c r="V348" i="3"/>
  <c r="V350" i="3"/>
  <c r="V352" i="3"/>
  <c r="V354" i="3"/>
  <c r="V356" i="3"/>
  <c r="V358" i="3"/>
  <c r="V360" i="3"/>
  <c r="V362" i="3"/>
  <c r="V364" i="3"/>
  <c r="V366" i="3"/>
  <c r="V368" i="3"/>
  <c r="V370" i="3"/>
  <c r="V372" i="3"/>
  <c r="V374" i="3"/>
  <c r="V376" i="3"/>
  <c r="V378" i="3"/>
  <c r="V380" i="3"/>
  <c r="V382" i="3"/>
  <c r="V384" i="3"/>
  <c r="V132" i="3"/>
  <c r="V389" i="3"/>
  <c r="V391" i="3"/>
  <c r="V393" i="3"/>
  <c r="V395" i="3"/>
  <c r="V397" i="3"/>
  <c r="V399" i="3"/>
  <c r="V401" i="3"/>
  <c r="V403" i="3"/>
  <c r="V405" i="3"/>
  <c r="V407" i="3"/>
  <c r="V409" i="3"/>
  <c r="V411" i="3"/>
  <c r="V413" i="3"/>
  <c r="V415" i="3"/>
  <c r="V417" i="3"/>
  <c r="V419" i="3"/>
  <c r="V421" i="3"/>
  <c r="V423" i="3"/>
  <c r="V425" i="3"/>
  <c r="V428" i="3"/>
  <c r="V430" i="3"/>
  <c r="V432" i="3"/>
  <c r="V434" i="3"/>
  <c r="V436" i="3"/>
  <c r="V438" i="3"/>
  <c r="V440" i="3"/>
  <c r="V442" i="3"/>
  <c r="V444" i="3"/>
  <c r="V446" i="3"/>
  <c r="V448" i="3"/>
  <c r="V450" i="3"/>
  <c r="V452" i="3"/>
  <c r="V454" i="3"/>
  <c r="V93" i="3"/>
  <c r="V97" i="3"/>
  <c r="V101" i="3"/>
  <c r="V105" i="3"/>
  <c r="V109" i="3"/>
  <c r="V115" i="3"/>
  <c r="V119" i="3"/>
  <c r="V123" i="3"/>
  <c r="V127" i="3"/>
  <c r="V134" i="3"/>
  <c r="V140" i="3"/>
  <c r="V174" i="3"/>
  <c r="V625" i="3"/>
  <c r="V627" i="3"/>
  <c r="V629" i="3"/>
  <c r="V631" i="3"/>
  <c r="V633" i="3"/>
  <c r="V635" i="3"/>
  <c r="V637" i="3"/>
  <c r="V639" i="3"/>
  <c r="V641" i="3"/>
  <c r="V643" i="3"/>
  <c r="V645" i="3"/>
  <c r="V647" i="3"/>
  <c r="V649" i="3"/>
  <c r="V651" i="3"/>
  <c r="V653" i="3"/>
  <c r="V655" i="3"/>
  <c r="V657" i="3"/>
  <c r="V659" i="3"/>
  <c r="V661" i="3"/>
  <c r="V663" i="3"/>
  <c r="V665" i="3"/>
  <c r="V667" i="3"/>
  <c r="V669" i="3"/>
  <c r="V671" i="3"/>
  <c r="V467" i="3"/>
  <c r="V674" i="3"/>
  <c r="V676" i="3"/>
  <c r="V678" i="3"/>
  <c r="V680" i="3"/>
  <c r="V682" i="3"/>
  <c r="V684" i="3"/>
  <c r="V686" i="3"/>
  <c r="V688" i="3"/>
  <c r="V690" i="3"/>
  <c r="V692" i="3"/>
  <c r="V694" i="3"/>
  <c r="V696" i="3"/>
  <c r="V698" i="3"/>
  <c r="V700" i="3"/>
  <c r="V555" i="3"/>
  <c r="V557" i="3"/>
  <c r="V559" i="3"/>
  <c r="V561" i="3"/>
  <c r="V563" i="3"/>
  <c r="V565" i="3"/>
  <c r="V567" i="3"/>
  <c r="V569" i="3"/>
  <c r="V571" i="3"/>
  <c r="V573" i="3"/>
  <c r="V575" i="3"/>
  <c r="V577" i="3"/>
  <c r="V579" i="3"/>
  <c r="V581" i="3"/>
  <c r="V583" i="3"/>
  <c r="V585" i="3"/>
  <c r="V587" i="3"/>
  <c r="V589" i="3"/>
  <c r="V591" i="3"/>
  <c r="V593" i="3"/>
  <c r="V595" i="3"/>
  <c r="V597" i="3"/>
  <c r="V599" i="3"/>
  <c r="V601" i="3"/>
  <c r="V603" i="3"/>
  <c r="V605" i="3"/>
  <c r="V607" i="3"/>
  <c r="V609" i="3"/>
  <c r="V611" i="3"/>
  <c r="V613" i="3"/>
  <c r="V615" i="3"/>
  <c r="V617" i="3"/>
  <c r="V619" i="3"/>
  <c r="V621" i="3"/>
  <c r="V456" i="3"/>
  <c r="V458" i="3"/>
  <c r="V460" i="3"/>
  <c r="V462" i="3"/>
  <c r="V464" i="3"/>
  <c r="V466" i="3"/>
  <c r="V469" i="3"/>
  <c r="V471" i="3"/>
  <c r="V473" i="3"/>
  <c r="V475" i="3"/>
  <c r="V477" i="3"/>
  <c r="V480" i="3"/>
  <c r="V481" i="3"/>
  <c r="V483" i="3"/>
  <c r="V485" i="3"/>
  <c r="V487" i="3"/>
  <c r="V489" i="3"/>
  <c r="V491" i="3"/>
  <c r="V493" i="3"/>
  <c r="V495" i="3"/>
  <c r="V497" i="3"/>
  <c r="V499" i="3"/>
  <c r="V501" i="3"/>
  <c r="V503" i="3"/>
  <c r="V505" i="3"/>
  <c r="V507" i="3"/>
  <c r="V509" i="3"/>
  <c r="V511" i="3"/>
  <c r="V513" i="3"/>
  <c r="V515" i="3"/>
  <c r="V517" i="3"/>
  <c r="V519" i="3"/>
  <c r="V521" i="3"/>
  <c r="V523" i="3"/>
  <c r="V525" i="3"/>
  <c r="V527" i="3"/>
  <c r="V529" i="3"/>
  <c r="V531" i="3"/>
  <c r="V533" i="3"/>
  <c r="V427" i="3"/>
  <c r="V536" i="3"/>
  <c r="V538" i="3"/>
  <c r="V540" i="3"/>
  <c r="V542" i="3"/>
  <c r="V544" i="3"/>
  <c r="V546" i="3"/>
  <c r="V548" i="3"/>
  <c r="V550" i="3"/>
  <c r="V552" i="3"/>
  <c r="V554" i="3"/>
  <c r="V556" i="3"/>
  <c r="V558" i="3"/>
  <c r="V560" i="3"/>
  <c r="V564" i="3"/>
  <c r="V566" i="3"/>
  <c r="V568" i="3"/>
  <c r="V570" i="3"/>
  <c r="V572" i="3"/>
  <c r="V574" i="3"/>
  <c r="V576" i="3"/>
  <c r="V578" i="3"/>
  <c r="V580" i="3"/>
  <c r="V582" i="3"/>
  <c r="V584" i="3"/>
  <c r="V586" i="3"/>
  <c r="V588" i="3"/>
  <c r="V590" i="3"/>
  <c r="V592" i="3"/>
  <c r="V594" i="3"/>
  <c r="V596" i="3"/>
  <c r="V598" i="3"/>
  <c r="V600" i="3"/>
  <c r="V602" i="3"/>
  <c r="V604" i="3"/>
  <c r="V606" i="3"/>
  <c r="V608" i="3"/>
  <c r="V610" i="3"/>
  <c r="V612" i="3"/>
  <c r="V614" i="3"/>
  <c r="V616" i="3"/>
  <c r="V618" i="3"/>
  <c r="V620" i="3"/>
  <c r="V622" i="3"/>
</calcChain>
</file>

<file path=xl/comments1.xml><?xml version="1.0" encoding="utf-8"?>
<comments xmlns="http://schemas.openxmlformats.org/spreadsheetml/2006/main">
  <authors>
    <author>岡部桃子</author>
  </authors>
  <commentList>
    <comment ref="I132" authorId="0">
      <text>
        <r>
          <rPr>
            <b/>
            <sz val="9"/>
            <color indexed="81"/>
            <rFont val="ＭＳ Ｐゴシック"/>
            <family val="3"/>
            <charset val="128"/>
          </rPr>
          <t>岡部桃子:</t>
        </r>
        <r>
          <rPr>
            <sz val="9"/>
            <color indexed="81"/>
            <rFont val="ＭＳ Ｐゴシック"/>
            <family val="3"/>
            <charset val="128"/>
          </rPr>
          <t xml:space="preserve">
元はgbh＝1.15</t>
        </r>
      </text>
    </comment>
    <comment ref="J382" authorId="0">
      <text>
        <r>
          <rPr>
            <b/>
            <sz val="9"/>
            <color indexed="81"/>
            <rFont val="ＭＳ Ｐゴシック"/>
            <family val="3"/>
            <charset val="128"/>
          </rPr>
          <t>岡部桃子:</t>
        </r>
        <r>
          <rPr>
            <sz val="9"/>
            <color indexed="81"/>
            <rFont val="ＭＳ Ｐゴシック"/>
            <family val="3"/>
            <charset val="128"/>
          </rPr>
          <t xml:space="preserve">
dbhからgbhに移動</t>
        </r>
      </text>
    </comment>
    <comment ref="J4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岡部桃子:</t>
        </r>
        <r>
          <rPr>
            <sz val="9"/>
            <color indexed="81"/>
            <rFont val="ＭＳ Ｐゴシック"/>
            <family val="3"/>
            <charset val="128"/>
          </rPr>
          <t xml:space="preserve">
dbhからｇｂｈに変更</t>
        </r>
      </text>
    </comment>
    <comment ref="H467" authorId="0">
      <text>
        <r>
          <rPr>
            <b/>
            <sz val="9"/>
            <color indexed="81"/>
            <rFont val="ＭＳ Ｐゴシック"/>
            <family val="3"/>
            <charset val="128"/>
          </rPr>
          <t>岡部桃子:</t>
        </r>
        <r>
          <rPr>
            <sz val="9"/>
            <color indexed="81"/>
            <rFont val="ＭＳ Ｐゴシック"/>
            <family val="3"/>
            <charset val="128"/>
          </rPr>
          <t xml:space="preserve">
71.2を変更</t>
        </r>
      </text>
    </comment>
    <comment ref="J529" authorId="0">
      <text>
        <r>
          <rPr>
            <b/>
            <sz val="9"/>
            <color indexed="81"/>
            <rFont val="ＭＳ Ｐゴシック"/>
            <family val="3"/>
            <charset val="128"/>
          </rPr>
          <t>岡部桃子:</t>
        </r>
        <r>
          <rPr>
            <sz val="9"/>
            <color indexed="81"/>
            <rFont val="ＭＳ Ｐゴシック"/>
            <family val="3"/>
            <charset val="128"/>
          </rPr>
          <t xml:space="preserve">
dbhに入っていたものをｇｂｈに
</t>
        </r>
      </text>
    </comment>
  </commentList>
</comments>
</file>

<file path=xl/comments2.xml><?xml version="1.0" encoding="utf-8"?>
<comments xmlns="http://schemas.openxmlformats.org/spreadsheetml/2006/main">
  <authors>
    <author>岡部桃子</author>
  </authors>
  <commentList>
    <comment ref="S68" authorId="0">
      <text>
        <r>
          <rPr>
            <b/>
            <sz val="9"/>
            <color indexed="81"/>
            <rFont val="ＭＳ Ｐゴシック"/>
            <family val="3"/>
            <charset val="128"/>
          </rPr>
          <t>岡部桃子:</t>
        </r>
        <r>
          <rPr>
            <sz val="9"/>
            <color indexed="81"/>
            <rFont val="ＭＳ Ｐゴシック"/>
            <family val="3"/>
            <charset val="128"/>
          </rPr>
          <t xml:space="preserve">
前回忘れじゃなくない？</t>
        </r>
      </text>
    </comment>
  </commentList>
</comments>
</file>

<file path=xl/sharedStrings.xml><?xml version="1.0" encoding="utf-8"?>
<sst xmlns="http://schemas.openxmlformats.org/spreadsheetml/2006/main" count="7455" uniqueCount="302">
  <si>
    <t>X compass</t>
  </si>
  <si>
    <t>Y compass</t>
  </si>
  <si>
    <t>tree no</t>
  </si>
  <si>
    <t>spp</t>
  </si>
  <si>
    <t>gbh</t>
  </si>
  <si>
    <t>dbh</t>
  </si>
  <si>
    <t>notes</t>
  </si>
  <si>
    <t>X0</t>
  </si>
  <si>
    <t>Y0</t>
  </si>
  <si>
    <t>CrownBase</t>
  </si>
  <si>
    <t>Live/Dead</t>
  </si>
  <si>
    <t>lc</t>
  </si>
  <si>
    <t>D</t>
  </si>
  <si>
    <t>bp</t>
  </si>
  <si>
    <t>L</t>
  </si>
  <si>
    <t>above node</t>
  </si>
  <si>
    <t>broken</t>
  </si>
  <si>
    <t>this year</t>
  </si>
  <si>
    <t>dead Ht=8.0</t>
  </si>
  <si>
    <t>dead Ht=6.6, broken</t>
  </si>
  <si>
    <t>102 same tree</t>
  </si>
  <si>
    <t>pt</t>
  </si>
  <si>
    <t>unused no</t>
  </si>
  <si>
    <t>dead Ht=1.6</t>
  </si>
  <si>
    <t>dead Ht=6.7</t>
  </si>
  <si>
    <t>gbh at 1.2m-H</t>
  </si>
  <si>
    <t>gbh at 1.27m-H</t>
  </si>
  <si>
    <t>dead Ht=9.3</t>
  </si>
  <si>
    <t>dead Ht=10.6</t>
  </si>
  <si>
    <t>dead Ht=3.5, broken</t>
  </si>
  <si>
    <t>af</t>
  </si>
  <si>
    <t>fall down</t>
  </si>
  <si>
    <t>dead Ht=4.5</t>
  </si>
  <si>
    <t>TreeHt</t>
  </si>
  <si>
    <t>Dead H=9.1</t>
  </si>
  <si>
    <t>Dead H=8.8</t>
  </si>
  <si>
    <t>curved</t>
  </si>
  <si>
    <t>unused number</t>
  </si>
  <si>
    <t>Dead H=12.9</t>
  </si>
  <si>
    <t>Dead H=2.8</t>
  </si>
  <si>
    <t>Ddead H=6.9</t>
  </si>
  <si>
    <t>L=3.0</t>
  </si>
  <si>
    <t>L=3.4</t>
  </si>
  <si>
    <t>sb</t>
  </si>
  <si>
    <t>Dead H=8.3</t>
  </si>
  <si>
    <t>636 same tree?</t>
  </si>
  <si>
    <t>gbh at 0.8m H</t>
  </si>
  <si>
    <t>L=5.8</t>
  </si>
  <si>
    <t>Dead H=3.6</t>
  </si>
  <si>
    <t>Dead H=10.3</t>
  </si>
  <si>
    <t>almost dead</t>
  </si>
  <si>
    <t>ss</t>
  </si>
  <si>
    <t>L=3.3</t>
  </si>
  <si>
    <t>Dead H=2.0</t>
  </si>
  <si>
    <t>resprouted top</t>
  </si>
  <si>
    <t>Dead H=6.8</t>
  </si>
  <si>
    <r>
      <t>l</t>
    </r>
    <r>
      <rPr>
        <sz val="11"/>
        <rFont val="ＭＳ Ｐゴシック"/>
        <family val="3"/>
        <charset val="128"/>
      </rPr>
      <t>c</t>
    </r>
  </si>
  <si>
    <t>701 same tree</t>
  </si>
  <si>
    <t xml:space="preserve">X </t>
    <phoneticPr fontId="2"/>
  </si>
  <si>
    <t xml:space="preserve">Y </t>
    <phoneticPr fontId="2"/>
  </si>
  <si>
    <t xml:space="preserve"> no</t>
    <phoneticPr fontId="2"/>
  </si>
  <si>
    <t xml:space="preserve">dbh01 </t>
    <phoneticPr fontId="2"/>
  </si>
  <si>
    <t xml:space="preserve">樹高01 </t>
    <rPh sb="0" eb="2">
      <t>ジュコウ</t>
    </rPh>
    <phoneticPr fontId="2"/>
  </si>
  <si>
    <t>broken,gbh at  1m-H</t>
    <phoneticPr fontId="2"/>
  </si>
  <si>
    <t>broken,gbh at  1.5m-H</t>
    <phoneticPr fontId="2"/>
  </si>
  <si>
    <t>fall down,224 same clump</t>
    <phoneticPr fontId="2"/>
  </si>
  <si>
    <t>生枝01</t>
    <rPh sb="0" eb="1">
      <t>ナマ</t>
    </rPh>
    <rPh sb="1" eb="2">
      <t>エダ</t>
    </rPh>
    <phoneticPr fontId="2"/>
  </si>
  <si>
    <t xml:space="preserve">gbh04 </t>
    <phoneticPr fontId="2"/>
  </si>
  <si>
    <t xml:space="preserve">生/死01 </t>
    <rPh sb="0" eb="1">
      <t>セイ</t>
    </rPh>
    <rPh sb="2" eb="3">
      <t>シ</t>
    </rPh>
    <phoneticPr fontId="2"/>
  </si>
  <si>
    <t>生/死04</t>
    <rPh sb="0" eb="1">
      <t>セイ</t>
    </rPh>
    <rPh sb="2" eb="3">
      <t>シ</t>
    </rPh>
    <phoneticPr fontId="2"/>
  </si>
  <si>
    <t>dead</t>
    <phoneticPr fontId="2"/>
  </si>
  <si>
    <t xml:space="preserve"> </t>
    <phoneticPr fontId="2"/>
  </si>
  <si>
    <t>New　No580　white　red</t>
    <phoneticPr fontId="2"/>
  </si>
  <si>
    <t>top broken</t>
    <phoneticPr fontId="2"/>
  </si>
  <si>
    <t xml:space="preserve">dead Ht=3.2 </t>
    <phoneticPr fontId="2"/>
  </si>
  <si>
    <t>notes 01</t>
    <phoneticPr fontId="2"/>
  </si>
  <si>
    <t>note 04</t>
    <phoneticPr fontId="2"/>
  </si>
  <si>
    <t>38cm sprout</t>
    <phoneticPr fontId="2"/>
  </si>
  <si>
    <t>倒れ</t>
    <rPh sb="0" eb="1">
      <t>タオ</t>
    </rPh>
    <phoneticPr fontId="2"/>
  </si>
  <si>
    <t>dead</t>
    <phoneticPr fontId="2"/>
  </si>
  <si>
    <t>-</t>
    <phoneticPr fontId="2"/>
  </si>
  <si>
    <t>New No 593 white red</t>
    <phoneticPr fontId="2"/>
  </si>
  <si>
    <t>New No 592 white red</t>
    <phoneticPr fontId="2"/>
  </si>
  <si>
    <t>broken,resprouted multi-stems, dbh=tallest stem, thickest stem dbh=4.07 H= ca 1m</t>
    <phoneticPr fontId="2"/>
  </si>
  <si>
    <t>thickest stem dbh=19.2</t>
    <phoneticPr fontId="2"/>
  </si>
  <si>
    <t>不明</t>
    <rPh sb="0" eb="2">
      <t>フメイ</t>
    </rPh>
    <phoneticPr fontId="2"/>
  </si>
  <si>
    <t>New 595かも</t>
    <phoneticPr fontId="2"/>
  </si>
  <si>
    <t>New No597 white red</t>
    <phoneticPr fontId="2"/>
  </si>
  <si>
    <t>New No598 white red</t>
  </si>
  <si>
    <t>GBH2001?</t>
    <phoneticPr fontId="2"/>
  </si>
  <si>
    <t>寝返り</t>
    <rPh sb="0" eb="2">
      <t>ネガエ</t>
    </rPh>
    <phoneticPr fontId="2"/>
  </si>
  <si>
    <t>New No744　white red 傾いている</t>
    <rPh sb="20" eb="21">
      <t>カタム</t>
    </rPh>
    <phoneticPr fontId="2"/>
  </si>
  <si>
    <t>2001 DBH=11.5?</t>
    <phoneticPr fontId="2"/>
  </si>
  <si>
    <t>gbh01cm</t>
    <phoneticPr fontId="2"/>
  </si>
  <si>
    <t>dbh04mm</t>
    <phoneticPr fontId="2"/>
  </si>
  <si>
    <t>同株　つけ忘れ　No746　DBH=18.3mm　H=3.0ｍ</t>
    <rPh sb="0" eb="1">
      <t>ドウ</t>
    </rPh>
    <rPh sb="1" eb="2">
      <t>カブ</t>
    </rPh>
    <rPh sb="5" eb="6">
      <t>ワス</t>
    </rPh>
    <phoneticPr fontId="2"/>
  </si>
  <si>
    <t>New No749</t>
    <phoneticPr fontId="2"/>
  </si>
  <si>
    <t>New No750</t>
    <phoneticPr fontId="2"/>
  </si>
  <si>
    <t>同株　つけ忘れ　No752　DBH=9.2mm　H=1.1ｍ　L=2.1</t>
    <rPh sb="0" eb="1">
      <t>ドウ</t>
    </rPh>
    <rPh sb="1" eb="2">
      <t>カブ</t>
    </rPh>
    <rPh sb="5" eb="6">
      <t>ワス</t>
    </rPh>
    <phoneticPr fontId="2"/>
  </si>
  <si>
    <t>New No753 DBH01?</t>
    <phoneticPr fontId="2"/>
  </si>
  <si>
    <t>New No754</t>
    <phoneticPr fontId="2"/>
  </si>
  <si>
    <t>New No755</t>
    <phoneticPr fontId="2"/>
  </si>
  <si>
    <t>New No756</t>
    <phoneticPr fontId="2"/>
  </si>
  <si>
    <t>New No757</t>
    <phoneticPr fontId="2"/>
  </si>
  <si>
    <t>New No758</t>
    <phoneticPr fontId="2"/>
  </si>
  <si>
    <t>New No759</t>
    <phoneticPr fontId="2"/>
  </si>
  <si>
    <t>New No761</t>
    <phoneticPr fontId="2"/>
  </si>
  <si>
    <t>New No762</t>
    <phoneticPr fontId="2"/>
  </si>
  <si>
    <t>New No763</t>
  </si>
  <si>
    <t>先枯</t>
    <rPh sb="0" eb="2">
      <t>サキカレ</t>
    </rPh>
    <phoneticPr fontId="2"/>
  </si>
  <si>
    <t>New No764</t>
    <phoneticPr fontId="2"/>
  </si>
  <si>
    <t>New No 765</t>
    <phoneticPr fontId="2"/>
  </si>
  <si>
    <t>New No 766</t>
    <phoneticPr fontId="2"/>
  </si>
  <si>
    <t>New No 767</t>
    <phoneticPr fontId="2"/>
  </si>
  <si>
    <t>New No 768</t>
    <phoneticPr fontId="2"/>
  </si>
  <si>
    <t>部分的に枯死</t>
    <rPh sb="0" eb="3">
      <t>ブブンテキ</t>
    </rPh>
    <rPh sb="4" eb="6">
      <t>コシ</t>
    </rPh>
    <phoneticPr fontId="2"/>
  </si>
  <si>
    <t>New No769</t>
    <phoneticPr fontId="2"/>
  </si>
  <si>
    <t>New No770</t>
    <phoneticPr fontId="2"/>
  </si>
  <si>
    <t>NewNo 771</t>
    <phoneticPr fontId="2"/>
  </si>
  <si>
    <t>NewNo 772</t>
  </si>
  <si>
    <t>NewNo 773</t>
    <phoneticPr fontId="2"/>
  </si>
  <si>
    <t>NewNo 774</t>
    <phoneticPr fontId="2"/>
  </si>
  <si>
    <t>NewNo 775</t>
    <phoneticPr fontId="2"/>
  </si>
  <si>
    <t>NewNo 776</t>
    <phoneticPr fontId="2"/>
  </si>
  <si>
    <t>NewNo 780</t>
    <phoneticPr fontId="2"/>
  </si>
  <si>
    <t>NewNo 601 white red</t>
    <phoneticPr fontId="2"/>
  </si>
  <si>
    <t>NewNo 600 white red</t>
    <phoneticPr fontId="2"/>
  </si>
  <si>
    <t>幹オレ</t>
    <rPh sb="0" eb="1">
      <t>ミキ</t>
    </rPh>
    <phoneticPr fontId="2"/>
  </si>
  <si>
    <t>New No603　white　red</t>
    <phoneticPr fontId="2"/>
  </si>
  <si>
    <t>New　No783　whiteBlue</t>
    <phoneticPr fontId="2"/>
  </si>
  <si>
    <t>New　No786　whiteBlue</t>
    <phoneticPr fontId="2"/>
  </si>
  <si>
    <t>New　No784　whiteBlue</t>
    <phoneticPr fontId="2"/>
  </si>
  <si>
    <t>New　No785　whiteBlue</t>
    <phoneticPr fontId="2"/>
  </si>
  <si>
    <t>New　No788　whiteBlue</t>
    <phoneticPr fontId="2"/>
  </si>
  <si>
    <t>New No 599 White red</t>
    <phoneticPr fontId="2"/>
  </si>
  <si>
    <t>New No 604 White red</t>
    <phoneticPr fontId="2"/>
  </si>
  <si>
    <t>New No 605 White red</t>
    <phoneticPr fontId="2"/>
  </si>
  <si>
    <t>New No606 White red</t>
    <phoneticPr fontId="2"/>
  </si>
  <si>
    <t>New No 607 White red　</t>
    <phoneticPr fontId="2"/>
  </si>
  <si>
    <t>New No 609 White red　</t>
    <phoneticPr fontId="2"/>
  </si>
  <si>
    <t>New No608 White red</t>
    <phoneticPr fontId="2"/>
  </si>
  <si>
    <t>New No610 White red</t>
    <phoneticPr fontId="2"/>
  </si>
  <si>
    <t>New No 611 White red　</t>
    <phoneticPr fontId="2"/>
  </si>
  <si>
    <t>New No612 White red</t>
    <phoneticPr fontId="2"/>
  </si>
  <si>
    <t>New No 613 White red　先オレ　dead</t>
    <rPh sb="21" eb="22">
      <t>サキ</t>
    </rPh>
    <phoneticPr fontId="2"/>
  </si>
  <si>
    <t>樹高04ｍ</t>
    <rPh sb="0" eb="2">
      <t>ジュコウ</t>
    </rPh>
    <phoneticPr fontId="2"/>
  </si>
  <si>
    <t>生枝04ｍ</t>
    <rPh sb="0" eb="1">
      <t>ナマ</t>
    </rPh>
    <rPh sb="1" eb="2">
      <t>エダ</t>
    </rPh>
    <phoneticPr fontId="2"/>
  </si>
  <si>
    <t>Wr</t>
    <phoneticPr fontId="2"/>
  </si>
  <si>
    <t>地際直径18.9mm</t>
    <rPh sb="0" eb="1">
      <t>ジ</t>
    </rPh>
    <rPh sb="1" eb="2">
      <t>ギワ</t>
    </rPh>
    <rPh sb="2" eb="4">
      <t>チョッケイ</t>
    </rPh>
    <phoneticPr fontId="2"/>
  </si>
  <si>
    <t>pt</t>
    <phoneticPr fontId="2"/>
  </si>
  <si>
    <t>bp</t>
    <phoneticPr fontId="2"/>
  </si>
  <si>
    <t>黄色D53</t>
    <rPh sb="0" eb="2">
      <t>キイロ</t>
    </rPh>
    <phoneticPr fontId="2"/>
  </si>
  <si>
    <t>lc</t>
    <phoneticPr fontId="2"/>
  </si>
  <si>
    <t>af</t>
    <phoneticPr fontId="2"/>
  </si>
  <si>
    <t>前回忘れ</t>
    <rPh sb="0" eb="2">
      <t>ゼンカイ</t>
    </rPh>
    <rPh sb="2" eb="3">
      <t>ワス</t>
    </rPh>
    <phoneticPr fontId="2"/>
  </si>
  <si>
    <t>Wb</t>
    <phoneticPr fontId="2"/>
  </si>
  <si>
    <t>DBH01</t>
  </si>
  <si>
    <t>DBH01</t>
    <phoneticPr fontId="2"/>
  </si>
  <si>
    <t>DBH04</t>
    <phoneticPr fontId="2"/>
  </si>
  <si>
    <t>総計</t>
  </si>
  <si>
    <t>データの個数 / DBH01</t>
  </si>
  <si>
    <t>sppno</t>
    <phoneticPr fontId="2"/>
  </si>
  <si>
    <t>0-4</t>
  </si>
  <si>
    <t>4-8</t>
  </si>
  <si>
    <t>8-12</t>
  </si>
  <si>
    <t>12-16</t>
  </si>
  <si>
    <t>16-20</t>
  </si>
  <si>
    <t>20-24</t>
  </si>
  <si>
    <t>24-28</t>
  </si>
  <si>
    <t>28-32</t>
  </si>
  <si>
    <t>32-36</t>
  </si>
  <si>
    <t>36-40</t>
  </si>
  <si>
    <t>40-44</t>
  </si>
  <si>
    <t>dbh01 cm</t>
    <phoneticPr fontId="2"/>
  </si>
  <si>
    <t>dbh01</t>
    <phoneticPr fontId="2"/>
  </si>
  <si>
    <t>おかしいがafなので無視</t>
    <rPh sb="10" eb="12">
      <t>ムシ</t>
    </rPh>
    <phoneticPr fontId="2"/>
  </si>
  <si>
    <t>原因不明</t>
    <rPh sb="0" eb="2">
      <t>ゲンイン</t>
    </rPh>
    <rPh sb="2" eb="4">
      <t>フメイ</t>
    </rPh>
    <phoneticPr fontId="2"/>
  </si>
  <si>
    <t>#num</t>
    <phoneticPr fontId="2"/>
  </si>
  <si>
    <t>x</t>
    <phoneticPr fontId="2"/>
  </si>
  <si>
    <t>y</t>
    <phoneticPr fontId="2"/>
  </si>
  <si>
    <t>spp</t>
    <phoneticPr fontId="2"/>
  </si>
  <si>
    <t>dbh01</t>
    <phoneticPr fontId="2"/>
  </si>
  <si>
    <t>dbh04</t>
    <phoneticPr fontId="2"/>
  </si>
  <si>
    <t>hgt</t>
    <phoneticPr fontId="2"/>
  </si>
  <si>
    <r>
      <t xml:space="preserve"> no</t>
    </r>
    <r>
      <rPr>
        <sz val="11"/>
        <rFont val="ＭＳ Ｐゴシック"/>
        <family val="3"/>
        <charset val="128"/>
      </rPr>
      <t>(テープの色？)</t>
    </r>
    <rPh sb="8" eb="9">
      <t>イロ</t>
    </rPh>
    <phoneticPr fontId="2"/>
  </si>
  <si>
    <t>Wr</t>
  </si>
  <si>
    <t>地際直径18.9mm</t>
  </si>
  <si>
    <t>黄色D53</t>
  </si>
  <si>
    <t>Wb</t>
  </si>
  <si>
    <t>前回忘れ</t>
  </si>
  <si>
    <t>bp</t>
    <phoneticPr fontId="2"/>
  </si>
  <si>
    <t>bp</t>
    <phoneticPr fontId="2"/>
  </si>
  <si>
    <t>pt</t>
    <phoneticPr fontId="2"/>
  </si>
  <si>
    <t>pt</t>
    <phoneticPr fontId="2"/>
  </si>
  <si>
    <t>dead</t>
    <phoneticPr fontId="2"/>
  </si>
  <si>
    <t>DBH</t>
  </si>
  <si>
    <t>Tree Ht</t>
  </si>
  <si>
    <t>BA</t>
  </si>
  <si>
    <t>Dominant/Subordinate/Independent</t>
  </si>
  <si>
    <t>Parent ID</t>
  </si>
  <si>
    <t>Trees/Kabu</t>
  </si>
  <si>
    <t>Total BA</t>
  </si>
  <si>
    <t>Notes</t>
  </si>
  <si>
    <t>Sprouts&lt;1.3m</t>
  </si>
  <si>
    <t>S</t>
  </si>
  <si>
    <t>OriginalDominantDead</t>
  </si>
  <si>
    <t>NoDominant</t>
  </si>
  <si>
    <t>I</t>
  </si>
  <si>
    <t>OriginalDomDead</t>
  </si>
  <si>
    <t>OrigDomDead</t>
  </si>
  <si>
    <t>OrgDomDead</t>
  </si>
  <si>
    <t>sprout</t>
    <phoneticPr fontId="2"/>
  </si>
  <si>
    <t>Aspect</t>
    <phoneticPr fontId="2"/>
  </si>
  <si>
    <t>Spp.</t>
    <phoneticPr fontId="2"/>
  </si>
  <si>
    <t>Age1</t>
    <phoneticPr fontId="2"/>
  </si>
  <si>
    <t>Age2</t>
    <phoneticPr fontId="2"/>
  </si>
  <si>
    <t>comment 1</t>
    <phoneticPr fontId="2"/>
  </si>
  <si>
    <t>comment2</t>
    <phoneticPr fontId="2"/>
  </si>
  <si>
    <t>大きい方の樹齢</t>
    <rPh sb="0" eb="1">
      <t>オオ</t>
    </rPh>
    <rPh sb="3" eb="4">
      <t>ホウ</t>
    </rPh>
    <rPh sb="5" eb="7">
      <t>ジュレイ</t>
    </rPh>
    <phoneticPr fontId="2"/>
  </si>
  <si>
    <t>s</t>
  </si>
  <si>
    <t>bp</t>
    <phoneticPr fontId="2"/>
  </si>
  <si>
    <t>bp</t>
    <phoneticPr fontId="2"/>
  </si>
  <si>
    <t>!</t>
  </si>
  <si>
    <t>!</t>
    <phoneticPr fontId="2"/>
  </si>
  <si>
    <t>n</t>
  </si>
  <si>
    <t>off ctr</t>
  </si>
  <si>
    <t>ne</t>
  </si>
  <si>
    <t>no-ctr</t>
  </si>
  <si>
    <t>w</t>
  </si>
  <si>
    <t>1.2m</t>
  </si>
  <si>
    <t>1.2m/!</t>
  </si>
  <si>
    <t>se</t>
  </si>
  <si>
    <t>no-ctr over</t>
  </si>
  <si>
    <t>ene</t>
  </si>
  <si>
    <t>nw</t>
  </si>
  <si>
    <t>sw</t>
  </si>
  <si>
    <t>no bark/no-ctr</t>
  </si>
  <si>
    <t>no bark</t>
  </si>
  <si>
    <t>off-ctr</t>
  </si>
  <si>
    <t>bp</t>
    <phoneticPr fontId="2"/>
  </si>
  <si>
    <t>0.6m</t>
  </si>
  <si>
    <t>!(miss?)</t>
  </si>
  <si>
    <t>0.8m/dark-ctr stop</t>
  </si>
  <si>
    <t>0.8m/no bark/dark-ctr stop</t>
  </si>
  <si>
    <t>off-ctr one side</t>
  </si>
  <si>
    <t>discont</t>
  </si>
  <si>
    <t>0.8m/no-ctr</t>
  </si>
  <si>
    <t>no ctr 0.8m</t>
  </si>
  <si>
    <t>off ctr by a bit1.4m</t>
  </si>
  <si>
    <t>off-ctr!/0.8m</t>
  </si>
  <si>
    <t>no bark/off ctr</t>
  </si>
  <si>
    <t>no brk</t>
  </si>
  <si>
    <t>0.8m</t>
  </si>
  <si>
    <t>no ctr?</t>
  </si>
  <si>
    <t>discont/off-ctr</t>
  </si>
  <si>
    <t>no bark/off-ctr</t>
  </si>
  <si>
    <t>1.4m</t>
  </si>
  <si>
    <t>0.8m/no bark</t>
  </si>
  <si>
    <t>e</t>
  </si>
  <si>
    <t>0.8m/off ctr</t>
  </si>
  <si>
    <t>lc</t>
    <phoneticPr fontId="2"/>
  </si>
  <si>
    <t>1.4m/off-ctr</t>
  </si>
  <si>
    <t>no bark off-ctr</t>
  </si>
  <si>
    <t>out of plot</t>
  </si>
  <si>
    <t>nw?</t>
  </si>
  <si>
    <t>1m/no bark/no-ctr/Larix(x,y)=(52,25)</t>
  </si>
  <si>
    <t>out of plot Pp</t>
  </si>
  <si>
    <t>pp</t>
    <phoneticPr fontId="2"/>
  </si>
  <si>
    <t>1.3m/empty/no-ctr stop</t>
    <phoneticPr fontId="2"/>
  </si>
  <si>
    <t>1.3m/empty/no bark/no-ctr stop</t>
  </si>
  <si>
    <t>uncontinuable</t>
  </si>
  <si>
    <t>off-ctr!</t>
  </si>
  <si>
    <t>1.4m/no ctr</t>
  </si>
  <si>
    <t>S?</t>
  </si>
  <si>
    <t>salvaged core, tree number?</t>
  </si>
  <si>
    <t>no bark/salvaged core, tree number?</t>
  </si>
  <si>
    <t>off ctr/salvaged core/tree nuber?</t>
  </si>
  <si>
    <t>45?</t>
  </si>
  <si>
    <t>near 430 red tape</t>
  </si>
  <si>
    <t>age</t>
    <phoneticPr fontId="2"/>
  </si>
  <si>
    <t>行ラベル</t>
  </si>
  <si>
    <t>列ラベル</t>
  </si>
  <si>
    <t>0-2</t>
  </si>
  <si>
    <t>2-4</t>
  </si>
  <si>
    <t>4-6</t>
  </si>
  <si>
    <t>6-8</t>
  </si>
  <si>
    <t>8-10</t>
  </si>
  <si>
    <t>10-12</t>
  </si>
  <si>
    <t>12-14</t>
  </si>
  <si>
    <t>14-16</t>
  </si>
  <si>
    <t>16-18</t>
  </si>
  <si>
    <t>18-20</t>
  </si>
  <si>
    <t>20-22</t>
  </si>
  <si>
    <t>データの個数 / dbh01</t>
  </si>
  <si>
    <t>最大値 / age</t>
  </si>
  <si>
    <t>樹齢</t>
    <rPh sb="0" eb="2">
      <t>ジュレイ</t>
    </rPh>
    <phoneticPr fontId="2"/>
  </si>
  <si>
    <t>樹齢があったデータのdbh</t>
    <rPh sb="0" eb="2">
      <t>ジュレイ</t>
    </rPh>
    <phoneticPr fontId="2"/>
  </si>
  <si>
    <t>notsaidai</t>
  </si>
  <si>
    <t>notsaidai</t>
    <phoneticPr fontId="2"/>
  </si>
  <si>
    <t>notsaidai</t>
    <phoneticPr fontId="2"/>
  </si>
  <si>
    <t>spnum</t>
    <phoneticPr fontId="2"/>
  </si>
  <si>
    <t>Tree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</si>
</sst>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0_ "/>
    <numFmt numFmtId="178" formatCode="0.0_);[Red]\(0.0\)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53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4"/>
      <name val="ＭＳ Ｐゴシック"/>
      <family val="3"/>
      <charset val="128"/>
    </font>
    <font>
      <sz val="11"/>
      <color theme="5" tint="-0.249977111117893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176" fontId="0" fillId="0" borderId="0" xfId="0" applyNumberFormat="1"/>
    <xf numFmtId="178" fontId="0" fillId="0" borderId="0" xfId="0" applyNumberFormat="1"/>
    <xf numFmtId="0" fontId="0" fillId="0" borderId="1" xfId="0" applyNumberFormat="1" applyBorder="1"/>
    <xf numFmtId="0" fontId="1" fillId="0" borderId="1" xfId="0" applyFont="1" applyBorder="1"/>
    <xf numFmtId="177" fontId="0" fillId="0" borderId="1" xfId="0" applyNumberFormat="1" applyBorder="1"/>
    <xf numFmtId="0" fontId="0" fillId="0" borderId="1" xfId="0" applyBorder="1"/>
    <xf numFmtId="178" fontId="0" fillId="0" borderId="1" xfId="0" applyNumberFormat="1" applyBorder="1"/>
    <xf numFmtId="176" fontId="0" fillId="0" borderId="1" xfId="0" applyNumberFormat="1" applyBorder="1"/>
    <xf numFmtId="0" fontId="0" fillId="0" borderId="2" xfId="0" applyNumberFormat="1" applyBorder="1"/>
    <xf numFmtId="0" fontId="1" fillId="0" borderId="2" xfId="0" applyFont="1" applyBorder="1"/>
    <xf numFmtId="177" fontId="0" fillId="0" borderId="2" xfId="0" applyNumberFormat="1" applyBorder="1"/>
    <xf numFmtId="0" fontId="0" fillId="0" borderId="2" xfId="0" applyBorder="1"/>
    <xf numFmtId="178" fontId="0" fillId="0" borderId="2" xfId="0" applyNumberFormat="1" applyBorder="1"/>
    <xf numFmtId="176" fontId="0" fillId="0" borderId="2" xfId="0" applyNumberFormat="1" applyBorder="1"/>
    <xf numFmtId="0" fontId="4" fillId="0" borderId="2" xfId="0" applyFont="1" applyBorder="1"/>
    <xf numFmtId="176" fontId="3" fillId="0" borderId="2" xfId="0" applyNumberFormat="1" applyFont="1" applyBorder="1"/>
    <xf numFmtId="178" fontId="3" fillId="0" borderId="2" xfId="0" applyNumberFormat="1" applyFont="1" applyBorder="1"/>
    <xf numFmtId="0" fontId="0" fillId="0" borderId="3" xfId="0" applyBorder="1"/>
    <xf numFmtId="178" fontId="0" fillId="0" borderId="3" xfId="0" applyNumberFormat="1" applyBorder="1"/>
    <xf numFmtId="176" fontId="0" fillId="0" borderId="3" xfId="0" applyNumberFormat="1" applyBorder="1"/>
    <xf numFmtId="0" fontId="1" fillId="0" borderId="2" xfId="0" applyFont="1" applyBorder="1" applyAlignment="1">
      <alignment wrapText="1"/>
    </xf>
    <xf numFmtId="177" fontId="0" fillId="0" borderId="4" xfId="0" applyNumberFormat="1" applyFill="1" applyBorder="1"/>
    <xf numFmtId="0" fontId="5" fillId="0" borderId="2" xfId="0" applyFont="1" applyBorder="1"/>
    <xf numFmtId="177" fontId="5" fillId="0" borderId="2" xfId="0" applyNumberFormat="1" applyFont="1" applyBorder="1"/>
    <xf numFmtId="178" fontId="5" fillId="0" borderId="2" xfId="0" applyNumberFormat="1" applyFont="1" applyBorder="1"/>
    <xf numFmtId="176" fontId="5" fillId="0" borderId="2" xfId="0" applyNumberFormat="1" applyFont="1" applyBorder="1"/>
    <xf numFmtId="0" fontId="5" fillId="0" borderId="0" xfId="0" applyFont="1"/>
    <xf numFmtId="177" fontId="0" fillId="0" borderId="5" xfId="0" applyNumberFormat="1" applyBorder="1"/>
    <xf numFmtId="0" fontId="5" fillId="0" borderId="2" xfId="0" applyNumberFormat="1" applyFont="1" applyBorder="1"/>
    <xf numFmtId="0" fontId="5" fillId="0" borderId="0" xfId="0" applyFont="1" applyBorder="1"/>
    <xf numFmtId="176" fontId="0" fillId="0" borderId="0" xfId="0" applyNumberFormat="1" applyBorder="1"/>
    <xf numFmtId="0" fontId="0" fillId="0" borderId="0" xfId="0" applyBorder="1"/>
    <xf numFmtId="0" fontId="1" fillId="0" borderId="3" xfId="0" applyFont="1" applyBorder="1"/>
    <xf numFmtId="0" fontId="0" fillId="0" borderId="4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pivotButton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NumberFormat="1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6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15" xfId="0" applyNumberFormat="1" applyBorder="1"/>
    <xf numFmtId="0" fontId="0" fillId="0" borderId="1" xfId="0" applyFont="1" applyBorder="1"/>
    <xf numFmtId="0" fontId="1" fillId="0" borderId="0" xfId="0" applyFont="1"/>
    <xf numFmtId="177" fontId="0" fillId="0" borderId="0" xfId="0" applyNumberFormat="1"/>
    <xf numFmtId="0" fontId="8" fillId="0" borderId="0" xfId="0" applyFont="1"/>
    <xf numFmtId="2" fontId="0" fillId="0" borderId="0" xfId="0" applyNumberFormat="1"/>
    <xf numFmtId="2" fontId="8" fillId="0" borderId="0" xfId="0" applyNumberFormat="1" applyFont="1"/>
    <xf numFmtId="0" fontId="11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 applyFont="1"/>
    <xf numFmtId="0" fontId="12" fillId="0" borderId="0" xfId="0" applyNumberFormat="1" applyFont="1"/>
    <xf numFmtId="0" fontId="0" fillId="0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[int0306.xlsm]Sheet4!ピボットテーブル4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interm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af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Sheet4!$A$5:$A$16</c:f>
              <c:strCache>
                <c:ptCount val="11"/>
                <c:pt idx="0">
                  <c:v>0-4</c:v>
                </c:pt>
                <c:pt idx="1">
                  <c:v>4-8</c:v>
                </c:pt>
                <c:pt idx="2">
                  <c:v>8-12</c:v>
                </c:pt>
                <c:pt idx="3">
                  <c:v>12-16</c:v>
                </c:pt>
                <c:pt idx="4">
                  <c:v>16-20</c:v>
                </c:pt>
                <c:pt idx="5">
                  <c:v>20-24</c:v>
                </c:pt>
                <c:pt idx="6">
                  <c:v>24-28</c:v>
                </c:pt>
                <c:pt idx="7">
                  <c:v>28-32</c:v>
                </c:pt>
                <c:pt idx="8">
                  <c:v>32-36</c:v>
                </c:pt>
                <c:pt idx="9">
                  <c:v>36-40</c:v>
                </c:pt>
                <c:pt idx="10">
                  <c:v>40-44</c:v>
                </c:pt>
              </c:strCache>
            </c:strRef>
          </c:cat>
          <c:val>
            <c:numRef>
              <c:f>Sheet4!$B$5:$B$16</c:f>
              <c:numCache>
                <c:formatCode>General</c:formatCode>
                <c:ptCount val="11"/>
                <c:pt idx="0">
                  <c:v>22</c:v>
                </c:pt>
                <c:pt idx="1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69-4D2B-A2AC-0D9D52D47D0F}"/>
            </c:ext>
          </c:extLst>
        </c:ser>
        <c:ser>
          <c:idx val="1"/>
          <c:order val="1"/>
          <c:tx>
            <c:strRef>
              <c:f>Sheet4!$C$3:$C$4</c:f>
              <c:strCache>
                <c:ptCount val="1"/>
                <c:pt idx="0">
                  <c:v>bp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Sheet4!$A$5:$A$16</c:f>
              <c:strCache>
                <c:ptCount val="11"/>
                <c:pt idx="0">
                  <c:v>0-4</c:v>
                </c:pt>
                <c:pt idx="1">
                  <c:v>4-8</c:v>
                </c:pt>
                <c:pt idx="2">
                  <c:v>8-12</c:v>
                </c:pt>
                <c:pt idx="3">
                  <c:v>12-16</c:v>
                </c:pt>
                <c:pt idx="4">
                  <c:v>16-20</c:v>
                </c:pt>
                <c:pt idx="5">
                  <c:v>20-24</c:v>
                </c:pt>
                <c:pt idx="6">
                  <c:v>24-28</c:v>
                </c:pt>
                <c:pt idx="7">
                  <c:v>28-32</c:v>
                </c:pt>
                <c:pt idx="8">
                  <c:v>32-36</c:v>
                </c:pt>
                <c:pt idx="9">
                  <c:v>36-40</c:v>
                </c:pt>
                <c:pt idx="10">
                  <c:v>40-44</c:v>
                </c:pt>
              </c:strCache>
            </c:strRef>
          </c:cat>
          <c:val>
            <c:numRef>
              <c:f>Sheet4!$C$5:$C$16</c:f>
              <c:numCache>
                <c:formatCode>General</c:formatCode>
                <c:ptCount val="11"/>
                <c:pt idx="0">
                  <c:v>188</c:v>
                </c:pt>
                <c:pt idx="1">
                  <c:v>91</c:v>
                </c:pt>
                <c:pt idx="2">
                  <c:v>27</c:v>
                </c:pt>
                <c:pt idx="3">
                  <c:v>20</c:v>
                </c:pt>
                <c:pt idx="4">
                  <c:v>7</c:v>
                </c:pt>
                <c:pt idx="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69-4D2B-A2AC-0D9D52D47D0F}"/>
            </c:ext>
          </c:extLst>
        </c:ser>
        <c:ser>
          <c:idx val="2"/>
          <c:order val="2"/>
          <c:tx>
            <c:strRef>
              <c:f>Sheet4!$D$3:$D$4</c:f>
              <c:strCache>
                <c:ptCount val="1"/>
                <c:pt idx="0">
                  <c:v>lc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Sheet4!$A$5:$A$16</c:f>
              <c:strCache>
                <c:ptCount val="11"/>
                <c:pt idx="0">
                  <c:v>0-4</c:v>
                </c:pt>
                <c:pt idx="1">
                  <c:v>4-8</c:v>
                </c:pt>
                <c:pt idx="2">
                  <c:v>8-12</c:v>
                </c:pt>
                <c:pt idx="3">
                  <c:v>12-16</c:v>
                </c:pt>
                <c:pt idx="4">
                  <c:v>16-20</c:v>
                </c:pt>
                <c:pt idx="5">
                  <c:v>20-24</c:v>
                </c:pt>
                <c:pt idx="6">
                  <c:v>24-28</c:v>
                </c:pt>
                <c:pt idx="7">
                  <c:v>28-32</c:v>
                </c:pt>
                <c:pt idx="8">
                  <c:v>32-36</c:v>
                </c:pt>
                <c:pt idx="9">
                  <c:v>36-40</c:v>
                </c:pt>
                <c:pt idx="10">
                  <c:v>40-44</c:v>
                </c:pt>
              </c:strCache>
            </c:strRef>
          </c:cat>
          <c:val>
            <c:numRef>
              <c:f>Sheet4!$D$5:$D$16</c:f>
              <c:numCache>
                <c:formatCode>General</c:formatCode>
                <c:ptCount val="11"/>
                <c:pt idx="0">
                  <c:v>140</c:v>
                </c:pt>
                <c:pt idx="1">
                  <c:v>36</c:v>
                </c:pt>
                <c:pt idx="2">
                  <c:v>24</c:v>
                </c:pt>
                <c:pt idx="3">
                  <c:v>22</c:v>
                </c:pt>
                <c:pt idx="4">
                  <c:v>12</c:v>
                </c:pt>
                <c:pt idx="5">
                  <c:v>13</c:v>
                </c:pt>
                <c:pt idx="6">
                  <c:v>7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169-4D2B-A2AC-0D9D52D47D0F}"/>
            </c:ext>
          </c:extLst>
        </c:ser>
        <c:ser>
          <c:idx val="3"/>
          <c:order val="3"/>
          <c:tx>
            <c:strRef>
              <c:f>Sheet4!$E$3:$E$4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Sheet4!$A$5:$A$16</c:f>
              <c:strCache>
                <c:ptCount val="11"/>
                <c:pt idx="0">
                  <c:v>0-4</c:v>
                </c:pt>
                <c:pt idx="1">
                  <c:v>4-8</c:v>
                </c:pt>
                <c:pt idx="2">
                  <c:v>8-12</c:v>
                </c:pt>
                <c:pt idx="3">
                  <c:v>12-16</c:v>
                </c:pt>
                <c:pt idx="4">
                  <c:v>16-20</c:v>
                </c:pt>
                <c:pt idx="5">
                  <c:v>20-24</c:v>
                </c:pt>
                <c:pt idx="6">
                  <c:v>24-28</c:v>
                </c:pt>
                <c:pt idx="7">
                  <c:v>28-32</c:v>
                </c:pt>
                <c:pt idx="8">
                  <c:v>32-36</c:v>
                </c:pt>
                <c:pt idx="9">
                  <c:v>36-40</c:v>
                </c:pt>
                <c:pt idx="10">
                  <c:v>40-44</c:v>
                </c:pt>
              </c:strCache>
            </c:strRef>
          </c:cat>
          <c:val>
            <c:numRef>
              <c:f>Sheet4!$E$5:$E$16</c:f>
              <c:numCache>
                <c:formatCode>General</c:formatCode>
                <c:ptCount val="11"/>
                <c:pt idx="0">
                  <c:v>43</c:v>
                </c:pt>
                <c:pt idx="1">
                  <c:v>7</c:v>
                </c:pt>
                <c:pt idx="2">
                  <c:v>8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169-4D2B-A2AC-0D9D52D47D0F}"/>
            </c:ext>
          </c:extLst>
        </c:ser>
        <c:ser>
          <c:idx val="4"/>
          <c:order val="4"/>
          <c:tx>
            <c:strRef>
              <c:f>Sheet4!$F$3:$F$4</c:f>
              <c:strCache>
                <c:ptCount val="1"/>
                <c:pt idx="0">
                  <c:v>sb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Sheet4!$A$5:$A$16</c:f>
              <c:strCache>
                <c:ptCount val="11"/>
                <c:pt idx="0">
                  <c:v>0-4</c:v>
                </c:pt>
                <c:pt idx="1">
                  <c:v>4-8</c:v>
                </c:pt>
                <c:pt idx="2">
                  <c:v>8-12</c:v>
                </c:pt>
                <c:pt idx="3">
                  <c:v>12-16</c:v>
                </c:pt>
                <c:pt idx="4">
                  <c:v>16-20</c:v>
                </c:pt>
                <c:pt idx="5">
                  <c:v>20-24</c:v>
                </c:pt>
                <c:pt idx="6">
                  <c:v>24-28</c:v>
                </c:pt>
                <c:pt idx="7">
                  <c:v>28-32</c:v>
                </c:pt>
                <c:pt idx="8">
                  <c:v>32-36</c:v>
                </c:pt>
                <c:pt idx="9">
                  <c:v>36-40</c:v>
                </c:pt>
                <c:pt idx="10">
                  <c:v>40-44</c:v>
                </c:pt>
              </c:strCache>
            </c:strRef>
          </c:cat>
          <c:val>
            <c:numRef>
              <c:f>Sheet4!$F$5:$F$16</c:f>
              <c:numCache>
                <c:formatCode>General</c:formatCode>
                <c:ptCount val="11"/>
                <c:pt idx="0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169-4D2B-A2AC-0D9D52D47D0F}"/>
            </c:ext>
          </c:extLst>
        </c:ser>
        <c:ser>
          <c:idx val="5"/>
          <c:order val="5"/>
          <c:tx>
            <c:strRef>
              <c:f>Sheet4!$G$3:$G$4</c:f>
              <c:strCache>
                <c:ptCount val="1"/>
                <c:pt idx="0">
                  <c:v>ss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Sheet4!$A$5:$A$16</c:f>
              <c:strCache>
                <c:ptCount val="11"/>
                <c:pt idx="0">
                  <c:v>0-4</c:v>
                </c:pt>
                <c:pt idx="1">
                  <c:v>4-8</c:v>
                </c:pt>
                <c:pt idx="2">
                  <c:v>8-12</c:v>
                </c:pt>
                <c:pt idx="3">
                  <c:v>12-16</c:v>
                </c:pt>
                <c:pt idx="4">
                  <c:v>16-20</c:v>
                </c:pt>
                <c:pt idx="5">
                  <c:v>20-24</c:v>
                </c:pt>
                <c:pt idx="6">
                  <c:v>24-28</c:v>
                </c:pt>
                <c:pt idx="7">
                  <c:v>28-32</c:v>
                </c:pt>
                <c:pt idx="8">
                  <c:v>32-36</c:v>
                </c:pt>
                <c:pt idx="9">
                  <c:v>36-40</c:v>
                </c:pt>
                <c:pt idx="10">
                  <c:v>40-44</c:v>
                </c:pt>
              </c:strCache>
            </c:strRef>
          </c:cat>
          <c:val>
            <c:numRef>
              <c:f>Sheet4!$G$5:$G$16</c:f>
              <c:numCache>
                <c:formatCode>General</c:formatCode>
                <c:ptCount val="11"/>
                <c:pt idx="0">
                  <c:v>5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D169-4D2B-A2AC-0D9D52D47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107968"/>
        <c:axId val="225109504"/>
      </c:barChart>
      <c:catAx>
        <c:axId val="2251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5109504"/>
        <c:crosses val="autoZero"/>
        <c:auto val="1"/>
        <c:lblAlgn val="ctr"/>
        <c:lblOffset val="100"/>
        <c:noMultiLvlLbl val="0"/>
      </c:catAx>
      <c:valAx>
        <c:axId val="22510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510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</xdr:colOff>
      <xdr:row>12</xdr:row>
      <xdr:rowOff>76200</xdr:rowOff>
    </xdr:from>
    <xdr:to>
      <xdr:col>13</xdr:col>
      <xdr:colOff>319087</xdr:colOff>
      <xdr:row>28</xdr:row>
      <xdr:rowOff>76200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" refreshedDate="43237.7184494213" createdVersion="1" refreshedVersion="6" recordCount="700" upgradeOnRefresh="1">
  <cacheSource type="worksheet">
    <worksheetSource ref="A1:U701" sheet="怪しいデータを手直し"/>
  </cacheSource>
  <cacheFields count="21">
    <cacheField name="X " numFmtId="0">
      <sharedItems containsSemiMixedTypes="0" containsString="0" containsNumber="1" containsInteger="1" minValue="0" maxValue="50"/>
    </cacheField>
    <cacheField name="Y " numFmtId="0">
      <sharedItems containsSemiMixedTypes="0" containsString="0" containsNumber="1" containsInteger="1" minValue="-50" maxValue="40"/>
    </cacheField>
    <cacheField name="X0" numFmtId="177">
      <sharedItems containsSemiMixedTypes="0" containsString="0" containsNumber="1" minValue="7.1383060376698781E-2" maxValue="50.277366863519219"/>
    </cacheField>
    <cacheField name="Y0" numFmtId="177">
      <sharedItems containsSemiMixedTypes="0" containsString="0" containsNumber="1" minValue="-49.889621268789163" maxValue="49.442807106641339"/>
    </cacheField>
    <cacheField name=" no" numFmtId="177">
      <sharedItems containsNonDate="0" containsString="0" containsBlank="1"/>
    </cacheField>
    <cacheField name="sppno" numFmtId="0">
      <sharedItems containsSemiMixedTypes="0" containsString="0" containsNumber="1" containsInteger="1" minValue="1" maxValue="2010"/>
    </cacheField>
    <cacheField name="spp" numFmtId="0">
      <sharedItems count="6">
        <s v="lc"/>
        <s v="pt"/>
        <s v="bp"/>
        <s v="af"/>
        <s v="ss"/>
        <s v="sb"/>
      </sharedItems>
    </cacheField>
    <cacheField name="gbh01cm" numFmtId="178">
      <sharedItems containsString="0" containsBlank="1" containsNumber="1" minValue="8.8000000000000007" maxValue="135"/>
    </cacheField>
    <cacheField name="dbh01 " numFmtId="176">
      <sharedItems containsString="0" containsBlank="1" containsNumber="1" minValue="0.1" maxValue="6.35"/>
    </cacheField>
    <cacheField name="gbh04 " numFmtId="176">
      <sharedItems containsBlank="1" containsMixedTypes="1" containsNumber="1" minValue="5.3" maxValue="105.3"/>
    </cacheField>
    <cacheField name="dbh04mm" numFmtId="176">
      <sharedItems containsString="0" containsBlank="1" containsNumber="1" minValue="1.33" maxValue="29.4"/>
    </cacheField>
    <cacheField name="樹高01 " numFmtId="178">
      <sharedItems containsString="0" containsBlank="1" containsNumber="1" minValue="0.9" maxValue="21.4"/>
    </cacheField>
    <cacheField name="生枝01" numFmtId="178">
      <sharedItems containsString="0" containsBlank="1" containsNumber="1" minValue="0" maxValue="10.9"/>
    </cacheField>
    <cacheField name="樹高04ｍ" numFmtId="0">
      <sharedItems containsString="0" containsBlank="1" containsNumber="1" minValue="2.4" maxValue="9.5"/>
    </cacheField>
    <cacheField name="生枝04ｍ" numFmtId="0">
      <sharedItems containsBlank="1" containsMixedTypes="1" containsNumber="1" minValue="1" maxValue="3.7"/>
    </cacheField>
    <cacheField name="生/死01 " numFmtId="0">
      <sharedItems containsBlank="1"/>
    </cacheField>
    <cacheField name="生/死04" numFmtId="0">
      <sharedItems containsNonDate="0" containsString="0" containsBlank="1"/>
    </cacheField>
    <cacheField name="notes 01" numFmtId="0">
      <sharedItems containsBlank="1"/>
    </cacheField>
    <cacheField name="note 04" numFmtId="0">
      <sharedItems containsBlank="1"/>
    </cacheField>
    <cacheField name="DBH01" numFmtId="0">
      <sharedItems containsSemiMixedTypes="0" containsString="0" containsNumber="1" minValue="0.1" maxValue="42.971834634811742" count="458">
        <n v="0.1"/>
        <n v="0.12"/>
        <n v="0.14000000000000001"/>
        <n v="0.15"/>
        <n v="0.17"/>
        <n v="0.19"/>
        <n v="0.21"/>
        <n v="0.22"/>
        <n v="0.24"/>
        <n v="0.26"/>
        <n v="0.28000000000000003"/>
        <n v="0.3"/>
        <n v="0.34"/>
        <n v="0.36"/>
        <n v="0.37"/>
        <n v="0.39"/>
        <n v="0.4"/>
        <n v="0.41"/>
        <n v="0.43"/>
        <n v="0.44"/>
        <n v="0.45"/>
        <n v="0.46"/>
        <n v="0.49"/>
        <n v="0.5"/>
        <n v="0.51"/>
        <n v="0.54"/>
        <n v="0.55000000000000004"/>
        <n v="0.56000000000000005"/>
        <n v="0.56999999999999995"/>
        <n v="0.6"/>
        <n v="0.61"/>
        <n v="0.62"/>
        <n v="0.63"/>
        <n v="0.64"/>
        <n v="0.65"/>
        <n v="0.67"/>
        <n v="0.69"/>
        <n v="0.7"/>
        <n v="0.73"/>
        <n v="0.74"/>
        <n v="0.75"/>
        <n v="0.76"/>
        <n v="0.78"/>
        <n v="0.79"/>
        <n v="0.8"/>
        <n v="0.81"/>
        <n v="0.82"/>
        <n v="0.83"/>
        <n v="0.84"/>
        <n v="0.85"/>
        <n v="0.86"/>
        <n v="0.87"/>
        <n v="0.89"/>
        <n v="0.9"/>
        <n v="0.91"/>
        <n v="0.92"/>
        <n v="0.94"/>
        <n v="0.95"/>
        <n v="0.96"/>
        <n v="0.97"/>
        <n v="0.99"/>
        <n v="1"/>
        <n v="1.01"/>
        <n v="1.02"/>
        <n v="1.03"/>
        <n v="1.04"/>
        <n v="1.05"/>
        <n v="1.06"/>
        <n v="1.08"/>
        <n v="1.0900000000000001"/>
        <n v="1.1000000000000001"/>
        <n v="1.1299999999999999"/>
        <n v="1.1499999999999999"/>
        <n v="1.18"/>
        <n v="1.19"/>
        <n v="1.22"/>
        <n v="1.23"/>
        <n v="1.24"/>
        <n v="1.25"/>
        <n v="1.26"/>
        <n v="1.27"/>
        <n v="1.28"/>
        <n v="1.3"/>
        <n v="1.31"/>
        <n v="1.32"/>
        <n v="1.33"/>
        <n v="1.34"/>
        <n v="1.35"/>
        <n v="1.36"/>
        <n v="1.38"/>
        <n v="1.4"/>
        <n v="1.41"/>
        <n v="1.42"/>
        <n v="1.44"/>
        <n v="1.45"/>
        <n v="1.46"/>
        <n v="1.47"/>
        <n v="1.48"/>
        <n v="1.5"/>
        <n v="1.51"/>
        <n v="1.52"/>
        <n v="1.53"/>
        <n v="1.54"/>
        <n v="1.55"/>
        <n v="1.56"/>
        <n v="1.57"/>
        <n v="1.59"/>
        <n v="1.61"/>
        <n v="1.63"/>
        <n v="1.64"/>
        <n v="1.67"/>
        <n v="1.68"/>
        <n v="1.69"/>
        <n v="1.7"/>
        <n v="1.73"/>
        <n v="1.74"/>
        <n v="1.76"/>
        <n v="1.79"/>
        <n v="1.8"/>
        <n v="1.81"/>
        <n v="1.82"/>
        <n v="1.83"/>
        <n v="1.84"/>
        <n v="1.86"/>
        <n v="1.87"/>
        <n v="1.88"/>
        <n v="1.89"/>
        <n v="1.93"/>
        <n v="1.94"/>
        <n v="1.96"/>
        <n v="1.97"/>
        <n v="1.98"/>
        <n v="1.99"/>
        <n v="2.02"/>
        <n v="2.0299999999999998"/>
        <n v="2.0499999999999998"/>
        <n v="2.06"/>
        <n v="2.0699999999999998"/>
        <n v="2.08"/>
        <n v="2.09"/>
        <n v="2.1"/>
        <n v="2.12"/>
        <n v="2.13"/>
        <n v="2.14"/>
        <n v="2.1800000000000002"/>
        <n v="2.2000000000000002"/>
        <n v="2.21"/>
        <n v="2.2200000000000002"/>
        <n v="2.23"/>
        <n v="2.2400000000000002"/>
        <n v="2.25"/>
        <n v="2.2599999999999998"/>
        <n v="2.27"/>
        <n v="2.2799999999999998"/>
        <n v="2.29"/>
        <n v="2.2999999999999998"/>
        <n v="2.31"/>
        <n v="2.3199999999999998"/>
        <n v="2.33"/>
        <n v="2.34"/>
        <n v="2.35"/>
        <n v="2.36"/>
        <n v="2.38"/>
        <n v="2.39"/>
        <n v="2.41"/>
        <n v="2.42"/>
        <n v="2.4300000000000002"/>
        <n v="2.4500000000000002"/>
        <n v="2.4700000000000002"/>
        <n v="2.4900000000000002"/>
        <n v="2.5"/>
        <n v="2.5099999999999998"/>
        <n v="2.5299999999999998"/>
        <n v="2.54"/>
        <n v="2.5499999999999998"/>
        <n v="2.59"/>
        <n v="2.6"/>
        <n v="2.61"/>
        <n v="2.62"/>
        <n v="2.65"/>
        <n v="2.67"/>
        <n v="2.69"/>
        <n v="2.7"/>
        <n v="2.71"/>
        <n v="2.74"/>
        <n v="2.77"/>
        <n v="2.8"/>
        <n v="2.8011269984173581"/>
        <n v="2.8329579870357371"/>
        <n v="2.84"/>
        <n v="2.85"/>
        <n v="2.89"/>
        <n v="2.896619964272495"/>
        <n v="2.9"/>
        <n v="2.928450952890874"/>
        <n v="2.93"/>
        <n v="2.94"/>
        <n v="2.9602819415092534"/>
        <n v="2.9921129301276324"/>
        <n v="3.0239439187460113"/>
        <n v="3.04"/>
        <n v="3.08"/>
        <n v="3.0876058959827692"/>
        <n v="3.1194368846011491"/>
        <n v="3.13"/>
        <n v="3.1512678732195281"/>
        <n v="3.16"/>
        <n v="3.17"/>
        <n v="3.183098861837907"/>
        <n v="3.19"/>
        <n v="3.21"/>
        <n v="3.214929850456286"/>
        <n v="3.246760839074665"/>
        <n v="3.2785918276930444"/>
        <n v="3.3104228163114233"/>
        <n v="3.34"/>
        <n v="3.3422538049298023"/>
        <n v="3.3740847935481812"/>
        <n v="3.4059157821665602"/>
        <n v="3.41"/>
        <n v="3.4377467707849396"/>
        <n v="3.4695777594033186"/>
        <n v="3.5014087480216975"/>
        <n v="3.5332397366400765"/>
        <n v="3.5650707252584555"/>
        <n v="3.59"/>
        <n v="3.5969017138768349"/>
        <n v="3.6"/>
        <n v="3.61"/>
        <n v="3.6287327024952138"/>
        <n v="3.6605636911135928"/>
        <n v="3.6923946797319718"/>
        <n v="3.7242256683503507"/>
        <n v="3.7560566569687301"/>
        <n v="3.7878876455871091"/>
        <n v="3.88"/>
        <n v="3.883380611442246"/>
        <n v="3.9152116000606259"/>
        <n v="3.9470425886790048"/>
        <n v="3.9788735772973833"/>
        <n v="4.0425355545341413"/>
        <n v="4.0743665431525207"/>
        <n v="4.1061975317709001"/>
        <n v="4.1380285203892786"/>
        <n v="4.169859509007658"/>
        <n v="4.2016904976260365"/>
        <n v="4.2335214862444159"/>
        <n v="4.2653524748627953"/>
        <n v="4.2971834634811739"/>
        <n v="4.3290144520995533"/>
        <n v="4.3608454407179318"/>
        <n v="4.45633840657307"/>
        <n v="4.520000383809827"/>
        <n v="4.5518313724282073"/>
        <n v="4.5836623610465859"/>
        <n v="4.6473243382833438"/>
        <n v="4.6791553269017232"/>
        <n v="4.7109863155201026"/>
        <n v="4.8383102699936185"/>
        <n v="4.8701412586119979"/>
        <n v="4.9019722472303764"/>
        <n v="4.9656342244671343"/>
        <n v="5.0292962017038931"/>
        <n v="5.0929581789406511"/>
        <n v="5.1247891675590305"/>
        <n v="5.156620156177409"/>
        <n v="5.1884511447957884"/>
        <n v="5.2202821334141669"/>
        <n v="5.2521131220325463"/>
        <n v="5.3157750992693042"/>
        <n v="5.3476060878876837"/>
        <n v="5.4749300423611995"/>
        <n v="5.5067610309795789"/>
        <n v="5.5385920195979574"/>
        <n v="5.5704230082163368"/>
        <n v="5.6022539968347163"/>
        <n v="5.6340849854530948"/>
        <n v="5.6659159740714742"/>
        <n v="5.6977469626898527"/>
        <n v="5.7295779513082321"/>
        <n v="5.7614089399266115"/>
        <n v="5.79323992854499"/>
        <n v="5.856901905781748"/>
        <n v="5.8887328944001274"/>
        <n v="5.9523948716368853"/>
        <n v="5.9842258602552647"/>
        <n v="6.0160568488736432"/>
        <n v="6.1115498147287806"/>
        <n v="6.1433808033471609"/>
        <n v="6.1752117919655385"/>
        <n v="6.2070427805839179"/>
        <n v="6.2707047578206758"/>
        <n v="6.3343667350574338"/>
        <n v="6.35"/>
        <n v="6.3980287122941935"/>
        <n v="6.4616906895309514"/>
        <n v="6.5253526667677093"/>
        <n v="6.5571836553860887"/>
        <n v="6.5890146440044672"/>
        <n v="6.7800005757147419"/>
        <n v="6.8118315643331204"/>
        <n v="6.8754935415698792"/>
        <n v="6.9391555188066372"/>
        <n v="7.0346484846617745"/>
        <n v="7.0983104618985324"/>
        <n v="7.1619724391352904"/>
        <n v="7.2892963936088062"/>
        <n v="7.3211273822271856"/>
        <n v="7.352958370845565"/>
        <n v="7.416620348082323"/>
        <n v="7.4484513367007015"/>
        <n v="7.4802823253190809"/>
        <n v="7.5121133139374603"/>
        <n v="7.6394372684109761"/>
        <n v="7.6712682570293556"/>
        <n v="7.7030992456477341"/>
        <n v="7.766761222884492"/>
        <n v="7.7985922115028714"/>
        <n v="7.8940851773580096"/>
        <n v="7.9259161659763873"/>
        <n v="7.9577471545947667"/>
        <n v="8.1169020976866619"/>
        <n v="8.2760570407785572"/>
        <n v="8.3715500066336954"/>
        <n v="8.4670429724888319"/>
        <n v="8.5307049497255907"/>
        <n v="8.5625359383439683"/>
        <n v="8.753521870054243"/>
        <n v="8.7853528586726242"/>
        <n v="8.8490148359093812"/>
        <n v="9.0081697790012765"/>
        <n v="9.0400007676196541"/>
        <n v="9.1354937334747923"/>
        <n v="9.326479665185067"/>
        <n v="9.3583106538034464"/>
        <n v="9.3901416424218258"/>
        <n v="9.4538036196585828"/>
        <n v="9.5492965855137211"/>
        <n v="9.7084515286056163"/>
        <n v="9.8676064716975116"/>
        <n v="9.9312684489342686"/>
        <n v="9.9949304261710274"/>
        <n v="10.058592403407786"/>
        <n v="10.122254380644543"/>
        <n v="10.281409323736439"/>
        <n v="10.313240312354818"/>
        <n v="10.345071300973197"/>
        <n v="10.408733278209956"/>
        <n v="10.440564266828334"/>
        <n v="10.504226244065093"/>
        <n v="10.567888221301851"/>
        <n v="10.631550198538608"/>
        <n v="10.663381187156988"/>
        <n v="10.981691073340778"/>
        <n v="11.045353050577537"/>
        <n v="11.077184039195915"/>
        <n v="11.140846016432674"/>
        <n v="11.172677005051053"/>
        <n v="11.204507993669433"/>
        <n v="11.26816997090619"/>
        <n v="11.459155902616464"/>
        <n v="11.522817879853223"/>
        <n v="11.618310845708359"/>
        <n v="11.650141834326739"/>
        <n v="11.681972822945118"/>
        <n v="11.777465788800255"/>
        <n v="11.904789743273771"/>
        <n v="11.968451720510529"/>
        <n v="12.000282709128909"/>
        <n v="12.063944686365666"/>
        <n v="12.095775674984045"/>
        <n v="12.159437652220806"/>
        <n v="12.223099629457561"/>
        <n v="12.477747538404596"/>
        <n v="12.509578527022972"/>
        <n v="12.541409515641352"/>
        <n v="12.573240504259733"/>
        <n v="12.636902481496492"/>
        <n v="12.732395447351628"/>
        <n v="12.859719401825144"/>
        <n v="12.891550390443523"/>
        <n v="12.923381379061903"/>
        <n v="13.050705333535419"/>
        <n v="13.114367310772177"/>
        <n v="13.146198299390555"/>
        <n v="13.209860276627314"/>
        <n v="13.591832140047863"/>
        <n v="13.814649060376516"/>
        <n v="13.846480048994895"/>
        <n v="13.910142026231654"/>
        <n v="14.228451912415444"/>
        <n v="14.260282901033822"/>
        <n v="14.38760685550734"/>
        <n v="14.451268832744097"/>
        <n v="14.769578718927887"/>
        <n v="14.928733662019782"/>
        <n v="15.278874536821952"/>
        <n v="15.406198491295468"/>
        <n v="15.597184423005743"/>
        <n v="15.724508377479259"/>
        <n v="15.820001343334399"/>
        <n v="15.979156286426294"/>
        <n v="16.01098727504467"/>
        <n v="16.233804195373324"/>
        <n v="16.456621115701978"/>
        <n v="16.615776058793873"/>
        <n v="16.934085944977664"/>
        <n v="17.061409899451181"/>
        <n v="17.443381762871727"/>
        <n v="18.111832523857689"/>
        <n v="18.239156478331207"/>
        <n v="18.366480432804725"/>
        <n v="18.621128341751756"/>
        <n v="18.780283284843652"/>
        <n v="19.034931193790683"/>
        <n v="19.098593171027442"/>
        <n v="19.512396023066369"/>
        <n v="19.576058000303128"/>
        <n v="19.607888988921506"/>
        <n v="19.989860852342055"/>
        <n v="20.180846784052328"/>
        <n v="20.308170738525845"/>
        <n v="20.84929754503829"/>
        <n v="20.881128533656668"/>
        <n v="21.294931385695598"/>
        <n v="21.326762374313976"/>
        <n v="21.899720169444798"/>
        <n v="22.027044123918316"/>
        <n v="22.218030055628589"/>
        <n v="22.663663896285897"/>
        <n v="22.759156862141033"/>
        <n v="22.981973782469687"/>
        <n v="23.236621691416719"/>
        <n v="23.363945645890237"/>
        <n v="24.032396406876195"/>
        <n v="24.350706293059986"/>
        <n v="24.98732606542757"/>
        <n v="25.305635951611361"/>
        <n v="25.464790894703256"/>
        <n v="25.592114849176774"/>
        <n v="27.374650211805999"/>
        <n v="27.947608006936822"/>
        <n v="28.170424927265476"/>
        <n v="28.71155173377792"/>
        <n v="29.09352359719847"/>
        <n v="29.284509528908742"/>
        <n v="29.793805346802806"/>
        <n v="30.939720937064454"/>
        <n v="30.971551925682832"/>
        <n v="31.671833675287171"/>
        <n v="32.181129493181238"/>
        <n v="32.785918276930438"/>
        <n v="32.849580254167201"/>
        <n v="33.104228163114229"/>
        <n v="37.242256683503513"/>
        <n v="37.719721512779195"/>
        <n v="40.680003454288446"/>
        <n v="42.971834634811742"/>
      </sharedItems>
      <fieldGroup base="19">
        <rangePr autoStart="0" startNum="0" endNum="42.971834634811742" groupInterval="4"/>
        <groupItems count="13">
          <s v="&lt;0"/>
          <s v="0-4"/>
          <s v="4-8"/>
          <s v="8-12"/>
          <s v="12-16"/>
          <s v="16-20"/>
          <s v="20-24"/>
          <s v="24-28"/>
          <s v="28-32"/>
          <s v="32-36"/>
          <s v="36-40"/>
          <s v="40-44"/>
          <s v="&gt;44"/>
        </groupItems>
      </fieldGroup>
    </cacheField>
    <cacheField name="DBH04" numFmtId="0">
      <sharedItems containsMixedTypes="1" containsNumber="1" minValue="0" maxValue="33.518031015153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岡部桃子" refreshedDate="43530.777244907411" createdVersion="4" refreshedVersion="4" minRefreshableVersion="3" recordCount="346">
  <cacheSource type="worksheet">
    <worksheetSource ref="A1:I347" sheet="int0115"/>
  </cacheSource>
  <cacheFields count="9">
    <cacheField name="#num" numFmtId="0">
      <sharedItems containsSemiMixedTypes="0" containsString="0" containsNumber="1" containsInteger="1" minValue="2" maxValue="4782"/>
    </cacheField>
    <cacheField name="x" numFmtId="0">
      <sharedItems containsSemiMixedTypes="0" containsString="0" containsNumber="1" minValue="1.0700791983558624" maxValue="50.277366863519219"/>
    </cacheField>
    <cacheField name="y" numFmtId="0">
      <sharedItems containsSemiMixedTypes="0" containsString="0" containsNumber="1" minValue="-40.852567834469262" maxValue="49.442807106641339"/>
    </cacheField>
    <cacheField name="spp" numFmtId="0">
      <sharedItems/>
    </cacheField>
    <cacheField name="dbh01" numFmtId="0">
      <sharedItems containsSemiMixedTypes="0" containsString="0" containsNumber="1" minValue="0" maxValue="21.899720169444798" count="260">
        <n v="0"/>
        <n v="2.14"/>
        <n v="3.61"/>
        <n v="9.4538036196585828"/>
        <n v="5.79323992854499"/>
        <n v="8.8490148359093812"/>
        <n v="4.6473243382833438"/>
        <n v="4.169859509007658"/>
        <n v="14.260282901033822"/>
        <n v="7.9577471545947667"/>
        <n v="3.1194368846011491"/>
        <n v="3.9470425886790048"/>
        <n v="13.209860276627314"/>
        <n v="4.5836623610465859"/>
        <n v="12.223099629457561"/>
        <n v="3.183098861837907"/>
        <n v="1.57"/>
        <n v="16.233804195373324"/>
        <n v="5.4749300423611995"/>
        <n v="11.681972822945118"/>
        <n v="6.2070427805839179"/>
        <n v="0.79"/>
        <n v="5.0292962017038931"/>
        <n v="7.0346484846617745"/>
        <n v="2.2599999999999998"/>
        <n v="1.54"/>
        <n v="6.1752117919655385"/>
        <n v="1.38"/>
        <n v="1.4"/>
        <n v="3.41"/>
        <n v="7.352958370845565"/>
        <n v="6.4616906895309514"/>
        <n v="3.0239439187460113"/>
        <n v="3.4377467707849396"/>
        <n v="1.97"/>
        <n v="5.156620156177409"/>
        <n v="2.09"/>
        <n v="6.3980287122941935"/>
        <n v="10.281409323736439"/>
        <n v="2.94"/>
        <n v="16.615776058793873"/>
        <n v="9.5492965855137211"/>
        <n v="3.13"/>
        <n v="16.456621115701978"/>
        <n v="1.27"/>
        <n v="3.6923946797319718"/>
        <n v="4.0743665431525207"/>
        <n v="7.0983104618985324"/>
        <n v="14.228451912415444"/>
        <n v="11.204507993669433"/>
        <n v="5.2202821334141669"/>
        <n v="4.1061975317709001"/>
        <n v="11.459155902616464"/>
        <n v="3.5014087480216975"/>
        <n v="0.84"/>
        <n v="0.9"/>
        <n v="1.51"/>
        <n v="6.5571836553860887"/>
        <n v="1.84"/>
        <n v="1.02"/>
        <n v="0.65"/>
        <n v="15.278874536821952"/>
        <n v="3.2785918276930444"/>
        <n v="3.7242256683503507"/>
        <n v="1.06"/>
        <n v="6.1433808033471609"/>
        <n v="0.99"/>
        <n v="2.8"/>
        <n v="3.6"/>
        <n v="1.05"/>
        <n v="1.61"/>
        <n v="19.034931193790683"/>
        <n v="0.61"/>
        <n v="2.34"/>
        <n v="0.28000000000000003"/>
        <n v="1.3"/>
        <n v="2.4900000000000002"/>
        <n v="5.6022539968347163"/>
        <n v="2.2799999999999998"/>
        <n v="3.19"/>
        <n v="2.77"/>
        <n v="3.08"/>
        <n v="0.86"/>
        <n v="1.25"/>
        <n v="5.2521131220325463"/>
        <n v="1.1499999999999999"/>
        <n v="12.159437652220806"/>
        <n v="2.89"/>
        <n v="2.33"/>
        <n v="7.7030992456477341"/>
        <n v="2.928450952890874"/>
        <n v="1.8"/>
        <n v="2.65"/>
        <n v="5.5385920195979574"/>
        <n v="6.0160568488736432"/>
        <n v="8.1169020976866619"/>
        <n v="4.2016904976260365"/>
        <n v="0.22"/>
        <n v="5.6977469626898527"/>
        <n v="5.0929581789406511"/>
        <n v="3.7878876455871091"/>
        <n v="4.7109863155201026"/>
        <n v="4.8383102699936185"/>
        <n v="2.9602819415092534"/>
        <n v="1.34"/>
        <n v="4.45633840657307"/>
        <n v="1.33"/>
        <n v="0.95"/>
        <n v="1.22"/>
        <n v="6.5253526667677093"/>
        <n v="7.4802823253190809"/>
        <n v="13.846480048994895"/>
        <n v="2.69"/>
        <n v="2.2200000000000002"/>
        <n v="1.0900000000000001"/>
        <n v="1.73"/>
        <n v="1.68"/>
        <n v="0.69"/>
        <n v="2.59"/>
        <n v="0.26"/>
        <n v="1.1299999999999999"/>
        <n v="7.3211273822271856"/>
        <n v="1.18"/>
        <n v="1.99"/>
        <n v="9.3901416424218258"/>
        <n v="9.9312684489342686"/>
        <n v="3.883380611442246"/>
        <n v="5.3476060878876837"/>
        <n v="3.3422538049298023"/>
        <n v="11.618310845708359"/>
        <n v="2.36"/>
        <n v="6.8118315643331204"/>
        <n v="10.313240312354818"/>
        <n v="4.3608454407179318"/>
        <n v="9.0081697790012765"/>
        <n v="3.1512678732195281"/>
        <n v="2.62"/>
        <n v="3.5650707252584555"/>
        <n v="0.43"/>
        <n v="0.5"/>
        <n v="12.095775674984045"/>
        <n v="4.0425355545341413"/>
        <n v="6.9391555188066372"/>
        <n v="2.9921129301276324"/>
        <n v="1.88"/>
        <n v="0.49"/>
        <n v="3.4059157821665602"/>
        <n v="3.214929850456286"/>
        <n v="8.5625359383439683"/>
        <n v="5.7295779513082321"/>
        <n v="1.63"/>
        <n v="1.24"/>
        <n v="3.59"/>
        <n v="2.0499999999999998"/>
        <n v="1"/>
        <n v="8.5307049497255907"/>
        <n v="1.31"/>
        <n v="12.923381379061903"/>
        <n v="5.1884511447957884"/>
        <n v="3.21"/>
        <n v="2.25"/>
        <n v="1.56"/>
        <n v="3.04"/>
        <n v="6.35"/>
        <n v="1.23"/>
        <n v="0.87"/>
        <n v="15.820001343334399"/>
        <n v="0.97"/>
        <n v="1.26"/>
        <n v="7.4484513367007015"/>
        <n v="14.928733662019782"/>
        <n v="5.7614089399266115"/>
        <n v="5.6659159740714742"/>
        <n v="4.9019722472303764"/>
        <n v="5.3157750992693042"/>
        <n v="6.8754935415698792"/>
        <n v="0.36"/>
        <n v="2.08"/>
        <n v="0.96"/>
        <n v="2.93"/>
        <n v="2.9"/>
        <n v="0.73"/>
        <n v="2.06"/>
        <n v="5.5067610309795789"/>
        <n v="9.1354937334747923"/>
        <n v="7.766761222884492"/>
        <n v="6.5890146440044672"/>
        <n v="21.899720169444798"/>
        <n v="2.13"/>
        <n v="2.8329579870357371"/>
        <n v="7.2892963936088062"/>
        <n v="5.856901905781748"/>
        <n v="0.76"/>
        <n v="10.981691073340778"/>
        <n v="1.35"/>
        <n v="6.7800005757147419"/>
        <n v="12.636902481496492"/>
        <n v="18.366480432804725"/>
        <n v="12.859719401825144"/>
        <n v="5.9842258602552647"/>
        <n v="4.5518313724282073"/>
        <n v="3.9152116000606259"/>
        <n v="10.567888221301851"/>
        <n v="3.4695777594033186"/>
        <n v="4.8701412586119979"/>
        <n v="12.541409515641352"/>
        <n v="2.38"/>
        <n v="9.0400007676196541"/>
        <n v="7.5121133139374603"/>
        <n v="10.440564266828334"/>
        <n v="6.1115498147287806"/>
        <n v="7.6712682570293556"/>
        <n v="10.663381187156988"/>
        <n v="1.69"/>
        <n v="15.597184423005743"/>
        <n v="4.2335214862444159"/>
        <n v="1.01"/>
        <n v="19.098593171027442"/>
        <n v="2.29"/>
        <n v="0.7"/>
        <n v="8.4670429724888319"/>
        <n v="5.8887328944001274"/>
        <n v="0.63"/>
        <n v="11.140846016432674"/>
        <n v="2.27"/>
        <n v="0.55000000000000004"/>
        <n v="3.9788735772973833"/>
        <n v="8.7853528586726242"/>
        <n v="0.44"/>
        <n v="0.19"/>
        <n v="4.2653524748627953"/>
        <n v="3.6287327024952138"/>
        <n v="2.5299999999999998"/>
        <n v="1.87"/>
        <n v="1.86"/>
        <n v="3.16"/>
        <n v="2.02"/>
        <n v="0.56999999999999995"/>
        <n v="1.82"/>
        <n v="4.2971834634811739"/>
        <n v="18.239156478331207"/>
        <n v="13.591832140047863"/>
        <n v="0.62"/>
        <n v="15.406198491295468"/>
        <n v="4.6791553269017232"/>
        <n v="11.045353050577537"/>
        <n v="10.408733278209956"/>
        <n v="2.896619964272495"/>
        <n v="1.76"/>
        <n v="1.98"/>
        <n v="3.5969017138768349"/>
        <n v="8.2760570407785572"/>
        <n v="2.5099999999999998"/>
        <n v="1.83"/>
        <n v="2.84"/>
        <n v="2.42"/>
        <n v="7.8940851773580096"/>
        <n v="0.54"/>
        <n v="0.81"/>
        <n v="0.39"/>
      </sharedItems>
      <fieldGroup base="4">
        <rangePr startNum="0" endNum="21.899720169444798" groupInterval="2"/>
        <groupItems count="13">
          <s v="&lt;0"/>
          <s v="0-2"/>
          <s v="2-4"/>
          <s v="4-6"/>
          <s v="6-8"/>
          <s v="8-10"/>
          <s v="10-12"/>
          <s v="12-14"/>
          <s v="14-16"/>
          <s v="16-18"/>
          <s v="18-20"/>
          <s v="20-22"/>
          <s v="&gt;22"/>
        </groupItems>
      </fieldGroup>
    </cacheField>
    <cacheField name="dbh04" numFmtId="0">
      <sharedItems containsSemiMixedTypes="0" containsString="0" containsNumber="1" minValue="0" maxValue="21.804227203589662"/>
    </cacheField>
    <cacheField name="hgt" numFmtId="0">
      <sharedItems containsSemiMixedTypes="0" containsString="0" containsNumber="1" minValue="0" maxValue="14.2"/>
    </cacheField>
    <cacheField name="sprout" numFmtId="0">
      <sharedItems containsSemiMixedTypes="0" containsString="0" containsNumber="1" containsInteger="1" minValue="4" maxValue="4778" count="51">
        <n v="4778"/>
        <n v="4747"/>
        <n v="828"/>
        <n v="702"/>
        <n v="696"/>
        <n v="678"/>
        <n v="646"/>
        <n v="608"/>
        <n v="581"/>
        <n v="574"/>
        <n v="562"/>
        <n v="546"/>
        <n v="527"/>
        <n v="507"/>
        <n v="501"/>
        <n v="460"/>
        <n v="453"/>
        <n v="446"/>
        <n v="443"/>
        <n v="435"/>
        <n v="430"/>
        <n v="427"/>
        <n v="423"/>
        <n v="418"/>
        <n v="411"/>
        <n v="409"/>
        <n v="364"/>
        <n v="358"/>
        <n v="352"/>
        <n v="347"/>
        <n v="302"/>
        <n v="284"/>
        <n v="265"/>
        <n v="245"/>
        <n v="224"/>
        <n v="212"/>
        <n v="202"/>
        <n v="199"/>
        <n v="195"/>
        <n v="176"/>
        <n v="170"/>
        <n v="146"/>
        <n v="139"/>
        <n v="112"/>
        <n v="111"/>
        <n v="105"/>
        <n v="94"/>
        <n v="50"/>
        <n v="37"/>
        <n v="19"/>
        <n v="4"/>
      </sharedItems>
    </cacheField>
    <cacheField name="age" numFmtId="0">
      <sharedItems containsString="0" containsBlank="1" containsNumber="1" containsInteger="1" minValue="12" maxValue="161" count="56">
        <m/>
        <n v="16"/>
        <n v="152"/>
        <n v="49"/>
        <n v="114"/>
        <n v="54"/>
        <n v="74"/>
        <n v="98"/>
        <n v="133"/>
        <n v="29"/>
        <n v="89"/>
        <n v="138"/>
        <n v="31"/>
        <n v="86"/>
        <n v="75"/>
        <n v="70"/>
        <n v="44"/>
        <n v="34"/>
        <n v="66"/>
        <n v="47"/>
        <n v="120"/>
        <n v="103"/>
        <n v="46"/>
        <n v="79"/>
        <n v="35"/>
        <n v="26"/>
        <n v="39"/>
        <n v="57"/>
        <n v="145"/>
        <n v="45"/>
        <n v="36"/>
        <n v="68"/>
        <n v="97"/>
        <n v="141"/>
        <n v="107"/>
        <n v="123"/>
        <n v="28"/>
        <n v="56"/>
        <n v="63"/>
        <n v="67"/>
        <n v="43"/>
        <n v="94"/>
        <n v="82"/>
        <n v="22"/>
        <n v="41"/>
        <n v="40"/>
        <n v="51"/>
        <n v="161"/>
        <n v="101"/>
        <n v="62"/>
        <n v="12"/>
        <n v="117"/>
        <n v="90"/>
        <n v="27"/>
        <n v="111"/>
        <n v="1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0">
  <r>
    <n v="10"/>
    <n v="-30"/>
    <n v="16.756079684882891"/>
    <n v="-23.565021877796898"/>
    <m/>
    <n v="624"/>
    <x v="0"/>
    <m/>
    <n v="0.1"/>
    <m/>
    <n v="6.9"/>
    <n v="1.4"/>
    <n v="0"/>
    <m/>
    <m/>
    <s v="L"/>
    <m/>
    <m/>
    <m/>
    <x v="0"/>
    <n v="6.9"/>
  </r>
  <r>
    <n v="20"/>
    <n v="-30"/>
    <n v="28.040213204678953"/>
    <n v="-29.632659846422754"/>
    <m/>
    <n v="655"/>
    <x v="1"/>
    <m/>
    <n v="0.12"/>
    <m/>
    <n v="3.3"/>
    <n v="1.4"/>
    <n v="0.7"/>
    <m/>
    <m/>
    <s v="L"/>
    <m/>
    <m/>
    <m/>
    <x v="1"/>
    <n v="3.3"/>
  </r>
  <r>
    <n v="10"/>
    <n v="0"/>
    <n v="14.368205115985283"/>
    <n v="6.4331474710584446"/>
    <m/>
    <n v="114"/>
    <x v="0"/>
    <m/>
    <n v="0.14000000000000001"/>
    <m/>
    <n v="10.199999999999999"/>
    <n v="1.4"/>
    <n v="0.3"/>
    <m/>
    <m/>
    <s v="L"/>
    <m/>
    <m/>
    <m/>
    <x v="2"/>
    <n v="10.199999999999999"/>
  </r>
  <r>
    <n v="0"/>
    <n v="-30"/>
    <n v="9.7795352861637976"/>
    <n v="-21.779507187767965"/>
    <m/>
    <n v="613"/>
    <x v="0"/>
    <m/>
    <n v="0.15"/>
    <m/>
    <n v="5.3"/>
    <n v="1.4"/>
    <n v="0.4"/>
    <m/>
    <m/>
    <s v="L"/>
    <m/>
    <m/>
    <s v="先枯"/>
    <x v="3"/>
    <n v="5.3"/>
  </r>
  <r>
    <n v="0"/>
    <n v="-20"/>
    <n v="3.7860272796370453"/>
    <n v="-19.006602991019648"/>
    <m/>
    <n v="585"/>
    <x v="0"/>
    <m/>
    <n v="0.17"/>
    <m/>
    <n v="7.8"/>
    <n v="1.4"/>
    <n v="0.3"/>
    <m/>
    <m/>
    <s v="L"/>
    <m/>
    <m/>
    <m/>
    <x v="4"/>
    <n v="7.8"/>
  </r>
  <r>
    <n v="10"/>
    <n v="10"/>
    <n v="19.512906347855239"/>
    <n v="13.843463648447257"/>
    <m/>
    <n v="109"/>
    <x v="2"/>
    <m/>
    <n v="0.19"/>
    <m/>
    <n v="3.8"/>
    <n v="1.4"/>
    <n v="0.4"/>
    <m/>
    <m/>
    <s v="L"/>
    <m/>
    <m/>
    <m/>
    <x v="5"/>
    <n v="3.8"/>
  </r>
  <r>
    <n v="0"/>
    <n v="-10"/>
    <n v="0.99993594683058107"/>
    <n v="-1.9720346225063956"/>
    <m/>
    <n v="402"/>
    <x v="0"/>
    <m/>
    <n v="0.19"/>
    <m/>
    <n v="8.1"/>
    <n v="1.5"/>
    <n v="0"/>
    <m/>
    <m/>
    <s v="L"/>
    <m/>
    <m/>
    <m/>
    <x v="5"/>
    <n v="8.1"/>
  </r>
  <r>
    <n v="20"/>
    <n v="-20"/>
    <n v="26.14893076961571"/>
    <n v="-15.041376912620358"/>
    <m/>
    <n v="558"/>
    <x v="1"/>
    <m/>
    <n v="0.21"/>
    <m/>
    <n v="6.2"/>
    <n v="1.6"/>
    <n v="0.3"/>
    <m/>
    <m/>
    <s v="L"/>
    <m/>
    <m/>
    <m/>
    <x v="6"/>
    <n v="6.2"/>
  </r>
  <r>
    <n v="40"/>
    <n v="-10"/>
    <n v="47.838459784886211"/>
    <n v="-2.6503101513682941"/>
    <m/>
    <n v="462"/>
    <x v="2"/>
    <m/>
    <n v="0.22"/>
    <m/>
    <n v="7.2"/>
    <n v="1.4"/>
    <n v="0.4"/>
    <m/>
    <m/>
    <s v="L"/>
    <m/>
    <m/>
    <m/>
    <x v="7"/>
    <n v="7.2"/>
  </r>
  <r>
    <n v="0"/>
    <n v="-10"/>
    <n v="0.35800174195920847"/>
    <n v="-3.3896872424404778"/>
    <m/>
    <n v="401"/>
    <x v="0"/>
    <m/>
    <n v="0.24"/>
    <m/>
    <n v="9.9"/>
    <n v="1.6"/>
    <n v="0"/>
    <m/>
    <m/>
    <s v="L"/>
    <m/>
    <m/>
    <m/>
    <x v="8"/>
    <n v="9.9"/>
  </r>
  <r>
    <n v="30"/>
    <n v="-10"/>
    <n v="38.977269466040433"/>
    <n v="-4.0167799426306585"/>
    <m/>
    <n v="444"/>
    <x v="2"/>
    <m/>
    <n v="0.26"/>
    <s v="dead"/>
    <m/>
    <n v="1"/>
    <m/>
    <m/>
    <m/>
    <s v="D"/>
    <m/>
    <m/>
    <m/>
    <x v="9"/>
    <s v="dead"/>
  </r>
  <r>
    <n v="30"/>
    <n v="-20"/>
    <n v="38.237587459751978"/>
    <n v="-18.662534388848133"/>
    <m/>
    <n v="515"/>
    <x v="1"/>
    <m/>
    <n v="0.28000000000000003"/>
    <m/>
    <n v="4.5"/>
    <n v="1.4"/>
    <n v="0.2"/>
    <m/>
    <m/>
    <s v="L"/>
    <m/>
    <m/>
    <m/>
    <x v="10"/>
    <n v="4.5"/>
  </r>
  <r>
    <n v="30"/>
    <n v="-20"/>
    <n v="30.072596810592465"/>
    <n v="-12.997259734314172"/>
    <m/>
    <n v="530"/>
    <x v="2"/>
    <m/>
    <n v="0.28000000000000003"/>
    <m/>
    <n v="7"/>
    <n v="1.4"/>
    <n v="0.3"/>
    <m/>
    <m/>
    <s v="L"/>
    <m/>
    <m/>
    <m/>
    <x v="10"/>
    <n v="7"/>
  </r>
  <r>
    <n v="40"/>
    <n v="30"/>
    <n v="48.896603355268482"/>
    <n v="30.463621450236197"/>
    <m/>
    <n v="326"/>
    <x v="3"/>
    <m/>
    <n v="0.3"/>
    <s v="不明"/>
    <m/>
    <n v="1.3"/>
    <n v="0.7"/>
    <m/>
    <m/>
    <s v="L"/>
    <m/>
    <m/>
    <s v="New 595かも"/>
    <x v="11"/>
    <e v="#VALUE!"/>
  </r>
  <r>
    <n v="30"/>
    <n v="10"/>
    <n v="39.475523248039664"/>
    <n v="13.752043600035297"/>
    <m/>
    <n v="239"/>
    <x v="1"/>
    <m/>
    <n v="0.34"/>
    <m/>
    <n v="7"/>
    <n v="1.8"/>
    <n v="0.7"/>
    <m/>
    <m/>
    <s v="L"/>
    <m/>
    <m/>
    <m/>
    <x v="12"/>
    <n v="7"/>
  </r>
  <r>
    <n v="30"/>
    <n v="10"/>
    <n v="33.495831695602774"/>
    <n v="12.926722064274653"/>
    <m/>
    <n v="234"/>
    <x v="0"/>
    <m/>
    <n v="0.36"/>
    <m/>
    <n v="10.5"/>
    <n v="1.5"/>
    <n v="0.1"/>
    <m/>
    <m/>
    <s v="L"/>
    <m/>
    <m/>
    <m/>
    <x v="13"/>
    <n v="10.5"/>
  </r>
  <r>
    <n v="30"/>
    <n v="0"/>
    <n v="34.050937810882921"/>
    <n v="9.6930927280564454"/>
    <m/>
    <n v="246"/>
    <x v="2"/>
    <m/>
    <n v="0.36"/>
    <m/>
    <n v="10.3"/>
    <n v="1.6"/>
    <n v="0.4"/>
    <m/>
    <m/>
    <s v="L"/>
    <m/>
    <m/>
    <m/>
    <x v="13"/>
    <n v="10.3"/>
  </r>
  <r>
    <n v="40"/>
    <n v="30"/>
    <n v="48.673566100653304"/>
    <n v="31.017407216696064"/>
    <m/>
    <n v="337"/>
    <x v="3"/>
    <m/>
    <n v="0.37"/>
    <s v="dead"/>
    <m/>
    <n v="1.3"/>
    <n v="0.6"/>
    <m/>
    <m/>
    <s v="L"/>
    <m/>
    <m/>
    <m/>
    <x v="14"/>
    <s v="dead"/>
  </r>
  <r>
    <n v="0"/>
    <n v="0"/>
    <n v="4.9136324761842101"/>
    <n v="8.9188592077476532"/>
    <m/>
    <n v="15"/>
    <x v="2"/>
    <m/>
    <n v="0.39"/>
    <m/>
    <n v="8.5"/>
    <n v="1.5"/>
    <n v="0.4"/>
    <m/>
    <m/>
    <s v="L"/>
    <m/>
    <m/>
    <m/>
    <x v="15"/>
    <n v="8.5"/>
  </r>
  <r>
    <n v="30"/>
    <n v="-20"/>
    <n v="38.593859788306851"/>
    <n v="-14.808624512795685"/>
    <m/>
    <n v="518"/>
    <x v="0"/>
    <m/>
    <n v="0.39"/>
    <m/>
    <n v="9.3000000000000007"/>
    <n v="1.5"/>
    <n v="0"/>
    <m/>
    <m/>
    <s v="L"/>
    <m/>
    <m/>
    <m/>
    <x v="15"/>
    <n v="9.3000000000000007"/>
  </r>
  <r>
    <n v="20"/>
    <n v="20"/>
    <n v="24.174543443410826"/>
    <n v="27.529531811649555"/>
    <m/>
    <n v="167"/>
    <x v="1"/>
    <m/>
    <n v="0.4"/>
    <m/>
    <n v="5.4"/>
    <n v="1.8"/>
    <n v="0.5"/>
    <m/>
    <m/>
    <s v="L"/>
    <m/>
    <m/>
    <m/>
    <x v="16"/>
    <n v="5.4"/>
  </r>
  <r>
    <n v="0"/>
    <n v="-20"/>
    <n v="8.3512926746389606"/>
    <n v="-18.76972124200773"/>
    <m/>
    <n v="580"/>
    <x v="0"/>
    <m/>
    <n v="0.4"/>
    <m/>
    <n v="6.3"/>
    <n v="1.4"/>
    <n v="0"/>
    <m/>
    <m/>
    <s v="L"/>
    <m/>
    <m/>
    <m/>
    <x v="16"/>
    <n v="6.3"/>
  </r>
  <r>
    <n v="20"/>
    <n v="-20"/>
    <n v="23.673803585367654"/>
    <n v="-16.862901036066745"/>
    <m/>
    <n v="568"/>
    <x v="1"/>
    <m/>
    <n v="0.41"/>
    <m/>
    <n v="8.3000000000000007"/>
    <n v="1.7"/>
    <n v="0.3"/>
    <m/>
    <m/>
    <s v="L"/>
    <m/>
    <m/>
    <m/>
    <x v="17"/>
    <n v="8.3000000000000007"/>
  </r>
  <r>
    <n v="20"/>
    <n v="-10"/>
    <n v="21.464943970627026"/>
    <n v="-9.2555552485210217"/>
    <m/>
    <n v="416"/>
    <x v="2"/>
    <m/>
    <n v="0.43"/>
    <m/>
    <n v="5"/>
    <n v="1.4"/>
    <n v="0.9"/>
    <m/>
    <m/>
    <s v="L"/>
    <m/>
    <m/>
    <m/>
    <x v="18"/>
    <n v="5"/>
  </r>
  <r>
    <n v="10"/>
    <n v="-40"/>
    <n v="19.350085857963784"/>
    <n v="-30.682495267041411"/>
    <m/>
    <n v="721"/>
    <x v="0"/>
    <m/>
    <n v="0.43"/>
    <m/>
    <n v="11.2"/>
    <n v="1.6"/>
    <n v="0"/>
    <m/>
    <m/>
    <s v="L"/>
    <m/>
    <m/>
    <s v="New　No788　whiteBlue"/>
    <x v="18"/>
    <n v="11.2"/>
  </r>
  <r>
    <n v="10"/>
    <n v="10"/>
    <n v="19.674728156140318"/>
    <n v="13.733166900204932"/>
    <m/>
    <n v="108"/>
    <x v="2"/>
    <m/>
    <n v="0.44"/>
    <m/>
    <n v="8"/>
    <n v="1.6"/>
    <n v="0.6"/>
    <m/>
    <m/>
    <s v="L"/>
    <m/>
    <m/>
    <m/>
    <x v="19"/>
    <n v="8"/>
  </r>
  <r>
    <n v="30"/>
    <n v="-20"/>
    <n v="38.533061832444758"/>
    <n v="-15.79728319237293"/>
    <m/>
    <n v="517"/>
    <x v="1"/>
    <m/>
    <n v="0.45"/>
    <m/>
    <n v="6.9"/>
    <n v="1.6"/>
    <n v="0.4"/>
    <m/>
    <m/>
    <s v="L"/>
    <m/>
    <m/>
    <m/>
    <x v="20"/>
    <n v="6.9"/>
  </r>
  <r>
    <n v="10"/>
    <n v="-20"/>
    <n v="12.642308249250132"/>
    <n v="-18.965943859866712"/>
    <m/>
    <n v="577"/>
    <x v="0"/>
    <m/>
    <n v="0.45"/>
    <m/>
    <m/>
    <n v="1.6"/>
    <n v="0"/>
    <m/>
    <m/>
    <s v="L"/>
    <m/>
    <m/>
    <m/>
    <x v="20"/>
    <n v="0"/>
  </r>
  <r>
    <n v="30"/>
    <n v="20"/>
    <n v="34.094149764448233"/>
    <n v="24.037380054722185"/>
    <m/>
    <n v="210"/>
    <x v="1"/>
    <m/>
    <n v="0.46"/>
    <s v="dead"/>
    <m/>
    <n v="1.8"/>
    <n v="0.6"/>
    <m/>
    <m/>
    <s v="L"/>
    <m/>
    <m/>
    <m/>
    <x v="21"/>
    <s v="dead"/>
  </r>
  <r>
    <n v="40"/>
    <n v="40"/>
    <n v="41.896156810321528"/>
    <n v="49.159728465249501"/>
    <m/>
    <n v="368"/>
    <x v="2"/>
    <m/>
    <n v="0.49"/>
    <m/>
    <n v="6.4"/>
    <n v="2.1"/>
    <n v="0.7"/>
    <m/>
    <m/>
    <s v="L"/>
    <m/>
    <m/>
    <m/>
    <x v="22"/>
    <n v="6.4"/>
  </r>
  <r>
    <n v="30"/>
    <n v="-20"/>
    <n v="34.564016467039586"/>
    <n v="-16.165912992362379"/>
    <m/>
    <n v="524"/>
    <x v="0"/>
    <m/>
    <n v="0.49"/>
    <m/>
    <n v="1.33"/>
    <n v="1.7"/>
    <n v="0"/>
    <m/>
    <m/>
    <s v="L"/>
    <m/>
    <m/>
    <s v="New No750"/>
    <x v="22"/>
    <n v="1.33"/>
  </r>
  <r>
    <n v="40"/>
    <n v="-40"/>
    <n v="42.934938877920068"/>
    <n v="-35.514943279859963"/>
    <m/>
    <n v="711"/>
    <x v="4"/>
    <m/>
    <n v="0.49"/>
    <m/>
    <n v="5.8"/>
    <n v="1.7"/>
    <n v="0.8"/>
    <m/>
    <m/>
    <s v="L"/>
    <m/>
    <s v="broken"/>
    <m/>
    <x v="22"/>
    <n v="5.8"/>
  </r>
  <r>
    <n v="0"/>
    <n v="20"/>
    <n v="6.3672798251672251"/>
    <n v="26.70971293186366"/>
    <m/>
    <n v="42"/>
    <x v="0"/>
    <m/>
    <n v="0.5"/>
    <m/>
    <n v="11.6"/>
    <n v="1.7"/>
    <n v="0.1"/>
    <m/>
    <m/>
    <s v="L"/>
    <m/>
    <m/>
    <m/>
    <x v="23"/>
    <n v="11.6"/>
  </r>
  <r>
    <n v="30"/>
    <n v="10"/>
    <n v="33.598797543972296"/>
    <n v="14.841244700753974"/>
    <m/>
    <n v="231"/>
    <x v="1"/>
    <m/>
    <n v="0.5"/>
    <m/>
    <n v="11.9"/>
    <n v="1.8"/>
    <n v="0.4"/>
    <m/>
    <m/>
    <s v="L"/>
    <m/>
    <m/>
    <m/>
    <x v="23"/>
    <n v="11.9"/>
  </r>
  <r>
    <n v="20"/>
    <n v="-10"/>
    <n v="21.487636454088175"/>
    <n v="-9.1917327521203234"/>
    <m/>
    <n v="417"/>
    <x v="2"/>
    <m/>
    <n v="0.5"/>
    <m/>
    <n v="6.4"/>
    <n v="1.7"/>
    <n v="1.2"/>
    <m/>
    <m/>
    <s v="L"/>
    <m/>
    <m/>
    <m/>
    <x v="23"/>
    <n v="6.4"/>
  </r>
  <r>
    <n v="20"/>
    <n v="-40"/>
    <n v="29.127893214767482"/>
    <n v="-30.172685474109159"/>
    <m/>
    <n v="472"/>
    <x v="1"/>
    <m/>
    <n v="0.5"/>
    <m/>
    <n v="8.9"/>
    <n v="2"/>
    <n v="0.6"/>
    <m/>
    <m/>
    <s v="L"/>
    <m/>
    <m/>
    <m/>
    <x v="23"/>
    <n v="8.9"/>
  </r>
  <r>
    <n v="40"/>
    <n v="-40"/>
    <n v="43.030489044404334"/>
    <n v="-35.639697699500033"/>
    <m/>
    <n v="710"/>
    <x v="4"/>
    <m/>
    <n v="0.5"/>
    <m/>
    <n v="5.6"/>
    <n v="1.2"/>
    <n v="0.9"/>
    <m/>
    <m/>
    <s v="L"/>
    <m/>
    <s v="Dead H=2.0"/>
    <s v="先枯"/>
    <x v="23"/>
    <n v="5.6"/>
  </r>
  <r>
    <n v="30"/>
    <n v="0"/>
    <n v="38.619257460528999"/>
    <n v="7.5983782229193677"/>
    <m/>
    <n v="259"/>
    <x v="0"/>
    <m/>
    <n v="0.51"/>
    <m/>
    <n v="13.5"/>
    <n v="1.8"/>
    <n v="0.2"/>
    <m/>
    <m/>
    <s v="L"/>
    <m/>
    <m/>
    <m/>
    <x v="24"/>
    <n v="13.5"/>
  </r>
  <r>
    <n v="40"/>
    <n v="-40"/>
    <n v="43.057162405751079"/>
    <n v="-35.633919603939674"/>
    <m/>
    <n v="709"/>
    <x v="4"/>
    <m/>
    <n v="0.51"/>
    <m/>
    <n v="7.1"/>
    <n v="1.9"/>
    <n v="1.6"/>
    <m/>
    <m/>
    <s v="L"/>
    <m/>
    <m/>
    <m/>
    <x v="24"/>
    <n v="7.1"/>
  </r>
  <r>
    <n v="0"/>
    <n v="0"/>
    <n v="4.9059474370510188"/>
    <n v="8.7299100481017451"/>
    <m/>
    <n v="13"/>
    <x v="2"/>
    <m/>
    <n v="0.54"/>
    <m/>
    <n v="5.9"/>
    <n v="1.7"/>
    <n v="0.6"/>
    <m/>
    <m/>
    <s v="L"/>
    <m/>
    <m/>
    <m/>
    <x v="25"/>
    <n v="5.9"/>
  </r>
  <r>
    <n v="20"/>
    <n v="10"/>
    <n v="23.803244960068398"/>
    <n v="10.799899433500032"/>
    <m/>
    <n v="141"/>
    <x v="2"/>
    <m/>
    <n v="0.55000000000000004"/>
    <m/>
    <n v="5.8"/>
    <n v="1.5"/>
    <n v="0.4"/>
    <m/>
    <m/>
    <s v="L"/>
    <m/>
    <m/>
    <m/>
    <x v="26"/>
    <n v="5.8"/>
  </r>
  <r>
    <n v="30"/>
    <n v="0"/>
    <n v="37.787935082170875"/>
    <n v="9.6982970418767067"/>
    <m/>
    <n v="242"/>
    <x v="0"/>
    <m/>
    <n v="0.55000000000000004"/>
    <m/>
    <n v="11.6"/>
    <n v="1.6"/>
    <n v="0.1"/>
    <m/>
    <m/>
    <s v="L"/>
    <m/>
    <m/>
    <m/>
    <x v="26"/>
    <n v="11.6"/>
  </r>
  <r>
    <n v="40"/>
    <n v="30"/>
    <n v="48.923210114886899"/>
    <n v="30.400201900908641"/>
    <m/>
    <n v="327"/>
    <x v="3"/>
    <m/>
    <n v="0.56000000000000005"/>
    <m/>
    <n v="9.1"/>
    <n v="1.7"/>
    <n v="0.7"/>
    <m/>
    <m/>
    <s v="L"/>
    <m/>
    <m/>
    <m/>
    <x v="27"/>
    <n v="9.1"/>
  </r>
  <r>
    <n v="40"/>
    <n v="-50"/>
    <n v="45.530277221602518"/>
    <n v="-41.054956801117626"/>
    <m/>
    <n v="829"/>
    <x v="0"/>
    <m/>
    <n v="0.56000000000000005"/>
    <m/>
    <n v="10"/>
    <n v="1.4"/>
    <n v="0.2"/>
    <m/>
    <m/>
    <s v="L"/>
    <m/>
    <m/>
    <m/>
    <x v="27"/>
    <n v="10"/>
  </r>
  <r>
    <n v="0"/>
    <n v="30"/>
    <n v="1.087553511959648"/>
    <n v="30.011100207201217"/>
    <m/>
    <n v="51"/>
    <x v="2"/>
    <m/>
    <n v="0.56999999999999995"/>
    <m/>
    <n v="11.5"/>
    <n v="2"/>
    <n v="0.5"/>
    <m/>
    <m/>
    <s v="L"/>
    <m/>
    <m/>
    <m/>
    <x v="28"/>
    <n v="11.5"/>
  </r>
  <r>
    <n v="20"/>
    <n v="-30"/>
    <n v="27.649205185971031"/>
    <n v="-29.791765098404603"/>
    <m/>
    <n v="653"/>
    <x v="0"/>
    <m/>
    <n v="0.56999999999999995"/>
    <m/>
    <n v="13.7"/>
    <n v="1.8"/>
    <n v="0.4"/>
    <m/>
    <m/>
    <s v="L"/>
    <m/>
    <m/>
    <m/>
    <x v="28"/>
    <n v="13.7"/>
  </r>
  <r>
    <n v="20"/>
    <n v="-30"/>
    <n v="27.530935199189845"/>
    <n v="-29.411515234509281"/>
    <m/>
    <n v="654"/>
    <x v="1"/>
    <m/>
    <n v="0.56999999999999995"/>
    <m/>
    <n v="7.8"/>
    <n v="1.9"/>
    <n v="0.9"/>
    <m/>
    <m/>
    <s v="L"/>
    <m/>
    <m/>
    <m/>
    <x v="28"/>
    <n v="7.8"/>
  </r>
  <r>
    <n v="0"/>
    <n v="40"/>
    <n v="9.9747237977389585"/>
    <n v="48.323144662228238"/>
    <m/>
    <n v="71"/>
    <x v="0"/>
    <m/>
    <n v="0.6"/>
    <m/>
    <n v="8.1999999999999993"/>
    <n v="1.7"/>
    <n v="0.2"/>
    <m/>
    <m/>
    <s v="L"/>
    <m/>
    <m/>
    <m/>
    <x v="29"/>
    <n v="8.1999999999999993"/>
  </r>
  <r>
    <n v="40"/>
    <n v="40"/>
    <n v="48.783013822605028"/>
    <n v="29.943368126254718"/>
    <m/>
    <n v="318"/>
    <x v="3"/>
    <m/>
    <n v="0.6"/>
    <m/>
    <n v="6.9"/>
    <n v="1.1000000000000001"/>
    <n v="0.3"/>
    <m/>
    <m/>
    <s v="L"/>
    <m/>
    <m/>
    <m/>
    <x v="29"/>
    <n v="6.9"/>
  </r>
  <r>
    <n v="10"/>
    <n v="10"/>
    <n v="18.06974470609142"/>
    <n v="14.418056176477329"/>
    <m/>
    <n v="107"/>
    <x v="1"/>
    <m/>
    <n v="0.61"/>
    <m/>
    <n v="8.5"/>
    <n v="2"/>
    <n v="0.9"/>
    <m/>
    <m/>
    <s v="L"/>
    <m/>
    <m/>
    <m/>
    <x v="30"/>
    <n v="8.5"/>
  </r>
  <r>
    <n v="30"/>
    <n v="-20"/>
    <n v="30.241353318909049"/>
    <n v="-13.002151720621825"/>
    <m/>
    <n v="528"/>
    <x v="2"/>
    <m/>
    <n v="0.61"/>
    <m/>
    <n v="7.2"/>
    <n v="1.3"/>
    <n v="1"/>
    <m/>
    <m/>
    <s v="L"/>
    <m/>
    <m/>
    <m/>
    <x v="30"/>
    <n v="7.2"/>
  </r>
  <r>
    <n v="0"/>
    <n v="20"/>
    <n v="8.9461265962646888"/>
    <n v="22.230519877428932"/>
    <m/>
    <n v="35"/>
    <x v="2"/>
    <m/>
    <n v="0.62"/>
    <m/>
    <n v="10.6"/>
    <n v="2.1"/>
    <n v="0.5"/>
    <m/>
    <m/>
    <s v="L"/>
    <m/>
    <m/>
    <m/>
    <x v="31"/>
    <n v="10.6"/>
  </r>
  <r>
    <n v="0"/>
    <n v="30"/>
    <n v="5.6418608251179263"/>
    <n v="31.120715194177023"/>
    <m/>
    <n v="58"/>
    <x v="0"/>
    <m/>
    <n v="0.62"/>
    <m/>
    <n v="13"/>
    <n v="1.8"/>
    <n v="0.1"/>
    <m/>
    <m/>
    <s v="L"/>
    <m/>
    <m/>
    <m/>
    <x v="31"/>
    <n v="13"/>
  </r>
  <r>
    <n v="20"/>
    <n v="10"/>
    <n v="24.042660540170019"/>
    <n v="10.755324065640806"/>
    <m/>
    <n v="137"/>
    <x v="2"/>
    <m/>
    <n v="0.63"/>
    <m/>
    <n v="12.7"/>
    <n v="2.2999999999999998"/>
    <n v="0.6"/>
    <m/>
    <m/>
    <s v="L"/>
    <m/>
    <m/>
    <m/>
    <x v="32"/>
    <n v="12.7"/>
  </r>
  <r>
    <n v="20"/>
    <n v="20"/>
    <n v="26.373923925033939"/>
    <n v="20.920997717978985"/>
    <m/>
    <n v="163"/>
    <x v="1"/>
    <m/>
    <n v="0.63"/>
    <m/>
    <n v="9.5"/>
    <n v="2"/>
    <n v="0.6"/>
    <m/>
    <m/>
    <s v="L"/>
    <m/>
    <m/>
    <m/>
    <x v="32"/>
    <n v="9.5"/>
  </r>
  <r>
    <n v="40"/>
    <n v="30"/>
    <n v="44.901832820608057"/>
    <n v="34.030813170039757"/>
    <m/>
    <n v="341"/>
    <x v="0"/>
    <m/>
    <n v="0.63"/>
    <m/>
    <n v="13.9"/>
    <n v="1.4"/>
    <n v="0.2"/>
    <m/>
    <m/>
    <s v="L"/>
    <m/>
    <m/>
    <m/>
    <x v="32"/>
    <n v="13.9"/>
  </r>
  <r>
    <n v="20"/>
    <n v="-20"/>
    <n v="27.136801048343358"/>
    <n v="-19.380006009065209"/>
    <m/>
    <n v="566"/>
    <x v="5"/>
    <m/>
    <n v="0.63"/>
    <m/>
    <n v="7.8"/>
    <n v="1.8"/>
    <n v="0.9"/>
    <m/>
    <m/>
    <s v="L"/>
    <m/>
    <m/>
    <m/>
    <x v="32"/>
    <n v="7.8"/>
  </r>
  <r>
    <n v="0"/>
    <n v="20"/>
    <n v="1.2251623958207458"/>
    <n v="21.399491730546046"/>
    <m/>
    <n v="27"/>
    <x v="0"/>
    <m/>
    <n v="0.64"/>
    <s v="dead"/>
    <m/>
    <n v="1.7"/>
    <m/>
    <m/>
    <m/>
    <s v="D"/>
    <m/>
    <m/>
    <m/>
    <x v="33"/>
    <s v="dead"/>
  </r>
  <r>
    <n v="40"/>
    <n v="-20"/>
    <n v="42.104570371554374"/>
    <n v="-19.816943697056402"/>
    <m/>
    <n v="511"/>
    <x v="0"/>
    <m/>
    <n v="0.64"/>
    <s v="dead"/>
    <m/>
    <n v="1.9"/>
    <n v="0"/>
    <m/>
    <m/>
    <s v="L"/>
    <m/>
    <m/>
    <m/>
    <x v="33"/>
    <s v="dead"/>
  </r>
  <r>
    <n v="0"/>
    <n v="-30"/>
    <n v="4.6665728265819304"/>
    <n v="-20.335313157045952"/>
    <m/>
    <n v="602"/>
    <x v="0"/>
    <m/>
    <n v="0.64"/>
    <m/>
    <n v="10"/>
    <n v="1.7"/>
    <n v="0.5"/>
    <m/>
    <m/>
    <s v="L"/>
    <m/>
    <m/>
    <m/>
    <x v="33"/>
    <n v="10"/>
  </r>
  <r>
    <n v="10"/>
    <n v="0"/>
    <n v="16.93600320004315"/>
    <n v="5.5275965491209815"/>
    <m/>
    <n v="115"/>
    <x v="0"/>
    <m/>
    <n v="0.65"/>
    <m/>
    <n v="12.5"/>
    <n v="1.8"/>
    <n v="0.2"/>
    <m/>
    <m/>
    <s v="L"/>
    <m/>
    <m/>
    <m/>
    <x v="34"/>
    <n v="12.5"/>
  </r>
  <r>
    <n v="20"/>
    <n v="10"/>
    <n v="22.275538913106644"/>
    <n v="12.646913562404759"/>
    <m/>
    <n v="153"/>
    <x v="2"/>
    <m/>
    <n v="0.65"/>
    <s v="dead"/>
    <m/>
    <n v="1.3"/>
    <n v="0.7"/>
    <m/>
    <m/>
    <s v="L"/>
    <m/>
    <s v="dead Ht=1.6"/>
    <m/>
    <x v="34"/>
    <s v="dead"/>
  </r>
  <r>
    <n v="20"/>
    <n v="-20"/>
    <n v="27.340618084048792"/>
    <n v="-13.250376825244652"/>
    <m/>
    <n v="545"/>
    <x v="2"/>
    <m/>
    <n v="0.65"/>
    <m/>
    <n v="11.8"/>
    <n v="2.1"/>
    <n v="1.1000000000000001"/>
    <m/>
    <m/>
    <s v="L"/>
    <m/>
    <m/>
    <m/>
    <x v="34"/>
    <n v="11.8"/>
  </r>
  <r>
    <n v="30"/>
    <n v="-20"/>
    <n v="36.71062998926508"/>
    <n v="-14.445328439213212"/>
    <m/>
    <n v="519"/>
    <x v="0"/>
    <m/>
    <n v="0.67"/>
    <m/>
    <n v="11.3"/>
    <n v="1.7"/>
    <n v="0.1"/>
    <m/>
    <m/>
    <s v="L"/>
    <m/>
    <m/>
    <m/>
    <x v="35"/>
    <n v="11.3"/>
  </r>
  <r>
    <n v="10"/>
    <n v="20"/>
    <n v="19.555892102460898"/>
    <n v="28.665978541221271"/>
    <m/>
    <n v="93"/>
    <x v="2"/>
    <m/>
    <n v="0.69"/>
    <m/>
    <n v="7.2"/>
    <n v="1.6"/>
    <n v="0.7"/>
    <m/>
    <m/>
    <s v="L"/>
    <m/>
    <m/>
    <m/>
    <x v="36"/>
    <n v="7.2"/>
  </r>
  <r>
    <n v="20"/>
    <n v="20"/>
    <n v="25.099509798458744"/>
    <n v="23.482844796581301"/>
    <m/>
    <n v="166"/>
    <x v="0"/>
    <m/>
    <n v="0.69"/>
    <s v="dead"/>
    <m/>
    <n v="1.8"/>
    <m/>
    <m/>
    <m/>
    <s v="D"/>
    <m/>
    <m/>
    <s v="倒れ"/>
    <x v="36"/>
    <s v="dead"/>
  </r>
  <r>
    <n v="30"/>
    <n v="-10"/>
    <n v="38.88133355192322"/>
    <n v="-4.1357451131497296"/>
    <m/>
    <n v="442"/>
    <x v="2"/>
    <m/>
    <n v="0.69"/>
    <s v="dead"/>
    <m/>
    <n v="1.4"/>
    <n v="1"/>
    <m/>
    <m/>
    <s v="L"/>
    <m/>
    <m/>
    <m/>
    <x v="36"/>
    <s v="dead"/>
  </r>
  <r>
    <n v="40"/>
    <n v="-30"/>
    <n v="42.444352749424425"/>
    <n v="-21.066857369985712"/>
    <m/>
    <n v="694"/>
    <x v="0"/>
    <m/>
    <n v="0.69"/>
    <m/>
    <n v="14.2"/>
    <n v="2"/>
    <n v="0"/>
    <m/>
    <m/>
    <s v="L"/>
    <m/>
    <m/>
    <s v="NewNo 601 white red"/>
    <x v="36"/>
    <n v="14.2"/>
  </r>
  <r>
    <n v="20"/>
    <n v="10"/>
    <n v="22.0218331717933"/>
    <n v="12.081998618831085"/>
    <m/>
    <n v="150"/>
    <x v="2"/>
    <m/>
    <n v="0.7"/>
    <m/>
    <n v="11.1"/>
    <n v="2"/>
    <n v="0.6"/>
    <m/>
    <m/>
    <s v="L"/>
    <m/>
    <m/>
    <m/>
    <x v="37"/>
    <n v="11.1"/>
  </r>
  <r>
    <n v="30"/>
    <n v="-30"/>
    <n v="30.913785784552751"/>
    <n v="-26.758505422055183"/>
    <m/>
    <n v="667"/>
    <x v="0"/>
    <m/>
    <n v="0.7"/>
    <s v="dead"/>
    <m/>
    <n v="2"/>
    <m/>
    <m/>
    <m/>
    <s v="D"/>
    <m/>
    <m/>
    <m/>
    <x v="37"/>
    <s v="dead"/>
  </r>
  <r>
    <n v="30"/>
    <n v="0"/>
    <n v="33.817488071652981"/>
    <n v="9.145595846620802"/>
    <m/>
    <n v="252"/>
    <x v="2"/>
    <m/>
    <n v="0.73"/>
    <m/>
    <n v="10.8"/>
    <n v="2.5"/>
    <n v="0.7"/>
    <m/>
    <m/>
    <s v="L"/>
    <m/>
    <m/>
    <m/>
    <x v="38"/>
    <n v="10.8"/>
  </r>
  <r>
    <n v="0"/>
    <n v="-20"/>
    <n v="3.4091697728968855"/>
    <n v="-18.835069974797381"/>
    <m/>
    <n v="586"/>
    <x v="0"/>
    <m/>
    <n v="0.73"/>
    <m/>
    <n v="13.1"/>
    <n v="1.6"/>
    <n v="0.1"/>
    <m/>
    <m/>
    <s v="L"/>
    <m/>
    <m/>
    <m/>
    <x v="38"/>
    <n v="13.1"/>
  </r>
  <r>
    <n v="10"/>
    <n v="-30"/>
    <n v="11.494315595062826"/>
    <n v="-22.19747141833485"/>
    <m/>
    <n v="616"/>
    <x v="0"/>
    <m/>
    <n v="0.74"/>
    <m/>
    <n v="11.4"/>
    <n v="1.8"/>
    <n v="0"/>
    <m/>
    <m/>
    <s v="L"/>
    <m/>
    <m/>
    <m/>
    <x v="39"/>
    <n v="11.4"/>
  </r>
  <r>
    <n v="30"/>
    <n v="0"/>
    <n v="32.51296487374573"/>
    <n v="8.1260144024241967"/>
    <m/>
    <n v="254"/>
    <x v="1"/>
    <m/>
    <n v="0.75"/>
    <m/>
    <n v="13.1"/>
    <n v="2"/>
    <n v="0.7"/>
    <m/>
    <m/>
    <s v="L"/>
    <m/>
    <m/>
    <m/>
    <x v="40"/>
    <n v="13.1"/>
  </r>
  <r>
    <n v="40"/>
    <n v="40"/>
    <n v="41.788521062382372"/>
    <n v="44.856255106258537"/>
    <m/>
    <n v="355"/>
    <x v="0"/>
    <m/>
    <n v="0.75"/>
    <s v="dead"/>
    <m/>
    <n v="1.8"/>
    <n v="0.2"/>
    <m/>
    <m/>
    <s v="L"/>
    <m/>
    <m/>
    <m/>
    <x v="40"/>
    <s v="dead"/>
  </r>
  <r>
    <n v="0"/>
    <n v="-10"/>
    <n v="1.7255461288273115"/>
    <n v="-2.0859308470743647"/>
    <m/>
    <n v="403"/>
    <x v="0"/>
    <m/>
    <n v="0.75"/>
    <m/>
    <n v="11.5"/>
    <n v="1.8"/>
    <n v="0"/>
    <m/>
    <m/>
    <s v="L"/>
    <m/>
    <m/>
    <m/>
    <x v="40"/>
    <n v="11.5"/>
  </r>
  <r>
    <n v="0"/>
    <n v="0"/>
    <n v="4.3575671820445905"/>
    <n v="8.8929986924760307"/>
    <m/>
    <n v="12"/>
    <x v="2"/>
    <m/>
    <n v="0.76"/>
    <m/>
    <n v="7.1"/>
    <n v="2.1"/>
    <n v="0.7"/>
    <m/>
    <m/>
    <s v="L"/>
    <m/>
    <m/>
    <s v="top broken"/>
    <x v="41"/>
    <n v="7.1"/>
  </r>
  <r>
    <n v="30"/>
    <n v="10"/>
    <n v="31.992592005271483"/>
    <n v="17.257432389068928"/>
    <m/>
    <n v="230"/>
    <x v="2"/>
    <m/>
    <n v="0.76"/>
    <m/>
    <n v="12.3"/>
    <n v="2.1"/>
    <n v="0.7"/>
    <m/>
    <m/>
    <s v="L"/>
    <m/>
    <m/>
    <m/>
    <x v="41"/>
    <n v="12.3"/>
  </r>
  <r>
    <n v="40"/>
    <n v="30"/>
    <n v="49.026122660403686"/>
    <n v="30.067630548181324"/>
    <m/>
    <n v="319"/>
    <x v="3"/>
    <m/>
    <n v="0.78"/>
    <m/>
    <n v="9"/>
    <n v="1.6"/>
    <n v="0.2"/>
    <m/>
    <m/>
    <s v="L"/>
    <m/>
    <m/>
    <m/>
    <x v="42"/>
    <n v="9"/>
  </r>
  <r>
    <n v="40"/>
    <n v="-30"/>
    <n v="48.268851088723402"/>
    <n v="-23.650476667238095"/>
    <m/>
    <n v="700"/>
    <x v="2"/>
    <m/>
    <n v="0.79"/>
    <m/>
    <n v="11"/>
    <n v="2.4"/>
    <n v="1.3"/>
    <m/>
    <m/>
    <s v="L"/>
    <m/>
    <m/>
    <m/>
    <x v="43"/>
    <n v="11"/>
  </r>
  <r>
    <n v="10"/>
    <n v="40"/>
    <n v="10.977000017227384"/>
    <n v="48.181556777954015"/>
    <m/>
    <n v="72"/>
    <x v="0"/>
    <m/>
    <n v="0.8"/>
    <m/>
    <n v="12.3"/>
    <n v="1.8"/>
    <n v="0.2"/>
    <m/>
    <m/>
    <s v="L"/>
    <m/>
    <m/>
    <m/>
    <x v="44"/>
    <n v="12.3"/>
  </r>
  <r>
    <n v="30"/>
    <n v="0"/>
    <n v="39.175844745901799"/>
    <n v="9.4772927717291982"/>
    <m/>
    <n v="241"/>
    <x v="0"/>
    <m/>
    <n v="0.8"/>
    <m/>
    <n v="14.3"/>
    <n v="1.8"/>
    <n v="0.3"/>
    <m/>
    <m/>
    <s v="L"/>
    <m/>
    <m/>
    <m/>
    <x v="44"/>
    <n v="14.3"/>
  </r>
  <r>
    <n v="0"/>
    <n v="0"/>
    <n v="4.9059474370510188"/>
    <n v="8.7299100481017451"/>
    <m/>
    <n v="14"/>
    <x v="2"/>
    <m/>
    <n v="0.81"/>
    <m/>
    <n v="13.3"/>
    <n v="2.1"/>
    <n v="0.6"/>
    <m/>
    <m/>
    <s v="L"/>
    <m/>
    <m/>
    <m/>
    <x v="45"/>
    <n v="13.3"/>
  </r>
  <r>
    <n v="20"/>
    <n v="-20"/>
    <n v="21.722359954660718"/>
    <n v="-34.630679248749715"/>
    <m/>
    <n v="720"/>
    <x v="1"/>
    <m/>
    <n v="0.81"/>
    <m/>
    <n v="12"/>
    <n v="2.2999999999999998"/>
    <n v="0.1"/>
    <m/>
    <m/>
    <s v="L"/>
    <m/>
    <m/>
    <s v="New　No785　whiteBlue"/>
    <x v="45"/>
    <n v="12"/>
  </r>
  <r>
    <n v="10"/>
    <n v="30"/>
    <n v="17.134050908049542"/>
    <n v="31.254967768961702"/>
    <m/>
    <n v="86"/>
    <x v="0"/>
    <m/>
    <n v="0.82"/>
    <m/>
    <n v="15.8"/>
    <n v="1.8"/>
    <n v="0.1"/>
    <m/>
    <m/>
    <s v="L"/>
    <m/>
    <m/>
    <m/>
    <x v="46"/>
    <n v="15.8"/>
  </r>
  <r>
    <n v="40"/>
    <n v="30"/>
    <n v="49.93570259265578"/>
    <n v="30.790224441203314"/>
    <m/>
    <n v="339"/>
    <x v="3"/>
    <m/>
    <n v="0.83"/>
    <s v="dead"/>
    <m/>
    <n v="1.5"/>
    <n v="1"/>
    <m/>
    <m/>
    <s v="L"/>
    <m/>
    <m/>
    <m/>
    <x v="47"/>
    <s v="dead"/>
  </r>
  <r>
    <n v="40"/>
    <n v="20"/>
    <n v="41.818732140228228"/>
    <n v="29.333872218834813"/>
    <m/>
    <n v="308"/>
    <x v="2"/>
    <m/>
    <n v="0.84"/>
    <m/>
    <n v="11.3"/>
    <n v="1.6"/>
    <n v="1"/>
    <m/>
    <m/>
    <s v="L"/>
    <m/>
    <m/>
    <m/>
    <x v="48"/>
    <n v="11.3"/>
  </r>
  <r>
    <n v="20"/>
    <n v="-20"/>
    <n v="27.200450190790999"/>
    <n v="-13.143870970885699"/>
    <m/>
    <n v="544"/>
    <x v="2"/>
    <m/>
    <n v="0.84"/>
    <m/>
    <n v="9.5"/>
    <n v="2.6"/>
    <n v="1.5"/>
    <m/>
    <m/>
    <s v="L"/>
    <m/>
    <m/>
    <m/>
    <x v="48"/>
    <n v="9.5"/>
  </r>
  <r>
    <n v="20"/>
    <n v="-20"/>
    <n v="27.711031855444549"/>
    <n v="-18.928457982322666"/>
    <m/>
    <n v="564"/>
    <x v="2"/>
    <m/>
    <n v="0.84"/>
    <m/>
    <n v="12.5"/>
    <n v="2.2000000000000002"/>
    <n v="0.6"/>
    <m/>
    <m/>
    <s v="L"/>
    <m/>
    <m/>
    <s v="New No754"/>
    <x v="48"/>
    <n v="12.5"/>
  </r>
  <r>
    <n v="20"/>
    <n v="0"/>
    <n v="26.528558261896087"/>
    <n v="4.760706567415002"/>
    <m/>
    <n v="120"/>
    <x v="1"/>
    <m/>
    <n v="0.85"/>
    <m/>
    <n v="12.7"/>
    <n v="2.2000000000000002"/>
    <n v="0.6"/>
    <m/>
    <m/>
    <s v="L"/>
    <m/>
    <m/>
    <m/>
    <x v="49"/>
    <n v="12.7"/>
  </r>
  <r>
    <n v="0"/>
    <n v="20"/>
    <n v="6.0533561384906731"/>
    <n v="26.914693012751709"/>
    <m/>
    <n v="43"/>
    <x v="0"/>
    <m/>
    <n v="0.86"/>
    <m/>
    <n v="17.399999999999999"/>
    <n v="1.9"/>
    <n v="0.2"/>
    <m/>
    <m/>
    <s v="L"/>
    <m/>
    <m/>
    <m/>
    <x v="50"/>
    <n v="17.399999999999999"/>
  </r>
  <r>
    <n v="40"/>
    <n v="20"/>
    <n v="42.095122478025289"/>
    <n v="29.899743039168619"/>
    <m/>
    <n v="314"/>
    <x v="2"/>
    <m/>
    <n v="0.86"/>
    <m/>
    <n v="10.5"/>
    <n v="2.5"/>
    <n v="0.7"/>
    <m/>
    <m/>
    <s v="L"/>
    <m/>
    <m/>
    <m/>
    <x v="50"/>
    <n v="10.5"/>
  </r>
  <r>
    <n v="20"/>
    <n v="-20"/>
    <n v="29.893250275501281"/>
    <n v="-12.955420444935895"/>
    <m/>
    <n v="538"/>
    <x v="2"/>
    <m/>
    <n v="0.86"/>
    <m/>
    <n v="8.8000000000000007"/>
    <n v="1.7"/>
    <n v="0.9"/>
    <m/>
    <m/>
    <s v="L"/>
    <m/>
    <m/>
    <m/>
    <x v="50"/>
    <n v="8.8000000000000007"/>
  </r>
  <r>
    <n v="40"/>
    <n v="20"/>
    <n v="42.255591812176434"/>
    <n v="29.924382566855925"/>
    <m/>
    <n v="317"/>
    <x v="2"/>
    <m/>
    <n v="0.87"/>
    <m/>
    <n v="9.9"/>
    <n v="2"/>
    <n v="0.7"/>
    <m/>
    <m/>
    <s v="L"/>
    <m/>
    <m/>
    <m/>
    <x v="51"/>
    <n v="9.9"/>
  </r>
  <r>
    <n v="20"/>
    <n v="-20"/>
    <n v="26.855187291478849"/>
    <n v="-19.034179478951081"/>
    <m/>
    <n v="567"/>
    <x v="5"/>
    <m/>
    <n v="0.89"/>
    <s v="dead"/>
    <m/>
    <n v="1.8"/>
    <m/>
    <m/>
    <m/>
    <s v="D"/>
    <m/>
    <m/>
    <m/>
    <x v="52"/>
    <s v="dead"/>
  </r>
  <r>
    <n v="20"/>
    <n v="10"/>
    <n v="23.975810626973125"/>
    <n v="10.577472753850401"/>
    <m/>
    <n v="138"/>
    <x v="2"/>
    <m/>
    <n v="0.9"/>
    <m/>
    <n v="14.7"/>
    <n v="1.9"/>
    <n v="0.7"/>
    <m/>
    <m/>
    <s v="L"/>
    <m/>
    <m/>
    <m/>
    <x v="53"/>
    <n v="14.7"/>
  </r>
  <r>
    <n v="20"/>
    <n v="-20"/>
    <n v="28.085472499046794"/>
    <n v="-18.593028245562195"/>
    <m/>
    <n v="565"/>
    <x v="2"/>
    <m/>
    <n v="0.9"/>
    <m/>
    <n v="16.5"/>
    <n v="1.8"/>
    <n v="0.5"/>
    <m/>
    <m/>
    <s v="L"/>
    <m/>
    <m/>
    <m/>
    <x v="53"/>
    <n v="16.5"/>
  </r>
  <r>
    <n v="40"/>
    <n v="-30"/>
    <n v="44.623379133287443"/>
    <n v="-27.132298558258295"/>
    <m/>
    <n v="695"/>
    <x v="1"/>
    <m/>
    <n v="0.9"/>
    <m/>
    <n v="14.2"/>
    <n v="2.4"/>
    <n v="0.7"/>
    <m/>
    <m/>
    <s v="L"/>
    <m/>
    <m/>
    <s v="NewNo 600 white red"/>
    <x v="53"/>
    <n v="14.2"/>
  </r>
  <r>
    <n v="40"/>
    <n v="30"/>
    <n v="41.809840918419845"/>
    <n v="38.003454428666828"/>
    <m/>
    <n v="345"/>
    <x v="0"/>
    <m/>
    <n v="0.91"/>
    <m/>
    <n v="19.899999999999999"/>
    <n v="2.4"/>
    <n v="0.2"/>
    <m/>
    <m/>
    <s v="L"/>
    <m/>
    <m/>
    <m/>
    <x v="54"/>
    <n v="19.899999999999999"/>
  </r>
  <r>
    <n v="20"/>
    <n v="-20"/>
    <n v="22.699862220695191"/>
    <n v="-35.871637861391832"/>
    <m/>
    <n v="719"/>
    <x v="0"/>
    <m/>
    <n v="0.91"/>
    <m/>
    <n v="15.8"/>
    <n v="2"/>
    <n v="0.1"/>
    <m/>
    <m/>
    <s v="L"/>
    <m/>
    <m/>
    <m/>
    <x v="54"/>
    <n v="15.8"/>
  </r>
  <r>
    <n v="10"/>
    <n v="-30"/>
    <n v="13.891661250622271"/>
    <n v="-21.129319282775551"/>
    <m/>
    <n v="620"/>
    <x v="0"/>
    <m/>
    <n v="0.92"/>
    <m/>
    <n v="12.7"/>
    <n v="1.7"/>
    <n v="0"/>
    <m/>
    <m/>
    <s v="L"/>
    <m/>
    <m/>
    <m/>
    <x v="55"/>
    <n v="12.7"/>
  </r>
  <r>
    <n v="40"/>
    <n v="30"/>
    <n v="48.923878928480136"/>
    <n v="30.406164508423601"/>
    <m/>
    <n v="323"/>
    <x v="3"/>
    <m/>
    <n v="0.94"/>
    <m/>
    <n v="12.2"/>
    <n v="2.1"/>
    <n v="1.1000000000000001"/>
    <m/>
    <m/>
    <s v="L"/>
    <m/>
    <m/>
    <m/>
    <x v="56"/>
    <n v="12.2"/>
  </r>
  <r>
    <n v="40"/>
    <n v="-10"/>
    <n v="43.598885535307346"/>
    <n v="-9.3912940744862272"/>
    <m/>
    <n v="448"/>
    <x v="2"/>
    <m/>
    <n v="0.95"/>
    <m/>
    <n v="10.4"/>
    <n v="2"/>
    <n v="1.2"/>
    <m/>
    <m/>
    <s v="L"/>
    <m/>
    <m/>
    <m/>
    <x v="57"/>
    <n v="10.4"/>
  </r>
  <r>
    <n v="30"/>
    <n v="0"/>
    <n v="34.068567064814381"/>
    <n v="9.4180847704201529"/>
    <m/>
    <n v="248"/>
    <x v="2"/>
    <m/>
    <n v="0.96"/>
    <m/>
    <n v="10.3"/>
    <n v="1.5"/>
    <n v="0.7"/>
    <m/>
    <m/>
    <s v="L"/>
    <m/>
    <m/>
    <m/>
    <x v="58"/>
    <n v="10.3"/>
  </r>
  <r>
    <n v="10"/>
    <n v="-20"/>
    <n v="16.17530308633452"/>
    <n v="-17.610064118308244"/>
    <m/>
    <n v="572"/>
    <x v="1"/>
    <m/>
    <n v="0.96"/>
    <m/>
    <n v="13.5"/>
    <n v="2.5"/>
    <n v="0.6"/>
    <m/>
    <m/>
    <s v="L"/>
    <m/>
    <m/>
    <s v="New No755"/>
    <x v="58"/>
    <n v="13.5"/>
  </r>
  <r>
    <n v="40"/>
    <n v="0"/>
    <n v="40.675863550722838"/>
    <n v="5.0660757544522106"/>
    <m/>
    <n v="262"/>
    <x v="2"/>
    <m/>
    <n v="0.97"/>
    <m/>
    <n v="23.1"/>
    <n v="2.1"/>
    <n v="1.4"/>
    <m/>
    <m/>
    <s v="L"/>
    <m/>
    <m/>
    <m/>
    <x v="59"/>
    <n v="23.1"/>
  </r>
  <r>
    <n v="40"/>
    <n v="0"/>
    <n v="40.628453171262755"/>
    <n v="7.808323333260633"/>
    <m/>
    <n v="273"/>
    <x v="0"/>
    <m/>
    <n v="0.97"/>
    <s v="dead"/>
    <m/>
    <n v="2"/>
    <m/>
    <m/>
    <m/>
    <s v="D"/>
    <m/>
    <m/>
    <m/>
    <x v="59"/>
    <s v="dead"/>
  </r>
  <r>
    <n v="20"/>
    <n v="-20"/>
    <n v="26.875698166707046"/>
    <n v="-13.369747971083783"/>
    <m/>
    <n v="553"/>
    <x v="2"/>
    <m/>
    <n v="0.99"/>
    <m/>
    <n v="11.4"/>
    <n v="3.4"/>
    <n v="1.3"/>
    <m/>
    <m/>
    <s v="L"/>
    <m/>
    <m/>
    <m/>
    <x v="60"/>
    <n v="11.4"/>
  </r>
  <r>
    <n v="10"/>
    <n v="10"/>
    <n v="19.669675453237815"/>
    <n v="13.828495347920654"/>
    <m/>
    <n v="110"/>
    <x v="2"/>
    <m/>
    <n v="1"/>
    <m/>
    <n v="12.8"/>
    <n v="2.4"/>
    <n v="0.9"/>
    <m/>
    <m/>
    <s v="L"/>
    <m/>
    <m/>
    <m/>
    <x v="61"/>
    <n v="12.8"/>
  </r>
  <r>
    <n v="40"/>
    <n v="20"/>
    <n v="42.470638986410691"/>
    <n v="29.603684879805961"/>
    <m/>
    <n v="297"/>
    <x v="2"/>
    <m/>
    <n v="1"/>
    <m/>
    <n v="12.1"/>
    <n v="2.7"/>
    <n v="1.4"/>
    <m/>
    <m/>
    <s v="L"/>
    <m/>
    <m/>
    <m/>
    <x v="61"/>
    <n v="12.1"/>
  </r>
  <r>
    <n v="40"/>
    <n v="30"/>
    <n v="49.098880675068742"/>
    <n v="31.568014233750425"/>
    <m/>
    <n v="335"/>
    <x v="3"/>
    <m/>
    <n v="1"/>
    <m/>
    <n v="12.1"/>
    <n v="1.7"/>
    <n v="0.7"/>
    <m/>
    <m/>
    <s v="L"/>
    <m/>
    <m/>
    <m/>
    <x v="61"/>
    <n v="12.1"/>
  </r>
  <r>
    <n v="40"/>
    <n v="-20"/>
    <n v="44.622154275334118"/>
    <n v="-19.561385352291296"/>
    <m/>
    <n v="510"/>
    <x v="1"/>
    <m/>
    <n v="1"/>
    <m/>
    <n v="15.3"/>
    <n v="2.5"/>
    <n v="0.4"/>
    <m/>
    <m/>
    <s v="L"/>
    <m/>
    <m/>
    <m/>
    <x v="61"/>
    <n v="15.3"/>
  </r>
  <r>
    <n v="20"/>
    <n v="10"/>
    <n v="21.836540619572311"/>
    <n v="11.595461118586918"/>
    <m/>
    <n v="126"/>
    <x v="2"/>
    <m/>
    <n v="1.01"/>
    <m/>
    <n v="10.9"/>
    <m/>
    <m/>
    <m/>
    <m/>
    <s v="L"/>
    <m/>
    <m/>
    <m/>
    <x v="62"/>
    <n v="10.9"/>
  </r>
  <r>
    <n v="20"/>
    <n v="-20"/>
    <n v="27.258718247585577"/>
    <n v="-13.129558963430984"/>
    <m/>
    <n v="543"/>
    <x v="2"/>
    <m/>
    <n v="1.02"/>
    <s v="dead"/>
    <m/>
    <n v="2.1"/>
    <m/>
    <m/>
    <m/>
    <s v="D"/>
    <m/>
    <m/>
    <m/>
    <x v="63"/>
    <s v="dead"/>
  </r>
  <r>
    <n v="40"/>
    <n v="-40"/>
    <n v="43.072423340402423"/>
    <n v="-35.595784426557842"/>
    <m/>
    <n v="708"/>
    <x v="4"/>
    <m/>
    <n v="1.02"/>
    <s v="dead"/>
    <m/>
    <n v="2.2000000000000002"/>
    <n v="1.7"/>
    <m/>
    <m/>
    <s v="L"/>
    <m/>
    <m/>
    <m/>
    <x v="63"/>
    <s v="dead"/>
  </r>
  <r>
    <n v="10"/>
    <n v="-30"/>
    <n v="11.346698213507807"/>
    <n v="-20.397333295205016"/>
    <m/>
    <n v="618"/>
    <x v="0"/>
    <m/>
    <n v="1.03"/>
    <m/>
    <n v="15.8"/>
    <n v="2.1"/>
    <n v="0.1"/>
    <m/>
    <m/>
    <s v="L"/>
    <m/>
    <m/>
    <m/>
    <x v="64"/>
    <n v="15.8"/>
  </r>
  <r>
    <n v="10"/>
    <n v="-30"/>
    <n v="19.847311696024597"/>
    <n v="-22.474958626385718"/>
    <m/>
    <n v="629"/>
    <x v="0"/>
    <m/>
    <n v="1.04"/>
    <m/>
    <n v="13.4"/>
    <n v="2.4"/>
    <n v="0.4"/>
    <m/>
    <m/>
    <s v="L"/>
    <m/>
    <m/>
    <m/>
    <x v="65"/>
    <n v="13.4"/>
  </r>
  <r>
    <n v="40"/>
    <n v="40"/>
    <n v="49.237615308286394"/>
    <n v="42.694210381882002"/>
    <m/>
    <n v="351"/>
    <x v="2"/>
    <m/>
    <n v="1.05"/>
    <m/>
    <n v="11.3"/>
    <n v="2.2000000000000002"/>
    <n v="1.3"/>
    <m/>
    <m/>
    <s v="L"/>
    <m/>
    <m/>
    <m/>
    <x v="66"/>
    <n v="11.3"/>
  </r>
  <r>
    <n v="20"/>
    <n v="-20"/>
    <n v="27.354652244018268"/>
    <n v="-13.459375685046041"/>
    <m/>
    <n v="556"/>
    <x v="2"/>
    <m/>
    <n v="1.05"/>
    <s v="dead"/>
    <m/>
    <n v="1"/>
    <m/>
    <m/>
    <m/>
    <s v="D"/>
    <m/>
    <s v="L=3.0"/>
    <m/>
    <x v="66"/>
    <s v="dead"/>
  </r>
  <r>
    <n v="20"/>
    <n v="-20"/>
    <n v="27.245017801982723"/>
    <n v="-13.513307434350482"/>
    <m/>
    <n v="551"/>
    <x v="2"/>
    <m/>
    <n v="1.06"/>
    <m/>
    <n v="11"/>
    <n v="2"/>
    <n v="1.7"/>
    <m/>
    <m/>
    <s v="L"/>
    <m/>
    <m/>
    <m/>
    <x v="67"/>
    <n v="11"/>
  </r>
  <r>
    <n v="20"/>
    <n v="20"/>
    <n v="25.677496816558932"/>
    <n v="20.358548791109246"/>
    <m/>
    <n v="164"/>
    <x v="1"/>
    <m/>
    <n v="1.08"/>
    <m/>
    <n v="20.2"/>
    <n v="2.5"/>
    <n v="0.6"/>
    <m/>
    <m/>
    <s v="L"/>
    <m/>
    <m/>
    <m/>
    <x v="68"/>
    <n v="20.2"/>
  </r>
  <r>
    <n v="40"/>
    <n v="0"/>
    <n v="49.221325124819906"/>
    <n v="2.2897754285387277"/>
    <m/>
    <n v="275"/>
    <x v="1"/>
    <m/>
    <n v="1.08"/>
    <n v="6.4"/>
    <m/>
    <n v="2.8"/>
    <n v="0.7"/>
    <m/>
    <m/>
    <s v="L"/>
    <m/>
    <m/>
    <s v="New No 593 white red"/>
    <x v="68"/>
    <n v="2.0371832715762603"/>
  </r>
  <r>
    <n v="40"/>
    <n v="40"/>
    <n v="40.403688025885337"/>
    <n v="48.917443383361821"/>
    <m/>
    <n v="361"/>
    <x v="0"/>
    <m/>
    <n v="1.08"/>
    <n v="5.5"/>
    <m/>
    <n v="2.4"/>
    <n v="0.5"/>
    <m/>
    <m/>
    <s v="L"/>
    <m/>
    <m/>
    <m/>
    <x v="68"/>
    <n v="1.7507043740108488"/>
  </r>
  <r>
    <n v="30"/>
    <n v="40"/>
    <n v="37.586645506147292"/>
    <n v="46.055567672903109"/>
    <m/>
    <n v="201"/>
    <x v="2"/>
    <m/>
    <n v="1.0900000000000001"/>
    <m/>
    <n v="11.7"/>
    <n v="1.9"/>
    <n v="1.2"/>
    <m/>
    <m/>
    <s v="L"/>
    <m/>
    <m/>
    <m/>
    <x v="69"/>
    <n v="11.7"/>
  </r>
  <r>
    <n v="40"/>
    <n v="20"/>
    <n v="41.934145126044378"/>
    <n v="29.733251261038692"/>
    <m/>
    <n v="311"/>
    <x v="2"/>
    <m/>
    <n v="1.0900000000000001"/>
    <m/>
    <n v="11.8"/>
    <n v="2"/>
    <n v="1.4"/>
    <m/>
    <m/>
    <s v="L"/>
    <m/>
    <m/>
    <m/>
    <x v="69"/>
    <n v="11.8"/>
  </r>
  <r>
    <n v="30"/>
    <n v="-10"/>
    <n v="39.01488078418457"/>
    <n v="-2.2019784476682034"/>
    <m/>
    <n v="446"/>
    <x v="2"/>
    <m/>
    <n v="1.0900000000000001"/>
    <m/>
    <n v="13.3"/>
    <n v="2"/>
    <n v="1.1000000000000001"/>
    <m/>
    <m/>
    <s v="L"/>
    <m/>
    <m/>
    <m/>
    <x v="69"/>
    <n v="13.3"/>
  </r>
  <r>
    <n v="30"/>
    <n v="0"/>
    <n v="30.958879013021043"/>
    <n v="1.4622266506827504"/>
    <m/>
    <n v="260"/>
    <x v="0"/>
    <m/>
    <n v="1.1000000000000001"/>
    <s v="dead"/>
    <m/>
    <n v="2.1"/>
    <m/>
    <m/>
    <m/>
    <s v="D"/>
    <m/>
    <m/>
    <m/>
    <x v="70"/>
    <s v="dead"/>
  </r>
  <r>
    <n v="20"/>
    <n v="-30"/>
    <n v="20.689156705470445"/>
    <n v="-23.025276374930733"/>
    <m/>
    <n v="632"/>
    <x v="0"/>
    <m/>
    <n v="1.1000000000000001"/>
    <m/>
    <n v="15.1"/>
    <n v="2.2999999999999998"/>
    <n v="0.3"/>
    <m/>
    <m/>
    <s v="L"/>
    <m/>
    <m/>
    <m/>
    <x v="70"/>
    <n v="15.1"/>
  </r>
  <r>
    <n v="30"/>
    <n v="-10"/>
    <n v="36.140434147170858"/>
    <n v="-1.9804145102333841"/>
    <m/>
    <n v="434"/>
    <x v="2"/>
    <m/>
    <n v="1.1299999999999999"/>
    <m/>
    <n v="15.5"/>
    <n v="2.7"/>
    <n v="0.6"/>
    <m/>
    <m/>
    <s v="L"/>
    <m/>
    <m/>
    <m/>
    <x v="71"/>
    <n v="15.5"/>
  </r>
  <r>
    <n v="20"/>
    <n v="10"/>
    <n v="22.650337940557488"/>
    <n v="15.505115568767668"/>
    <m/>
    <n v="157"/>
    <x v="0"/>
    <m/>
    <n v="1.1499999999999999"/>
    <m/>
    <n v="21.8"/>
    <n v="1.4"/>
    <n v="0.1"/>
    <m/>
    <m/>
    <s v="L"/>
    <m/>
    <m/>
    <m/>
    <x v="72"/>
    <n v="21.8"/>
  </r>
  <r>
    <n v="30"/>
    <n v="-30"/>
    <n v="30.787315303096907"/>
    <n v="-27.247360527358179"/>
    <m/>
    <n v="668"/>
    <x v="1"/>
    <m/>
    <n v="1.1499999999999999"/>
    <m/>
    <n v="13.6"/>
    <n v="2.9"/>
    <n v="0.5"/>
    <m/>
    <m/>
    <s v="L"/>
    <m/>
    <m/>
    <m/>
    <x v="72"/>
    <n v="13.6"/>
  </r>
  <r>
    <n v="0"/>
    <n v="20"/>
    <n v="0.56912983370203873"/>
    <n v="24.635190528164973"/>
    <m/>
    <n v="28"/>
    <x v="0"/>
    <m/>
    <n v="1.18"/>
    <s v="dead"/>
    <m/>
    <n v="2.2000000000000002"/>
    <m/>
    <m/>
    <m/>
    <s v="D"/>
    <m/>
    <m/>
    <m/>
    <x v="73"/>
    <s v="dead"/>
  </r>
  <r>
    <n v="30"/>
    <n v="-10"/>
    <n v="36.376280380840498"/>
    <n v="-1.9368581730371055"/>
    <m/>
    <n v="436"/>
    <x v="2"/>
    <m/>
    <n v="1.18"/>
    <m/>
    <n v="23.1"/>
    <n v="3.2"/>
    <n v="1"/>
    <m/>
    <m/>
    <s v="L"/>
    <m/>
    <m/>
    <m/>
    <x v="73"/>
    <n v="23.1"/>
  </r>
  <r>
    <n v="10"/>
    <n v="20"/>
    <n v="18.750671087244616"/>
    <n v="23.475231471135253"/>
    <m/>
    <n v="101"/>
    <x v="0"/>
    <m/>
    <n v="1.19"/>
    <s v="dead"/>
    <m/>
    <n v="2.1"/>
    <m/>
    <m/>
    <m/>
    <s v="D"/>
    <m/>
    <m/>
    <m/>
    <x v="74"/>
    <s v="dead"/>
  </r>
  <r>
    <n v="40"/>
    <n v="20"/>
    <n v="42.296976774514143"/>
    <n v="29.435802149635169"/>
    <m/>
    <n v="295"/>
    <x v="2"/>
    <m/>
    <n v="1.22"/>
    <m/>
    <n v="13.6"/>
    <n v="2.1"/>
    <n v="1"/>
    <m/>
    <m/>
    <s v="L"/>
    <m/>
    <m/>
    <m/>
    <x v="75"/>
    <n v="13.6"/>
  </r>
  <r>
    <n v="40"/>
    <n v="40"/>
    <n v="41.347856998834331"/>
    <n v="45.661803730912965"/>
    <m/>
    <n v="360"/>
    <x v="2"/>
    <m/>
    <n v="1.22"/>
    <n v="5.3"/>
    <m/>
    <n v="2.8"/>
    <n v="0.4"/>
    <m/>
    <m/>
    <s v="L"/>
    <m/>
    <m/>
    <m/>
    <x v="75"/>
    <n v="1.6870423967740906"/>
  </r>
  <r>
    <n v="30"/>
    <n v="-10"/>
    <n v="36.357692293398046"/>
    <n v="-1.8575191390812584"/>
    <m/>
    <n v="437"/>
    <x v="2"/>
    <m/>
    <n v="1.22"/>
    <m/>
    <n v="16.100000000000001"/>
    <n v="3.1"/>
    <n v="0.8"/>
    <m/>
    <m/>
    <s v="L"/>
    <m/>
    <m/>
    <m/>
    <x v="75"/>
    <n v="16.100000000000001"/>
  </r>
  <r>
    <n v="40"/>
    <n v="-10"/>
    <n v="43.511176741472546"/>
    <n v="-9.4124305231359866"/>
    <m/>
    <n v="449"/>
    <x v="2"/>
    <m/>
    <n v="1.22"/>
    <m/>
    <n v="12.1"/>
    <n v="1.8"/>
    <n v="1.6"/>
    <m/>
    <m/>
    <s v="L"/>
    <m/>
    <m/>
    <m/>
    <x v="75"/>
    <n v="12.1"/>
  </r>
  <r>
    <n v="0"/>
    <n v="-20"/>
    <n v="4.283786838883505"/>
    <n v="-18.299684952997218"/>
    <m/>
    <n v="583"/>
    <x v="0"/>
    <m/>
    <n v="1.22"/>
    <s v="dead"/>
    <m/>
    <n v="2.2000000000000002"/>
    <m/>
    <m/>
    <m/>
    <s v="D"/>
    <m/>
    <m/>
    <m/>
    <x v="75"/>
    <s v="dead"/>
  </r>
  <r>
    <n v="40"/>
    <n v="20"/>
    <n v="42.033215261247165"/>
    <n v="29.849072569358412"/>
    <m/>
    <n v="315"/>
    <x v="2"/>
    <m/>
    <n v="1.23"/>
    <s v="dead"/>
    <m/>
    <n v="1.5"/>
    <m/>
    <m/>
    <m/>
    <s v="D"/>
    <m/>
    <s v="broken"/>
    <m/>
    <x v="76"/>
    <s v="dead"/>
  </r>
  <r>
    <n v="10"/>
    <n v="20"/>
    <n v="19.395037262242923"/>
    <n v="28.232704877268993"/>
    <m/>
    <n v="96"/>
    <x v="2"/>
    <m/>
    <n v="1.24"/>
    <m/>
    <n v="19.3"/>
    <n v="3.3"/>
    <n v="0.5"/>
    <m/>
    <m/>
    <s v="L"/>
    <m/>
    <m/>
    <m/>
    <x v="77"/>
    <n v="19.3"/>
  </r>
  <r>
    <n v="40"/>
    <n v="20"/>
    <n v="42.314959564929261"/>
    <n v="29.279987657004579"/>
    <m/>
    <n v="291"/>
    <x v="2"/>
    <m/>
    <n v="1.24"/>
    <m/>
    <n v="5.5"/>
    <n v="3.4"/>
    <n v="1"/>
    <m/>
    <m/>
    <s v="L"/>
    <m/>
    <m/>
    <m/>
    <x v="77"/>
    <n v="5.5"/>
  </r>
  <r>
    <n v="20"/>
    <n v="-20"/>
    <n v="29.815354348993672"/>
    <n v="-13.113758655297145"/>
    <m/>
    <n v="539"/>
    <x v="2"/>
    <m/>
    <n v="1.25"/>
    <m/>
    <n v="13.4"/>
    <n v="2.2999999999999998"/>
    <n v="1.3"/>
    <m/>
    <m/>
    <s v="L"/>
    <m/>
    <m/>
    <m/>
    <x v="78"/>
    <n v="13.4"/>
  </r>
  <r>
    <n v="40"/>
    <n v="0"/>
    <n v="40.044069004266788"/>
    <n v="4.9501922885259351"/>
    <m/>
    <n v="263"/>
    <x v="2"/>
    <m/>
    <n v="1.26"/>
    <s v="dead"/>
    <m/>
    <n v="2.5"/>
    <m/>
    <m/>
    <m/>
    <s v="D"/>
    <m/>
    <m/>
    <m/>
    <x v="79"/>
    <s v="dead"/>
  </r>
  <r>
    <n v="30"/>
    <n v="-30"/>
    <n v="32.172249041042093"/>
    <n v="-27.886300406635019"/>
    <m/>
    <n v="670"/>
    <x v="0"/>
    <m/>
    <n v="1.26"/>
    <s v="dead"/>
    <m/>
    <n v="2.5"/>
    <m/>
    <m/>
    <m/>
    <s v="D"/>
    <m/>
    <m/>
    <m/>
    <x v="79"/>
    <s v="dead"/>
  </r>
  <r>
    <n v="20"/>
    <n v="30"/>
    <n v="20.548209621882769"/>
    <n v="33.73393534900292"/>
    <m/>
    <n v="175"/>
    <x v="2"/>
    <m/>
    <n v="1.27"/>
    <n v="6.3"/>
    <m/>
    <n v="2.8"/>
    <n v="0.8"/>
    <m/>
    <m/>
    <s v="L"/>
    <m/>
    <m/>
    <m/>
    <x v="80"/>
    <n v="2.0053522829578814"/>
  </r>
  <r>
    <n v="30"/>
    <n v="-20"/>
    <n v="35.246860320498655"/>
    <n v="-17.046819366717855"/>
    <m/>
    <n v="523"/>
    <x v="1"/>
    <m/>
    <n v="1.27"/>
    <m/>
    <n v="1.92"/>
    <n v="3.1"/>
    <n v="0.6"/>
    <m/>
    <m/>
    <s v="L"/>
    <m/>
    <m/>
    <m/>
    <x v="80"/>
    <n v="1.92"/>
  </r>
  <r>
    <n v="0"/>
    <n v="-30"/>
    <n v="9.309286328818267"/>
    <n v="-23.147976576191382"/>
    <m/>
    <n v="609"/>
    <x v="2"/>
    <m/>
    <n v="1.27"/>
    <m/>
    <n v="16.3"/>
    <n v="2.2999999999999998"/>
    <n v="1.7"/>
    <m/>
    <m/>
    <s v="L"/>
    <m/>
    <m/>
    <m/>
    <x v="80"/>
    <n v="16.3"/>
  </r>
  <r>
    <n v="20"/>
    <n v="30"/>
    <n v="24.676352046017037"/>
    <n v="39.225834938974714"/>
    <m/>
    <n v="129"/>
    <x v="0"/>
    <m/>
    <n v="1.28"/>
    <n v="7"/>
    <m/>
    <n v="2.5"/>
    <n v="0.2"/>
    <m/>
    <m/>
    <s v="L"/>
    <m/>
    <m/>
    <m/>
    <x v="81"/>
    <n v="2.228169203286535"/>
  </r>
  <r>
    <n v="40"/>
    <n v="30"/>
    <n v="48.785431380698043"/>
    <n v="31.465996070483271"/>
    <m/>
    <n v="336"/>
    <x v="3"/>
    <m/>
    <n v="1.28"/>
    <m/>
    <n v="17.100000000000001"/>
    <n v="2.1"/>
    <n v="1"/>
    <m/>
    <m/>
    <s v="L"/>
    <m/>
    <m/>
    <m/>
    <x v="81"/>
    <n v="17.100000000000001"/>
  </r>
  <r>
    <n v="40"/>
    <n v="20"/>
    <n v="41.994523250760842"/>
    <n v="29.817403525727038"/>
    <m/>
    <n v="313"/>
    <x v="2"/>
    <m/>
    <n v="1.3"/>
    <n v="6"/>
    <m/>
    <n v="3.1"/>
    <n v="0.8"/>
    <m/>
    <m/>
    <s v="L"/>
    <m/>
    <m/>
    <m/>
    <x v="82"/>
    <n v="1.909859317102744"/>
  </r>
  <r>
    <n v="30"/>
    <n v="-20"/>
    <n v="30.272031637104213"/>
    <n v="-12.789450040868029"/>
    <m/>
    <n v="531"/>
    <x v="2"/>
    <m/>
    <n v="1.3"/>
    <m/>
    <n v="14.8"/>
    <n v="2.7"/>
    <n v="1.4"/>
    <m/>
    <m/>
    <s v="L"/>
    <m/>
    <m/>
    <m/>
    <x v="82"/>
    <n v="14.8"/>
  </r>
  <r>
    <n v="0"/>
    <n v="-20"/>
    <n v="0.82101434437614929"/>
    <n v="-14.108775419310309"/>
    <m/>
    <n v="589"/>
    <x v="0"/>
    <m/>
    <n v="1.3"/>
    <m/>
    <n v="20.5"/>
    <n v="1.9"/>
    <n v="0.2"/>
    <m/>
    <m/>
    <s v="L"/>
    <m/>
    <m/>
    <s v="New No758"/>
    <x v="82"/>
    <n v="20.5"/>
  </r>
  <r>
    <n v="20"/>
    <n v="40"/>
    <n v="25.933414994968828"/>
    <n v="46.753864560196561"/>
    <m/>
    <n v="190"/>
    <x v="2"/>
    <m/>
    <n v="1.31"/>
    <m/>
    <n v="14.3"/>
    <n v="1.8"/>
    <n v="1.1000000000000001"/>
    <m/>
    <m/>
    <s v="L"/>
    <m/>
    <m/>
    <m/>
    <x v="83"/>
    <n v="14.3"/>
  </r>
  <r>
    <n v="40"/>
    <n v="20"/>
    <n v="42.537382672775671"/>
    <n v="29.97268447893466"/>
    <m/>
    <n v="301"/>
    <x v="2"/>
    <m/>
    <n v="1.31"/>
    <n v="6"/>
    <m/>
    <n v="3.1"/>
    <n v="1"/>
    <m/>
    <m/>
    <s v="L"/>
    <m/>
    <m/>
    <m/>
    <x v="83"/>
    <n v="1.909859317102744"/>
  </r>
  <r>
    <n v="0"/>
    <n v="20"/>
    <n v="3.8226077947344206"/>
    <n v="29.704255234052518"/>
    <m/>
    <n v="45"/>
    <x v="0"/>
    <m/>
    <n v="1.32"/>
    <n v="8.3000000000000007"/>
    <m/>
    <n v="2.1"/>
    <n v="0.2"/>
    <m/>
    <m/>
    <s v="L"/>
    <m/>
    <m/>
    <m/>
    <x v="84"/>
    <n v="2.6419720553254629"/>
  </r>
  <r>
    <n v="40"/>
    <n v="30"/>
    <n v="43.446618132143705"/>
    <n v="36.456599642426447"/>
    <m/>
    <n v="344"/>
    <x v="0"/>
    <m/>
    <n v="1.32"/>
    <n v="7.4"/>
    <m/>
    <n v="2.6"/>
    <n v="0.3"/>
    <m/>
    <m/>
    <s v="L"/>
    <m/>
    <m/>
    <m/>
    <x v="84"/>
    <n v="2.3554931577600513"/>
  </r>
  <r>
    <n v="20"/>
    <n v="10"/>
    <n v="21.971325740910526"/>
    <n v="11.532730588339588"/>
    <m/>
    <n v="145"/>
    <x v="2"/>
    <m/>
    <n v="1.33"/>
    <s v="dead"/>
    <m/>
    <n v="1.3"/>
    <m/>
    <m/>
    <m/>
    <s v="D"/>
    <m/>
    <s v="broken"/>
    <m/>
    <x v="85"/>
    <s v="dead"/>
  </r>
  <r>
    <n v="40"/>
    <n v="-10"/>
    <n v="43.411546288263949"/>
    <n v="-9.4229801363622858"/>
    <m/>
    <n v="447"/>
    <x v="2"/>
    <m/>
    <n v="1.33"/>
    <m/>
    <n v="15.9"/>
    <n v="1.8"/>
    <n v="1.3"/>
    <m/>
    <m/>
    <s v="L"/>
    <m/>
    <m/>
    <m/>
    <x v="85"/>
    <n v="15.9"/>
  </r>
  <r>
    <n v="10"/>
    <n v="20"/>
    <n v="18.480876301162375"/>
    <n v="20.580784935354586"/>
    <m/>
    <n v="104"/>
    <x v="0"/>
    <m/>
    <n v="1.34"/>
    <s v="dead"/>
    <m/>
    <n v="2.1"/>
    <m/>
    <m/>
    <m/>
    <s v="D"/>
    <m/>
    <m/>
    <m/>
    <x v="86"/>
    <s v="dead"/>
  </r>
  <r>
    <n v="20"/>
    <n v="0"/>
    <n v="27.161315759394988"/>
    <n v="7.1363615795614637"/>
    <m/>
    <n v="123"/>
    <x v="0"/>
    <m/>
    <n v="1.34"/>
    <s v="dead"/>
    <m/>
    <n v="2.4"/>
    <m/>
    <m/>
    <m/>
    <s v="D"/>
    <m/>
    <m/>
    <m/>
    <x v="86"/>
    <s v="dead"/>
  </r>
  <r>
    <n v="20"/>
    <n v="20"/>
    <n v="29.620093591599371"/>
    <n v="21.086119526062333"/>
    <m/>
    <n v="162"/>
    <x v="1"/>
    <m/>
    <n v="1.34"/>
    <m/>
    <n v="21.2"/>
    <n v="1.6"/>
    <n v="0.6"/>
    <m/>
    <m/>
    <s v="L"/>
    <m/>
    <m/>
    <m/>
    <x v="86"/>
    <n v="21.2"/>
  </r>
  <r>
    <n v="40"/>
    <n v="-10"/>
    <n v="48.499274544622907"/>
    <n v="-2.9838604370149775"/>
    <m/>
    <n v="470"/>
    <x v="2"/>
    <m/>
    <n v="1.34"/>
    <s v="dead"/>
    <m/>
    <n v="2"/>
    <m/>
    <m/>
    <m/>
    <s v="D"/>
    <m/>
    <m/>
    <m/>
    <x v="86"/>
    <s v="dead"/>
  </r>
  <r>
    <n v="20"/>
    <n v="40"/>
    <n v="26.382700868550014"/>
    <n v="47.29090046719957"/>
    <m/>
    <n v="194"/>
    <x v="2"/>
    <m/>
    <n v="1.35"/>
    <m/>
    <n v="14.8"/>
    <n v="2.7"/>
    <n v="1.1000000000000001"/>
    <m/>
    <m/>
    <s v="L"/>
    <m/>
    <m/>
    <m/>
    <x v="87"/>
    <n v="14.8"/>
  </r>
  <r>
    <n v="30"/>
    <n v="20"/>
    <n v="35.208951740241446"/>
    <n v="23.344087583756682"/>
    <m/>
    <n v="211"/>
    <x v="2"/>
    <m/>
    <n v="1.35"/>
    <n v="7.5"/>
    <m/>
    <n v="2.6"/>
    <n v="0.4"/>
    <m/>
    <m/>
    <s v="L"/>
    <m/>
    <m/>
    <m/>
    <x v="87"/>
    <n v="2.3873241463784303"/>
  </r>
  <r>
    <n v="40"/>
    <n v="30"/>
    <n v="48.85269318912912"/>
    <n v="30.519167384573795"/>
    <m/>
    <n v="325"/>
    <x v="3"/>
    <m/>
    <n v="1.35"/>
    <m/>
    <n v="18.3"/>
    <n v="1.4"/>
    <n v="0.9"/>
    <m/>
    <m/>
    <s v="L"/>
    <m/>
    <m/>
    <m/>
    <x v="87"/>
    <n v="18.3"/>
  </r>
  <r>
    <n v="10"/>
    <n v="-30"/>
    <n v="19.934757230768518"/>
    <n v="-22.323744391372124"/>
    <m/>
    <n v="628"/>
    <x v="0"/>
    <m/>
    <n v="1.35"/>
    <m/>
    <n v="19"/>
    <n v="2.6"/>
    <n v="0.7"/>
    <m/>
    <m/>
    <s v="L"/>
    <m/>
    <m/>
    <m/>
    <x v="87"/>
    <n v="19"/>
  </r>
  <r>
    <n v="30"/>
    <n v="20"/>
    <n v="33.939110065365163"/>
    <n v="24.008467524246502"/>
    <m/>
    <n v="209"/>
    <x v="1"/>
    <m/>
    <n v="1.36"/>
    <m/>
    <n v="21.4"/>
    <n v="2.7"/>
    <n v="0.5"/>
    <m/>
    <m/>
    <s v="L"/>
    <m/>
    <m/>
    <m/>
    <x v="88"/>
    <n v="21.4"/>
  </r>
  <r>
    <n v="0"/>
    <n v="40"/>
    <n v="6.9523180845387946"/>
    <n v="42.049935901299008"/>
    <m/>
    <n v="64"/>
    <x v="0"/>
    <m/>
    <n v="1.38"/>
    <m/>
    <n v="19.8"/>
    <n v="3.2"/>
    <n v="0.6"/>
    <m/>
    <m/>
    <s v="L"/>
    <m/>
    <m/>
    <m/>
    <x v="89"/>
    <n v="19.8"/>
  </r>
  <r>
    <n v="40"/>
    <n v="-30"/>
    <n v="42.673689076497766"/>
    <n v="-25.82924567952502"/>
    <m/>
    <n v="682"/>
    <x v="2"/>
    <m/>
    <n v="1.38"/>
    <m/>
    <n v="16.8"/>
    <n v="1.8"/>
    <n v="1.2"/>
    <m/>
    <m/>
    <s v="L"/>
    <m/>
    <m/>
    <m/>
    <x v="89"/>
    <n v="16.8"/>
  </r>
  <r>
    <n v="20"/>
    <n v="-20"/>
    <n v="28.615447336791203"/>
    <n v="-30.660464995618224"/>
    <m/>
    <n v="714"/>
    <x v="1"/>
    <m/>
    <n v="1.38"/>
    <m/>
    <n v="18.8"/>
    <n v="3.4"/>
    <n v="0.6"/>
    <m/>
    <m/>
    <s v="L"/>
    <m/>
    <m/>
    <s v="New　No783　whiteBlue"/>
    <x v="89"/>
    <n v="18.8"/>
  </r>
  <r>
    <n v="40"/>
    <n v="30"/>
    <n v="49.824853784818124"/>
    <n v="32.281987056028768"/>
    <m/>
    <n v="340"/>
    <x v="3"/>
    <m/>
    <n v="1.4"/>
    <s v="dead"/>
    <m/>
    <n v="1.4"/>
    <n v="1"/>
    <m/>
    <m/>
    <s v="L"/>
    <m/>
    <m/>
    <s v="dead"/>
    <x v="90"/>
    <s v="dead"/>
  </r>
  <r>
    <n v="40"/>
    <n v="-30"/>
    <n v="42.331454315224569"/>
    <n v="-26.014452133946147"/>
    <m/>
    <n v="684"/>
    <x v="2"/>
    <m/>
    <n v="1.4"/>
    <m/>
    <n v="16.2"/>
    <n v="1.7"/>
    <n v="1.3"/>
    <m/>
    <m/>
    <s v="L"/>
    <m/>
    <m/>
    <m/>
    <x v="90"/>
    <n v="16.2"/>
  </r>
  <r>
    <n v="40"/>
    <n v="10"/>
    <n v="41.378009384887001"/>
    <n v="14.425970717925551"/>
    <m/>
    <n v="281"/>
    <x v="0"/>
    <m/>
    <n v="1.41"/>
    <n v="7.7"/>
    <m/>
    <n v="2.2000000000000002"/>
    <n v="0.6"/>
    <m/>
    <m/>
    <s v="L"/>
    <m/>
    <s v="broken,resprouted multi-stems, dbh=tallest stem, thickest stem dbh=4.07 H= ca 1m"/>
    <s v="thickest stem dbh=19.2"/>
    <x v="91"/>
    <n v="2.4509861236151882"/>
  </r>
  <r>
    <n v="30"/>
    <n v="-30"/>
    <n v="31.654135647274799"/>
    <n v="-25.548687706153121"/>
    <m/>
    <n v="664"/>
    <x v="0"/>
    <m/>
    <n v="1.42"/>
    <s v="dead"/>
    <m/>
    <n v="2.2999999999999998"/>
    <m/>
    <m/>
    <m/>
    <s v="D"/>
    <m/>
    <m/>
    <m/>
    <x v="92"/>
    <s v="dead"/>
  </r>
  <r>
    <n v="10"/>
    <n v="-30"/>
    <n v="17.181672912791875"/>
    <n v="-22.458583419269921"/>
    <m/>
    <n v="623"/>
    <x v="0"/>
    <m/>
    <n v="1.44"/>
    <m/>
    <n v="21"/>
    <n v="2.2000000000000002"/>
    <n v="0.1"/>
    <m/>
    <m/>
    <s v="L"/>
    <m/>
    <m/>
    <s v="New No 765"/>
    <x v="93"/>
    <n v="21"/>
  </r>
  <r>
    <n v="30"/>
    <n v="-30"/>
    <n v="32.218880714326836"/>
    <n v="-27.73815665230347"/>
    <m/>
    <n v="669"/>
    <x v="0"/>
    <m/>
    <n v="1.45"/>
    <s v="dead"/>
    <m/>
    <n v="2.5"/>
    <m/>
    <m/>
    <m/>
    <s v="D"/>
    <m/>
    <m/>
    <m/>
    <x v="94"/>
    <s v="dead"/>
  </r>
  <r>
    <n v="20"/>
    <n v="-20"/>
    <n v="27.708774059127435"/>
    <n v="-30.421093209825571"/>
    <m/>
    <n v="716"/>
    <x v="1"/>
    <m/>
    <n v="1.46"/>
    <m/>
    <n v="5.7"/>
    <n v="3"/>
    <n v="0.8"/>
    <m/>
    <m/>
    <s v="L"/>
    <m/>
    <m/>
    <s v="New　No786　whiteBlue"/>
    <x v="95"/>
    <n v="5.7"/>
  </r>
  <r>
    <n v="10"/>
    <n v="10"/>
    <n v="13.695974146610109"/>
    <n v="10.572167027702303"/>
    <m/>
    <n v="113"/>
    <x v="0"/>
    <m/>
    <n v="1.47"/>
    <s v="dead"/>
    <m/>
    <n v="2.2000000000000002"/>
    <m/>
    <m/>
    <m/>
    <s v="D"/>
    <m/>
    <m/>
    <m/>
    <x v="96"/>
    <s v="dead"/>
  </r>
  <r>
    <n v="40"/>
    <n v="30"/>
    <n v="48.780725712693545"/>
    <n v="30.982052882594992"/>
    <m/>
    <n v="324"/>
    <x v="3"/>
    <m/>
    <n v="1.47"/>
    <s v="dead"/>
    <m/>
    <n v="1"/>
    <n v="0.9"/>
    <m/>
    <m/>
    <s v="L"/>
    <m/>
    <s v="fall down"/>
    <m/>
    <x v="96"/>
    <s v="dead"/>
  </r>
  <r>
    <n v="40"/>
    <n v="-20"/>
    <n v="41.077045145116749"/>
    <n v="-13.612876105733552"/>
    <m/>
    <n v="513"/>
    <x v="1"/>
    <m/>
    <n v="1.47"/>
    <m/>
    <n v="17.5"/>
    <n v="3"/>
    <n v="1.3"/>
    <m/>
    <m/>
    <s v="L"/>
    <m/>
    <m/>
    <s v="同株　つけ忘れ　No746　DBH=18.3mm　H=3.0ｍ"/>
    <x v="96"/>
    <n v="17.5"/>
  </r>
  <r>
    <n v="0"/>
    <n v="-30"/>
    <n v="3.8441714100243498"/>
    <n v="-21.83114306271171"/>
    <m/>
    <n v="603"/>
    <x v="0"/>
    <m/>
    <n v="1.48"/>
    <m/>
    <n v="20.8"/>
    <n v="2.2999999999999998"/>
    <n v="0.3"/>
    <m/>
    <m/>
    <s v="L"/>
    <m/>
    <m/>
    <m/>
    <x v="97"/>
    <n v="20.8"/>
  </r>
  <r>
    <n v="0"/>
    <n v="20"/>
    <n v="0.66636346065243546"/>
    <n v="24.864571896714789"/>
    <m/>
    <n v="29"/>
    <x v="0"/>
    <m/>
    <n v="1.5"/>
    <m/>
    <n v="20.3"/>
    <n v="2"/>
    <n v="0.2"/>
    <m/>
    <m/>
    <s v="L"/>
    <m/>
    <m/>
    <m/>
    <x v="98"/>
    <n v="20.3"/>
  </r>
  <r>
    <n v="40"/>
    <n v="40"/>
    <n v="41.55964685708858"/>
    <n v="45.418610414390876"/>
    <m/>
    <n v="356"/>
    <x v="2"/>
    <m/>
    <n v="1.51"/>
    <m/>
    <n v="15.7"/>
    <n v="2.9"/>
    <n v="1.5"/>
    <m/>
    <m/>
    <s v="L"/>
    <m/>
    <m/>
    <m/>
    <x v="99"/>
    <n v="15.7"/>
  </r>
  <r>
    <n v="30"/>
    <n v="-20"/>
    <n v="36.093682459167503"/>
    <n v="-15.517090108941883"/>
    <m/>
    <n v="520"/>
    <x v="0"/>
    <m/>
    <n v="1.51"/>
    <s v="dead"/>
    <m/>
    <n v="2.2000000000000002"/>
    <n v="0.1"/>
    <m/>
    <m/>
    <s v="L"/>
    <m/>
    <m/>
    <m/>
    <x v="99"/>
    <s v="dead"/>
  </r>
  <r>
    <n v="20"/>
    <n v="-20"/>
    <n v="27.573886755230106"/>
    <n v="-13.029159888179269"/>
    <m/>
    <n v="540"/>
    <x v="2"/>
    <m/>
    <n v="1.51"/>
    <m/>
    <n v="17.3"/>
    <n v="3.3"/>
    <n v="1.3"/>
    <m/>
    <m/>
    <s v="L"/>
    <m/>
    <m/>
    <m/>
    <x v="99"/>
    <n v="17.3"/>
  </r>
  <r>
    <n v="20"/>
    <n v="10"/>
    <n v="20.025377074440154"/>
    <n v="14.539977854319202"/>
    <m/>
    <n v="155"/>
    <x v="0"/>
    <m/>
    <n v="1.52"/>
    <m/>
    <n v="21.1"/>
    <n v="2.4"/>
    <n v="0.2"/>
    <m/>
    <m/>
    <s v="L"/>
    <m/>
    <m/>
    <m/>
    <x v="100"/>
    <n v="21.1"/>
  </r>
  <r>
    <n v="10"/>
    <n v="20"/>
    <n v="18.888959746745883"/>
    <n v="21.51976961603188"/>
    <m/>
    <n v="102"/>
    <x v="0"/>
    <m/>
    <n v="1.53"/>
    <s v="dead"/>
    <m/>
    <n v="2.6"/>
    <m/>
    <m/>
    <m/>
    <s v="D"/>
    <m/>
    <m/>
    <m/>
    <x v="101"/>
    <s v="dead"/>
  </r>
  <r>
    <n v="40"/>
    <n v="10"/>
    <n v="42.941695206502793"/>
    <n v="16.264571620016966"/>
    <m/>
    <n v="282"/>
    <x v="0"/>
    <m/>
    <n v="1.53"/>
    <n v="8.3000000000000007"/>
    <m/>
    <n v="3.1"/>
    <n v="0.3"/>
    <m/>
    <m/>
    <s v="L"/>
    <m/>
    <m/>
    <m/>
    <x v="101"/>
    <n v="2.6419720553254629"/>
  </r>
  <r>
    <n v="0"/>
    <n v="30"/>
    <n v="1.0700791983558624"/>
    <n v="30.012983097421369"/>
    <m/>
    <n v="50"/>
    <x v="2"/>
    <m/>
    <n v="1.54"/>
    <m/>
    <n v="15.5"/>
    <n v="2.2000000000000002"/>
    <n v="1.2"/>
    <m/>
    <m/>
    <s v="L"/>
    <m/>
    <m/>
    <m/>
    <x v="102"/>
    <n v="15.5"/>
  </r>
  <r>
    <n v="40"/>
    <n v="-30"/>
    <n v="42.781270294175009"/>
    <n v="-25.663879383182479"/>
    <m/>
    <n v="680"/>
    <x v="2"/>
    <m/>
    <n v="1.54"/>
    <m/>
    <n v="17.5"/>
    <n v="2.8"/>
    <n v="1.1000000000000001"/>
    <m/>
    <m/>
    <s v="L"/>
    <m/>
    <m/>
    <m/>
    <x v="102"/>
    <n v="17.5"/>
  </r>
  <r>
    <n v="40"/>
    <n v="0"/>
    <n v="49.012604403629609"/>
    <n v="2.6494992100077894"/>
    <m/>
    <n v="276"/>
    <x v="1"/>
    <m/>
    <n v="1.55"/>
    <n v="8.4"/>
    <m/>
    <n v="3.2"/>
    <n v="0.7"/>
    <m/>
    <m/>
    <s v="L"/>
    <m/>
    <m/>
    <s v="New No 592 white red"/>
    <x v="103"/>
    <n v="2.6738030439438418"/>
  </r>
  <r>
    <n v="40"/>
    <n v="20"/>
    <n v="41.793904923765879"/>
    <n v="29.381295574128924"/>
    <m/>
    <n v="307"/>
    <x v="2"/>
    <m/>
    <n v="1.56"/>
    <n v="6.1"/>
    <m/>
    <n v="3.9"/>
    <n v="1.2"/>
    <m/>
    <m/>
    <s v="L"/>
    <m/>
    <m/>
    <m/>
    <x v="104"/>
    <n v="1.941690305721123"/>
  </r>
  <r>
    <n v="30"/>
    <n v="-30"/>
    <n v="33.53647369957767"/>
    <n v="-24.559194421407735"/>
    <m/>
    <n v="662"/>
    <x v="0"/>
    <m/>
    <n v="1.57"/>
    <s v="dead"/>
    <m/>
    <n v="5"/>
    <n v="0.4"/>
    <m/>
    <m/>
    <s v="L"/>
    <m/>
    <m/>
    <m/>
    <x v="105"/>
    <s v="dead"/>
  </r>
  <r>
    <n v="30"/>
    <n v="-30"/>
    <n v="35.356399276918161"/>
    <n v="-28.844466450059642"/>
    <m/>
    <n v="674"/>
    <x v="0"/>
    <m/>
    <n v="1.57"/>
    <m/>
    <n v="29"/>
    <n v="2.7"/>
    <n v="0.3"/>
    <m/>
    <m/>
    <s v="L"/>
    <m/>
    <m/>
    <s v="NewNo 776"/>
    <x v="105"/>
    <n v="29"/>
  </r>
  <r>
    <n v="50"/>
    <n v="-30"/>
    <n v="50.215139710240834"/>
    <n v="-27.437723206428444"/>
    <m/>
    <n v="2010"/>
    <x v="2"/>
    <m/>
    <n v="1.57"/>
    <n v="44.8"/>
    <m/>
    <m/>
    <m/>
    <n v="8.5"/>
    <s v="dead"/>
    <m/>
    <m/>
    <s v="701 same tree"/>
    <s v="New No 613 White red　先オレ　dead"/>
    <x v="105"/>
    <n v="14.260282901033822"/>
  </r>
  <r>
    <n v="10"/>
    <n v="-30"/>
    <n v="10.075594505370871"/>
    <n v="-21.922856006986763"/>
    <m/>
    <n v="614"/>
    <x v="0"/>
    <m/>
    <n v="1.59"/>
    <s v="dead"/>
    <m/>
    <n v="2.2999999999999998"/>
    <m/>
    <m/>
    <m/>
    <s v="D"/>
    <m/>
    <m/>
    <m/>
    <x v="106"/>
    <s v="dead"/>
  </r>
  <r>
    <n v="10"/>
    <n v="-30"/>
    <n v="20.370058669255478"/>
    <n v="-20.100000000000001"/>
    <m/>
    <n v="627"/>
    <x v="0"/>
    <m/>
    <n v="1.59"/>
    <m/>
    <n v="22.4"/>
    <n v="2.5"/>
    <n v="0.3"/>
    <m/>
    <m/>
    <s v="L"/>
    <m/>
    <m/>
    <s v="New No 766"/>
    <x v="106"/>
    <n v="22.4"/>
  </r>
  <r>
    <n v="10"/>
    <n v="20"/>
    <n v="12.785030728212849"/>
    <n v="39.991395380979618"/>
    <m/>
    <n v="83"/>
    <x v="0"/>
    <m/>
    <n v="1.61"/>
    <n v="8.6999999999999993"/>
    <m/>
    <n v="2.9"/>
    <n v="0.4"/>
    <m/>
    <m/>
    <s v="L"/>
    <m/>
    <m/>
    <m/>
    <x v="107"/>
    <n v="2.7692960097989787"/>
  </r>
  <r>
    <n v="20"/>
    <n v="-20"/>
    <n v="26.865716922766467"/>
    <n v="-13.642459065946641"/>
    <m/>
    <n v="557"/>
    <x v="2"/>
    <m/>
    <n v="1.61"/>
    <m/>
    <n v="11.2"/>
    <n v="0.9"/>
    <n v="0"/>
    <m/>
    <m/>
    <s v="L"/>
    <m/>
    <s v="L=3.4"/>
    <s v="New No753 DBH01?"/>
    <x v="107"/>
    <n v="11.2"/>
  </r>
  <r>
    <n v="40"/>
    <n v="10"/>
    <n v="42.95207783888543"/>
    <n v="10.555182391625927"/>
    <m/>
    <n v="279"/>
    <x v="1"/>
    <m/>
    <n v="1.63"/>
    <n v="8.3000000000000007"/>
    <m/>
    <n v="3.2"/>
    <n v="0.7"/>
    <m/>
    <m/>
    <s v="L"/>
    <m/>
    <m/>
    <m/>
    <x v="108"/>
    <n v="2.6419720553254629"/>
  </r>
  <r>
    <n v="40"/>
    <n v="40"/>
    <n v="49.266331268088543"/>
    <n v="42.28511054258113"/>
    <m/>
    <n v="350"/>
    <x v="2"/>
    <m/>
    <n v="1.63"/>
    <m/>
    <n v="16.8"/>
    <n v="3.4"/>
    <n v="2.1"/>
    <m/>
    <m/>
    <s v="L"/>
    <m/>
    <m/>
    <m/>
    <x v="108"/>
    <n v="16.8"/>
  </r>
  <r>
    <n v="0"/>
    <n v="40"/>
    <n v="8.1404010585722872"/>
    <n v="40.771855251893008"/>
    <m/>
    <n v="62"/>
    <x v="0"/>
    <m/>
    <n v="1.64"/>
    <s v="dead"/>
    <m/>
    <n v="2.5"/>
    <n v="0.2"/>
    <m/>
    <m/>
    <s v="L"/>
    <m/>
    <m/>
    <m/>
    <x v="109"/>
    <s v="dead"/>
  </r>
  <r>
    <n v="0"/>
    <n v="-30"/>
    <n v="9.9566634226198119"/>
    <n v="-21.057995003103628"/>
    <m/>
    <n v="612"/>
    <x v="0"/>
    <m/>
    <n v="1.64"/>
    <m/>
    <n v="22.2"/>
    <n v="3"/>
    <n v="0.4"/>
    <m/>
    <m/>
    <s v="L"/>
    <m/>
    <m/>
    <s v="New No763"/>
    <x v="109"/>
    <n v="22.2"/>
  </r>
  <r>
    <n v="10"/>
    <n v="30"/>
    <n v="17.517240329533635"/>
    <n v="31.159712865363531"/>
    <m/>
    <n v="87"/>
    <x v="0"/>
    <m/>
    <n v="1.67"/>
    <n v="9.8000000000000007"/>
    <m/>
    <n v="2.5"/>
    <n v="0.2"/>
    <m/>
    <m/>
    <s v="L"/>
    <m/>
    <m/>
    <m/>
    <x v="110"/>
    <n v="3.1194368846011491"/>
  </r>
  <r>
    <n v="30"/>
    <n v="-10"/>
    <n v="38.887856973840393"/>
    <n v="-4.1141493487037444"/>
    <m/>
    <n v="441"/>
    <x v="2"/>
    <m/>
    <n v="1.68"/>
    <s v="dead"/>
    <m/>
    <n v="1.6"/>
    <n v="1.3"/>
    <m/>
    <m/>
    <s v="L"/>
    <m/>
    <m/>
    <m/>
    <x v="111"/>
    <s v="dead"/>
  </r>
  <r>
    <n v="0"/>
    <n v="0"/>
    <n v="4.4428325442296615"/>
    <n v="8.5628187767275055"/>
    <m/>
    <n v="5"/>
    <x v="2"/>
    <m/>
    <n v="1.69"/>
    <m/>
    <n v="19.2"/>
    <n v="3.6"/>
    <n v="0.9"/>
    <m/>
    <m/>
    <s v="L"/>
    <m/>
    <s v=" "/>
    <m/>
    <x v="112"/>
    <n v="19.2"/>
  </r>
  <r>
    <n v="20"/>
    <n v="30"/>
    <n v="20.605733397222572"/>
    <n v="34.513335525887406"/>
    <m/>
    <n v="180"/>
    <x v="2"/>
    <m/>
    <n v="1.69"/>
    <n v="6.7"/>
    <m/>
    <n v="2.7"/>
    <n v="0.8"/>
    <m/>
    <m/>
    <s v="L"/>
    <m/>
    <m/>
    <m/>
    <x v="112"/>
    <n v="2.1326762374313977"/>
  </r>
  <r>
    <n v="20"/>
    <n v="-30"/>
    <n v="25.63549269867908"/>
    <n v="-22.899771718035126"/>
    <m/>
    <n v="636"/>
    <x v="1"/>
    <m/>
    <n v="1.69"/>
    <n v="23.5"/>
    <m/>
    <n v="3.7"/>
    <n v="0.9"/>
    <m/>
    <m/>
    <s v="L"/>
    <m/>
    <s v="636 same tree?"/>
    <s v="New No 767"/>
    <x v="112"/>
    <n v="7.4802823253190809"/>
  </r>
  <r>
    <n v="20"/>
    <n v="-30"/>
    <n v="25.63549269867908"/>
    <n v="-22.899771718035126"/>
    <m/>
    <n v="637"/>
    <x v="1"/>
    <m/>
    <n v="1.69"/>
    <n v="21.9"/>
    <m/>
    <n v="3.4"/>
    <n v="1.1000000000000001"/>
    <m/>
    <m/>
    <s v="L"/>
    <m/>
    <m/>
    <s v="New No 768"/>
    <x v="112"/>
    <n v="6.9709865074250157"/>
  </r>
  <r>
    <n v="10"/>
    <n v="10"/>
    <n v="17.062022304305565"/>
    <n v="15.739149847624711"/>
    <m/>
    <n v="106"/>
    <x v="1"/>
    <m/>
    <n v="1.7"/>
    <m/>
    <n v="23.5"/>
    <n v="2.8"/>
    <n v="0.5"/>
    <m/>
    <m/>
    <s v="L"/>
    <m/>
    <m/>
    <m/>
    <x v="113"/>
    <n v="23.5"/>
  </r>
  <r>
    <n v="30"/>
    <n v="-10"/>
    <n v="38.84947872844365"/>
    <n v="-3.9687562805258523"/>
    <m/>
    <n v="440"/>
    <x v="2"/>
    <m/>
    <n v="1.73"/>
    <m/>
    <n v="19.3"/>
    <n v="3"/>
    <n v="1.3"/>
    <m/>
    <m/>
    <s v="L"/>
    <m/>
    <m/>
    <m/>
    <x v="114"/>
    <n v="19.3"/>
  </r>
  <r>
    <n v="0"/>
    <n v="20"/>
    <n v="2.0869868475753837"/>
    <n v="29.185906917558405"/>
    <m/>
    <n v="46"/>
    <x v="0"/>
    <m/>
    <n v="1.74"/>
    <s v="dead"/>
    <m/>
    <n v="3.8"/>
    <m/>
    <m/>
    <m/>
    <s v="D"/>
    <m/>
    <s v="this year"/>
    <m/>
    <x v="115"/>
    <s v="dead"/>
  </r>
  <r>
    <n v="0"/>
    <n v="30"/>
    <n v="4.2100548133568347"/>
    <n v="38.681486516563155"/>
    <m/>
    <n v="56"/>
    <x v="0"/>
    <m/>
    <n v="1.74"/>
    <s v="dead"/>
    <m/>
    <n v="2.1"/>
    <m/>
    <m/>
    <m/>
    <s v="D"/>
    <m/>
    <m/>
    <s v="倒れ"/>
    <x v="115"/>
    <s v="dead"/>
  </r>
  <r>
    <n v="0"/>
    <n v="10"/>
    <n v="6.59703322326639"/>
    <n v="17.789083201279034"/>
    <m/>
    <n v="24"/>
    <x v="2"/>
    <m/>
    <n v="1.76"/>
    <n v="6"/>
    <m/>
    <n v="3.1"/>
    <n v="1.1000000000000001"/>
    <m/>
    <m/>
    <s v="L"/>
    <m/>
    <m/>
    <m/>
    <x v="116"/>
    <n v="1.909859317102744"/>
  </r>
  <r>
    <n v="40"/>
    <n v="0"/>
    <n v="48.235042680231857"/>
    <n v="2.3206984656962657"/>
    <m/>
    <n v="274"/>
    <x v="0"/>
    <m/>
    <n v="1.79"/>
    <n v="9.6999999999999993"/>
    <m/>
    <n v="2.9"/>
    <n v="0.2"/>
    <m/>
    <m/>
    <s v="L"/>
    <m/>
    <m/>
    <m/>
    <x v="117"/>
    <n v="3.0876058959827692"/>
  </r>
  <r>
    <n v="40"/>
    <n v="20"/>
    <n v="42.210517931122659"/>
    <n v="29.301921944078657"/>
    <m/>
    <n v="294"/>
    <x v="2"/>
    <m/>
    <n v="1.8"/>
    <m/>
    <n v="18.3"/>
    <n v="3.5"/>
    <n v="2.1"/>
    <m/>
    <m/>
    <s v="L"/>
    <m/>
    <m/>
    <m/>
    <x v="118"/>
    <n v="18.3"/>
  </r>
  <r>
    <n v="40"/>
    <n v="-20"/>
    <n v="49.439942488289539"/>
    <n v="-10.032951749359711"/>
    <m/>
    <n v="503"/>
    <x v="2"/>
    <m/>
    <n v="1.8"/>
    <m/>
    <n v="24"/>
    <n v="3.7"/>
    <n v="1.3"/>
    <m/>
    <m/>
    <s v="L"/>
    <m/>
    <m/>
    <m/>
    <x v="118"/>
    <n v="24"/>
  </r>
  <r>
    <n v="40"/>
    <n v="30"/>
    <n v="49.643761131667816"/>
    <n v="30.726840135709438"/>
    <m/>
    <n v="329"/>
    <x v="3"/>
    <m/>
    <n v="1.81"/>
    <n v="7.6"/>
    <m/>
    <n v="3.3"/>
    <n v="1.1000000000000001"/>
    <m/>
    <m/>
    <s v="L"/>
    <m/>
    <m/>
    <m/>
    <x v="119"/>
    <n v="2.4191551349968092"/>
  </r>
  <r>
    <n v="0"/>
    <n v="20"/>
    <n v="8.3029446827353137"/>
    <n v="22.162755093725913"/>
    <m/>
    <n v="30"/>
    <x v="2"/>
    <m/>
    <n v="1.82"/>
    <n v="8.5"/>
    <m/>
    <n v="3.8"/>
    <n v="0.8"/>
    <m/>
    <m/>
    <s v="L"/>
    <m/>
    <m/>
    <m/>
    <x v="120"/>
    <n v="2.7056340325622208"/>
  </r>
  <r>
    <n v="0"/>
    <n v="0"/>
    <n v="4.3074786275277868"/>
    <n v="9.0576091978658386"/>
    <m/>
    <n v="7"/>
    <x v="2"/>
    <m/>
    <n v="1.83"/>
    <n v="7.4"/>
    <m/>
    <n v="3.5"/>
    <n v="1.5"/>
    <m/>
    <m/>
    <s v="L"/>
    <m/>
    <m/>
    <m/>
    <x v="121"/>
    <n v="2.3554931577600513"/>
  </r>
  <r>
    <n v="0"/>
    <n v="20"/>
    <n v="7.1383060376698781E-2"/>
    <n v="28.179688530664919"/>
    <m/>
    <n v="49"/>
    <x v="0"/>
    <m/>
    <n v="1.83"/>
    <s v="dead"/>
    <m/>
    <n v="2.9"/>
    <m/>
    <m/>
    <m/>
    <s v="D"/>
    <m/>
    <m/>
    <m/>
    <x v="121"/>
    <s v="dead"/>
  </r>
  <r>
    <n v="40"/>
    <n v="0"/>
    <n v="40.795535078290051"/>
    <n v="5.0333085520429153"/>
    <m/>
    <n v="261"/>
    <x v="2"/>
    <m/>
    <n v="1.84"/>
    <m/>
    <n v="19.5"/>
    <n v="2"/>
    <n v="1.5"/>
    <m/>
    <m/>
    <s v="L"/>
    <m/>
    <m/>
    <m/>
    <x v="122"/>
    <n v="19.5"/>
  </r>
  <r>
    <n v="40"/>
    <n v="20"/>
    <n v="41.955044382048811"/>
    <n v="29.612102466330828"/>
    <m/>
    <n v="312"/>
    <x v="2"/>
    <m/>
    <n v="1.84"/>
    <m/>
    <n v="18.600000000000001"/>
    <n v="3"/>
    <n v="2.1"/>
    <m/>
    <m/>
    <s v="L"/>
    <m/>
    <m/>
    <m/>
    <x v="122"/>
    <n v="18.600000000000001"/>
  </r>
  <r>
    <n v="20"/>
    <n v="-20"/>
    <n v="27.296469722438403"/>
    <n v="-13.073307418250858"/>
    <m/>
    <n v="542"/>
    <x v="2"/>
    <m/>
    <n v="1.84"/>
    <s v="dead"/>
    <m/>
    <n v="2.5"/>
    <m/>
    <m/>
    <m/>
    <s v="D"/>
    <m/>
    <m/>
    <m/>
    <x v="122"/>
    <s v="dead"/>
  </r>
  <r>
    <n v="10"/>
    <n v="-30"/>
    <n v="15.238000848139492"/>
    <n v="-22.295516668774031"/>
    <m/>
    <n v="621"/>
    <x v="0"/>
    <m/>
    <n v="1.84"/>
    <n v="9.5"/>
    <m/>
    <n v="2.8"/>
    <n v="0.2"/>
    <m/>
    <m/>
    <s v="L"/>
    <m/>
    <m/>
    <s v="New No764"/>
    <x v="122"/>
    <n v="3.0239439187460113"/>
  </r>
  <r>
    <n v="10"/>
    <n v="40"/>
    <n v="17.19336699698033"/>
    <n v="46.911903586303907"/>
    <m/>
    <n v="78"/>
    <x v="0"/>
    <m/>
    <n v="1.86"/>
    <s v="dead"/>
    <m/>
    <n v="2.5"/>
    <m/>
    <m/>
    <m/>
    <s v="D"/>
    <m/>
    <m/>
    <m/>
    <x v="123"/>
    <s v="dead"/>
  </r>
  <r>
    <n v="10"/>
    <n v="20"/>
    <n v="19.014335911764277"/>
    <n v="28.505523489744252"/>
    <m/>
    <n v="90"/>
    <x v="2"/>
    <m/>
    <n v="1.86"/>
    <m/>
    <n v="20.7"/>
    <n v="2.6"/>
    <n v="1.3"/>
    <m/>
    <m/>
    <s v="L"/>
    <m/>
    <m/>
    <m/>
    <x v="123"/>
    <n v="20.7"/>
  </r>
  <r>
    <n v="10"/>
    <n v="20"/>
    <n v="19.166810907643413"/>
    <n v="28.65414696146544"/>
    <m/>
    <n v="89"/>
    <x v="2"/>
    <m/>
    <n v="1.87"/>
    <m/>
    <n v="22.1"/>
    <n v="2.8"/>
    <n v="0.7"/>
    <m/>
    <m/>
    <s v="L"/>
    <m/>
    <m/>
    <m/>
    <x v="124"/>
    <n v="22.1"/>
  </r>
  <r>
    <n v="40"/>
    <n v="40"/>
    <n v="41.956430674594081"/>
    <n v="49.384593358659124"/>
    <m/>
    <n v="367"/>
    <x v="2"/>
    <m/>
    <n v="1.88"/>
    <n v="6.8"/>
    <m/>
    <n v="4"/>
    <n v="1.5"/>
    <m/>
    <m/>
    <s v="L"/>
    <m/>
    <m/>
    <m/>
    <x v="125"/>
    <n v="2.1645072260497766"/>
  </r>
  <r>
    <n v="30"/>
    <n v="30"/>
    <n v="39.177377799053929"/>
    <n v="30.783382434720195"/>
    <m/>
    <n v="206"/>
    <x v="0"/>
    <m/>
    <n v="1.89"/>
    <s v="dead"/>
    <m/>
    <n v="2.9"/>
    <n v="0.1"/>
    <m/>
    <m/>
    <s v="L"/>
    <m/>
    <m/>
    <m/>
    <x v="126"/>
    <s v="dead"/>
  </r>
  <r>
    <n v="40"/>
    <n v="30"/>
    <n v="48.75869591198731"/>
    <n v="30.571359368335063"/>
    <m/>
    <n v="331"/>
    <x v="3"/>
    <m/>
    <n v="1.93"/>
    <n v="7"/>
    <m/>
    <n v="3.2"/>
    <n v="1.2"/>
    <m/>
    <m/>
    <s v="L"/>
    <m/>
    <m/>
    <m/>
    <x v="127"/>
    <n v="2.228169203286535"/>
  </r>
  <r>
    <n v="20"/>
    <n v="-20"/>
    <n v="22.928535532501993"/>
    <n v="-15.546855049030304"/>
    <m/>
    <n v="569"/>
    <x v="1"/>
    <m/>
    <n v="1.94"/>
    <m/>
    <n v="27.1"/>
    <n v="3.9"/>
    <n v="1.1000000000000001"/>
    <m/>
    <m/>
    <s v="L"/>
    <m/>
    <m/>
    <m/>
    <x v="128"/>
    <n v="27.1"/>
  </r>
  <r>
    <n v="30"/>
    <n v="-30"/>
    <n v="32.394255554027595"/>
    <n v="-28.134982504099689"/>
    <m/>
    <n v="671"/>
    <x v="0"/>
    <m/>
    <n v="1.94"/>
    <m/>
    <n v="25.3"/>
    <n v="2.9"/>
    <n v="0.2"/>
    <m/>
    <m/>
    <s v="L"/>
    <m/>
    <m/>
    <s v="NewNo 774"/>
    <x v="128"/>
    <n v="25.3"/>
  </r>
  <r>
    <n v="30"/>
    <n v="-30"/>
    <n v="30.694094957487589"/>
    <n v="-25.002072789353459"/>
    <m/>
    <n v="665"/>
    <x v="0"/>
    <m/>
    <n v="1.96"/>
    <s v="dead"/>
    <m/>
    <n v="3.2"/>
    <m/>
    <m/>
    <m/>
    <s v="D"/>
    <m/>
    <m/>
    <m/>
    <x v="129"/>
    <s v="dead"/>
  </r>
  <r>
    <n v="30"/>
    <n v="10"/>
    <n v="36.223984999037157"/>
    <n v="18.902543517144998"/>
    <m/>
    <n v="216"/>
    <x v="0"/>
    <m/>
    <n v="1.97"/>
    <n v="9.1"/>
    <m/>
    <n v="2.8"/>
    <n v="0.2"/>
    <m/>
    <m/>
    <s v="L"/>
    <m/>
    <m/>
    <m/>
    <x v="130"/>
    <n v="2.896619964272495"/>
  </r>
  <r>
    <n v="30"/>
    <n v="-30"/>
    <n v="30.382963040855245"/>
    <n v="-25.476626635926436"/>
    <m/>
    <n v="666"/>
    <x v="0"/>
    <m/>
    <n v="1.97"/>
    <n v="9"/>
    <m/>
    <n v="2.8"/>
    <n v="0.2"/>
    <m/>
    <m/>
    <s v="L"/>
    <m/>
    <m/>
    <s v="NewNo 773"/>
    <x v="130"/>
    <n v="2.8647889756541161"/>
  </r>
  <r>
    <n v="0"/>
    <n v="10"/>
    <n v="6.5904406558154331"/>
    <n v="17.622165379895907"/>
    <m/>
    <n v="25"/>
    <x v="2"/>
    <m/>
    <n v="1.98"/>
    <n v="6.9"/>
    <m/>
    <n v="3.7"/>
    <n v="0.9"/>
    <m/>
    <m/>
    <s v="L"/>
    <m/>
    <m/>
    <m/>
    <x v="131"/>
    <n v="2.196338214668156"/>
  </r>
  <r>
    <n v="0"/>
    <n v="20"/>
    <n v="0.32706413342566815"/>
    <n v="28.513720047818492"/>
    <m/>
    <n v="48"/>
    <x v="0"/>
    <m/>
    <n v="1.98"/>
    <s v="dead"/>
    <m/>
    <n v="2.8"/>
    <m/>
    <m/>
    <m/>
    <s v="D"/>
    <m/>
    <m/>
    <m/>
    <x v="131"/>
    <s v="dead"/>
  </r>
  <r>
    <n v="30"/>
    <n v="-10"/>
    <n v="36.443441690078132"/>
    <n v="-2.0492143163001968"/>
    <m/>
    <n v="438"/>
    <x v="2"/>
    <m/>
    <n v="1.99"/>
    <m/>
    <n v="20.8"/>
    <n v="2.4"/>
    <n v="0.9"/>
    <m/>
    <m/>
    <s v="L"/>
    <m/>
    <m/>
    <m/>
    <x v="132"/>
    <n v="20.8"/>
  </r>
  <r>
    <n v="10"/>
    <n v="20"/>
    <n v="19.312191825432201"/>
    <n v="28.19753907570496"/>
    <m/>
    <n v="95"/>
    <x v="2"/>
    <m/>
    <n v="2.02"/>
    <m/>
    <n v="27.4"/>
    <n v="3.4"/>
    <n v="0.7"/>
    <m/>
    <m/>
    <s v="L"/>
    <m/>
    <m/>
    <m/>
    <x v="133"/>
    <n v="27.4"/>
  </r>
  <r>
    <n v="30"/>
    <n v="-20"/>
    <n v="38.614147537104941"/>
    <n v="-15.817199751692192"/>
    <m/>
    <n v="516"/>
    <x v="1"/>
    <m/>
    <n v="2.0299999999999998"/>
    <m/>
    <n v="24.7"/>
    <n v="3.7"/>
    <n v="0.9"/>
    <m/>
    <m/>
    <s v="L"/>
    <m/>
    <m/>
    <m/>
    <x v="134"/>
    <n v="24.7"/>
  </r>
  <r>
    <n v="40"/>
    <n v="20"/>
    <n v="42.367641332774518"/>
    <n v="29.524366008498795"/>
    <m/>
    <n v="296"/>
    <x v="2"/>
    <m/>
    <n v="2.0499999999999998"/>
    <n v="7.2"/>
    <m/>
    <n v="3"/>
    <n v="2.2000000000000002"/>
    <m/>
    <m/>
    <s v="L"/>
    <m/>
    <m/>
    <m/>
    <x v="135"/>
    <n v="2.2918311805232929"/>
  </r>
  <r>
    <n v="0"/>
    <n v="20"/>
    <n v="1.7956392668405727"/>
    <n v="29.979743464808116"/>
    <m/>
    <n v="47"/>
    <x v="0"/>
    <m/>
    <n v="2.06"/>
    <n v="11.2"/>
    <m/>
    <n v="3.3"/>
    <n v="0.2"/>
    <m/>
    <m/>
    <s v="L"/>
    <m/>
    <m/>
    <m/>
    <x v="136"/>
    <n v="3.5650707252584555"/>
  </r>
  <r>
    <n v="30"/>
    <n v="10"/>
    <n v="32.1725155843124"/>
    <n v="17.931141368792993"/>
    <m/>
    <n v="218"/>
    <x v="2"/>
    <m/>
    <n v="2.06"/>
    <m/>
    <n v="21.5"/>
    <n v="2.4"/>
    <n v="1.1000000000000001"/>
    <m/>
    <m/>
    <s v="L"/>
    <m/>
    <m/>
    <m/>
    <x v="136"/>
    <n v="21.5"/>
  </r>
  <r>
    <n v="40"/>
    <n v="30"/>
    <n v="48.684961231235185"/>
    <n v="30.874263151030185"/>
    <m/>
    <n v="332"/>
    <x v="3"/>
    <m/>
    <n v="2.0699999999999998"/>
    <n v="9"/>
    <m/>
    <n v="3.6"/>
    <n v="1.5"/>
    <m/>
    <m/>
    <s v="L"/>
    <m/>
    <m/>
    <m/>
    <x v="137"/>
    <n v="2.8647889756541161"/>
  </r>
  <r>
    <n v="30"/>
    <n v="0"/>
    <n v="33.894852414965456"/>
    <n v="9.4075223287711989"/>
    <m/>
    <n v="247"/>
    <x v="2"/>
    <m/>
    <n v="2.08"/>
    <m/>
    <n v="22.2"/>
    <n v="3"/>
    <n v="2"/>
    <m/>
    <m/>
    <s v="L"/>
    <m/>
    <m/>
    <m/>
    <x v="138"/>
    <n v="22.2"/>
  </r>
  <r>
    <n v="40"/>
    <n v="30"/>
    <n v="48.923210114886899"/>
    <n v="30.400201900908641"/>
    <m/>
    <n v="321"/>
    <x v="3"/>
    <m/>
    <n v="2.08"/>
    <n v="8.5"/>
    <m/>
    <n v="3.3"/>
    <n v="1.1000000000000001"/>
    <m/>
    <m/>
    <s v="L"/>
    <m/>
    <m/>
    <m/>
    <x v="138"/>
    <n v="2.7056340325622208"/>
  </r>
  <r>
    <n v="20"/>
    <n v="-30"/>
    <n v="24.625619283291407"/>
    <n v="-25.803803228217753"/>
    <m/>
    <n v="642"/>
    <x v="2"/>
    <m/>
    <n v="2.09"/>
    <m/>
    <n v="23"/>
    <n v="3.9"/>
    <n v="1.8"/>
    <m/>
    <m/>
    <s v="L"/>
    <m/>
    <m/>
    <m/>
    <x v="139"/>
    <n v="23"/>
  </r>
  <r>
    <n v="30"/>
    <n v="10"/>
    <n v="37.037694491441883"/>
    <n v="18.258346692039844"/>
    <m/>
    <n v="214"/>
    <x v="0"/>
    <m/>
    <n v="2.1"/>
    <n v="9.5"/>
    <m/>
    <n v="2.5"/>
    <n v="0.3"/>
    <m/>
    <m/>
    <s v="L"/>
    <m/>
    <m/>
    <m/>
    <x v="140"/>
    <n v="3.0239439187460113"/>
  </r>
  <r>
    <n v="20"/>
    <n v="10"/>
    <n v="26.909703103773136"/>
    <n v="14.486493813815263"/>
    <m/>
    <n v="159"/>
    <x v="1"/>
    <m/>
    <n v="2.12"/>
    <n v="9.5"/>
    <m/>
    <n v="3.5"/>
    <n v="0.9"/>
    <m/>
    <m/>
    <s v="L"/>
    <m/>
    <m/>
    <m/>
    <x v="141"/>
    <n v="3.0239439187460113"/>
  </r>
  <r>
    <n v="30"/>
    <n v="30"/>
    <n v="34.511392259886222"/>
    <n v="39.264884580685361"/>
    <m/>
    <n v="204"/>
    <x v="0"/>
    <m/>
    <n v="2.12"/>
    <n v="11.3"/>
    <m/>
    <n v="3.3"/>
    <n v="0.1"/>
    <m/>
    <m/>
    <s v="L"/>
    <m/>
    <m/>
    <m/>
    <x v="141"/>
    <n v="3.5969017138768349"/>
  </r>
  <r>
    <n v="0"/>
    <n v="-30"/>
    <n v="3.6767165407509381"/>
    <n v="-20.101695673448518"/>
    <m/>
    <n v="601"/>
    <x v="0"/>
    <m/>
    <n v="2.12"/>
    <n v="10"/>
    <m/>
    <n v="3.2"/>
    <n v="0.3"/>
    <m/>
    <m/>
    <s v="L"/>
    <m/>
    <m/>
    <m/>
    <x v="141"/>
    <n v="3.183098861837907"/>
  </r>
  <r>
    <n v="30"/>
    <n v="10"/>
    <n v="32.119407180101206"/>
    <n v="17.114776749550312"/>
    <m/>
    <n v="226"/>
    <x v="2"/>
    <m/>
    <n v="2.13"/>
    <n v="7.9"/>
    <m/>
    <n v="1.9"/>
    <n v="1.5"/>
    <m/>
    <m/>
    <s v="L"/>
    <m/>
    <s v="broken"/>
    <m/>
    <x v="142"/>
    <n v="2.5146481008519466"/>
  </r>
  <r>
    <n v="20"/>
    <n v="0"/>
    <n v="29.141634328646191"/>
    <n v="7.350062707305125"/>
    <m/>
    <n v="125"/>
    <x v="0"/>
    <m/>
    <n v="2.14"/>
    <s v="dead"/>
    <m/>
    <n v="2.9"/>
    <m/>
    <m/>
    <m/>
    <s v="D"/>
    <m/>
    <m/>
    <s v="倒れ"/>
    <x v="143"/>
    <s v="dead"/>
  </r>
  <r>
    <n v="40"/>
    <n v="30"/>
    <n v="48.911560240158103"/>
    <n v="31.005618482119225"/>
    <m/>
    <n v="334"/>
    <x v="3"/>
    <m/>
    <n v="2.14"/>
    <n v="12.5"/>
    <m/>
    <n v="1.7"/>
    <n v="0.9"/>
    <m/>
    <m/>
    <s v="L"/>
    <m/>
    <s v="fall down"/>
    <m/>
    <x v="143"/>
    <n v="3.9788735772973833"/>
  </r>
  <r>
    <n v="20"/>
    <n v="-30"/>
    <n v="20.068510563484196"/>
    <n v="-22.494617720688876"/>
    <m/>
    <n v="630"/>
    <x v="0"/>
    <m/>
    <n v="2.14"/>
    <m/>
    <n v="28.2"/>
    <n v="3.6"/>
    <n v="0.7"/>
    <m/>
    <m/>
    <s v="L"/>
    <m/>
    <m/>
    <m/>
    <x v="143"/>
    <n v="28.2"/>
  </r>
  <r>
    <n v="40"/>
    <n v="-50"/>
    <n v="45.382901456243502"/>
    <n v="-40.852567834469262"/>
    <m/>
    <n v="828"/>
    <x v="2"/>
    <m/>
    <n v="2.14"/>
    <n v="8.6"/>
    <m/>
    <n v="3.6"/>
    <n v="1.5"/>
    <m/>
    <m/>
    <s v="L"/>
    <m/>
    <m/>
    <s v="New No 599 White red"/>
    <x v="143"/>
    <n v="2.7374650211805998"/>
  </r>
  <r>
    <n v="20"/>
    <n v="-30"/>
    <n v="20.777557086264643"/>
    <n v="-22.907825081206319"/>
    <m/>
    <n v="633"/>
    <x v="0"/>
    <m/>
    <n v="2.1800000000000002"/>
    <s v="dead"/>
    <m/>
    <n v="3.8"/>
    <m/>
    <m/>
    <m/>
    <s v="D"/>
    <m/>
    <m/>
    <m/>
    <x v="144"/>
    <s v="dead"/>
  </r>
  <r>
    <n v="30"/>
    <n v="-20"/>
    <n v="35.588236187970651"/>
    <n v="-16.565397175104358"/>
    <m/>
    <n v="522"/>
    <x v="0"/>
    <m/>
    <n v="2.2000000000000002"/>
    <n v="10.6"/>
    <m/>
    <n v="3.3"/>
    <n v="0"/>
    <m/>
    <m/>
    <s v="L"/>
    <m/>
    <m/>
    <m/>
    <x v="145"/>
    <n v="3.3740847935481812"/>
  </r>
  <r>
    <n v="20"/>
    <n v="-20"/>
    <n v="24.662897967014203"/>
    <n v="-31.711201556181109"/>
    <m/>
    <n v="718"/>
    <x v="1"/>
    <m/>
    <n v="2.21"/>
    <m/>
    <n v="9.6"/>
    <n v="2.2999999999999998"/>
    <n v="1.2"/>
    <m/>
    <m/>
    <s v="L"/>
    <m/>
    <m/>
    <s v="New　No784　whiteBlue"/>
    <x v="146"/>
    <n v="9.6"/>
  </r>
  <r>
    <n v="20"/>
    <n v="30"/>
    <n v="24.907350780199291"/>
    <n v="34.663296118381929"/>
    <m/>
    <n v="172"/>
    <x v="2"/>
    <m/>
    <n v="2.2200000000000002"/>
    <n v="7.7"/>
    <m/>
    <n v="3.6"/>
    <n v="1.7"/>
    <m/>
    <m/>
    <s v="L"/>
    <m/>
    <m/>
    <m/>
    <x v="147"/>
    <n v="2.4509861236151882"/>
  </r>
  <r>
    <n v="40"/>
    <n v="-10"/>
    <n v="43.818712041029102"/>
    <n v="-9.7061661222742828"/>
    <m/>
    <n v="455"/>
    <x v="2"/>
    <m/>
    <n v="2.2200000000000002"/>
    <m/>
    <n v="23.3"/>
    <n v="2.2999999999999998"/>
    <n v="6"/>
    <m/>
    <m/>
    <s v="L"/>
    <m/>
    <s v="curved"/>
    <m/>
    <x v="147"/>
    <n v="23.3"/>
  </r>
  <r>
    <n v="0"/>
    <n v="30"/>
    <n v="9.4615067739142642"/>
    <n v="30.508067832250347"/>
    <m/>
    <n v="59"/>
    <x v="0"/>
    <m/>
    <n v="2.23"/>
    <s v="dead"/>
    <m/>
    <n v="3.4"/>
    <n v="0.2"/>
    <m/>
    <m/>
    <s v="L"/>
    <m/>
    <m/>
    <m/>
    <x v="148"/>
    <s v="dead"/>
  </r>
  <r>
    <n v="10"/>
    <n v="40"/>
    <n v="14.7505595735526"/>
    <n v="45.809670834839075"/>
    <m/>
    <n v="76"/>
    <x v="0"/>
    <m/>
    <n v="2.2400000000000002"/>
    <s v="dead"/>
    <m/>
    <n v="3.3"/>
    <m/>
    <m/>
    <m/>
    <s v="D"/>
    <m/>
    <m/>
    <m/>
    <x v="149"/>
    <s v="dead"/>
  </r>
  <r>
    <n v="40"/>
    <n v="0"/>
    <n v="41.114237411154114"/>
    <n v="7.3877069476062651"/>
    <m/>
    <n v="271"/>
    <x v="0"/>
    <m/>
    <n v="2.2400000000000002"/>
    <s v="dead"/>
    <m/>
    <n v="2.8"/>
    <m/>
    <m/>
    <m/>
    <s v="D"/>
    <m/>
    <m/>
    <m/>
    <x v="149"/>
    <s v="dead"/>
  </r>
  <r>
    <n v="40"/>
    <n v="10"/>
    <n v="44.448175780776694"/>
    <n v="11.04175147655649"/>
    <m/>
    <n v="280"/>
    <x v="1"/>
    <m/>
    <n v="2.25"/>
    <m/>
    <n v="24.6"/>
    <n v="1.7"/>
    <n v="1.2"/>
    <m/>
    <m/>
    <s v="L"/>
    <m/>
    <s v="dead Ht=3.5, broken"/>
    <m/>
    <x v="150"/>
    <n v="24.6"/>
  </r>
  <r>
    <n v="40"/>
    <n v="20"/>
    <n v="41.880792813059728"/>
    <n v="29.416600349019195"/>
    <m/>
    <n v="306"/>
    <x v="2"/>
    <m/>
    <n v="2.25"/>
    <n v="8"/>
    <m/>
    <n v="3.6"/>
    <n v="2"/>
    <m/>
    <m/>
    <s v="L"/>
    <m/>
    <m/>
    <m/>
    <x v="150"/>
    <n v="2.5464790894703255"/>
  </r>
  <r>
    <n v="40"/>
    <n v="20"/>
    <n v="42.430857709244037"/>
    <n v="29.817299863635021"/>
    <m/>
    <n v="298"/>
    <x v="2"/>
    <m/>
    <n v="2.2599999999999998"/>
    <n v="7.7"/>
    <m/>
    <n v="4.3"/>
    <n v="2"/>
    <m/>
    <m/>
    <s v="L"/>
    <m/>
    <m/>
    <m/>
    <x v="151"/>
    <n v="2.4509861236151882"/>
  </r>
  <r>
    <n v="40"/>
    <n v="-30"/>
    <n v="42.600771010641061"/>
    <n v="-25.452840538415533"/>
    <m/>
    <n v="679"/>
    <x v="2"/>
    <m/>
    <n v="2.2599999999999998"/>
    <s v="dead"/>
    <m/>
    <n v="1.5"/>
    <n v="1.4"/>
    <m/>
    <m/>
    <s v="L"/>
    <m/>
    <m/>
    <m/>
    <x v="151"/>
    <s v="dead"/>
  </r>
  <r>
    <n v="20"/>
    <n v="10"/>
    <n v="23.814136091910594"/>
    <n v="10.891462981270466"/>
    <m/>
    <n v="140"/>
    <x v="2"/>
    <m/>
    <n v="2.27"/>
    <n v="8.5"/>
    <m/>
    <n v="2.8"/>
    <n v="1"/>
    <m/>
    <m/>
    <s v="L"/>
    <m/>
    <m/>
    <m/>
    <x v="152"/>
    <n v="2.7056340325622208"/>
  </r>
  <r>
    <n v="40"/>
    <n v="30"/>
    <n v="49.057455574932867"/>
    <n v="30.556922641067963"/>
    <m/>
    <n v="322"/>
    <x v="3"/>
    <m/>
    <n v="2.27"/>
    <n v="9"/>
    <m/>
    <n v="2.8"/>
    <n v="1.2"/>
    <m/>
    <m/>
    <s v="L"/>
    <m/>
    <m/>
    <m/>
    <x v="152"/>
    <n v="2.8647889756541161"/>
  </r>
  <r>
    <n v="30"/>
    <n v="-20"/>
    <n v="30.008426910538304"/>
    <n v="-12.921740439865401"/>
    <m/>
    <n v="534"/>
    <x v="2"/>
    <m/>
    <n v="2.2799999999999998"/>
    <m/>
    <n v="25.7"/>
    <n v="4"/>
    <n v="1.6"/>
    <m/>
    <m/>
    <s v="L"/>
    <m/>
    <m/>
    <m/>
    <x v="153"/>
    <n v="25.7"/>
  </r>
  <r>
    <n v="20"/>
    <n v="10"/>
    <n v="21.713553925037083"/>
    <n v="11.604164465655854"/>
    <m/>
    <n v="147"/>
    <x v="2"/>
    <m/>
    <n v="2.29"/>
    <n v="7.7"/>
    <m/>
    <n v="2"/>
    <n v="1.5"/>
    <m/>
    <m/>
    <s v="L"/>
    <m/>
    <m/>
    <m/>
    <x v="154"/>
    <n v="2.4509861236151882"/>
  </r>
  <r>
    <n v="30"/>
    <n v="10"/>
    <n v="36.716514801527289"/>
    <n v="18.175163316659585"/>
    <m/>
    <n v="215"/>
    <x v="0"/>
    <m/>
    <n v="2.2999999999999998"/>
    <n v="9.1"/>
    <m/>
    <n v="3"/>
    <n v="0.2"/>
    <m/>
    <m/>
    <s v="L"/>
    <m/>
    <m/>
    <m/>
    <x v="155"/>
    <n v="2.896619964272495"/>
  </r>
  <r>
    <n v="30"/>
    <n v="-30"/>
    <n v="33.740755386689855"/>
    <n v="-22.590221831610339"/>
    <m/>
    <n v="661"/>
    <x v="1"/>
    <m/>
    <n v="2.2999999999999998"/>
    <n v="11"/>
    <m/>
    <n v="4.0999999999999996"/>
    <n v="0.9"/>
    <m/>
    <m/>
    <s v="L"/>
    <m/>
    <m/>
    <s v="NewNo 772"/>
    <x v="155"/>
    <n v="3.5014087480216975"/>
  </r>
  <r>
    <n v="10"/>
    <n v="20"/>
    <n v="17.684763959829091"/>
    <n v="23.662338554138607"/>
    <m/>
    <n v="100"/>
    <x v="0"/>
    <m/>
    <n v="2.31"/>
    <s v="dead"/>
    <m/>
    <n v="2.9"/>
    <m/>
    <m/>
    <m/>
    <s v="D"/>
    <m/>
    <m/>
    <m/>
    <x v="156"/>
    <s v="dead"/>
  </r>
  <r>
    <n v="0"/>
    <n v="40"/>
    <n v="6.9471554421474488"/>
    <n v="41.768314846644444"/>
    <m/>
    <n v="63"/>
    <x v="0"/>
    <m/>
    <n v="2.3199999999999998"/>
    <m/>
    <n v="24.8"/>
    <n v="2.9"/>
    <n v="0.3"/>
    <m/>
    <m/>
    <s v="L"/>
    <m/>
    <m/>
    <m/>
    <x v="157"/>
    <n v="24.8"/>
  </r>
  <r>
    <n v="10"/>
    <n v="-30"/>
    <n v="16.213479815213489"/>
    <n v="-22.804634796887598"/>
    <m/>
    <n v="622"/>
    <x v="0"/>
    <m/>
    <n v="2.3199999999999998"/>
    <s v="dead"/>
    <m/>
    <n v="3.3"/>
    <n v="0.1"/>
    <m/>
    <m/>
    <s v="L"/>
    <m/>
    <m/>
    <m/>
    <x v="157"/>
    <s v="dead"/>
  </r>
  <r>
    <n v="40"/>
    <n v="-20"/>
    <n v="49.246140094845508"/>
    <n v="-16.426234772126698"/>
    <m/>
    <n v="509"/>
    <x v="2"/>
    <m/>
    <n v="2.33"/>
    <m/>
    <n v="24.8"/>
    <n v="3.6"/>
    <n v="1.5"/>
    <m/>
    <m/>
    <s v="L"/>
    <m/>
    <m/>
    <m/>
    <x v="158"/>
    <n v="24.8"/>
  </r>
  <r>
    <n v="30"/>
    <n v="0"/>
    <n v="33.713362604392707"/>
    <n v="9.4955824508264737"/>
    <m/>
    <n v="250"/>
    <x v="2"/>
    <m/>
    <n v="2.34"/>
    <s v="dead"/>
    <m/>
    <n v="2.4"/>
    <n v="1.6"/>
    <m/>
    <m/>
    <s v="L"/>
    <m/>
    <m/>
    <m/>
    <x v="159"/>
    <s v="dead"/>
  </r>
  <r>
    <n v="30"/>
    <n v="-10"/>
    <n v="39.40833443356302"/>
    <n v="-8.7311690981486905"/>
    <m/>
    <n v="445"/>
    <x v="1"/>
    <m/>
    <n v="2.34"/>
    <n v="9"/>
    <m/>
    <n v="4.3"/>
    <n v="1"/>
    <m/>
    <m/>
    <s v="L"/>
    <m/>
    <m/>
    <s v="寝返り"/>
    <x v="159"/>
    <n v="2.8647889756541161"/>
  </r>
  <r>
    <n v="30"/>
    <n v="-20"/>
    <n v="30.102245775782585"/>
    <n v="-13.026047143880325"/>
    <m/>
    <n v="529"/>
    <x v="2"/>
    <m/>
    <n v="2.34"/>
    <m/>
    <n v="25.7"/>
    <n v="2.8"/>
    <n v="2"/>
    <m/>
    <m/>
    <s v="L"/>
    <m/>
    <m/>
    <m/>
    <x v="159"/>
    <n v="25.7"/>
  </r>
  <r>
    <n v="0"/>
    <n v="40"/>
    <n v="8.5582568356338165"/>
    <n v="40.55989153510609"/>
    <m/>
    <n v="61"/>
    <x v="0"/>
    <m/>
    <n v="2.35"/>
    <s v="dead"/>
    <m/>
    <n v="3.2"/>
    <n v="0.6"/>
    <m/>
    <m/>
    <s v="L"/>
    <m/>
    <m/>
    <m/>
    <x v="160"/>
    <s v="dead"/>
  </r>
  <r>
    <n v="40"/>
    <n v="30"/>
    <n v="49.01626407235689"/>
    <n v="31.365860574170455"/>
    <m/>
    <n v="330"/>
    <x v="3"/>
    <m/>
    <n v="2.35"/>
    <n v="8.6"/>
    <m/>
    <n v="3.4"/>
    <n v="1.2"/>
    <m/>
    <m/>
    <s v="L"/>
    <m/>
    <m/>
    <m/>
    <x v="160"/>
    <n v="2.7374650211805998"/>
  </r>
  <r>
    <n v="30"/>
    <n v="-10"/>
    <n v="32.809033307619565"/>
    <n v="-4.19762134732012"/>
    <m/>
    <n v="424"/>
    <x v="2"/>
    <m/>
    <n v="2.36"/>
    <m/>
    <n v="26.5"/>
    <n v="4.8"/>
    <n v="1.7"/>
    <m/>
    <m/>
    <s v="L"/>
    <m/>
    <m/>
    <m/>
    <x v="161"/>
    <n v="26.5"/>
  </r>
  <r>
    <n v="20"/>
    <n v="40"/>
    <n v="26.402940262221591"/>
    <n v="47.576856604055649"/>
    <m/>
    <n v="196"/>
    <x v="2"/>
    <m/>
    <n v="2.38"/>
    <s v="dead"/>
    <m/>
    <n v="3.2"/>
    <m/>
    <m/>
    <m/>
    <s v="D"/>
    <m/>
    <m/>
    <s v="倒れ"/>
    <x v="162"/>
    <s v="dead"/>
  </r>
  <r>
    <n v="20"/>
    <n v="-30"/>
    <n v="20.134595844127755"/>
    <n v="-22.386692447991294"/>
    <m/>
    <n v="631"/>
    <x v="0"/>
    <m/>
    <n v="2.39"/>
    <n v="10.199999999999999"/>
    <m/>
    <n v="3.6"/>
    <n v="0.3"/>
    <m/>
    <m/>
    <s v="L"/>
    <m/>
    <m/>
    <m/>
    <x v="163"/>
    <n v="3.246760839074665"/>
  </r>
  <r>
    <n v="30"/>
    <n v="30"/>
    <n v="38.369831897088261"/>
    <n v="35.037619958440359"/>
    <m/>
    <n v="205"/>
    <x v="0"/>
    <m/>
    <n v="2.41"/>
    <n v="11.8"/>
    <m/>
    <n v="2.8"/>
    <n v="0.9"/>
    <m/>
    <m/>
    <s v="L"/>
    <m/>
    <m/>
    <m/>
    <x v="164"/>
    <n v="3.7560566569687301"/>
  </r>
  <r>
    <n v="30"/>
    <n v="-20"/>
    <n v="36.298987754977233"/>
    <n v="-16.649406617299888"/>
    <m/>
    <n v="521"/>
    <x v="0"/>
    <m/>
    <n v="2.41"/>
    <s v="dead"/>
    <m/>
    <n v="3"/>
    <n v="0"/>
    <m/>
    <m/>
    <s v="L"/>
    <m/>
    <m/>
    <m/>
    <x v="164"/>
    <s v="dead"/>
  </r>
  <r>
    <n v="0"/>
    <n v="0"/>
    <n v="4.5733309832961941"/>
    <n v="9.2373314067388428"/>
    <m/>
    <n v="10"/>
    <x v="2"/>
    <m/>
    <n v="2.42"/>
    <n v="7.6"/>
    <m/>
    <n v="4.0999999999999996"/>
    <n v="0.7"/>
    <m/>
    <m/>
    <s v="L"/>
    <m/>
    <m/>
    <m/>
    <x v="165"/>
    <n v="2.4191551349968092"/>
  </r>
  <r>
    <n v="40"/>
    <n v="30"/>
    <n v="48.775305826219046"/>
    <n v="30.821344097270725"/>
    <m/>
    <n v="333"/>
    <x v="3"/>
    <m/>
    <n v="2.4300000000000002"/>
    <n v="8.3000000000000007"/>
    <m/>
    <n v="3.5"/>
    <n v="1.8"/>
    <m/>
    <m/>
    <s v="L"/>
    <m/>
    <m/>
    <m/>
    <x v="166"/>
    <n v="2.6419720553254629"/>
  </r>
  <r>
    <n v="20"/>
    <n v="10"/>
    <n v="29.693552363066686"/>
    <n v="12.817173736221424"/>
    <m/>
    <n v="161"/>
    <x v="0"/>
    <m/>
    <n v="2.4500000000000002"/>
    <s v="dead"/>
    <m/>
    <n v="3.6"/>
    <n v="0.1"/>
    <m/>
    <m/>
    <s v="L"/>
    <m/>
    <m/>
    <m/>
    <x v="167"/>
    <s v="dead"/>
  </r>
  <r>
    <n v="20"/>
    <n v="10"/>
    <n v="20.236305583160817"/>
    <n v="13.537937792417537"/>
    <m/>
    <n v="154"/>
    <x v="0"/>
    <m/>
    <n v="2.4700000000000002"/>
    <n v="11.1"/>
    <m/>
    <n v="3"/>
    <n v="0.2"/>
    <m/>
    <m/>
    <s v="L"/>
    <m/>
    <m/>
    <m/>
    <x v="168"/>
    <n v="3.5332397366400765"/>
  </r>
  <r>
    <n v="40"/>
    <n v="20"/>
    <n v="42.291153200946574"/>
    <n v="29.228458863258844"/>
    <m/>
    <n v="290"/>
    <x v="2"/>
    <m/>
    <n v="2.4900000000000002"/>
    <m/>
    <n v="8.6999999999999993"/>
    <n v="3"/>
    <n v="1"/>
    <m/>
    <m/>
    <s v="L"/>
    <m/>
    <m/>
    <m/>
    <x v="169"/>
    <n v="8.6999999999999993"/>
  </r>
  <r>
    <n v="30"/>
    <n v="-20"/>
    <n v="30.209660419134117"/>
    <n v="-12.825836317151232"/>
    <m/>
    <n v="532"/>
    <x v="2"/>
    <m/>
    <n v="2.4900000000000002"/>
    <m/>
    <n v="26.7"/>
    <n v="2.6"/>
    <n v="1"/>
    <m/>
    <m/>
    <s v="L"/>
    <m/>
    <s v="Dead H=2.8"/>
    <m/>
    <x v="169"/>
    <n v="26.7"/>
  </r>
  <r>
    <n v="0"/>
    <n v="30"/>
    <n v="4.3269168424163151"/>
    <n v="39.67994640843348"/>
    <m/>
    <n v="57"/>
    <x v="0"/>
    <m/>
    <n v="2.5"/>
    <s v="dead"/>
    <m/>
    <n v="3.2"/>
    <m/>
    <m/>
    <m/>
    <s v="D"/>
    <m/>
    <m/>
    <s v="倒れ"/>
    <x v="170"/>
    <s v="dead"/>
  </r>
  <r>
    <n v="0"/>
    <n v="-20"/>
    <n v="3.7242049453762323"/>
    <n v="-18.248199653550781"/>
    <m/>
    <n v="584"/>
    <x v="0"/>
    <m/>
    <n v="2.5"/>
    <n v="11"/>
    <m/>
    <n v="3.5"/>
    <n v="0.1"/>
    <m/>
    <m/>
    <s v="L"/>
    <m/>
    <m/>
    <s v="New No757"/>
    <x v="170"/>
    <n v="3.5014087480216975"/>
  </r>
  <r>
    <n v="20"/>
    <n v="-30"/>
    <n v="25.897818770092492"/>
    <n v="-29.806579890919899"/>
    <m/>
    <n v="651"/>
    <x v="1"/>
    <m/>
    <n v="2.5"/>
    <n v="9.9"/>
    <m/>
    <n v="4"/>
    <n v="0.9"/>
    <m/>
    <m/>
    <s v="L"/>
    <m/>
    <m/>
    <s v="New No769"/>
    <x v="170"/>
    <n v="3.1512678732195281"/>
  </r>
  <r>
    <n v="0"/>
    <n v="0"/>
    <n v="4.289145621441091"/>
    <n v="8.9312426529400941"/>
    <m/>
    <n v="6"/>
    <x v="2"/>
    <m/>
    <n v="2.5099999999999998"/>
    <n v="8.8000000000000007"/>
    <m/>
    <n v="5.3"/>
    <n v="1.4"/>
    <m/>
    <m/>
    <s v="L"/>
    <m/>
    <m/>
    <m/>
    <x v="171"/>
    <n v="2.8011269984173581"/>
  </r>
  <r>
    <n v="10"/>
    <n v="20"/>
    <n v="19.494916087232173"/>
    <n v="28.802292130563277"/>
    <m/>
    <n v="88"/>
    <x v="2"/>
    <m/>
    <n v="2.5299999999999998"/>
    <n v="8.3000000000000007"/>
    <m/>
    <n v="2.9"/>
    <n v="0.5"/>
    <m/>
    <m/>
    <s v="L"/>
    <m/>
    <m/>
    <m/>
    <x v="172"/>
    <n v="2.6419720553254629"/>
  </r>
  <r>
    <n v="10"/>
    <n v="-40"/>
    <n v="16.03191023543113"/>
    <n v="-32.98725739017172"/>
    <m/>
    <n v="723"/>
    <x v="0"/>
    <m/>
    <n v="2.54"/>
    <s v="dead"/>
    <m/>
    <n v="2.9"/>
    <m/>
    <m/>
    <m/>
    <s v="D"/>
    <m/>
    <m/>
    <m/>
    <x v="173"/>
    <s v="dead"/>
  </r>
  <r>
    <n v="20"/>
    <n v="-20"/>
    <n v="28.354822578651021"/>
    <n v="-30.157632167601044"/>
    <m/>
    <n v="715"/>
    <x v="0"/>
    <m/>
    <n v="2.5499999999999998"/>
    <s v="dead"/>
    <m/>
    <n v="3.4"/>
    <n v="0.2"/>
    <m/>
    <m/>
    <s v="L"/>
    <m/>
    <m/>
    <m/>
    <x v="174"/>
    <s v="dead"/>
  </r>
  <r>
    <n v="20"/>
    <n v="-10"/>
    <n v="21.74400471974932"/>
    <n v="-9.6175914129299045"/>
    <m/>
    <n v="410"/>
    <x v="2"/>
    <m/>
    <n v="2.59"/>
    <m/>
    <n v="28.5"/>
    <n v="2.7"/>
    <n v="1.4"/>
    <m/>
    <m/>
    <s v="L"/>
    <m/>
    <m/>
    <m/>
    <x v="175"/>
    <n v="28.5"/>
  </r>
  <r>
    <n v="30"/>
    <n v="-10"/>
    <n v="38.935523972621638"/>
    <n v="-4.0240656975551694"/>
    <m/>
    <n v="443"/>
    <x v="2"/>
    <m/>
    <n v="2.59"/>
    <n v="9.8000000000000007"/>
    <m/>
    <n v="3.4"/>
    <n v="1.1000000000000001"/>
    <m/>
    <m/>
    <s v="L"/>
    <m/>
    <m/>
    <m/>
    <x v="175"/>
    <n v="3.1194368846011491"/>
  </r>
  <r>
    <n v="10"/>
    <n v="-30"/>
    <n v="12.35821974330851"/>
    <n v="-20.44350538737352"/>
    <m/>
    <n v="619"/>
    <x v="0"/>
    <m/>
    <n v="2.6"/>
    <n v="11"/>
    <m/>
    <n v="3.7"/>
    <n v="0.1"/>
    <m/>
    <m/>
    <s v="L"/>
    <m/>
    <m/>
    <m/>
    <x v="176"/>
    <n v="3.5014087480216975"/>
  </r>
  <r>
    <n v="40"/>
    <n v="-40"/>
    <n v="42.997273962603202"/>
    <n v="-35.556358611104976"/>
    <m/>
    <n v="707"/>
    <x v="4"/>
    <m/>
    <n v="2.61"/>
    <s v="dead"/>
    <m/>
    <n v="2"/>
    <m/>
    <m/>
    <m/>
    <s v="D"/>
    <m/>
    <s v="broken"/>
    <m/>
    <x v="177"/>
    <s v="dead"/>
  </r>
  <r>
    <n v="20"/>
    <n v="-10"/>
    <n v="22.085349303121198"/>
    <n v="-9.5621753675044623"/>
    <m/>
    <n v="414"/>
    <x v="2"/>
    <m/>
    <n v="2.62"/>
    <m/>
    <n v="29.4"/>
    <n v="3"/>
    <n v="1.3"/>
    <m/>
    <m/>
    <s v="L"/>
    <m/>
    <m/>
    <m/>
    <x v="178"/>
    <n v="29.4"/>
  </r>
  <r>
    <n v="40"/>
    <n v="20"/>
    <n v="42.218768942491181"/>
    <n v="29.27455042198882"/>
    <m/>
    <n v="293"/>
    <x v="2"/>
    <m/>
    <n v="2.65"/>
    <s v="dead"/>
    <m/>
    <n v="2.9"/>
    <n v="2"/>
    <m/>
    <m/>
    <s v="L"/>
    <m/>
    <m/>
    <m/>
    <x v="179"/>
    <s v="dead"/>
  </r>
  <r>
    <n v="40"/>
    <n v="-20"/>
    <n v="49.449481850504085"/>
    <n v="-10.098958359898518"/>
    <m/>
    <n v="504"/>
    <x v="2"/>
    <m/>
    <n v="2.65"/>
    <m/>
    <n v="25.3"/>
    <n v="3.2"/>
    <n v="1.5"/>
    <m/>
    <m/>
    <s v="L"/>
    <m/>
    <m/>
    <m/>
    <x v="179"/>
    <n v="25.3"/>
  </r>
  <r>
    <n v="20"/>
    <n v="0"/>
    <n v="29.525739770440893"/>
    <n v="6.8449384092072521"/>
    <m/>
    <n v="124"/>
    <x v="0"/>
    <m/>
    <n v="2.67"/>
    <n v="12.2"/>
    <m/>
    <n v="3.2"/>
    <n v="1.2"/>
    <m/>
    <m/>
    <s v="L"/>
    <m/>
    <m/>
    <m/>
    <x v="180"/>
    <n v="3.883380611442246"/>
  </r>
  <r>
    <n v="40"/>
    <n v="-10"/>
    <n v="43.779331656060187"/>
    <n v="-9.7158306253282198"/>
    <m/>
    <n v="454"/>
    <x v="2"/>
    <m/>
    <n v="2.69"/>
    <n v="9.6"/>
    <m/>
    <n v="2.2999999999999998"/>
    <n v="1.3"/>
    <m/>
    <m/>
    <s v="L"/>
    <m/>
    <s v="curved"/>
    <m/>
    <x v="181"/>
    <n v="3.0557749073643903"/>
  </r>
  <r>
    <n v="40"/>
    <n v="0"/>
    <n v="40.363569407803752"/>
    <n v="7.678294315441935"/>
    <m/>
    <n v="272"/>
    <x v="0"/>
    <m/>
    <n v="2.7"/>
    <n v="12.3"/>
    <m/>
    <n v="3.5"/>
    <n v="0.8"/>
    <m/>
    <m/>
    <s v="L"/>
    <m/>
    <m/>
    <m/>
    <x v="182"/>
    <n v="3.9152116000606259"/>
  </r>
  <r>
    <n v="40"/>
    <n v="30"/>
    <n v="49.773513708524909"/>
    <n v="30.732767189728435"/>
    <m/>
    <n v="328"/>
    <x v="3"/>
    <m/>
    <n v="2.71"/>
    <m/>
    <n v="10"/>
    <n v="3.5"/>
    <n v="1.3"/>
    <m/>
    <m/>
    <s v="L"/>
    <m/>
    <m/>
    <m/>
    <x v="183"/>
    <n v="10"/>
  </r>
  <r>
    <n v="10"/>
    <n v="40"/>
    <n v="17.956442225570612"/>
    <n v="43.611976138150581"/>
    <m/>
    <n v="80"/>
    <x v="0"/>
    <m/>
    <n v="2.74"/>
    <s v="dead"/>
    <m/>
    <n v="3.8"/>
    <m/>
    <m/>
    <m/>
    <s v="D"/>
    <m/>
    <m/>
    <s v="倒れ"/>
    <x v="184"/>
    <s v="dead"/>
  </r>
  <r>
    <n v="20"/>
    <n v="-20"/>
    <n v="29.713889649171939"/>
    <n v="-12.910675840863741"/>
    <m/>
    <n v="536"/>
    <x v="2"/>
    <m/>
    <n v="2.77"/>
    <n v="9"/>
    <m/>
    <n v="2.4"/>
    <n v="1.8"/>
    <m/>
    <m/>
    <s v="L"/>
    <m/>
    <m/>
    <m/>
    <x v="185"/>
    <n v="2.8647889756541161"/>
  </r>
  <r>
    <n v="20"/>
    <n v="-20"/>
    <n v="26.831865447207264"/>
    <n v="-13.479171223085471"/>
    <m/>
    <n v="554"/>
    <x v="2"/>
    <m/>
    <n v="2.8"/>
    <n v="10"/>
    <m/>
    <n v="4.2"/>
    <n v="1.1000000000000001"/>
    <m/>
    <m/>
    <s v="L"/>
    <m/>
    <m/>
    <m/>
    <x v="186"/>
    <n v="3.183098861837907"/>
  </r>
  <r>
    <n v="30"/>
    <n v="0"/>
    <n v="34.144984640554"/>
    <n v="6.625994983282995"/>
    <m/>
    <n v="256"/>
    <x v="1"/>
    <n v="8.8000000000000007"/>
    <m/>
    <n v="10.7"/>
    <m/>
    <n v="4.0999999999999996"/>
    <n v="1.3"/>
    <m/>
    <m/>
    <s v="L"/>
    <m/>
    <m/>
    <m/>
    <x v="187"/>
    <n v="3.4059157821665602"/>
  </r>
  <r>
    <n v="30"/>
    <n v="10"/>
    <n v="31.999387380366926"/>
    <n v="17.176163938322645"/>
    <m/>
    <n v="227"/>
    <x v="2"/>
    <n v="8.9"/>
    <m/>
    <n v="9.3000000000000007"/>
    <m/>
    <n v="3.1"/>
    <n v="1.1000000000000001"/>
    <m/>
    <m/>
    <s v="L"/>
    <m/>
    <m/>
    <m/>
    <x v="188"/>
    <n v="2.9602819415092534"/>
  </r>
  <r>
    <n v="0"/>
    <n v="-30"/>
    <n v="4.2577377029180168"/>
    <n v="-22.874209476824216"/>
    <m/>
    <n v="605"/>
    <x v="0"/>
    <n v="8.9"/>
    <m/>
    <n v="10.7"/>
    <m/>
    <n v="3.1"/>
    <n v="0.5"/>
    <m/>
    <m/>
    <s v="L"/>
    <m/>
    <m/>
    <s v="New No761"/>
    <x v="188"/>
    <n v="3.4059157821665602"/>
  </r>
  <r>
    <n v="0"/>
    <n v="0"/>
    <n v="4.3847909736452664"/>
    <n v="9.0804742579218729"/>
    <m/>
    <n v="8"/>
    <x v="2"/>
    <m/>
    <n v="2.84"/>
    <n v="10.1"/>
    <m/>
    <n v="4"/>
    <n v="1.6"/>
    <m/>
    <m/>
    <s v="L"/>
    <m/>
    <m/>
    <m/>
    <x v="189"/>
    <n v="3.214929850456286"/>
  </r>
  <r>
    <n v="30"/>
    <n v="-20"/>
    <n v="34.082172203010693"/>
    <n v="-14.205581311207848"/>
    <m/>
    <n v="525"/>
    <x v="0"/>
    <m/>
    <n v="2.85"/>
    <s v="dead"/>
    <m/>
    <n v="3.7"/>
    <m/>
    <m/>
    <m/>
    <s v="D"/>
    <m/>
    <m/>
    <m/>
    <x v="190"/>
    <s v="dead"/>
  </r>
  <r>
    <n v="40"/>
    <n v="-20"/>
    <n v="49.102832546654355"/>
    <n v="-16.139938080108806"/>
    <m/>
    <n v="508"/>
    <x v="2"/>
    <m/>
    <n v="2.89"/>
    <n v="10.4"/>
    <m/>
    <n v="3.7"/>
    <n v="1.3"/>
    <m/>
    <m/>
    <s v="L"/>
    <m/>
    <m/>
    <m/>
    <x v="191"/>
    <n v="3.3104228163114233"/>
  </r>
  <r>
    <n v="0"/>
    <n v="10"/>
    <n v="6.9886929587789961"/>
    <n v="17.927321735838202"/>
    <m/>
    <n v="23"/>
    <x v="2"/>
    <n v="9.1"/>
    <m/>
    <n v="9.3000000000000007"/>
    <m/>
    <n v="2.9"/>
    <n v="1.1000000000000001"/>
    <m/>
    <m/>
    <s v="L"/>
    <m/>
    <m/>
    <m/>
    <x v="192"/>
    <n v="2.9602819415092534"/>
  </r>
  <r>
    <n v="10"/>
    <n v="40"/>
    <n v="18.446376209973945"/>
    <n v="46.095108950549211"/>
    <m/>
    <n v="79"/>
    <x v="0"/>
    <n v="9.1"/>
    <m/>
    <n v="12"/>
    <m/>
    <n v="3"/>
    <n v="0.4"/>
    <m/>
    <m/>
    <s v="L"/>
    <m/>
    <m/>
    <m/>
    <x v="192"/>
    <n v="3.8197186342054881"/>
  </r>
  <r>
    <n v="30"/>
    <n v="0"/>
    <n v="33.495999755650672"/>
    <n v="9.0689354720097679"/>
    <m/>
    <n v="251"/>
    <x v="2"/>
    <m/>
    <n v="2.9"/>
    <s v="dead"/>
    <m/>
    <n v="1.4"/>
    <m/>
    <m/>
    <m/>
    <s v="D"/>
    <m/>
    <m/>
    <m/>
    <x v="193"/>
    <s v="dead"/>
  </r>
  <r>
    <n v="10"/>
    <n v="20"/>
    <n v="10.120495513001957"/>
    <n v="24.04790940749756"/>
    <m/>
    <n v="99"/>
    <x v="0"/>
    <n v="9.1999999999999993"/>
    <m/>
    <n v="13.1"/>
    <m/>
    <n v="3.6"/>
    <n v="0.2"/>
    <m/>
    <m/>
    <s v="L"/>
    <m/>
    <m/>
    <m/>
    <x v="194"/>
    <n v="4.169859509007658"/>
  </r>
  <r>
    <n v="20"/>
    <n v="40"/>
    <n v="25.791475915445979"/>
    <n v="46.638893486177437"/>
    <m/>
    <n v="198"/>
    <x v="2"/>
    <n v="9.1999999999999993"/>
    <m/>
    <s v="dead"/>
    <m/>
    <n v="2.8"/>
    <m/>
    <m/>
    <m/>
    <s v="D"/>
    <m/>
    <m/>
    <m/>
    <x v="194"/>
    <s v="dead"/>
  </r>
  <r>
    <n v="40"/>
    <n v="-20"/>
    <n v="47.913619609306409"/>
    <n v="-10.317843796857876"/>
    <m/>
    <n v="502"/>
    <x v="2"/>
    <n v="9.1999999999999993"/>
    <m/>
    <n v="9.4"/>
    <m/>
    <n v="2.7"/>
    <n v="1.7"/>
    <m/>
    <m/>
    <s v="L"/>
    <m/>
    <m/>
    <m/>
    <x v="194"/>
    <n v="2.9921129301276324"/>
  </r>
  <r>
    <n v="30"/>
    <n v="10"/>
    <n v="32.324126605413987"/>
    <n v="17.643193787769803"/>
    <m/>
    <n v="219"/>
    <x v="2"/>
    <m/>
    <n v="2.93"/>
    <n v="9.9"/>
    <m/>
    <n v="4.2"/>
    <n v="1.7"/>
    <m/>
    <m/>
    <s v="L"/>
    <m/>
    <m/>
    <m/>
    <x v="195"/>
    <n v="3.1512678732195281"/>
  </r>
  <r>
    <n v="30"/>
    <n v="0"/>
    <n v="33.861205161092634"/>
    <n v="9.3143433199608303"/>
    <m/>
    <n v="249"/>
    <x v="2"/>
    <m/>
    <n v="2.93"/>
    <n v="9.9"/>
    <m/>
    <n v="3.8"/>
    <n v="1.7"/>
    <m/>
    <m/>
    <s v="L"/>
    <m/>
    <m/>
    <m/>
    <x v="195"/>
    <n v="3.1512678732195281"/>
  </r>
  <r>
    <n v="20"/>
    <n v="-30"/>
    <n v="21.358357107595999"/>
    <n v="-22.250979369111008"/>
    <m/>
    <n v="634"/>
    <x v="0"/>
    <m/>
    <n v="2.94"/>
    <s v="dead"/>
    <m/>
    <n v="4.0999999999999996"/>
    <n v="0.3"/>
    <m/>
    <m/>
    <s v="L"/>
    <m/>
    <m/>
    <m/>
    <x v="196"/>
    <s v="dead"/>
  </r>
  <r>
    <n v="20"/>
    <n v="-30"/>
    <n v="24.416937663290781"/>
    <n v="-26.422578527695791"/>
    <m/>
    <n v="645"/>
    <x v="2"/>
    <m/>
    <n v="2.94"/>
    <n v="10.4"/>
    <m/>
    <n v="5.4"/>
    <n v="2.1"/>
    <m/>
    <m/>
    <s v="L"/>
    <m/>
    <m/>
    <m/>
    <x v="196"/>
    <n v="3.3104228163114233"/>
  </r>
  <r>
    <n v="40"/>
    <n v="-10"/>
    <n v="48.306777815709822"/>
    <n v="-3.1315489194051551"/>
    <m/>
    <n v="468"/>
    <x v="2"/>
    <n v="9.3000000000000007"/>
    <m/>
    <n v="10.199999999999999"/>
    <m/>
    <n v="4"/>
    <n v="2.5"/>
    <m/>
    <m/>
    <s v="L"/>
    <m/>
    <m/>
    <m/>
    <x v="197"/>
    <n v="3.246760839074665"/>
  </r>
  <r>
    <n v="40"/>
    <n v="-10"/>
    <n v="48.401628678836474"/>
    <n v="-3.0574023483476909"/>
    <m/>
    <n v="469"/>
    <x v="2"/>
    <n v="9.3000000000000007"/>
    <m/>
    <n v="9.1999999999999993"/>
    <m/>
    <n v="2.8"/>
    <n v="1.6"/>
    <m/>
    <m/>
    <s v="L"/>
    <m/>
    <m/>
    <m/>
    <x v="197"/>
    <n v="2.928450952890874"/>
  </r>
  <r>
    <n v="20"/>
    <n v="-30"/>
    <n v="29.843176006222272"/>
    <n v="-24.727399521404511"/>
    <m/>
    <n v="659"/>
    <x v="0"/>
    <n v="9.3000000000000007"/>
    <m/>
    <s v="dead"/>
    <m/>
    <n v="3.3"/>
    <m/>
    <m/>
    <m/>
    <s v="D"/>
    <m/>
    <m/>
    <m/>
    <x v="197"/>
    <s v="dead"/>
  </r>
  <r>
    <n v="0"/>
    <n v="20"/>
    <n v="8.9167524089241592"/>
    <n v="22.422628010641585"/>
    <m/>
    <n v="36"/>
    <x v="2"/>
    <n v="9.4"/>
    <m/>
    <n v="12.3"/>
    <m/>
    <n v="4.5"/>
    <n v="0.9"/>
    <m/>
    <m/>
    <s v="L"/>
    <m/>
    <m/>
    <m/>
    <x v="198"/>
    <n v="3.9152116000606259"/>
  </r>
  <r>
    <n v="40"/>
    <n v="40"/>
    <n v="41.85837927428328"/>
    <n v="49.432158393420885"/>
    <m/>
    <n v="365"/>
    <x v="2"/>
    <n v="9.4"/>
    <m/>
    <n v="9.8000000000000007"/>
    <m/>
    <n v="4.2"/>
    <n v="1.4"/>
    <m/>
    <m/>
    <s v="L"/>
    <m/>
    <m/>
    <m/>
    <x v="198"/>
    <n v="3.1194368846011491"/>
  </r>
  <r>
    <n v="40"/>
    <n v="-30"/>
    <n v="41.859970636357168"/>
    <n v="-25.656915812060998"/>
    <m/>
    <n v="690"/>
    <x v="2"/>
    <n v="9.5"/>
    <m/>
    <s v="dead"/>
    <m/>
    <n v="5"/>
    <n v="0.2"/>
    <m/>
    <m/>
    <s v="L"/>
    <m/>
    <m/>
    <m/>
    <x v="199"/>
    <s v="dead"/>
  </r>
  <r>
    <n v="40"/>
    <n v="20"/>
    <n v="41.842468171835485"/>
    <n v="29.62411282140144"/>
    <m/>
    <n v="309"/>
    <x v="2"/>
    <m/>
    <n v="3.04"/>
    <n v="10.1"/>
    <m/>
    <n v="5.0999999999999996"/>
    <n v="2"/>
    <m/>
    <m/>
    <s v="L"/>
    <m/>
    <m/>
    <m/>
    <x v="200"/>
    <n v="3.214929850456286"/>
  </r>
  <r>
    <n v="0"/>
    <n v="-20"/>
    <n v="1.5226557831048269"/>
    <n v="-17.833384923912359"/>
    <m/>
    <n v="587"/>
    <x v="0"/>
    <m/>
    <n v="3.04"/>
    <n v="12.4"/>
    <m/>
    <n v="3.9"/>
    <n v="0.7"/>
    <m/>
    <m/>
    <s v="L"/>
    <m/>
    <m/>
    <m/>
    <x v="200"/>
    <n v="3.9470425886790048"/>
  </r>
  <r>
    <n v="20"/>
    <n v="-20"/>
    <n v="29.705651689543171"/>
    <n v="-12.990784656740539"/>
    <m/>
    <n v="537"/>
    <x v="2"/>
    <m/>
    <n v="3.08"/>
    <n v="10.7"/>
    <m/>
    <n v="4.8"/>
    <n v="2.2999999999999998"/>
    <m/>
    <m/>
    <s v="L"/>
    <m/>
    <m/>
    <m/>
    <x v="201"/>
    <n v="3.4059157821665602"/>
  </r>
  <r>
    <n v="0"/>
    <n v="40"/>
    <n v="3.8092987432644398"/>
    <n v="42.763471683479295"/>
    <m/>
    <n v="67"/>
    <x v="0"/>
    <n v="9.6999999999999993"/>
    <m/>
    <s v="dead"/>
    <m/>
    <n v="3.7"/>
    <m/>
    <m/>
    <m/>
    <s v="D"/>
    <m/>
    <m/>
    <m/>
    <x v="202"/>
    <s v="dead"/>
  </r>
  <r>
    <n v="20"/>
    <n v="30"/>
    <n v="20.869370276898547"/>
    <n v="33.306219653914141"/>
    <m/>
    <n v="174"/>
    <x v="2"/>
    <n v="9.8000000000000007"/>
    <m/>
    <n v="12.4"/>
    <m/>
    <n v="4.5999999999999996"/>
    <n v="0.9"/>
    <m/>
    <m/>
    <s v="L"/>
    <m/>
    <m/>
    <m/>
    <x v="203"/>
    <n v="3.9470425886790048"/>
  </r>
  <r>
    <n v="50"/>
    <n v="-30"/>
    <n v="50.215139710240834"/>
    <n v="-27.437723206428444"/>
    <m/>
    <n v="2004"/>
    <x v="2"/>
    <n v="9.8000000000000007"/>
    <m/>
    <n v="42"/>
    <m/>
    <m/>
    <m/>
    <n v="9.5"/>
    <s v="dead"/>
    <m/>
    <m/>
    <s v="701 same tree"/>
    <s v="New No 607 White red　"/>
    <x v="203"/>
    <n v="13.369015219719209"/>
  </r>
  <r>
    <n v="20"/>
    <n v="-30"/>
    <n v="24.931124992627893"/>
    <n v="-26.215054799407518"/>
    <m/>
    <n v="648"/>
    <x v="2"/>
    <m/>
    <n v="3.13"/>
    <n v="10.3"/>
    <m/>
    <n v="4.8"/>
    <n v="1.7"/>
    <m/>
    <m/>
    <s v="L"/>
    <m/>
    <m/>
    <m/>
    <x v="204"/>
    <n v="3.2785918276930444"/>
  </r>
  <r>
    <n v="20"/>
    <n v="-10"/>
    <n v="21.573591821388145"/>
    <n v="-9.2921288004261342"/>
    <m/>
    <n v="412"/>
    <x v="2"/>
    <n v="9.9"/>
    <m/>
    <n v="10.199999999999999"/>
    <m/>
    <n v="2.6"/>
    <n v="1.7"/>
    <m/>
    <m/>
    <s v="L"/>
    <m/>
    <m/>
    <m/>
    <x v="205"/>
    <n v="3.246760839074665"/>
  </r>
  <r>
    <n v="10"/>
    <n v="20"/>
    <n v="19.562907922607756"/>
    <n v="28.425119204591159"/>
    <m/>
    <n v="92"/>
    <x v="2"/>
    <m/>
    <n v="3.16"/>
    <n v="11.5"/>
    <m/>
    <n v="3.7"/>
    <n v="0.9"/>
    <m/>
    <m/>
    <s v="L"/>
    <m/>
    <m/>
    <m/>
    <x v="206"/>
    <n v="3.6605636911135928"/>
  </r>
  <r>
    <n v="20"/>
    <n v="-30"/>
    <n v="28.195766850388548"/>
    <n v="-22.557663531788954"/>
    <m/>
    <n v="649"/>
    <x v="5"/>
    <m/>
    <n v="3.17"/>
    <n v="10.199999999999999"/>
    <m/>
    <n v="4"/>
    <m/>
    <m/>
    <m/>
    <s v="D"/>
    <m/>
    <m/>
    <s v="部分的に枯死"/>
    <x v="207"/>
    <n v="3.246760839074665"/>
  </r>
  <r>
    <n v="40"/>
    <n v="-10"/>
    <n v="47.761100883618937"/>
    <n v="-2.7549647450862382"/>
    <m/>
    <n v="459"/>
    <x v="2"/>
    <n v="10"/>
    <m/>
    <n v="10.199999999999999"/>
    <m/>
    <n v="2.9"/>
    <n v="2.2000000000000002"/>
    <m/>
    <m/>
    <s v="L"/>
    <m/>
    <m/>
    <m/>
    <x v="208"/>
    <n v="3.246760839074665"/>
  </r>
  <r>
    <n v="50"/>
    <n v="-30"/>
    <n v="50.215139710240834"/>
    <n v="-27.437723206428444"/>
    <m/>
    <n v="2009"/>
    <x v="2"/>
    <n v="10"/>
    <m/>
    <n v="13.1"/>
    <m/>
    <m/>
    <m/>
    <n v="5.5"/>
    <n v="1.8"/>
    <m/>
    <m/>
    <s v="701 same tree"/>
    <s v="New No612 White red"/>
    <x v="208"/>
    <n v="4.169859509007658"/>
  </r>
  <r>
    <n v="20"/>
    <n v="-20"/>
    <n v="29.844011771160329"/>
    <n v="-12.893009349392088"/>
    <m/>
    <n v="535"/>
    <x v="2"/>
    <m/>
    <n v="3.19"/>
    <n v="9.6999999999999993"/>
    <m/>
    <n v="4.2"/>
    <n v="2.6"/>
    <m/>
    <m/>
    <s v="L"/>
    <m/>
    <m/>
    <m/>
    <x v="209"/>
    <n v="3.0876058959827692"/>
  </r>
  <r>
    <n v="40"/>
    <n v="20"/>
    <n v="41.897873362675597"/>
    <n v="29.362703105713361"/>
    <m/>
    <n v="305"/>
    <x v="2"/>
    <m/>
    <n v="3.21"/>
    <n v="10.8"/>
    <m/>
    <n v="4.2"/>
    <n v="3.3"/>
    <m/>
    <m/>
    <s v="L"/>
    <m/>
    <m/>
    <m/>
    <x v="210"/>
    <n v="3.4377467707849396"/>
  </r>
  <r>
    <n v="40"/>
    <n v="40"/>
    <n v="49.818309622430874"/>
    <n v="45.476987183360826"/>
    <m/>
    <n v="352"/>
    <x v="2"/>
    <n v="10.1"/>
    <m/>
    <n v="11.3"/>
    <m/>
    <n v="4.7"/>
    <n v="1.6"/>
    <m/>
    <m/>
    <s v="L"/>
    <m/>
    <m/>
    <m/>
    <x v="211"/>
    <n v="3.5969017138768349"/>
  </r>
  <r>
    <n v="30"/>
    <n v="-30"/>
    <n v="33.239457199893131"/>
    <n v="-29.354994230359555"/>
    <m/>
    <n v="672"/>
    <x v="0"/>
    <n v="10.1"/>
    <m/>
    <n v="14"/>
    <m/>
    <n v="3.8"/>
    <n v="0.1"/>
    <m/>
    <m/>
    <s v="L"/>
    <m/>
    <m/>
    <m/>
    <x v="211"/>
    <n v="4.45633840657307"/>
  </r>
  <r>
    <n v="20"/>
    <n v="-30"/>
    <n v="27.398101817478246"/>
    <n v="-27.776253972690835"/>
    <m/>
    <n v="656"/>
    <x v="0"/>
    <n v="10.199999999999999"/>
    <m/>
    <s v="dead"/>
    <m/>
    <n v="5.0999999999999996"/>
    <m/>
    <m/>
    <m/>
    <s v="D"/>
    <m/>
    <m/>
    <m/>
    <x v="212"/>
    <s v="dead"/>
  </r>
  <r>
    <n v="40"/>
    <n v="40"/>
    <n v="41.820429060124383"/>
    <n v="49.212872474941911"/>
    <m/>
    <n v="362"/>
    <x v="2"/>
    <n v="10.3"/>
    <m/>
    <s v="dead"/>
    <m/>
    <n v="3.8"/>
    <m/>
    <m/>
    <m/>
    <s v="D"/>
    <m/>
    <m/>
    <m/>
    <x v="213"/>
    <s v="dead"/>
  </r>
  <r>
    <n v="20"/>
    <n v="-20"/>
    <n v="27.449991754626517"/>
    <n v="-13.504025262616915"/>
    <m/>
    <n v="548"/>
    <x v="2"/>
    <n v="10.3"/>
    <m/>
    <n v="11.3"/>
    <m/>
    <n v="4"/>
    <n v="2.1"/>
    <m/>
    <m/>
    <s v="L"/>
    <m/>
    <m/>
    <m/>
    <x v="213"/>
    <n v="3.5969017138768349"/>
  </r>
  <r>
    <n v="10"/>
    <n v="-20"/>
    <n v="11.343016541337331"/>
    <n v="-19.135918177230341"/>
    <m/>
    <n v="579"/>
    <x v="0"/>
    <n v="10.3"/>
    <m/>
    <n v="12.8"/>
    <m/>
    <n v="4"/>
    <n v="1.1000000000000001"/>
    <m/>
    <m/>
    <s v="L"/>
    <m/>
    <m/>
    <m/>
    <x v="213"/>
    <n v="4.0743665431525207"/>
  </r>
  <r>
    <n v="20"/>
    <n v="40"/>
    <n v="23.615371315622383"/>
    <n v="41.380576057366952"/>
    <m/>
    <n v="184"/>
    <x v="0"/>
    <n v="10.4"/>
    <m/>
    <n v="14.5"/>
    <m/>
    <n v="4"/>
    <n v="0.3"/>
    <m/>
    <m/>
    <s v="L"/>
    <m/>
    <m/>
    <m/>
    <x v="214"/>
    <n v="4.6154933496649653"/>
  </r>
  <r>
    <n v="10"/>
    <n v="-20"/>
    <n v="18.687857860928503"/>
    <n v="-16.25311022221458"/>
    <m/>
    <n v="570"/>
    <x v="0"/>
    <m/>
    <n v="3.34"/>
    <s v="dead"/>
    <m/>
    <n v="3.7"/>
    <n v="1"/>
    <m/>
    <m/>
    <s v="L"/>
    <m/>
    <m/>
    <m/>
    <x v="215"/>
    <s v="dead"/>
  </r>
  <r>
    <n v="30"/>
    <n v="0"/>
    <n v="29.998157121216444"/>
    <n v="0.19197442399690065"/>
    <m/>
    <n v="118"/>
    <x v="0"/>
    <n v="10.5"/>
    <m/>
    <n v="14.4"/>
    <m/>
    <n v="3.4"/>
    <n v="0.3"/>
    <m/>
    <m/>
    <s v="L"/>
    <m/>
    <m/>
    <m/>
    <x v="216"/>
    <n v="4.5836623610465859"/>
  </r>
  <r>
    <n v="40"/>
    <n v="40"/>
    <n v="48.602251723417794"/>
    <n v="41.659879439992999"/>
    <m/>
    <n v="346"/>
    <x v="2"/>
    <n v="10.5"/>
    <m/>
    <n v="10.3"/>
    <m/>
    <n v="3.3"/>
    <n v="1.5"/>
    <m/>
    <m/>
    <s v="L"/>
    <m/>
    <m/>
    <m/>
    <x v="216"/>
    <n v="3.2785918276930444"/>
  </r>
  <r>
    <n v="30"/>
    <n v="-10"/>
    <n v="32.579202742904585"/>
    <n v="-4.1813516974227438"/>
    <m/>
    <n v="422"/>
    <x v="2"/>
    <n v="10.5"/>
    <m/>
    <n v="11.9"/>
    <m/>
    <n v="4.0999999999999996"/>
    <n v="1.8"/>
    <m/>
    <m/>
    <s v="L"/>
    <m/>
    <m/>
    <m/>
    <x v="216"/>
    <n v="3.7878876455871091"/>
  </r>
  <r>
    <n v="20"/>
    <n v="0"/>
    <n v="29.939609554551797"/>
    <n v="1.0973431109104534"/>
    <m/>
    <n v="119"/>
    <x v="0"/>
    <n v="10.6"/>
    <m/>
    <n v="14"/>
    <m/>
    <n v="4.5"/>
    <n v="0.2"/>
    <m/>
    <m/>
    <s v="L"/>
    <m/>
    <m/>
    <m/>
    <x v="217"/>
    <n v="4.45633840657307"/>
  </r>
  <r>
    <n v="40"/>
    <n v="40"/>
    <n v="41.65028445993098"/>
    <n v="45.484737951801335"/>
    <m/>
    <n v="357"/>
    <x v="2"/>
    <n v="10.7"/>
    <m/>
    <n v="12"/>
    <m/>
    <n v="4.4000000000000004"/>
    <n v="1.2"/>
    <m/>
    <m/>
    <s v="L"/>
    <m/>
    <m/>
    <m/>
    <x v="218"/>
    <n v="3.8197186342054881"/>
  </r>
  <r>
    <n v="40"/>
    <n v="40"/>
    <n v="41.480789789383856"/>
    <n v="45.681606937067514"/>
    <m/>
    <n v="359"/>
    <x v="2"/>
    <n v="10.7"/>
    <m/>
    <n v="11.3"/>
    <m/>
    <n v="4.7"/>
    <n v="2"/>
    <m/>
    <m/>
    <s v="L"/>
    <m/>
    <m/>
    <m/>
    <x v="218"/>
    <n v="3.5969017138768349"/>
  </r>
  <r>
    <n v="40"/>
    <n v="-30"/>
    <n v="42.307079585689536"/>
    <n v="-26.109287362000902"/>
    <m/>
    <n v="685"/>
    <x v="2"/>
    <m/>
    <n v="3.41"/>
    <n v="10.8"/>
    <m/>
    <n v="1.7"/>
    <n v="0.5"/>
    <m/>
    <m/>
    <s v="L"/>
    <m/>
    <s v="L=5.8"/>
    <m/>
    <x v="219"/>
    <n v="3.4377467707849396"/>
  </r>
  <r>
    <n v="30"/>
    <n v="10"/>
    <n v="34.412191184356885"/>
    <n v="18.734824536799977"/>
    <m/>
    <n v="217"/>
    <x v="0"/>
    <n v="10.8"/>
    <m/>
    <s v="dead"/>
    <m/>
    <n v="2.7"/>
    <m/>
    <m/>
    <m/>
    <s v="D"/>
    <m/>
    <s v="broken"/>
    <m/>
    <x v="220"/>
    <s v="dead"/>
  </r>
  <r>
    <n v="40"/>
    <n v="40"/>
    <n v="41.910792172547048"/>
    <n v="49.305569124146778"/>
    <m/>
    <n v="366"/>
    <x v="2"/>
    <n v="10.8"/>
    <m/>
    <n v="10.8"/>
    <m/>
    <n v="4.5"/>
    <n v="2.1"/>
    <m/>
    <m/>
    <s v="L"/>
    <m/>
    <m/>
    <m/>
    <x v="220"/>
    <n v="3.4377467707849396"/>
  </r>
  <r>
    <n v="40"/>
    <n v="-10"/>
    <n v="43.455869235201362"/>
    <n v="-9.8309797965071795"/>
    <m/>
    <n v="451"/>
    <x v="2"/>
    <n v="10.8"/>
    <m/>
    <n v="11.8"/>
    <m/>
    <n v="3.9"/>
    <n v="2"/>
    <m/>
    <m/>
    <s v="L"/>
    <m/>
    <s v="broken"/>
    <m/>
    <x v="220"/>
    <n v="3.7560566569687301"/>
  </r>
  <r>
    <n v="40"/>
    <n v="-30"/>
    <n v="42.046818434004329"/>
    <n v="-25.540917398602279"/>
    <m/>
    <n v="692"/>
    <x v="2"/>
    <n v="10.8"/>
    <m/>
    <s v="dead"/>
    <m/>
    <n v="3"/>
    <n v="2.2999999999999998"/>
    <m/>
    <m/>
    <s v="L"/>
    <m/>
    <s v="Dead H=3.6"/>
    <m/>
    <x v="220"/>
    <s v="dead"/>
  </r>
  <r>
    <n v="20"/>
    <n v="10"/>
    <n v="21.785537686445696"/>
    <n v="11.947311629411955"/>
    <m/>
    <n v="148"/>
    <x v="2"/>
    <n v="10.9"/>
    <m/>
    <n v="11"/>
    <m/>
    <n v="4.5999999999999996"/>
    <n v="1.5"/>
    <m/>
    <m/>
    <s v="L"/>
    <m/>
    <m/>
    <m/>
    <x v="221"/>
    <n v="3.5014087480216975"/>
  </r>
  <r>
    <n v="20"/>
    <n v="40"/>
    <n v="26.924600108357865"/>
    <n v="46.948813808077624"/>
    <m/>
    <n v="192"/>
    <x v="2"/>
    <n v="10.9"/>
    <m/>
    <s v="dead"/>
    <m/>
    <n v="3.5"/>
    <m/>
    <m/>
    <m/>
    <s v="D"/>
    <m/>
    <m/>
    <m/>
    <x v="221"/>
    <s v="dead"/>
  </r>
  <r>
    <n v="20"/>
    <n v="10"/>
    <n v="22.185225695543657"/>
    <n v="12.144973802340447"/>
    <m/>
    <n v="151"/>
    <x v="2"/>
    <n v="11"/>
    <m/>
    <n v="11.6"/>
    <m/>
    <n v="4.9000000000000004"/>
    <n v="1.4"/>
    <m/>
    <m/>
    <s v="L"/>
    <m/>
    <m/>
    <m/>
    <x v="222"/>
    <n v="3.6923946797319718"/>
  </r>
  <r>
    <n v="40"/>
    <n v="30"/>
    <n v="49.095619109009078"/>
    <n v="30.432649520164404"/>
    <m/>
    <n v="320"/>
    <x v="3"/>
    <n v="11"/>
    <m/>
    <n v="11.5"/>
    <m/>
    <n v="3.8"/>
    <n v="0.3"/>
    <m/>
    <m/>
    <s v="L"/>
    <m/>
    <m/>
    <m/>
    <x v="222"/>
    <n v="3.6605636911135928"/>
  </r>
  <r>
    <n v="20"/>
    <n v="-20"/>
    <n v="27.646310495894554"/>
    <n v="-18.975480802506063"/>
    <m/>
    <n v="563"/>
    <x v="2"/>
    <n v="11"/>
    <m/>
    <n v="11.3"/>
    <m/>
    <n v="3.8"/>
    <n v="1.4"/>
    <m/>
    <m/>
    <s v="L"/>
    <m/>
    <m/>
    <m/>
    <x v="222"/>
    <n v="3.5969017138768349"/>
  </r>
  <r>
    <n v="20"/>
    <n v="20"/>
    <n v="26.105063208120857"/>
    <n v="23.112840326777921"/>
    <m/>
    <n v="165"/>
    <x v="0"/>
    <n v="11.1"/>
    <m/>
    <s v="dead"/>
    <m/>
    <n v="3.7"/>
    <m/>
    <m/>
    <m/>
    <s v="D"/>
    <m/>
    <m/>
    <m/>
    <x v="223"/>
    <s v="dead"/>
  </r>
  <r>
    <n v="20"/>
    <n v="-10"/>
    <n v="22.256082481683858"/>
    <n v="-9.5353591675352476"/>
    <m/>
    <n v="415"/>
    <x v="2"/>
    <n v="11.2"/>
    <m/>
    <n v="12.1"/>
    <m/>
    <n v="3.4"/>
    <n v="1.8"/>
    <m/>
    <m/>
    <s v="L"/>
    <m/>
    <m/>
    <m/>
    <x v="224"/>
    <n v="3.851549622823867"/>
  </r>
  <r>
    <n v="40"/>
    <n v="20"/>
    <n v="42.394823115933988"/>
    <n v="29.340169159319785"/>
    <m/>
    <n v="292"/>
    <x v="2"/>
    <m/>
    <n v="3.59"/>
    <m/>
    <n v="11.4"/>
    <n v="5.0999999999999996"/>
    <n v="2.4"/>
    <m/>
    <m/>
    <s v="L"/>
    <m/>
    <m/>
    <m/>
    <x v="225"/>
    <n v="11.4"/>
  </r>
  <r>
    <n v="0"/>
    <n v="0"/>
    <n v="4.6490501176979064"/>
    <n v="8.685680648742018"/>
    <m/>
    <n v="3"/>
    <x v="2"/>
    <n v="11.3"/>
    <m/>
    <n v="11.1"/>
    <m/>
    <n v="3.1"/>
    <n v="2.1"/>
    <m/>
    <m/>
    <s v="L"/>
    <m/>
    <m/>
    <m/>
    <x v="226"/>
    <n v="3.5332397366400765"/>
  </r>
  <r>
    <n v="30"/>
    <n v="-30"/>
    <n v="32.358209900513103"/>
    <n v="-25.057197451664507"/>
    <m/>
    <n v="663"/>
    <x v="0"/>
    <n v="11.3"/>
    <m/>
    <s v="dead"/>
    <m/>
    <n v="4.5999999999999996"/>
    <m/>
    <m/>
    <m/>
    <s v="D"/>
    <m/>
    <m/>
    <m/>
    <x v="226"/>
    <s v="dead"/>
  </r>
  <r>
    <n v="20"/>
    <n v="-20"/>
    <n v="26.880206616637487"/>
    <n v="-13.466398935188682"/>
    <m/>
    <n v="555"/>
    <x v="2"/>
    <m/>
    <n v="3.6"/>
    <n v="12.1"/>
    <m/>
    <n v="2.2000000000000002"/>
    <n v="0.9"/>
    <m/>
    <m/>
    <s v="L"/>
    <m/>
    <m/>
    <m/>
    <x v="227"/>
    <n v="3.851549622823867"/>
  </r>
  <r>
    <n v="50"/>
    <n v="-30"/>
    <n v="50.215139710240834"/>
    <n v="-27.437723206428444"/>
    <m/>
    <n v="701"/>
    <x v="2"/>
    <m/>
    <n v="3.61"/>
    <n v="13"/>
    <m/>
    <n v="5.2"/>
    <n v="1.8"/>
    <m/>
    <m/>
    <s v="L"/>
    <m/>
    <m/>
    <m/>
    <x v="228"/>
    <n v="4.1380285203892786"/>
  </r>
  <r>
    <n v="10"/>
    <n v="20"/>
    <n v="19.699163756212034"/>
    <n v="20.653488566037861"/>
    <m/>
    <n v="105"/>
    <x v="2"/>
    <n v="11.4"/>
    <m/>
    <n v="11.8"/>
    <m/>
    <n v="3.5"/>
    <n v="1"/>
    <m/>
    <m/>
    <s v="L"/>
    <m/>
    <m/>
    <m/>
    <x v="229"/>
    <n v="3.7560566569687301"/>
  </r>
  <r>
    <n v="40"/>
    <n v="-20"/>
    <n v="48.947736636769655"/>
    <n v="-16.311933862059238"/>
    <m/>
    <n v="506"/>
    <x v="2"/>
    <n v="11.5"/>
    <m/>
    <m/>
    <n v="17.100000000000001"/>
    <n v="2.8"/>
    <n v="1.5"/>
    <m/>
    <m/>
    <s v="L"/>
    <m/>
    <m/>
    <s v="2001 DBH=11.5?"/>
    <x v="230"/>
    <n v="17.100000000000001"/>
  </r>
  <r>
    <n v="0"/>
    <n v="-30"/>
    <n v="9.2331769958039427"/>
    <n v="-22.944436741865474"/>
    <m/>
    <n v="610"/>
    <x v="2"/>
    <n v="11.6"/>
    <m/>
    <n v="13.3"/>
    <m/>
    <n v="4.7"/>
    <n v="1.6"/>
    <m/>
    <m/>
    <s v="L"/>
    <m/>
    <m/>
    <m/>
    <x v="231"/>
    <n v="4.2335214862444159"/>
  </r>
  <r>
    <n v="20"/>
    <n v="-20"/>
    <n v="27.221745045931094"/>
    <n v="-13.615881680698827"/>
    <m/>
    <n v="549"/>
    <x v="2"/>
    <n v="11.7"/>
    <m/>
    <n v="11.7"/>
    <m/>
    <n v="4.2"/>
    <n v="2.6"/>
    <m/>
    <m/>
    <s v="L"/>
    <m/>
    <m/>
    <m/>
    <x v="232"/>
    <n v="3.7242256683503507"/>
  </r>
  <r>
    <n v="20"/>
    <n v="40"/>
    <n v="22.110566473137055"/>
    <n v="42.311365216159018"/>
    <m/>
    <n v="183"/>
    <x v="0"/>
    <n v="11.8"/>
    <m/>
    <s v="dead"/>
    <m/>
    <n v="4.2"/>
    <m/>
    <m/>
    <m/>
    <s v="D"/>
    <m/>
    <m/>
    <m/>
    <x v="233"/>
    <s v="dead"/>
  </r>
  <r>
    <n v="0"/>
    <n v="-30"/>
    <n v="5.2992375060011847"/>
    <n v="-21.210623615793651"/>
    <m/>
    <n v="604"/>
    <x v="0"/>
    <n v="11.8"/>
    <m/>
    <n v="15.3"/>
    <m/>
    <n v="4.4000000000000004"/>
    <n v="0.5"/>
    <m/>
    <m/>
    <s v="L"/>
    <m/>
    <m/>
    <s v="New No759"/>
    <x v="233"/>
    <n v="4.8701412586119979"/>
  </r>
  <r>
    <n v="0"/>
    <n v="10"/>
    <n v="1.739478099313315"/>
    <n v="16.785269186132236"/>
    <m/>
    <n v="26"/>
    <x v="0"/>
    <n v="11.9"/>
    <m/>
    <n v="15.4"/>
    <m/>
    <n v="4.0999999999999996"/>
    <n v="0.3"/>
    <m/>
    <m/>
    <s v="L"/>
    <m/>
    <m/>
    <m/>
    <x v="234"/>
    <n v="4.9019722472303764"/>
  </r>
  <r>
    <n v="20"/>
    <n v="10"/>
    <n v="24.483757051699371"/>
    <n v="11.324677598118903"/>
    <m/>
    <n v="134"/>
    <x v="2"/>
    <n v="11.9"/>
    <m/>
    <n v="12.9"/>
    <m/>
    <n v="4.0999999999999996"/>
    <n v="1.4"/>
    <m/>
    <m/>
    <s v="L"/>
    <m/>
    <m/>
    <m/>
    <x v="234"/>
    <n v="4.1061975317709001"/>
  </r>
  <r>
    <n v="20"/>
    <n v="40"/>
    <n v="27.401715058725056"/>
    <n v="42.122407639790886"/>
    <m/>
    <n v="185"/>
    <x v="0"/>
    <n v="11.9"/>
    <m/>
    <s v="dead"/>
    <m/>
    <n v="4.4000000000000004"/>
    <n v="0.8"/>
    <m/>
    <m/>
    <s v="L"/>
    <m/>
    <m/>
    <m/>
    <x v="234"/>
    <s v="dead"/>
  </r>
  <r>
    <n v="40"/>
    <n v="40"/>
    <n v="49.32416780950124"/>
    <n v="42.156583142446785"/>
    <m/>
    <n v="348"/>
    <x v="2"/>
    <n v="11.9"/>
    <m/>
    <n v="12.3"/>
    <m/>
    <n v="5.4"/>
    <n v="2.5"/>
    <m/>
    <m/>
    <s v="L"/>
    <m/>
    <m/>
    <m/>
    <x v="234"/>
    <n v="3.9152116000606259"/>
  </r>
  <r>
    <n v="40"/>
    <n v="-10"/>
    <n v="48.14"/>
    <n v="-3.2216145020781122"/>
    <m/>
    <n v="465"/>
    <x v="2"/>
    <n v="11.9"/>
    <m/>
    <n v="11.7"/>
    <m/>
    <n v="4.3"/>
    <n v="2.5"/>
    <m/>
    <m/>
    <s v="L"/>
    <m/>
    <m/>
    <m/>
    <x v="234"/>
    <n v="3.7242256683503507"/>
  </r>
  <r>
    <n v="20"/>
    <n v="-30"/>
    <n v="25.2559620379226"/>
    <n v="-26.725102513298108"/>
    <m/>
    <n v="650"/>
    <x v="5"/>
    <m/>
    <n v="3.88"/>
    <n v="13.5"/>
    <m/>
    <n v="4.7"/>
    <n v="2.2999999999999998"/>
    <m/>
    <m/>
    <s v="L"/>
    <m/>
    <m/>
    <m/>
    <x v="235"/>
    <n v="4.2971834634811739"/>
  </r>
  <r>
    <n v="30"/>
    <n v="-10"/>
    <n v="33.758862366994734"/>
    <n v="-1.9829056980795468"/>
    <m/>
    <n v="426"/>
    <x v="2"/>
    <n v="12.2"/>
    <m/>
    <n v="12.8"/>
    <m/>
    <n v="4.7"/>
    <n v="1.5"/>
    <m/>
    <m/>
    <s v="L"/>
    <m/>
    <m/>
    <m/>
    <x v="236"/>
    <n v="4.0743665431525207"/>
  </r>
  <r>
    <n v="20"/>
    <n v="40"/>
    <n v="26.356224715782488"/>
    <n v="46.816216499090665"/>
    <m/>
    <n v="189"/>
    <x v="2"/>
    <n v="12.3"/>
    <m/>
    <n v="12.6"/>
    <m/>
    <n v="4.5999999999999996"/>
    <n v="3.3"/>
    <m/>
    <m/>
    <s v="L"/>
    <m/>
    <m/>
    <m/>
    <x v="237"/>
    <n v="4.0107045659157627"/>
  </r>
  <r>
    <n v="30"/>
    <n v="-30"/>
    <n v="34.480309169145954"/>
    <n v="-28.149652124407929"/>
    <m/>
    <n v="673"/>
    <x v="1"/>
    <n v="12.3"/>
    <m/>
    <n v="13.7"/>
    <m/>
    <n v="5.4"/>
    <n v="1.9"/>
    <m/>
    <m/>
    <s v="L"/>
    <m/>
    <m/>
    <s v="NewNo 775"/>
    <x v="237"/>
    <n v="4.3608454407179318"/>
  </r>
  <r>
    <n v="40"/>
    <n v="-30"/>
    <n v="41.913207673811556"/>
    <n v="-25.707852741674184"/>
    <m/>
    <n v="689"/>
    <x v="2"/>
    <n v="12.4"/>
    <m/>
    <s v="dead"/>
    <m/>
    <m/>
    <m/>
    <m/>
    <m/>
    <s v="L"/>
    <m/>
    <s v="L=5.8"/>
    <m/>
    <x v="238"/>
    <s v="dead"/>
  </r>
  <r>
    <n v="50"/>
    <n v="-30"/>
    <n v="50.215139710240834"/>
    <n v="-27.437723206428444"/>
    <m/>
    <n v="2005"/>
    <x v="2"/>
    <n v="12.4"/>
    <m/>
    <n v="16"/>
    <m/>
    <m/>
    <m/>
    <n v="7.5"/>
    <n v="2.2999999999999998"/>
    <m/>
    <m/>
    <s v="701 same tree"/>
    <s v="New No608 White red"/>
    <x v="238"/>
    <n v="5.0929581789406511"/>
  </r>
  <r>
    <n v="20"/>
    <n v="10"/>
    <n v="23.776821029099263"/>
    <n v="11.15813707184822"/>
    <m/>
    <n v="142"/>
    <x v="2"/>
    <n v="12.5"/>
    <m/>
    <n v="13"/>
    <m/>
    <n v="4.8"/>
    <n v="1.5"/>
    <m/>
    <m/>
    <s v="L"/>
    <m/>
    <m/>
    <m/>
    <x v="239"/>
    <n v="4.1380285203892786"/>
  </r>
  <r>
    <n v="40"/>
    <n v="30"/>
    <n v="41.87688214569787"/>
    <n v="35.680861622369804"/>
    <m/>
    <n v="343"/>
    <x v="0"/>
    <n v="12.7"/>
    <m/>
    <s v="dead"/>
    <m/>
    <n v="4.5"/>
    <m/>
    <m/>
    <m/>
    <s v="D"/>
    <m/>
    <m/>
    <m/>
    <x v="240"/>
    <s v="dead"/>
  </r>
  <r>
    <n v="40"/>
    <n v="40"/>
    <n v="41.6247498349016"/>
    <n v="49.400174714973076"/>
    <m/>
    <n v="363"/>
    <x v="2"/>
    <n v="12.7"/>
    <m/>
    <n v="13.2"/>
    <m/>
    <n v="4.7"/>
    <n v="1.2"/>
    <m/>
    <m/>
    <s v="L"/>
    <m/>
    <m/>
    <m/>
    <x v="240"/>
    <n v="4.2016904976260365"/>
  </r>
  <r>
    <n v="30"/>
    <n v="-10"/>
    <n v="33.766064591840596"/>
    <n v="-6.9729636066118257"/>
    <m/>
    <n v="429"/>
    <x v="2"/>
    <n v="12.8"/>
    <m/>
    <n v="13.4"/>
    <m/>
    <n v="4.7"/>
    <n v="1.8"/>
    <m/>
    <m/>
    <s v="L"/>
    <m/>
    <m/>
    <m/>
    <x v="241"/>
    <n v="4.2653524748627953"/>
  </r>
  <r>
    <n v="20"/>
    <n v="-20"/>
    <n v="26.978042096895663"/>
    <n v="-13.635795974718397"/>
    <m/>
    <n v="550"/>
    <x v="2"/>
    <n v="12.8"/>
    <m/>
    <n v="13.3"/>
    <m/>
    <n v="4.2"/>
    <n v="3"/>
    <m/>
    <m/>
    <s v="L"/>
    <m/>
    <m/>
    <m/>
    <x v="241"/>
    <n v="4.2335214862444159"/>
  </r>
  <r>
    <n v="10"/>
    <n v="-20"/>
    <n v="16.298395004410601"/>
    <n v="-11.763555350964374"/>
    <m/>
    <n v="573"/>
    <x v="2"/>
    <n v="12.8"/>
    <m/>
    <n v="13"/>
    <m/>
    <n v="2.9"/>
    <n v="1.8"/>
    <m/>
    <m/>
    <s v="L"/>
    <m/>
    <m/>
    <m/>
    <x v="241"/>
    <n v="4.1380285203892786"/>
  </r>
  <r>
    <n v="0"/>
    <n v="-30"/>
    <n v="9.3944202602946802"/>
    <n v="-23.025684932968588"/>
    <m/>
    <n v="611"/>
    <x v="2"/>
    <n v="12.8"/>
    <m/>
    <n v="13.5"/>
    <m/>
    <n v="4.8"/>
    <n v="1.5"/>
    <m/>
    <m/>
    <s v="L"/>
    <m/>
    <m/>
    <s v="New No762"/>
    <x v="241"/>
    <n v="4.2971834634811739"/>
  </r>
  <r>
    <n v="20"/>
    <n v="-30"/>
    <n v="27.351125010598636"/>
    <n v="-29.237724897967244"/>
    <m/>
    <n v="652"/>
    <x v="0"/>
    <n v="12.8"/>
    <m/>
    <s v="dead"/>
    <m/>
    <n v="4.5"/>
    <m/>
    <m/>
    <m/>
    <s v="D"/>
    <m/>
    <m/>
    <m/>
    <x v="241"/>
    <s v="dead"/>
  </r>
  <r>
    <n v="40"/>
    <n v="20"/>
    <n v="42.033215261247165"/>
    <n v="29.849072569358412"/>
    <m/>
    <n v="316"/>
    <x v="2"/>
    <n v="12.9"/>
    <m/>
    <n v="13.6"/>
    <m/>
    <n v="5.2"/>
    <n v="2.2999999999999998"/>
    <m/>
    <m/>
    <s v="L"/>
    <m/>
    <m/>
    <m/>
    <x v="242"/>
    <n v="4.3290144520995533"/>
  </r>
  <r>
    <n v="40"/>
    <n v="40"/>
    <n v="41.490106932122359"/>
    <n v="45.568717982919232"/>
    <m/>
    <n v="358"/>
    <x v="2"/>
    <n v="12.9"/>
    <m/>
    <s v="dead"/>
    <m/>
    <n v="1.6"/>
    <m/>
    <m/>
    <m/>
    <s v="D"/>
    <m/>
    <m/>
    <m/>
    <x v="242"/>
    <s v="dead"/>
  </r>
  <r>
    <n v="20"/>
    <n v="-20"/>
    <n v="27.731279138370269"/>
    <n v="-18.751193542563861"/>
    <m/>
    <n v="561"/>
    <x v="2"/>
    <n v="12.9"/>
    <m/>
    <n v="13"/>
    <m/>
    <n v="4.4000000000000004"/>
    <n v="2.5"/>
    <m/>
    <m/>
    <s v="L"/>
    <m/>
    <m/>
    <m/>
    <x v="242"/>
    <n v="4.1380285203892786"/>
  </r>
  <r>
    <n v="30"/>
    <n v="10"/>
    <n v="35.175231914701541"/>
    <n v="13.031544315341126"/>
    <m/>
    <n v="233"/>
    <x v="0"/>
    <n v="13"/>
    <m/>
    <n v="17"/>
    <m/>
    <n v="4.5"/>
    <n v="0.5"/>
    <m/>
    <m/>
    <s v="L"/>
    <m/>
    <m/>
    <m/>
    <x v="243"/>
    <n v="5.4112680651244416"/>
  </r>
  <r>
    <n v="40"/>
    <n v="20"/>
    <n v="42.576651627563287"/>
    <n v="29.825957146197499"/>
    <m/>
    <n v="300"/>
    <x v="2"/>
    <n v="13.1"/>
    <m/>
    <n v="13.4"/>
    <m/>
    <n v="5.5"/>
    <n v="1.7"/>
    <m/>
    <m/>
    <s v="L"/>
    <m/>
    <m/>
    <m/>
    <x v="244"/>
    <n v="4.2653524748627953"/>
  </r>
  <r>
    <n v="50"/>
    <n v="-30"/>
    <n v="50.215139710240834"/>
    <n v="-27.437723206428444"/>
    <m/>
    <n v="2001"/>
    <x v="2"/>
    <n v="13.1"/>
    <m/>
    <m/>
    <n v="15.6"/>
    <m/>
    <m/>
    <n v="2.4"/>
    <n v="1"/>
    <m/>
    <m/>
    <s v="701 same tree"/>
    <s v="New No 604 White red"/>
    <x v="244"/>
    <n v="15.6"/>
  </r>
  <r>
    <n v="40"/>
    <n v="-10"/>
    <n v="47.95645499176517"/>
    <n v="-2.6922711229217842"/>
    <m/>
    <n v="461"/>
    <x v="2"/>
    <n v="13.2"/>
    <m/>
    <s v="dead"/>
    <m/>
    <n v="4.7"/>
    <m/>
    <m/>
    <m/>
    <s v="D"/>
    <m/>
    <m/>
    <m/>
    <x v="245"/>
    <s v="dead"/>
  </r>
  <r>
    <n v="20"/>
    <n v="30"/>
    <n v="25.433323914882696"/>
    <n v="34.334182209427858"/>
    <m/>
    <n v="171"/>
    <x v="2"/>
    <n v="13.3"/>
    <m/>
    <n v="13.8"/>
    <m/>
    <n v="3.7"/>
    <n v="1.7"/>
    <m/>
    <m/>
    <s v="L"/>
    <m/>
    <s v="gbh at 1.2m-H"/>
    <m/>
    <x v="246"/>
    <n v="4.3926764293363121"/>
  </r>
  <r>
    <n v="20"/>
    <n v="30"/>
    <n v="21.776802246029185"/>
    <n v="38.060960604189376"/>
    <m/>
    <n v="181"/>
    <x v="0"/>
    <n v="13.3"/>
    <m/>
    <s v="dead"/>
    <m/>
    <n v="4.3"/>
    <n v="0.2"/>
    <m/>
    <m/>
    <s v="L"/>
    <m/>
    <m/>
    <m/>
    <x v="246"/>
    <s v="dead"/>
  </r>
  <r>
    <n v="10"/>
    <n v="10"/>
    <n v="19.450592034892743"/>
    <n v="13.837487484021526"/>
    <m/>
    <n v="111"/>
    <x v="2"/>
    <n v="13.4"/>
    <m/>
    <m/>
    <n v="14.1"/>
    <n v="4.9000000000000004"/>
    <n v="2.6"/>
    <m/>
    <m/>
    <s v="L"/>
    <m/>
    <m/>
    <m/>
    <x v="247"/>
    <n v="14.1"/>
  </r>
  <r>
    <n v="0"/>
    <n v="10"/>
    <n v="6.8907652746479302"/>
    <n v="17.695625992904336"/>
    <m/>
    <n v="21"/>
    <x v="2"/>
    <n v="13.5"/>
    <m/>
    <n v="14.3"/>
    <m/>
    <n v="5.5"/>
    <n v="1.6"/>
    <m/>
    <m/>
    <s v="L"/>
    <m/>
    <m/>
    <m/>
    <x v="248"/>
    <n v="4.5518313724282073"/>
  </r>
  <r>
    <n v="0"/>
    <n v="20"/>
    <n v="8.4184890926716029"/>
    <n v="22.114578302302672"/>
    <m/>
    <n v="31"/>
    <x v="2"/>
    <n v="13.5"/>
    <m/>
    <n v="24.5"/>
    <m/>
    <n v="3.7"/>
    <n v="1.2"/>
    <m/>
    <m/>
    <s v="L"/>
    <m/>
    <m/>
    <m/>
    <x v="248"/>
    <n v="7.7985922115028714"/>
  </r>
  <r>
    <n v="0"/>
    <n v="30"/>
    <n v="3.3916017940016192"/>
    <n v="37.779399238189264"/>
    <m/>
    <n v="53"/>
    <x v="0"/>
    <n v="13.6"/>
    <m/>
    <s v="dead"/>
    <m/>
    <n v="2.1"/>
    <m/>
    <m/>
    <m/>
    <s v="D"/>
    <m/>
    <m/>
    <m/>
    <x v="249"/>
    <s v="dead"/>
  </r>
  <r>
    <n v="20"/>
    <n v="-10"/>
    <n v="28.216300026749987"/>
    <n v="-4.6050009323052059"/>
    <m/>
    <n v="419"/>
    <x v="2"/>
    <n v="13.7"/>
    <m/>
    <n v="15.6"/>
    <m/>
    <n v="4.7"/>
    <n v="1.4"/>
    <m/>
    <m/>
    <s v="L"/>
    <m/>
    <m/>
    <m/>
    <x v="250"/>
    <n v="4.9656342244671343"/>
  </r>
  <r>
    <n v="0"/>
    <n v="10"/>
    <n v="6.8333337259313778"/>
    <n v="17.877329795601831"/>
    <m/>
    <n v="22"/>
    <x v="2"/>
    <n v="14"/>
    <m/>
    <n v="14.5"/>
    <m/>
    <n v="4"/>
    <n v="2.6"/>
    <m/>
    <m/>
    <s v="L"/>
    <m/>
    <m/>
    <m/>
    <x v="251"/>
    <n v="4.6154933496649653"/>
  </r>
  <r>
    <n v="0"/>
    <n v="20"/>
    <n v="6.7606422029613356"/>
    <n v="30.023064252190451"/>
    <m/>
    <n v="44"/>
    <x v="0"/>
    <n v="14"/>
    <m/>
    <s v="dead"/>
    <m/>
    <n v="4.2"/>
    <n v="0.2"/>
    <m/>
    <m/>
    <s v="L"/>
    <m/>
    <m/>
    <m/>
    <x v="251"/>
    <s v="dead"/>
  </r>
  <r>
    <n v="30"/>
    <n v="0"/>
    <n v="33.991864086035775"/>
    <n v="8.9138005024738085"/>
    <m/>
    <n v="253"/>
    <x v="2"/>
    <n v="14"/>
    <m/>
    <n v="14.5"/>
    <m/>
    <n v="4"/>
    <n v="2.1"/>
    <m/>
    <m/>
    <s v="L"/>
    <m/>
    <m/>
    <m/>
    <x v="251"/>
    <n v="4.6154933496649653"/>
  </r>
  <r>
    <n v="40"/>
    <n v="-10"/>
    <n v="48.531267151121057"/>
    <n v="-2.6387921135671051"/>
    <m/>
    <n v="471"/>
    <x v="2"/>
    <n v="14"/>
    <m/>
    <n v="14.1"/>
    <m/>
    <n v="3.8"/>
    <n v="2.1"/>
    <m/>
    <m/>
    <s v="L"/>
    <m/>
    <m/>
    <m/>
    <x v="251"/>
    <n v="4.4881693951914485"/>
  </r>
  <r>
    <n v="10"/>
    <n v="30"/>
    <n v="13.816394323818171"/>
    <n v="30.41139990053043"/>
    <m/>
    <n v="85"/>
    <x v="0"/>
    <n v="14.2"/>
    <m/>
    <s v="dead"/>
    <m/>
    <n v="5"/>
    <m/>
    <m/>
    <m/>
    <s v="D"/>
    <m/>
    <m/>
    <m/>
    <x v="252"/>
    <s v="dead"/>
  </r>
  <r>
    <n v="20"/>
    <n v="40"/>
    <n v="26.088068052261637"/>
    <n v="46.326438760553302"/>
    <m/>
    <n v="186"/>
    <x v="2"/>
    <n v="14.3"/>
    <m/>
    <n v="15.2"/>
    <m/>
    <n v="5"/>
    <n v="2"/>
    <m/>
    <m/>
    <s v="L"/>
    <m/>
    <m/>
    <m/>
    <x v="253"/>
    <n v="4.8383102699936185"/>
  </r>
  <r>
    <n v="10"/>
    <n v="40"/>
    <n v="12.358481639250277"/>
    <n v="45.370549054084215"/>
    <m/>
    <n v="75"/>
    <x v="0"/>
    <n v="14.4"/>
    <m/>
    <n v="17.399999999999999"/>
    <m/>
    <n v="3.7"/>
    <n v="0.8"/>
    <m/>
    <m/>
    <s v="L"/>
    <m/>
    <m/>
    <m/>
    <x v="254"/>
    <n v="5.5385920195979574"/>
  </r>
  <r>
    <n v="50"/>
    <n v="-30"/>
    <n v="50.215139710240834"/>
    <n v="-27.437723206428444"/>
    <m/>
    <n v="2007"/>
    <x v="2"/>
    <n v="14.4"/>
    <m/>
    <n v="10.5"/>
    <m/>
    <m/>
    <m/>
    <n v="3.5"/>
    <n v="1.9"/>
    <m/>
    <m/>
    <s v="701 same tree"/>
    <s v="New No610 White red"/>
    <x v="254"/>
    <n v="3.3422538049298023"/>
  </r>
  <r>
    <n v="20"/>
    <n v="30"/>
    <n v="21.331866296913631"/>
    <n v="38.494599001214105"/>
    <m/>
    <n v="182"/>
    <x v="0"/>
    <n v="14.6"/>
    <m/>
    <n v="18.399999999999999"/>
    <m/>
    <n v="5.2"/>
    <n v="0.2"/>
    <m/>
    <m/>
    <s v="L"/>
    <m/>
    <m/>
    <m/>
    <x v="255"/>
    <n v="5.856901905781748"/>
  </r>
  <r>
    <n v="30"/>
    <n v="-20"/>
    <n v="49.938192270330752"/>
    <n v="-27.773576332121721"/>
    <m/>
    <n v="706"/>
    <x v="2"/>
    <n v="14.6"/>
    <m/>
    <n v="16.3"/>
    <m/>
    <n v="5.2"/>
    <n v="1.6"/>
    <m/>
    <m/>
    <s v="L"/>
    <m/>
    <m/>
    <s v="New No603　white　red"/>
    <x v="255"/>
    <n v="5.1884511447957884"/>
  </r>
  <r>
    <n v="0"/>
    <n v="20"/>
    <n v="9.0445474699669113"/>
    <n v="22.938751616505748"/>
    <m/>
    <n v="38"/>
    <x v="2"/>
    <n v="14.7"/>
    <m/>
    <s v="dead"/>
    <m/>
    <n v="1.7"/>
    <n v="1"/>
    <m/>
    <m/>
    <s v="L"/>
    <m/>
    <s v="dead Ht=3.2 "/>
    <s v="38cm sprout"/>
    <x v="256"/>
    <s v="dead"/>
  </r>
  <r>
    <n v="20"/>
    <n v="0"/>
    <n v="27.062223874983264"/>
    <n v="8.9744857200630914"/>
    <m/>
    <n v="132"/>
    <x v="1"/>
    <n v="14.7"/>
    <m/>
    <n v="15.4"/>
    <m/>
    <n v="6"/>
    <n v="2.5"/>
    <m/>
    <m/>
    <s v="L"/>
    <m/>
    <m/>
    <m/>
    <x v="256"/>
    <n v="4.9019722472303764"/>
  </r>
  <r>
    <n v="10"/>
    <n v="-20"/>
    <n v="14.058492422108468"/>
    <n v="-19.417430088437879"/>
    <m/>
    <n v="576"/>
    <x v="0"/>
    <n v="14.7"/>
    <m/>
    <n v="18"/>
    <m/>
    <n v="4.9000000000000004"/>
    <n v="0.1"/>
    <m/>
    <m/>
    <s v="L"/>
    <m/>
    <m/>
    <m/>
    <x v="256"/>
    <n v="5.7295779513082321"/>
  </r>
  <r>
    <n v="0"/>
    <n v="0"/>
    <n v="4.5347512748652568"/>
    <n v="8.6069255682437298"/>
    <m/>
    <n v="2"/>
    <x v="2"/>
    <n v="14.8"/>
    <m/>
    <n v="15.6"/>
    <m/>
    <n v="3.8"/>
    <n v="2.2000000000000002"/>
    <m/>
    <m/>
    <s v="L"/>
    <m/>
    <m/>
    <m/>
    <x v="257"/>
    <n v="4.9656342244671343"/>
  </r>
  <r>
    <n v="30"/>
    <n v="10"/>
    <n v="37.160972634049095"/>
    <n v="18.582089236094202"/>
    <m/>
    <n v="213"/>
    <x v="0"/>
    <n v="14.8"/>
    <m/>
    <n v="18.2"/>
    <m/>
    <n v="5.0999999999999996"/>
    <n v="0.1"/>
    <m/>
    <m/>
    <s v="L"/>
    <m/>
    <m/>
    <m/>
    <x v="257"/>
    <n v="5.79323992854499"/>
  </r>
  <r>
    <n v="40"/>
    <n v="-10"/>
    <n v="48.209032601146284"/>
    <n v="-3.3401400833263204"/>
    <m/>
    <n v="466"/>
    <x v="2"/>
    <n v="14.8"/>
    <m/>
    <n v="15.7"/>
    <m/>
    <n v="4.0999999999999996"/>
    <n v="1.6"/>
    <m/>
    <m/>
    <s v="L"/>
    <m/>
    <m/>
    <m/>
    <x v="257"/>
    <n v="4.9974652130855137"/>
  </r>
  <r>
    <n v="40"/>
    <n v="-10"/>
    <n v="48.343280774778137"/>
    <n v="-3.1961353864910453"/>
    <m/>
    <n v="467"/>
    <x v="2"/>
    <n v="15.2"/>
    <m/>
    <n v="15.9"/>
    <m/>
    <n v="5"/>
    <n v="2.5"/>
    <m/>
    <m/>
    <s v="L"/>
    <m/>
    <m/>
    <m/>
    <x v="258"/>
    <n v="5.0611271903222717"/>
  </r>
  <r>
    <n v="20"/>
    <n v="40"/>
    <n v="26.58482899694452"/>
    <n v="47.338911845839178"/>
    <m/>
    <n v="193"/>
    <x v="2"/>
    <n v="15.3"/>
    <m/>
    <n v="13.8"/>
    <m/>
    <n v="4.4000000000000004"/>
    <n v="2.6"/>
    <m/>
    <m/>
    <s v="L"/>
    <m/>
    <m/>
    <m/>
    <x v="259"/>
    <n v="4.3926764293363121"/>
  </r>
  <r>
    <n v="20"/>
    <n v="10"/>
    <n v="24.319680469471667"/>
    <n v="11.740547714722046"/>
    <m/>
    <n v="144"/>
    <x v="2"/>
    <n v="15.4"/>
    <m/>
    <n v="16.8"/>
    <m/>
    <n v="3.3"/>
    <n v="1.5"/>
    <m/>
    <m/>
    <s v="L"/>
    <m/>
    <m/>
    <m/>
    <x v="260"/>
    <n v="5.3476060878876837"/>
  </r>
  <r>
    <n v="30"/>
    <n v="10"/>
    <n v="31.891796831328939"/>
    <n v="17.247418530002466"/>
    <m/>
    <n v="225"/>
    <x v="2"/>
    <n v="15.4"/>
    <m/>
    <n v="16.3"/>
    <m/>
    <n v="4.3"/>
    <n v="2"/>
    <m/>
    <m/>
    <s v="L"/>
    <m/>
    <m/>
    <m/>
    <x v="260"/>
    <n v="5.1884511447957884"/>
  </r>
  <r>
    <n v="40"/>
    <n v="0"/>
    <n v="40.677648474707539"/>
    <n v="5.5715473870970973"/>
    <m/>
    <n v="268"/>
    <x v="2"/>
    <n v="15.4"/>
    <m/>
    <n v="15.9"/>
    <m/>
    <n v="4.9000000000000004"/>
    <n v="1.7"/>
    <m/>
    <m/>
    <s v="L"/>
    <m/>
    <m/>
    <m/>
    <x v="260"/>
    <n v="5.0611271903222717"/>
  </r>
  <r>
    <n v="40"/>
    <n v="30"/>
    <n v="48.806686210966056"/>
    <n v="30.211197469555618"/>
    <m/>
    <n v="289"/>
    <x v="3"/>
    <n v="15.4"/>
    <m/>
    <s v="dead"/>
    <m/>
    <n v="3"/>
    <m/>
    <m/>
    <m/>
    <s v="D"/>
    <m/>
    <s v="broken"/>
    <m/>
    <x v="260"/>
    <s v="dead"/>
  </r>
  <r>
    <n v="30"/>
    <n v="-20"/>
    <n v="31.979589225403007"/>
    <n v="-31.226808384339172"/>
    <m/>
    <n v="712"/>
    <x v="0"/>
    <n v="15.4"/>
    <m/>
    <n v="18.7"/>
    <m/>
    <n v="4.9000000000000004"/>
    <n v="0.7"/>
    <m/>
    <m/>
    <s v="L"/>
    <m/>
    <m/>
    <m/>
    <x v="260"/>
    <n v="5.9523948716368853"/>
  </r>
  <r>
    <n v="40"/>
    <n v="-40"/>
    <n v="42.983024702777627"/>
    <n v="-35.691965224998938"/>
    <m/>
    <n v="705"/>
    <x v="4"/>
    <n v="15.6"/>
    <m/>
    <s v="dead"/>
    <m/>
    <m/>
    <m/>
    <m/>
    <m/>
    <s v="L"/>
    <m/>
    <s v="L=3.3"/>
    <m/>
    <x v="261"/>
    <s v="dead"/>
  </r>
  <r>
    <n v="20"/>
    <n v="10"/>
    <n v="23.822225534738159"/>
    <n v="11.163807234165036"/>
    <m/>
    <n v="143"/>
    <x v="2"/>
    <n v="15.8"/>
    <m/>
    <n v="17"/>
    <m/>
    <n v="5.5"/>
    <n v="1.6"/>
    <m/>
    <m/>
    <s v="L"/>
    <m/>
    <m/>
    <m/>
    <x v="262"/>
    <n v="5.4112680651244416"/>
  </r>
  <r>
    <n v="20"/>
    <n v="-10"/>
    <n v="21.622350838410512"/>
    <n v="-9.3261221968864305"/>
    <m/>
    <n v="413"/>
    <x v="2"/>
    <n v="15.8"/>
    <m/>
    <n v="16.2"/>
    <m/>
    <n v="5.7"/>
    <n v="1.5"/>
    <m/>
    <m/>
    <s v="L"/>
    <m/>
    <m/>
    <m/>
    <x v="262"/>
    <n v="5.156620156177409"/>
  </r>
  <r>
    <n v="40"/>
    <n v="-30"/>
    <n v="42.086746232082206"/>
    <n v="-25.305710651858675"/>
    <m/>
    <n v="676"/>
    <x v="2"/>
    <n v="15.8"/>
    <m/>
    <n v="17.2"/>
    <m/>
    <n v="5.8"/>
    <n v="2.5"/>
    <m/>
    <m/>
    <s v="L"/>
    <m/>
    <m/>
    <s v="NewNo 780"/>
    <x v="262"/>
    <n v="5.4749300423611995"/>
  </r>
  <r>
    <n v="0"/>
    <n v="30"/>
    <n v="2.3642066204640333"/>
    <n v="35.450159450819726"/>
    <m/>
    <n v="52"/>
    <x v="0"/>
    <n v="16"/>
    <m/>
    <s v="dead"/>
    <m/>
    <n v="5.0999999999999996"/>
    <n v="0.3"/>
    <m/>
    <m/>
    <s v="L"/>
    <m/>
    <m/>
    <m/>
    <x v="263"/>
    <s v="dead"/>
  </r>
  <r>
    <n v="40"/>
    <n v="-10"/>
    <n v="48.415466708767497"/>
    <n v="-2.6060994319050623"/>
    <m/>
    <n v="464"/>
    <x v="2"/>
    <n v="16"/>
    <m/>
    <n v="17.600000000000001"/>
    <m/>
    <n v="5.0999999999999996"/>
    <n v="1"/>
    <m/>
    <m/>
    <s v="L"/>
    <m/>
    <m/>
    <m/>
    <x v="263"/>
    <n v="5.6022539968347163"/>
  </r>
  <r>
    <n v="0"/>
    <n v="40"/>
    <n v="7.3835974736291741"/>
    <n v="42.457339298042783"/>
    <m/>
    <n v="65"/>
    <x v="0"/>
    <n v="16.100000000000001"/>
    <m/>
    <s v="dead"/>
    <m/>
    <n v="5.0999999999999996"/>
    <n v="0.4"/>
    <m/>
    <m/>
    <s v="L"/>
    <m/>
    <m/>
    <m/>
    <x v="264"/>
    <s v="dead"/>
  </r>
  <r>
    <n v="0"/>
    <n v="0"/>
    <n v="4.4670921285436664"/>
    <n v="9.0144389993630316"/>
    <m/>
    <n v="9"/>
    <x v="2"/>
    <n v="16.2"/>
    <m/>
    <n v="17"/>
    <m/>
    <n v="6"/>
    <n v="2.2000000000000002"/>
    <m/>
    <m/>
    <s v="L"/>
    <m/>
    <s v="above node"/>
    <m/>
    <x v="265"/>
    <n v="5.4112680651244416"/>
  </r>
  <r>
    <n v="20"/>
    <n v="-30"/>
    <n v="24.934351111620828"/>
    <n v="-25.745850793369321"/>
    <m/>
    <n v="641"/>
    <x v="2"/>
    <n v="16.2"/>
    <m/>
    <n v="16.3"/>
    <m/>
    <n v="6.4"/>
    <n v="2"/>
    <m/>
    <m/>
    <s v="L"/>
    <m/>
    <m/>
    <m/>
    <x v="265"/>
    <n v="5.1884511447957884"/>
  </r>
  <r>
    <n v="0"/>
    <n v="40"/>
    <n v="3.513090536807443"/>
    <n v="47.808975077844821"/>
    <m/>
    <n v="69"/>
    <x v="0"/>
    <n v="16.3"/>
    <m/>
    <n v="19.600000000000001"/>
    <m/>
    <n v="5.4"/>
    <n v="0.4"/>
    <m/>
    <m/>
    <s v="L"/>
    <m/>
    <m/>
    <m/>
    <x v="266"/>
    <n v="6.2388737692022982"/>
  </r>
  <r>
    <n v="40"/>
    <n v="20"/>
    <n v="41.946733044397213"/>
    <n v="29.300277929498005"/>
    <m/>
    <n v="304"/>
    <x v="2"/>
    <n v="16.3"/>
    <m/>
    <n v="17.5"/>
    <m/>
    <n v="6.6"/>
    <n v="2.5"/>
    <m/>
    <m/>
    <s v="L"/>
    <m/>
    <m/>
    <m/>
    <x v="266"/>
    <n v="5.5704230082163368"/>
  </r>
  <r>
    <n v="20"/>
    <n v="-20"/>
    <n v="27.802826060536908"/>
    <n v="-18.540553137267075"/>
    <m/>
    <n v="560"/>
    <x v="2"/>
    <n v="16.399999999999999"/>
    <m/>
    <n v="17.8"/>
    <m/>
    <n v="6"/>
    <n v="1.4"/>
    <m/>
    <m/>
    <s v="L"/>
    <m/>
    <m/>
    <m/>
    <x v="267"/>
    <n v="5.6659159740714742"/>
  </r>
  <r>
    <n v="40"/>
    <n v="-20"/>
    <n v="48.78592455891193"/>
    <n v="-16.38334783989626"/>
    <m/>
    <n v="505"/>
    <x v="2"/>
    <n v="16.5"/>
    <m/>
    <n v="17.5"/>
    <m/>
    <n v="5.6"/>
    <n v="2.2999999999999998"/>
    <m/>
    <m/>
    <s v="L"/>
    <m/>
    <m/>
    <m/>
    <x v="268"/>
    <n v="5.5704230082163368"/>
  </r>
  <r>
    <n v="20"/>
    <n v="-30"/>
    <n v="28.221146721837993"/>
    <n v="-27.58417965338192"/>
    <m/>
    <n v="657"/>
    <x v="0"/>
    <n v="16.5"/>
    <m/>
    <n v="21.7"/>
    <m/>
    <n v="6.5"/>
    <n v="0.7"/>
    <m/>
    <m/>
    <s v="L"/>
    <m/>
    <m/>
    <s v="New No770"/>
    <x v="268"/>
    <n v="6.9073245301882578"/>
  </r>
  <r>
    <n v="40"/>
    <n v="0"/>
    <n v="40.777857411188769"/>
    <n v="5.4966859039304499"/>
    <m/>
    <n v="269"/>
    <x v="2"/>
    <n v="16.7"/>
    <m/>
    <n v="17.399999999999999"/>
    <m/>
    <n v="5.0999999999999996"/>
    <n v="1.9"/>
    <m/>
    <m/>
    <s v="L"/>
    <m/>
    <m/>
    <m/>
    <x v="269"/>
    <n v="5.5385920195979574"/>
  </r>
  <r>
    <n v="30"/>
    <n v="-10"/>
    <n v="33.65070084480169"/>
    <n v="-1.9024386240178419"/>
    <m/>
    <n v="427"/>
    <x v="2"/>
    <n v="16.8"/>
    <m/>
    <n v="17.8"/>
    <m/>
    <n v="5.7"/>
    <n v="1.8"/>
    <m/>
    <m/>
    <s v="L"/>
    <m/>
    <m/>
    <m/>
    <x v="270"/>
    <n v="5.6659159740714742"/>
  </r>
  <r>
    <n v="40"/>
    <n v="30"/>
    <n v="48.274236971404648"/>
    <n v="30.59705673902403"/>
    <m/>
    <n v="338"/>
    <x v="3"/>
    <n v="17.2"/>
    <m/>
    <s v="dead"/>
    <m/>
    <n v="3.4"/>
    <n v="1.8"/>
    <m/>
    <m/>
    <s v="L"/>
    <m/>
    <s v="dead Ht=4.5"/>
    <m/>
    <x v="271"/>
    <s v="dead"/>
  </r>
  <r>
    <n v="40"/>
    <n v="-10"/>
    <n v="47.207444046148773"/>
    <n v="-0.39246814470738367"/>
    <m/>
    <n v="456"/>
    <x v="0"/>
    <n v="17.2"/>
    <m/>
    <s v="dead"/>
    <m/>
    <n v="5.01"/>
    <m/>
    <m/>
    <m/>
    <s v="D"/>
    <m/>
    <m/>
    <m/>
    <x v="271"/>
    <s v="dead"/>
  </r>
  <r>
    <n v="20"/>
    <n v="20"/>
    <n v="26.023388160580492"/>
    <n v="28.859083961886746"/>
    <m/>
    <n v="168"/>
    <x v="0"/>
    <n v="17.3"/>
    <m/>
    <s v="dead"/>
    <m/>
    <n v="3.7"/>
    <m/>
    <m/>
    <m/>
    <s v="D"/>
    <m/>
    <s v="broken"/>
    <m/>
    <x v="272"/>
    <s v="dead"/>
  </r>
  <r>
    <n v="30"/>
    <n v="10"/>
    <n v="32.410464545492722"/>
    <n v="17.503890892824881"/>
    <m/>
    <n v="220"/>
    <x v="2"/>
    <n v="17.3"/>
    <m/>
    <n v="18.7"/>
    <m/>
    <n v="5.6"/>
    <n v="2.2999999999999998"/>
    <m/>
    <m/>
    <s v="L"/>
    <m/>
    <m/>
    <m/>
    <x v="272"/>
    <n v="5.9523948716368853"/>
  </r>
  <r>
    <n v="30"/>
    <n v="10"/>
    <n v="39.735868630954577"/>
    <n v="10.432588542307032"/>
    <m/>
    <n v="240"/>
    <x v="0"/>
    <n v="17.399999999999999"/>
    <m/>
    <s v="dead"/>
    <m/>
    <n v="5.0999999999999996"/>
    <n v="0.3"/>
    <m/>
    <m/>
    <s v="L"/>
    <m/>
    <m/>
    <m/>
    <x v="273"/>
    <s v="dead"/>
  </r>
  <r>
    <n v="40"/>
    <n v="-10"/>
    <n v="46.774147756904384"/>
    <n v="-3.4593030086586767"/>
    <m/>
    <n v="457"/>
    <x v="2"/>
    <n v="17.399999999999999"/>
    <m/>
    <n v="17.7"/>
    <m/>
    <n v="4.2"/>
    <n v="2.1"/>
    <m/>
    <m/>
    <s v="L"/>
    <m/>
    <m/>
    <s v="New No744　white red 傾いている"/>
    <x v="273"/>
    <n v="5.6340849854530948"/>
  </r>
  <r>
    <n v="40"/>
    <n v="-50"/>
    <n v="44.836810606651362"/>
    <n v="-49.251965367173881"/>
    <m/>
    <n v="825"/>
    <x v="0"/>
    <n v="17.5"/>
    <m/>
    <n v="17.899999999999999"/>
    <m/>
    <n v="4.4000000000000004"/>
    <n v="1.6"/>
    <m/>
    <m/>
    <s v="L"/>
    <m/>
    <m/>
    <m/>
    <x v="274"/>
    <n v="5.6977469626898527"/>
  </r>
  <r>
    <n v="30"/>
    <n v="-20"/>
    <n v="30.138860708753782"/>
    <n v="-12.93973330059718"/>
    <m/>
    <n v="533"/>
    <x v="2"/>
    <n v="17.600000000000001"/>
    <m/>
    <n v="17.899999999999999"/>
    <m/>
    <n v="5.2"/>
    <n v="2.7"/>
    <m/>
    <m/>
    <s v="L"/>
    <m/>
    <m/>
    <s v="同株　つけ忘れ　No752　DBH=9.2mm　H=1.1ｍ　L=2.1"/>
    <x v="275"/>
    <n v="5.6977469626898527"/>
  </r>
  <r>
    <n v="0"/>
    <n v="40"/>
    <n v="6.7995243082631154"/>
    <n v="42.379869731107441"/>
    <m/>
    <n v="66"/>
    <x v="0"/>
    <n v="17.7"/>
    <m/>
    <s v="dead"/>
    <m/>
    <n v="5.5"/>
    <n v="1"/>
    <m/>
    <m/>
    <s v="L"/>
    <m/>
    <m/>
    <m/>
    <x v="276"/>
    <s v="dead"/>
  </r>
  <r>
    <n v="0"/>
    <n v="30"/>
    <n v="8.9931143600748431"/>
    <n v="32.377960013936693"/>
    <m/>
    <n v="84"/>
    <x v="0"/>
    <n v="17.7"/>
    <m/>
    <s v="dead"/>
    <m/>
    <n v="5.0999999999999996"/>
    <n v="0.3"/>
    <m/>
    <m/>
    <s v="L"/>
    <m/>
    <m/>
    <m/>
    <x v="276"/>
    <s v="dead"/>
  </r>
  <r>
    <n v="10"/>
    <n v="-30"/>
    <n v="10.053751892067991"/>
    <n v="-22.868215606397772"/>
    <m/>
    <n v="615"/>
    <x v="0"/>
    <n v="17.7"/>
    <m/>
    <s v="dead"/>
    <m/>
    <n v="5.6"/>
    <n v="1"/>
    <m/>
    <m/>
    <s v="L"/>
    <m/>
    <m/>
    <m/>
    <x v="276"/>
    <s v="dead"/>
  </r>
  <r>
    <n v="40"/>
    <n v="0"/>
    <n v="41.100623071933988"/>
    <n v="5.1944273126372771"/>
    <m/>
    <n v="267"/>
    <x v="2"/>
    <n v="17.8"/>
    <m/>
    <n v="20"/>
    <m/>
    <n v="5.0999999999999996"/>
    <n v="1.9"/>
    <m/>
    <m/>
    <s v="L"/>
    <m/>
    <m/>
    <m/>
    <x v="277"/>
    <n v="6.366197723675814"/>
  </r>
  <r>
    <n v="40"/>
    <n v="40"/>
    <n v="46.208042528020819"/>
    <n v="45.883966224469788"/>
    <m/>
    <n v="353"/>
    <x v="0"/>
    <n v="17.899999999999999"/>
    <m/>
    <n v="22.3"/>
    <m/>
    <n v="6.8"/>
    <n v="0.8"/>
    <m/>
    <m/>
    <s v="L"/>
    <m/>
    <m/>
    <m/>
    <x v="278"/>
    <n v="7.0983104618985324"/>
  </r>
  <r>
    <n v="30"/>
    <n v="10"/>
    <n v="31.896743692831674"/>
    <n v="17.510168004924175"/>
    <m/>
    <n v="1001"/>
    <x v="2"/>
    <n v="17.899999999999999"/>
    <m/>
    <n v="18.2"/>
    <m/>
    <n v="6"/>
    <n v="2.1"/>
    <m/>
    <m/>
    <s v="L"/>
    <m/>
    <s v="fall down,224 same clump"/>
    <s v="New No598 white red"/>
    <x v="278"/>
    <n v="5.79323992854499"/>
  </r>
  <r>
    <n v="40"/>
    <n v="-10"/>
    <n v="48.186840600406832"/>
    <n v="-2.4773681582814722"/>
    <m/>
    <n v="463"/>
    <x v="2"/>
    <n v="17.899999999999999"/>
    <m/>
    <n v="18.8"/>
    <m/>
    <n v="5.3"/>
    <n v="1.9"/>
    <m/>
    <m/>
    <s v="L"/>
    <m/>
    <m/>
    <m/>
    <x v="278"/>
    <n v="5.9842258602552647"/>
  </r>
  <r>
    <n v="20"/>
    <n v="40"/>
    <n v="26.109179631508535"/>
    <n v="46.690405386070509"/>
    <m/>
    <n v="188"/>
    <x v="2"/>
    <n v="18"/>
    <m/>
    <n v="19"/>
    <m/>
    <n v="6.7"/>
    <n v="2"/>
    <m/>
    <m/>
    <s v="L"/>
    <m/>
    <m/>
    <m/>
    <x v="279"/>
    <n v="6.0478878374920226"/>
  </r>
  <r>
    <n v="40"/>
    <n v="40"/>
    <n v="49.59543713340743"/>
    <n v="42.182825894791982"/>
    <m/>
    <n v="349"/>
    <x v="2"/>
    <n v="18"/>
    <m/>
    <n v="19"/>
    <m/>
    <n v="6.8"/>
    <n v="2.5"/>
    <m/>
    <m/>
    <s v="L"/>
    <m/>
    <m/>
    <m/>
    <x v="279"/>
    <n v="6.0478878374920226"/>
  </r>
  <r>
    <n v="40"/>
    <n v="0"/>
    <n v="41.045795804813331"/>
    <n v="5.0799175683089572"/>
    <m/>
    <n v="266"/>
    <x v="2"/>
    <n v="18.100000000000001"/>
    <m/>
    <n v="19.7"/>
    <m/>
    <n v="4.3"/>
    <n v="1.6"/>
    <m/>
    <m/>
    <s v="L"/>
    <m/>
    <m/>
    <m/>
    <x v="280"/>
    <n v="6.2707047578206758"/>
  </r>
  <r>
    <n v="50"/>
    <n v="-30"/>
    <n v="50.277366863519219"/>
    <n v="-27.783751864123932"/>
    <m/>
    <n v="703"/>
    <x v="2"/>
    <n v="18.2"/>
    <m/>
    <n v="19.2"/>
    <m/>
    <n v="6.6"/>
    <n v="3.4"/>
    <m/>
    <m/>
    <s v="L"/>
    <m/>
    <m/>
    <m/>
    <x v="281"/>
    <n v="6.1115498147287806"/>
  </r>
  <r>
    <n v="0"/>
    <n v="20"/>
    <n v="8.8119505183786533"/>
    <n v="22.148121984815155"/>
    <m/>
    <n v="34"/>
    <x v="2"/>
    <n v="18.399999999999999"/>
    <m/>
    <n v="21"/>
    <m/>
    <n v="4.3"/>
    <n v="0.9"/>
    <m/>
    <m/>
    <s v="L"/>
    <m/>
    <m/>
    <m/>
    <x v="282"/>
    <n v="6.6845076098596046"/>
  </r>
  <r>
    <n v="30"/>
    <n v="10"/>
    <n v="32.249368886906424"/>
    <n v="17.100131104581216"/>
    <m/>
    <n v="229"/>
    <x v="2"/>
    <n v="18.399999999999999"/>
    <m/>
    <n v="20.2"/>
    <m/>
    <n v="5.6"/>
    <n v="1.5"/>
    <m/>
    <m/>
    <s v="L"/>
    <m/>
    <m/>
    <m/>
    <x v="282"/>
    <n v="6.429859700912572"/>
  </r>
  <r>
    <n v="20"/>
    <n v="10"/>
    <n v="24.256321189866224"/>
    <n v="10.97345114030658"/>
    <m/>
    <n v="136"/>
    <x v="2"/>
    <n v="18.5"/>
    <m/>
    <n v="18.100000000000001"/>
    <m/>
    <n v="6.6"/>
    <n v="2.6"/>
    <m/>
    <m/>
    <s v="L"/>
    <m/>
    <m/>
    <m/>
    <x v="283"/>
    <n v="5.7614089399266115"/>
  </r>
  <r>
    <n v="10"/>
    <n v="-10"/>
    <n v="12.525669415854443"/>
    <n v="-2.7854252820381808"/>
    <m/>
    <n v="407"/>
    <x v="0"/>
    <n v="18.7"/>
    <m/>
    <s v="dead"/>
    <m/>
    <n v="5.6"/>
    <m/>
    <m/>
    <m/>
    <s v="D"/>
    <m/>
    <m/>
    <m/>
    <x v="284"/>
    <s v="dead"/>
  </r>
  <r>
    <n v="20"/>
    <n v="10"/>
    <n v="21.951670549920319"/>
    <n v="12.184686375306248"/>
    <m/>
    <n v="149"/>
    <x v="2"/>
    <n v="18.8"/>
    <m/>
    <n v="18.399999999999999"/>
    <m/>
    <n v="5.6"/>
    <n v="2.2000000000000002"/>
    <m/>
    <m/>
    <s v="L"/>
    <m/>
    <m/>
    <m/>
    <x v="285"/>
    <n v="5.856901905781748"/>
  </r>
  <r>
    <n v="30"/>
    <n v="40"/>
    <n v="30.571213760692721"/>
    <n v="48.901788563302368"/>
    <m/>
    <n v="199"/>
    <x v="2"/>
    <n v="18.8"/>
    <m/>
    <n v="18.8"/>
    <m/>
    <n v="6.9"/>
    <n v="2.5"/>
    <m/>
    <m/>
    <s v="L"/>
    <m/>
    <m/>
    <m/>
    <x v="285"/>
    <n v="5.9842258602552647"/>
  </r>
  <r>
    <n v="30"/>
    <n v="20"/>
    <n v="30.124602273945477"/>
    <n v="24.75836886688365"/>
    <m/>
    <n v="207"/>
    <x v="0"/>
    <n v="18.899999999999999"/>
    <m/>
    <s v="dead"/>
    <m/>
    <n v="6.3"/>
    <n v="0.3"/>
    <m/>
    <m/>
    <s v="L"/>
    <m/>
    <m/>
    <m/>
    <x v="286"/>
    <s v="dead"/>
  </r>
  <r>
    <n v="40"/>
    <n v="-10"/>
    <n v="47.831262169247523"/>
    <n v="-2.5663546562123978"/>
    <m/>
    <n v="458"/>
    <x v="2"/>
    <n v="18.899999999999999"/>
    <m/>
    <n v="19.899999999999999"/>
    <m/>
    <n v="5.4"/>
    <n v="1.9"/>
    <m/>
    <m/>
    <s v="L"/>
    <m/>
    <m/>
    <m/>
    <x v="286"/>
    <n v="6.3343667350574338"/>
  </r>
  <r>
    <n v="20"/>
    <n v="30"/>
    <n v="20.851731153255873"/>
    <n v="33.616571920780075"/>
    <m/>
    <n v="177"/>
    <x v="2"/>
    <n v="19.2"/>
    <m/>
    <n v="21.6"/>
    <m/>
    <n v="5.6"/>
    <n v="2.7"/>
    <m/>
    <m/>
    <s v="L"/>
    <m/>
    <m/>
    <m/>
    <x v="287"/>
    <n v="6.8754935415698792"/>
  </r>
  <r>
    <n v="20"/>
    <n v="-20"/>
    <n v="26.95918370245057"/>
    <n v="-13.567563635531844"/>
    <m/>
    <n v="552"/>
    <x v="2"/>
    <n v="19.3"/>
    <m/>
    <n v="20.7"/>
    <m/>
    <n v="6.6"/>
    <n v="3.5"/>
    <m/>
    <m/>
    <s v="L"/>
    <m/>
    <s v="Ddead H=6.9"/>
    <m/>
    <x v="288"/>
    <n v="6.5890146440044672"/>
  </r>
  <r>
    <n v="40"/>
    <n v="-30"/>
    <n v="42.713143904854235"/>
    <n v="-25.766937840350597"/>
    <m/>
    <n v="681"/>
    <x v="2"/>
    <n v="19.399999999999999"/>
    <m/>
    <n v="20.3"/>
    <m/>
    <n v="5.0999999999999996"/>
    <n v="1.9"/>
    <m/>
    <m/>
    <s v="L"/>
    <m/>
    <m/>
    <m/>
    <x v="289"/>
    <n v="6.4616906895309514"/>
  </r>
  <r>
    <n v="40"/>
    <n v="-30"/>
    <n v="42.241277722406934"/>
    <n v="-25.786425470262586"/>
    <m/>
    <n v="687"/>
    <x v="2"/>
    <n v="19.399999999999999"/>
    <m/>
    <s v="dead"/>
    <m/>
    <n v="2.8"/>
    <m/>
    <m/>
    <m/>
    <s v="D"/>
    <m/>
    <m/>
    <m/>
    <x v="289"/>
    <s v="dead"/>
  </r>
  <r>
    <n v="40"/>
    <n v="-30"/>
    <n v="41.972325866754147"/>
    <n v="-25.582787237594637"/>
    <m/>
    <n v="691"/>
    <x v="2"/>
    <n v="19.399999999999999"/>
    <m/>
    <s v="dead"/>
    <m/>
    <n v="5"/>
    <n v="3.4"/>
    <m/>
    <m/>
    <s v="L"/>
    <m/>
    <m/>
    <m/>
    <x v="289"/>
    <s v="dead"/>
  </r>
  <r>
    <n v="40"/>
    <n v="-30"/>
    <n v="48.14767037396004"/>
    <n v="-23.593335497569491"/>
    <m/>
    <n v="699"/>
    <x v="2"/>
    <n v="19.5"/>
    <m/>
    <n v="20.5"/>
    <m/>
    <n v="6.2"/>
    <n v="2.5"/>
    <m/>
    <m/>
    <s v="L"/>
    <m/>
    <m/>
    <m/>
    <x v="290"/>
    <n v="6.5253526667677093"/>
  </r>
  <r>
    <n v="30"/>
    <n v="-30"/>
    <n v="31.465226941117038"/>
    <n v="-21.375939682916666"/>
    <m/>
    <n v="660"/>
    <x v="1"/>
    <n v="19.7"/>
    <m/>
    <n v="21"/>
    <m/>
    <n v="7.1"/>
    <n v="1"/>
    <m/>
    <m/>
    <s v="L"/>
    <m/>
    <m/>
    <s v="NewNo 771"/>
    <x v="291"/>
    <n v="6.6845076098596046"/>
  </r>
  <r>
    <n v="10"/>
    <n v="40"/>
    <n v="10.849723576956984"/>
    <n v="47.732583098932928"/>
    <m/>
    <n v="73"/>
    <x v="0"/>
    <n v="19.899999999999999"/>
    <m/>
    <s v="dead"/>
    <m/>
    <n v="5.4"/>
    <m/>
    <m/>
    <m/>
    <s v="D"/>
    <m/>
    <m/>
    <m/>
    <x v="292"/>
    <s v="dead"/>
  </r>
  <r>
    <n v="40"/>
    <n v="20"/>
    <n v="42.049845489303813"/>
    <n v="29.65374661382328"/>
    <m/>
    <n v="310"/>
    <x v="2"/>
    <m/>
    <n v="6.35"/>
    <n v="23.3"/>
    <m/>
    <n v="5.9"/>
    <n v="2"/>
    <m/>
    <m/>
    <s v="L"/>
    <m/>
    <m/>
    <m/>
    <x v="293"/>
    <n v="7.416620348082323"/>
  </r>
  <r>
    <n v="20"/>
    <n v="-30"/>
    <n v="24.491891167551483"/>
    <n v="-26.074597689551354"/>
    <m/>
    <n v="643"/>
    <x v="2"/>
    <n v="20.100000000000001"/>
    <m/>
    <n v="22"/>
    <m/>
    <n v="6.4"/>
    <n v="3.6"/>
    <m/>
    <m/>
    <s v="L"/>
    <m/>
    <m/>
    <m/>
    <x v="294"/>
    <n v="7.0028174960433951"/>
  </r>
  <r>
    <n v="20"/>
    <n v="40"/>
    <n v="26.363027006017866"/>
    <n v="46.658527413827123"/>
    <m/>
    <n v="187"/>
    <x v="2"/>
    <n v="20.3"/>
    <m/>
    <n v="22"/>
    <m/>
    <n v="6.6"/>
    <n v="2.1"/>
    <m/>
    <m/>
    <s v="L"/>
    <m/>
    <m/>
    <m/>
    <x v="295"/>
    <n v="7.0028174960433951"/>
  </r>
  <r>
    <n v="40"/>
    <n v="-30"/>
    <n v="42.059526159725067"/>
    <n v="-25.726284030932"/>
    <m/>
    <n v="688"/>
    <x v="2"/>
    <n v="20.3"/>
    <m/>
    <n v="19.8"/>
    <m/>
    <n v="5.0999999999999996"/>
    <n v="1.8"/>
    <m/>
    <m/>
    <s v="L"/>
    <m/>
    <m/>
    <m/>
    <x v="295"/>
    <n v="6.3025357464390561"/>
  </r>
  <r>
    <n v="10"/>
    <n v="40"/>
    <n v="14.923433426844973"/>
    <n v="45.147948312514899"/>
    <m/>
    <n v="77"/>
    <x v="0"/>
    <n v="20.5"/>
    <m/>
    <s v="dead"/>
    <m/>
    <n v="5.0999999999999996"/>
    <m/>
    <m/>
    <m/>
    <s v="D"/>
    <m/>
    <m/>
    <m/>
    <x v="296"/>
    <s v="dead"/>
  </r>
  <r>
    <n v="20"/>
    <n v="10"/>
    <n v="21.916912528638999"/>
    <n v="12.382501619525305"/>
    <m/>
    <n v="152"/>
    <x v="2"/>
    <n v="20.5"/>
    <m/>
    <n v="21.2"/>
    <m/>
    <n v="6.4"/>
    <n v="2"/>
    <m/>
    <m/>
    <s v="L"/>
    <m/>
    <m/>
    <m/>
    <x v="296"/>
    <n v="6.7481695870963625"/>
  </r>
  <r>
    <n v="40"/>
    <n v="-10"/>
    <n v="43.452236059635894"/>
    <n v="-9.6493346487751737"/>
    <m/>
    <n v="450"/>
    <x v="2"/>
    <n v="20.5"/>
    <m/>
    <n v="23.2"/>
    <m/>
    <n v="6.2"/>
    <n v="2.4"/>
    <m/>
    <m/>
    <s v="L"/>
    <m/>
    <m/>
    <m/>
    <x v="296"/>
    <n v="7.3847893594639435"/>
  </r>
  <r>
    <n v="20"/>
    <n v="-20"/>
    <n v="27.40438838957202"/>
    <n v="-13.093778944794197"/>
    <m/>
    <n v="541"/>
    <x v="2"/>
    <n v="20.6"/>
    <m/>
    <n v="21.1"/>
    <m/>
    <n v="5.9"/>
    <n v="2.1"/>
    <m/>
    <m/>
    <s v="L"/>
    <m/>
    <m/>
    <m/>
    <x v="297"/>
    <n v="6.716338598477984"/>
  </r>
  <r>
    <n v="30"/>
    <n v="10"/>
    <n v="31.641290490894413"/>
    <n v="17.868740859374537"/>
    <m/>
    <n v="223"/>
    <x v="2"/>
    <n v="20.7"/>
    <m/>
    <n v="21.5"/>
    <m/>
    <n v="5.8"/>
    <n v="1.9"/>
    <m/>
    <m/>
    <s v="L"/>
    <m/>
    <m/>
    <m/>
    <x v="298"/>
    <n v="6.8436625529514998"/>
  </r>
  <r>
    <n v="30"/>
    <n v="20"/>
    <n v="35.189947767486714"/>
    <n v="23.205377071540834"/>
    <m/>
    <n v="212"/>
    <x v="2"/>
    <n v="21.3"/>
    <m/>
    <n v="24.2"/>
    <m/>
    <n v="6"/>
    <n v="1.4"/>
    <m/>
    <m/>
    <s v="L"/>
    <m/>
    <m/>
    <m/>
    <x v="299"/>
    <n v="7.7030992456477341"/>
  </r>
  <r>
    <n v="30"/>
    <n v="0"/>
    <n v="34.51042732397022"/>
    <n v="5.862593186959022"/>
    <m/>
    <n v="258"/>
    <x v="1"/>
    <n v="21.3"/>
    <m/>
    <n v="22.5"/>
    <m/>
    <n v="8.3000000000000007"/>
    <n v="2.7"/>
    <m/>
    <m/>
    <s v="L"/>
    <m/>
    <m/>
    <m/>
    <x v="299"/>
    <n v="7.1619724391352904"/>
  </r>
  <r>
    <n v="30"/>
    <n v="-10"/>
    <n v="32.773001461476369"/>
    <n v="-3.8493421389108899"/>
    <m/>
    <n v="425"/>
    <x v="2"/>
    <n v="21.4"/>
    <m/>
    <n v="22"/>
    <m/>
    <n v="6.9"/>
    <n v="1.9"/>
    <m/>
    <m/>
    <s v="L"/>
    <m/>
    <m/>
    <m/>
    <x v="300"/>
    <n v="7.0028174960433951"/>
  </r>
  <r>
    <n v="40"/>
    <n v="0"/>
    <n v="40.901352263515584"/>
    <n v="5.4891725706855805"/>
    <m/>
    <n v="270"/>
    <x v="2"/>
    <n v="21.6"/>
    <m/>
    <n v="23.2"/>
    <m/>
    <n v="5.8"/>
    <n v="2.1"/>
    <m/>
    <m/>
    <s v="L"/>
    <m/>
    <m/>
    <m/>
    <x v="301"/>
    <n v="7.3847893594639435"/>
  </r>
  <r>
    <n v="0"/>
    <n v="30"/>
    <n v="3.1837218938327423"/>
    <n v="39.876639929895845"/>
    <m/>
    <n v="54"/>
    <x v="0"/>
    <n v="21.8"/>
    <m/>
    <s v="dead"/>
    <m/>
    <n v="4.8"/>
    <m/>
    <m/>
    <m/>
    <s v="D"/>
    <m/>
    <m/>
    <s v="倒れ"/>
    <x v="302"/>
    <s v="dead"/>
  </r>
  <r>
    <n v="40"/>
    <n v="40"/>
    <n v="41.733447275510564"/>
    <n v="49.442807106641339"/>
    <m/>
    <n v="364"/>
    <x v="2"/>
    <n v="21.8"/>
    <m/>
    <n v="22.5"/>
    <m/>
    <n v="6.9"/>
    <n v="3.4"/>
    <m/>
    <m/>
    <s v="L"/>
    <m/>
    <m/>
    <m/>
    <x v="302"/>
    <n v="7.1619724391352904"/>
  </r>
  <r>
    <n v="30"/>
    <n v="-10"/>
    <n v="31.683064910093709"/>
    <n v="-7.3137031604296894"/>
    <m/>
    <n v="421"/>
    <x v="1"/>
    <n v="21.8"/>
    <m/>
    <n v="22"/>
    <m/>
    <n v="7.6"/>
    <n v="3.5"/>
    <m/>
    <m/>
    <s v="L"/>
    <m/>
    <m/>
    <m/>
    <x v="302"/>
    <n v="7.0028174960433951"/>
  </r>
  <r>
    <n v="30"/>
    <n v="-10"/>
    <n v="33.019969865726083"/>
    <n v="-9.3524821819996067"/>
    <m/>
    <n v="428"/>
    <x v="1"/>
    <n v="22.1"/>
    <m/>
    <n v="23.9"/>
    <m/>
    <n v="8.9"/>
    <n v="3"/>
    <m/>
    <m/>
    <s v="L"/>
    <m/>
    <m/>
    <m/>
    <x v="303"/>
    <n v="7.6076062797925967"/>
  </r>
  <r>
    <n v="20"/>
    <n v="-20"/>
    <n v="27.385008708664767"/>
    <n v="-13.380176729038922"/>
    <m/>
    <n v="547"/>
    <x v="2"/>
    <n v="22.1"/>
    <m/>
    <n v="22.1"/>
    <m/>
    <n v="7.1"/>
    <n v="3.4"/>
    <m/>
    <m/>
    <s v="L"/>
    <m/>
    <m/>
    <m/>
    <x v="303"/>
    <n v="7.0346484846617745"/>
  </r>
  <r>
    <n v="40"/>
    <n v="-30"/>
    <n v="42.268491342012091"/>
    <n v="-25.487961387525822"/>
    <m/>
    <n v="677"/>
    <x v="2"/>
    <n v="22.1"/>
    <m/>
    <s v="dead"/>
    <m/>
    <n v="5.2"/>
    <n v="2.2000000000000002"/>
    <m/>
    <m/>
    <s v="L"/>
    <m/>
    <m/>
    <m/>
    <x v="303"/>
    <s v="dead"/>
  </r>
  <r>
    <n v="40"/>
    <n v="-50"/>
    <n v="41.216872835862169"/>
    <n v="-41.229683089800275"/>
    <m/>
    <n v="823"/>
    <x v="0"/>
    <n v="22.1"/>
    <m/>
    <n v="25.6"/>
    <m/>
    <n v="7.3"/>
    <n v="1.4"/>
    <m/>
    <m/>
    <s v="L"/>
    <m/>
    <m/>
    <m/>
    <x v="303"/>
    <n v="8.1487330863050413"/>
  </r>
  <r>
    <n v="0"/>
    <n v="-20"/>
    <n v="7.8356849124416224"/>
    <n v="-16.883817396832569"/>
    <m/>
    <n v="581"/>
    <x v="2"/>
    <n v="22.3"/>
    <m/>
    <n v="24.3"/>
    <m/>
    <n v="6.3"/>
    <n v="1.5"/>
    <m/>
    <m/>
    <s v="L"/>
    <m/>
    <m/>
    <s v="New No756"/>
    <x v="304"/>
    <n v="7.7349302342661135"/>
  </r>
  <r>
    <n v="20"/>
    <n v="-30"/>
    <n v="29.747392448829025"/>
    <n v="-29.646693186014126"/>
    <m/>
    <n v="658"/>
    <x v="0"/>
    <n v="22.5"/>
    <m/>
    <s v="dead"/>
    <m/>
    <n v="7.1"/>
    <n v="0.7"/>
    <m/>
    <m/>
    <s v="L"/>
    <m/>
    <m/>
    <m/>
    <x v="305"/>
    <s v="dead"/>
  </r>
  <r>
    <n v="30"/>
    <n v="10"/>
    <n v="32.261169715280353"/>
    <n v="17.237390451276372"/>
    <m/>
    <n v="228"/>
    <x v="2"/>
    <n v="22.9"/>
    <m/>
    <n v="23.1"/>
    <m/>
    <n v="4.3"/>
    <n v="2.9"/>
    <m/>
    <m/>
    <s v="L"/>
    <m/>
    <m/>
    <m/>
    <x v="306"/>
    <n v="7.352958370845565"/>
  </r>
  <r>
    <n v="30"/>
    <n v="-10"/>
    <n v="36.224931257984402"/>
    <n v="-1.8300026932038236"/>
    <m/>
    <n v="435"/>
    <x v="2"/>
    <n v="23"/>
    <m/>
    <n v="23.7"/>
    <m/>
    <n v="6.4"/>
    <n v="2.2000000000000002"/>
    <m/>
    <m/>
    <s v="L"/>
    <m/>
    <m/>
    <m/>
    <x v="307"/>
    <n v="7.5439443025558388"/>
  </r>
  <r>
    <n v="30"/>
    <n v="-10"/>
    <n v="38.599978655638978"/>
    <n v="-2.2961801529803694"/>
    <m/>
    <n v="439"/>
    <x v="0"/>
    <n v="23.1"/>
    <m/>
    <s v="dead"/>
    <m/>
    <n v="7.9"/>
    <m/>
    <m/>
    <m/>
    <s v="D"/>
    <m/>
    <m/>
    <m/>
    <x v="308"/>
    <s v="dead"/>
  </r>
  <r>
    <n v="40"/>
    <n v="-30"/>
    <n v="42.242981371580008"/>
    <n v="-25.944872339684423"/>
    <m/>
    <n v="686"/>
    <x v="2"/>
    <n v="23.1"/>
    <m/>
    <n v="25.2"/>
    <m/>
    <n v="5.9"/>
    <n v="1.6"/>
    <m/>
    <m/>
    <s v="L"/>
    <m/>
    <m/>
    <m/>
    <x v="308"/>
    <n v="8.0214091318315255"/>
  </r>
  <r>
    <n v="30"/>
    <n v="-20"/>
    <n v="39.721062829151542"/>
    <n v="-19.98610504925314"/>
    <m/>
    <n v="514"/>
    <x v="1"/>
    <n v="23.3"/>
    <m/>
    <n v="24.2"/>
    <m/>
    <n v="7"/>
    <n v="1.4"/>
    <m/>
    <m/>
    <s v="L"/>
    <m/>
    <m/>
    <s v="New No749"/>
    <x v="309"/>
    <n v="7.7030992456477341"/>
  </r>
  <r>
    <n v="30"/>
    <n v="0"/>
    <n v="34.025777339984387"/>
    <n v="9.7119086697301942"/>
    <m/>
    <n v="245"/>
    <x v="2"/>
    <n v="23.4"/>
    <m/>
    <n v="24.2"/>
    <m/>
    <n v="6.6"/>
    <n v="3.4"/>
    <m/>
    <m/>
    <s v="L"/>
    <m/>
    <m/>
    <m/>
    <x v="310"/>
    <n v="7.7030992456477341"/>
  </r>
  <r>
    <n v="40"/>
    <n v="0"/>
    <n v="40.620282470305909"/>
    <n v="5.3511991162202692"/>
    <m/>
    <n v="264"/>
    <x v="2"/>
    <n v="23.4"/>
    <m/>
    <m/>
    <n v="25.1"/>
    <n v="8.1"/>
    <n v="1.8"/>
    <m/>
    <m/>
    <s v="L"/>
    <m/>
    <m/>
    <m/>
    <x v="310"/>
    <n v="25.1"/>
  </r>
  <r>
    <n v="40"/>
    <n v="40"/>
    <n v="45.361908717962699"/>
    <n v="45.727565735937873"/>
    <m/>
    <n v="354"/>
    <x v="0"/>
    <n v="23.4"/>
    <m/>
    <n v="27.5"/>
    <m/>
    <n v="7.9"/>
    <n v="0.8"/>
    <m/>
    <m/>
    <s v="L"/>
    <m/>
    <m/>
    <m/>
    <x v="310"/>
    <n v="8.753521870054243"/>
  </r>
  <r>
    <n v="10"/>
    <n v="20"/>
    <n v="12.124794924736131"/>
    <n v="29.575586041234914"/>
    <m/>
    <n v="97"/>
    <x v="0"/>
    <n v="23.5"/>
    <m/>
    <s v="dead"/>
    <m/>
    <n v="4.7"/>
    <n v="0.7"/>
    <m/>
    <m/>
    <s v="L"/>
    <m/>
    <m/>
    <m/>
    <x v="311"/>
    <s v="dead"/>
  </r>
  <r>
    <n v="40"/>
    <n v="-10"/>
    <n v="43.482322601613816"/>
    <n v="-9.5600803501892919"/>
    <m/>
    <n v="452"/>
    <x v="2"/>
    <n v="23.5"/>
    <m/>
    <n v="26.3"/>
    <m/>
    <n v="5.3"/>
    <n v="2"/>
    <m/>
    <m/>
    <s v="L"/>
    <m/>
    <m/>
    <m/>
    <x v="311"/>
    <n v="8.3715500066336954"/>
  </r>
  <r>
    <n v="20"/>
    <n v="-30"/>
    <n v="25.627680224719889"/>
    <n v="-20.929365257955382"/>
    <m/>
    <n v="635"/>
    <x v="0"/>
    <n v="23.5"/>
    <m/>
    <s v="dead"/>
    <m/>
    <n v="7.4"/>
    <m/>
    <m/>
    <m/>
    <s v="D"/>
    <m/>
    <m/>
    <m/>
    <x v="311"/>
    <s v="dead"/>
  </r>
  <r>
    <n v="20"/>
    <n v="30"/>
    <n v="20.557772508087009"/>
    <n v="33.493865215873384"/>
    <m/>
    <n v="173"/>
    <x v="2"/>
    <n v="23.6"/>
    <m/>
    <n v="24.1"/>
    <m/>
    <n v="7.7"/>
    <n v="1.3"/>
    <m/>
    <m/>
    <s v="L"/>
    <m/>
    <m/>
    <m/>
    <x v="312"/>
    <n v="7.6712682570293556"/>
  </r>
  <r>
    <n v="20"/>
    <n v="10"/>
    <n v="24.481330698158807"/>
    <n v="11.261086766992761"/>
    <m/>
    <n v="133"/>
    <x v="2"/>
    <n v="24"/>
    <m/>
    <n v="14.9"/>
    <m/>
    <n v="8.5"/>
    <n v="2.8"/>
    <m/>
    <m/>
    <s v="L"/>
    <m/>
    <m/>
    <m/>
    <x v="313"/>
    <n v="4.7428173041384811"/>
  </r>
  <r>
    <n v="20"/>
    <n v="30"/>
    <n v="21.000976199357556"/>
    <n v="33.607899668472051"/>
    <m/>
    <n v="178"/>
    <x v="2"/>
    <n v="24.1"/>
    <m/>
    <n v="25.5"/>
    <m/>
    <n v="9.1999999999999993"/>
    <n v="1.1000000000000001"/>
    <m/>
    <m/>
    <s v="L"/>
    <m/>
    <s v="gbh at 1.27m-H"/>
    <m/>
    <x v="314"/>
    <n v="8.1169020976866619"/>
  </r>
  <r>
    <n v="40"/>
    <n v="-20"/>
    <n v="47.835224083829708"/>
    <n v="-10.273612054147605"/>
    <m/>
    <n v="501"/>
    <x v="2"/>
    <n v="24.2"/>
    <m/>
    <n v="26"/>
    <m/>
    <n v="7.6"/>
    <n v="2.2000000000000002"/>
    <m/>
    <m/>
    <s v="L"/>
    <m/>
    <s v="unused number"/>
    <m/>
    <x v="315"/>
    <n v="8.2760570407785572"/>
  </r>
  <r>
    <n v="30"/>
    <n v="10"/>
    <n v="31.685505222718554"/>
    <n v="18.033487314002659"/>
    <m/>
    <n v="222"/>
    <x v="2"/>
    <n v="24.4"/>
    <m/>
    <n v="25.7"/>
    <m/>
    <n v="7.2"/>
    <n v="2.8"/>
    <m/>
    <m/>
    <s v="L"/>
    <m/>
    <m/>
    <m/>
    <x v="316"/>
    <n v="8.1805640749234207"/>
  </r>
  <r>
    <n v="0"/>
    <n v="-50"/>
    <n v="6.1188161453040522"/>
    <n v="-45.461356231381316"/>
    <m/>
    <n v="808"/>
    <x v="0"/>
    <n v="24.5"/>
    <m/>
    <n v="25.7"/>
    <m/>
    <n v="7.3"/>
    <n v="1.8"/>
    <m/>
    <m/>
    <s v="L"/>
    <m/>
    <m/>
    <m/>
    <x v="317"/>
    <n v="8.1805640749234207"/>
  </r>
  <r>
    <n v="0"/>
    <n v="0"/>
    <n v="4.6543320396682057"/>
    <n v="9.1054419762351273"/>
    <m/>
    <n v="11"/>
    <x v="2"/>
    <n v="24.8"/>
    <m/>
    <n v="25.9"/>
    <m/>
    <n v="6.6"/>
    <n v="3.9"/>
    <m/>
    <m/>
    <s v="L"/>
    <m/>
    <m/>
    <m/>
    <x v="318"/>
    <n v="8.2442260521601778"/>
  </r>
  <r>
    <n v="30"/>
    <n v="-10"/>
    <n v="35.335404450103319"/>
    <n v="-8.6005542683319032"/>
    <m/>
    <n v="432"/>
    <x v="1"/>
    <n v="24.9"/>
    <m/>
    <n v="26.3"/>
    <m/>
    <n v="8.1"/>
    <n v="2.5"/>
    <m/>
    <m/>
    <s v="L"/>
    <m/>
    <m/>
    <m/>
    <x v="319"/>
    <n v="8.3715500066336954"/>
  </r>
  <r>
    <n v="50"/>
    <n v="-30"/>
    <n v="50.215139710240834"/>
    <n v="-27.437723206428444"/>
    <m/>
    <n v="2003"/>
    <x v="2"/>
    <n v="25"/>
    <m/>
    <n v="38.799999999999997"/>
    <m/>
    <m/>
    <m/>
    <n v="7"/>
    <n v="2.2000000000000002"/>
    <m/>
    <m/>
    <s v="701 same tree"/>
    <s v="New No606 White red"/>
    <x v="320"/>
    <n v="12.350423583931077"/>
  </r>
  <r>
    <n v="30"/>
    <n v="0"/>
    <n v="30.928387507289877"/>
    <n v="8.0276987045174106"/>
    <m/>
    <n v="127"/>
    <x v="1"/>
    <n v="25.5"/>
    <m/>
    <s v="dead"/>
    <m/>
    <n v="8.1"/>
    <m/>
    <m/>
    <m/>
    <s v="D"/>
    <m/>
    <m/>
    <m/>
    <x v="321"/>
    <s v="dead"/>
  </r>
  <r>
    <n v="40"/>
    <n v="-10"/>
    <n v="47.995502870026861"/>
    <n v="-2.519998265064773"/>
    <m/>
    <n v="460"/>
    <x v="2"/>
    <n v="25.5"/>
    <m/>
    <n v="29"/>
    <m/>
    <n v="6.6"/>
    <n v="2.2999999999999998"/>
    <m/>
    <m/>
    <s v="L"/>
    <m/>
    <m/>
    <m/>
    <x v="321"/>
    <n v="9.2309866993299305"/>
  </r>
  <r>
    <n v="0"/>
    <n v="0"/>
    <n v="4.5413373125291585"/>
    <n v="8.7497993503386731"/>
    <m/>
    <n v="4"/>
    <x v="2"/>
    <n v="26"/>
    <m/>
    <n v="28"/>
    <m/>
    <n v="8.3000000000000007"/>
    <n v="3.2"/>
    <m/>
    <m/>
    <s v="L"/>
    <m/>
    <m/>
    <s v="New　No580　white　red"/>
    <x v="322"/>
    <n v="8.91267681314614"/>
  </r>
  <r>
    <n v="30"/>
    <n v="-50"/>
    <n v="39.579541004681793"/>
    <n v="-40.455647048992972"/>
    <m/>
    <n v="822"/>
    <x v="0"/>
    <n v="26.3"/>
    <m/>
    <n v="29.3"/>
    <m/>
    <n v="7.3"/>
    <n v="1.7"/>
    <m/>
    <m/>
    <s v="L"/>
    <m/>
    <m/>
    <m/>
    <x v="323"/>
    <n v="9.326479665185067"/>
  </r>
  <r>
    <n v="20"/>
    <n v="10"/>
    <n v="24.431560707957821"/>
    <n v="11.484658013701774"/>
    <m/>
    <n v="135"/>
    <x v="2"/>
    <n v="26.6"/>
    <m/>
    <n v="27.1"/>
    <m/>
    <n v="7.1"/>
    <n v="2.7"/>
    <m/>
    <m/>
    <s v="L"/>
    <m/>
    <m/>
    <m/>
    <x v="324"/>
    <n v="8.6261979155807271"/>
  </r>
  <r>
    <n v="10"/>
    <n v="20"/>
    <n v="10.313090442493955"/>
    <n v="24.787177197988377"/>
    <m/>
    <n v="98"/>
    <x v="0"/>
    <n v="26.8"/>
    <m/>
    <s v="dead"/>
    <m/>
    <n v="3.9"/>
    <m/>
    <m/>
    <m/>
    <s v="D"/>
    <m/>
    <s v="broken"/>
    <m/>
    <x v="325"/>
    <s v="dead"/>
  </r>
  <r>
    <n v="40"/>
    <n v="20"/>
    <n v="42.499091903781498"/>
    <n v="29.730277569567264"/>
    <m/>
    <n v="299"/>
    <x v="2"/>
    <n v="26.8"/>
    <m/>
    <n v="28.1"/>
    <m/>
    <n v="7.3"/>
    <n v="1.9"/>
    <m/>
    <m/>
    <s v="L"/>
    <m/>
    <m/>
    <m/>
    <x v="325"/>
    <n v="8.9445078017645194"/>
  </r>
  <r>
    <n v="40"/>
    <n v="40"/>
    <n v="49.006355480452719"/>
    <n v="42.140623873727854"/>
    <m/>
    <n v="347"/>
    <x v="2"/>
    <n v="26.9"/>
    <m/>
    <n v="29.2"/>
    <m/>
    <n v="8.6"/>
    <n v="2.2999999999999998"/>
    <m/>
    <m/>
    <s v="L"/>
    <m/>
    <m/>
    <m/>
    <x v="326"/>
    <n v="9.2946486765666876"/>
  </r>
  <r>
    <n v="10"/>
    <n v="-30"/>
    <n v="18.162512928283768"/>
    <n v="-24.107753797548693"/>
    <m/>
    <n v="625"/>
    <x v="0"/>
    <n v="27.5"/>
    <m/>
    <s v="dead"/>
    <m/>
    <n v="7.2"/>
    <n v="0.9"/>
    <m/>
    <m/>
    <s v="L"/>
    <m/>
    <m/>
    <m/>
    <x v="327"/>
    <s v="dead"/>
  </r>
  <r>
    <n v="0"/>
    <n v="20"/>
    <n v="7.614100830171675"/>
    <n v="23.664419264764746"/>
    <m/>
    <n v="39"/>
    <x v="0"/>
    <n v="27.6"/>
    <m/>
    <s v="dead"/>
    <m/>
    <n v="5.2"/>
    <m/>
    <m/>
    <m/>
    <s v="D"/>
    <m/>
    <m/>
    <m/>
    <x v="328"/>
    <s v="dead"/>
  </r>
  <r>
    <n v="10"/>
    <n v="10"/>
    <n v="16.471613120300947"/>
    <n v="13.888537465570909"/>
    <m/>
    <n v="112"/>
    <x v="2"/>
    <n v="27.6"/>
    <m/>
    <n v="30"/>
    <m/>
    <n v="6.3"/>
    <n v="1.8"/>
    <m/>
    <m/>
    <s v="L"/>
    <m/>
    <m/>
    <m/>
    <x v="328"/>
    <n v="9.5492965855137211"/>
  </r>
  <r>
    <n v="50"/>
    <n v="-30"/>
    <n v="50.189114493623592"/>
    <n v="-27.790330927717896"/>
    <m/>
    <n v="704"/>
    <x v="2"/>
    <n v="27.8"/>
    <m/>
    <n v="28.5"/>
    <m/>
    <n v="6.9"/>
    <n v="2.2999999999999998"/>
    <m/>
    <m/>
    <s v="L"/>
    <m/>
    <m/>
    <m/>
    <x v="329"/>
    <n v="9.0718317562380353"/>
  </r>
  <r>
    <n v="20"/>
    <n v="-10"/>
    <n v="21.766250392445837"/>
    <n v="-9.5225324628643904"/>
    <m/>
    <n v="411"/>
    <x v="2"/>
    <n v="28.3"/>
    <m/>
    <s v="dead"/>
    <m/>
    <n v="4.4000000000000004"/>
    <n v="2.2000000000000002"/>
    <m/>
    <m/>
    <s v="L"/>
    <m/>
    <m/>
    <m/>
    <x v="330"/>
    <s v="dead"/>
  </r>
  <r>
    <n v="10"/>
    <n v="-50"/>
    <n v="16.681584647994701"/>
    <n v="-45.752622038059769"/>
    <m/>
    <n v="816"/>
    <x v="0"/>
    <n v="28.3"/>
    <m/>
    <n v="27.5"/>
    <m/>
    <n v="5.2"/>
    <n v="2.6"/>
    <m/>
    <m/>
    <s v="L"/>
    <m/>
    <s v="Dead H=6.8"/>
    <m/>
    <x v="330"/>
    <n v="8.753521870054243"/>
  </r>
  <r>
    <n v="20"/>
    <n v="40"/>
    <n v="25.842201321935772"/>
    <n v="46.937837106330178"/>
    <m/>
    <n v="197"/>
    <x v="2"/>
    <n v="28.4"/>
    <m/>
    <n v="28.3"/>
    <m/>
    <n v="10.8"/>
    <n v="3.7"/>
    <m/>
    <m/>
    <s v="L"/>
    <m/>
    <m/>
    <m/>
    <x v="331"/>
    <n v="9.0081697790012765"/>
  </r>
  <r>
    <n v="30"/>
    <n v="10"/>
    <n v="31.863786000705463"/>
    <n v="17.937307162087787"/>
    <m/>
    <n v="221"/>
    <x v="2"/>
    <n v="28.7"/>
    <m/>
    <n v="25"/>
    <m/>
    <n v="7.4"/>
    <n v="1.7"/>
    <m/>
    <m/>
    <s v="L"/>
    <m/>
    <m/>
    <m/>
    <x v="332"/>
    <n v="7.9577471545947667"/>
  </r>
  <r>
    <n v="10"/>
    <n v="-50"/>
    <n v="14.848486988509565"/>
    <n v="-47.855632099558299"/>
    <m/>
    <n v="815"/>
    <x v="0"/>
    <n v="29.3"/>
    <m/>
    <n v="30.4"/>
    <m/>
    <n v="8.5"/>
    <n v="1.7"/>
    <m/>
    <m/>
    <s v="L"/>
    <m/>
    <m/>
    <m/>
    <x v="333"/>
    <n v="9.6766205399872369"/>
  </r>
  <r>
    <n v="30"/>
    <n v="0"/>
    <n v="35.804963619066001"/>
    <n v="9.125"/>
    <m/>
    <n v="243"/>
    <x v="0"/>
    <n v="29.4"/>
    <m/>
    <s v="dead"/>
    <m/>
    <n v="6.5"/>
    <m/>
    <m/>
    <m/>
    <s v="D"/>
    <m/>
    <m/>
    <m/>
    <x v="334"/>
    <s v="dead"/>
  </r>
  <r>
    <n v="30"/>
    <n v="0"/>
    <n v="33.450797670107235"/>
    <n v="6.101552428508481"/>
    <m/>
    <n v="257"/>
    <x v="1"/>
    <n v="29.5"/>
    <m/>
    <n v="31.3"/>
    <m/>
    <n v="10"/>
    <n v="4.2"/>
    <m/>
    <m/>
    <s v="L"/>
    <m/>
    <m/>
    <m/>
    <x v="335"/>
    <n v="9.963099437552648"/>
  </r>
  <r>
    <n v="30"/>
    <n v="-10"/>
    <n v="34.217457461745369"/>
    <n v="-7.32809023481785"/>
    <m/>
    <n v="430"/>
    <x v="2"/>
    <n v="29.5"/>
    <m/>
    <n v="29.7"/>
    <m/>
    <n v="8.6"/>
    <n v="3.3"/>
    <m/>
    <m/>
    <s v="L"/>
    <m/>
    <s v="Dead H=8.8"/>
    <m/>
    <x v="335"/>
    <n v="9.4538036196585828"/>
  </r>
  <r>
    <n v="50"/>
    <n v="-30"/>
    <n v="50.122764376874976"/>
    <n v="-27.684136505344721"/>
    <m/>
    <n v="702"/>
    <x v="2"/>
    <n v="29.7"/>
    <m/>
    <n v="30.3"/>
    <m/>
    <n v="11"/>
    <n v="4.0999999999999996"/>
    <m/>
    <m/>
    <s v="L"/>
    <m/>
    <s v="almost dead"/>
    <m/>
    <x v="336"/>
    <n v="9.6447895513688575"/>
  </r>
  <r>
    <n v="20"/>
    <n v="-30"/>
    <n v="24.978339189507665"/>
    <n v="-25.942333102777518"/>
    <m/>
    <n v="647"/>
    <x v="2"/>
    <n v="30"/>
    <m/>
    <n v="31.2"/>
    <m/>
    <n v="7.9"/>
    <n v="3.3"/>
    <m/>
    <m/>
    <s v="L"/>
    <m/>
    <m/>
    <m/>
    <x v="337"/>
    <n v="9.9312684489342686"/>
  </r>
  <r>
    <n v="0"/>
    <n v="10"/>
    <n v="9.9838034761087275"/>
    <n v="12.319943463236516"/>
    <m/>
    <n v="18"/>
    <x v="0"/>
    <n v="30.5"/>
    <m/>
    <s v="dead"/>
    <m/>
    <n v="7.6"/>
    <m/>
    <m/>
    <m/>
    <s v="D"/>
    <m/>
    <m/>
    <m/>
    <x v="338"/>
    <s v="dead"/>
  </r>
  <r>
    <n v="40"/>
    <n v="-50"/>
    <n v="46.484910842853935"/>
    <n v="-41.761911280466606"/>
    <m/>
    <n v="830"/>
    <x v="0"/>
    <n v="31"/>
    <m/>
    <n v="33.9"/>
    <m/>
    <n v="6.6"/>
    <n v="1.8"/>
    <m/>
    <m/>
    <s v="L"/>
    <m/>
    <m/>
    <m/>
    <x v="339"/>
    <n v="10.790705141630504"/>
  </r>
  <r>
    <n v="30"/>
    <n v="-10"/>
    <n v="34.096027688842931"/>
    <n v="-6.9396714311873886"/>
    <m/>
    <n v="431"/>
    <x v="2"/>
    <n v="31.2"/>
    <m/>
    <s v="dead"/>
    <m/>
    <n v="3.4"/>
    <m/>
    <m/>
    <m/>
    <s v="D"/>
    <m/>
    <m/>
    <m/>
    <x v="340"/>
    <s v="dead"/>
  </r>
  <r>
    <n v="30"/>
    <n v="10"/>
    <n v="33.173371849837416"/>
    <n v="11.088136496632174"/>
    <m/>
    <n v="236"/>
    <x v="0"/>
    <n v="31.4"/>
    <m/>
    <s v="dead"/>
    <m/>
    <n v="1.6"/>
    <m/>
    <m/>
    <m/>
    <s v="D"/>
    <m/>
    <s v="broken"/>
    <m/>
    <x v="341"/>
    <s v="dead"/>
  </r>
  <r>
    <n v="10"/>
    <n v="-50"/>
    <n v="13.313416888113256"/>
    <n v="-46.262995010997308"/>
    <m/>
    <n v="813"/>
    <x v="0"/>
    <n v="31.6"/>
    <m/>
    <n v="32.299999999999997"/>
    <m/>
    <n v="7.9"/>
    <n v="3.4"/>
    <m/>
    <m/>
    <s v="L"/>
    <m/>
    <m/>
    <m/>
    <x v="342"/>
    <n v="10.281409323736439"/>
  </r>
  <r>
    <n v="30"/>
    <n v="0"/>
    <n v="32.364956775153857"/>
    <n v="6.71362375685269"/>
    <m/>
    <n v="255"/>
    <x v="1"/>
    <n v="31.8"/>
    <m/>
    <n v="33.4"/>
    <m/>
    <n v="10.199999999999999"/>
    <n v="3.3"/>
    <m/>
    <m/>
    <s v="L"/>
    <m/>
    <m/>
    <m/>
    <x v="343"/>
    <n v="10.631550198538608"/>
  </r>
  <r>
    <n v="20"/>
    <n v="-30"/>
    <n v="24.426142049030712"/>
    <n v="-26.190396396226696"/>
    <m/>
    <n v="644"/>
    <x v="2"/>
    <n v="32.299999999999997"/>
    <m/>
    <n v="33.200000000000003"/>
    <m/>
    <n v="7.9"/>
    <n v="2.7"/>
    <m/>
    <m/>
    <s v="L"/>
    <m/>
    <m/>
    <m/>
    <x v="344"/>
    <n v="10.567888221301851"/>
  </r>
  <r>
    <n v="20"/>
    <n v="-10"/>
    <n v="28.096502686916914"/>
    <n v="-4.7002215407223211"/>
    <m/>
    <n v="418"/>
    <x v="2"/>
    <n v="32.4"/>
    <m/>
    <n v="30.4"/>
    <m/>
    <n v="6.1"/>
    <n v="2.4"/>
    <m/>
    <m/>
    <s v="L"/>
    <m/>
    <m/>
    <s v="GBH2001?"/>
    <x v="345"/>
    <n v="9.6766205399872369"/>
  </r>
  <r>
    <n v="20"/>
    <n v="0"/>
    <n v="23.975649436810265"/>
    <n v="3.1623743541191063"/>
    <m/>
    <n v="121"/>
    <x v="1"/>
    <n v="32.5"/>
    <m/>
    <n v="33.1"/>
    <m/>
    <n v="9.9"/>
    <n v="2.6"/>
    <m/>
    <m/>
    <s v="L"/>
    <m/>
    <m/>
    <m/>
    <x v="346"/>
    <n v="10.536057232683472"/>
  </r>
  <r>
    <n v="30"/>
    <n v="-10"/>
    <n v="35.122213435174388"/>
    <n v="-6.1890554677341747"/>
    <m/>
    <n v="433"/>
    <x v="1"/>
    <n v="32.5"/>
    <m/>
    <n v="34"/>
    <m/>
    <n v="9.1999999999999993"/>
    <n v="3.3"/>
    <m/>
    <m/>
    <s v="L"/>
    <m/>
    <m/>
    <m/>
    <x v="346"/>
    <n v="10.822536130248883"/>
  </r>
  <r>
    <n v="0"/>
    <n v="10"/>
    <n v="6.8999120717316238"/>
    <n v="17.634595918383937"/>
    <m/>
    <n v="20"/>
    <x v="2"/>
    <n v="32.700000000000003"/>
    <m/>
    <n v="35.9"/>
    <m/>
    <n v="8.1999999999999993"/>
    <n v="2.7"/>
    <m/>
    <m/>
    <s v="L"/>
    <m/>
    <m/>
    <m/>
    <x v="347"/>
    <n v="11.427324913998085"/>
  </r>
  <r>
    <n v="20"/>
    <n v="30"/>
    <n v="20.652257610790159"/>
    <n v="33.794183372901976"/>
    <m/>
    <n v="176"/>
    <x v="2"/>
    <n v="32.799999999999997"/>
    <m/>
    <n v="35.299999999999997"/>
    <m/>
    <n v="9.9"/>
    <n v="2.8"/>
    <m/>
    <m/>
    <s v="L"/>
    <m/>
    <m/>
    <m/>
    <x v="348"/>
    <n v="11.23633898228781"/>
  </r>
  <r>
    <n v="30"/>
    <n v="10"/>
    <n v="34.695315057578405"/>
    <n v="13.584665518456774"/>
    <m/>
    <n v="232"/>
    <x v="0"/>
    <n v="32.799999999999997"/>
    <m/>
    <s v="dead"/>
    <m/>
    <n v="8.3000000000000007"/>
    <m/>
    <m/>
    <m/>
    <s v="D"/>
    <m/>
    <m/>
    <m/>
    <x v="348"/>
    <s v="dead"/>
  </r>
  <r>
    <n v="40"/>
    <n v="-50"/>
    <n v="44.973961314677979"/>
    <n v="-49.889621268789163"/>
    <m/>
    <n v="827"/>
    <x v="0"/>
    <n v="32.799999999999997"/>
    <m/>
    <n v="33.9"/>
    <m/>
    <n v="8.8000000000000007"/>
    <n v="4.4000000000000004"/>
    <m/>
    <m/>
    <s v="L"/>
    <m/>
    <m/>
    <m/>
    <x v="348"/>
    <n v="10.790705141630504"/>
  </r>
  <r>
    <n v="20"/>
    <n v="-50"/>
    <n v="26.290903973680571"/>
    <n v="-49.394254844072186"/>
    <m/>
    <n v="820"/>
    <x v="0"/>
    <n v="33"/>
    <m/>
    <n v="33.299999999999997"/>
    <m/>
    <n v="9.1999999999999993"/>
    <n v="4.9000000000000004"/>
    <m/>
    <m/>
    <s v="L"/>
    <m/>
    <m/>
    <m/>
    <x v="349"/>
    <n v="10.599719209920229"/>
  </r>
  <r>
    <n v="20"/>
    <n v="40"/>
    <n v="26.645579839866279"/>
    <n v="47.052118021698369"/>
    <m/>
    <n v="191"/>
    <x v="2"/>
    <n v="33.200000000000003"/>
    <m/>
    <n v="33.799999999999997"/>
    <m/>
    <n v="9.5"/>
    <n v="3.6"/>
    <m/>
    <m/>
    <s v="L"/>
    <m/>
    <m/>
    <m/>
    <x v="350"/>
    <n v="10.758874153012124"/>
  </r>
  <r>
    <n v="20"/>
    <n v="-10"/>
    <n v="27.496033648053988"/>
    <n v="-9.3665763902395547"/>
    <m/>
    <n v="420"/>
    <x v="0"/>
    <n v="33.4"/>
    <m/>
    <s v="dead"/>
    <m/>
    <n v="7.7"/>
    <n v="0.7"/>
    <m/>
    <m/>
    <s v="L"/>
    <m/>
    <m/>
    <m/>
    <x v="351"/>
    <s v="dead"/>
  </r>
  <r>
    <n v="0"/>
    <n v="40"/>
    <n v="2.0941290288313348"/>
    <n v="41.357580003610096"/>
    <m/>
    <n v="68"/>
    <x v="0"/>
    <n v="33.5"/>
    <m/>
    <s v="dead"/>
    <m/>
    <n v="2.2000000000000002"/>
    <m/>
    <m/>
    <m/>
    <s v="D"/>
    <m/>
    <s v="broken"/>
    <m/>
    <x v="352"/>
    <s v="dead"/>
  </r>
  <r>
    <n v="20"/>
    <n v="30"/>
    <n v="20.978472868674029"/>
    <n v="33.95872605775331"/>
    <m/>
    <n v="179"/>
    <x v="2"/>
    <n v="33.5"/>
    <m/>
    <s v="dead"/>
    <m/>
    <n v="6.8"/>
    <m/>
    <m/>
    <m/>
    <s v="D"/>
    <m/>
    <s v="broken"/>
    <m/>
    <x v="352"/>
    <s v="dead"/>
  </r>
  <r>
    <n v="30"/>
    <n v="10"/>
    <n v="31.896743692831674"/>
    <n v="17.510168004924175"/>
    <m/>
    <n v="1000"/>
    <x v="2"/>
    <n v="34.5"/>
    <m/>
    <n v="34.4"/>
    <m/>
    <n v="7.6"/>
    <n v="3.4"/>
    <m/>
    <m/>
    <s v="L"/>
    <m/>
    <s v="fall down,224 same clump"/>
    <s v="New No597 white red"/>
    <x v="353"/>
    <n v="10.949860084722399"/>
  </r>
  <r>
    <n v="0"/>
    <n v="10"/>
    <n v="6.9093167736498451"/>
    <n v="17.281193390808802"/>
    <m/>
    <n v="19"/>
    <x v="2"/>
    <n v="34.700000000000003"/>
    <m/>
    <s v="dead"/>
    <m/>
    <n v="5"/>
    <m/>
    <m/>
    <m/>
    <s v="D"/>
    <m/>
    <s v="broken"/>
    <m/>
    <x v="354"/>
    <s v="dead"/>
  </r>
  <r>
    <n v="40"/>
    <n v="10"/>
    <n v="49.999878153155805"/>
    <n v="19.930186971695527"/>
    <m/>
    <n v="285"/>
    <x v="0"/>
    <n v="34.700000000000003"/>
    <m/>
    <s v="dead"/>
    <m/>
    <n v="7.4"/>
    <n v="1.6"/>
    <m/>
    <m/>
    <s v="L"/>
    <m/>
    <m/>
    <m/>
    <x v="354"/>
    <s v="dead"/>
  </r>
  <r>
    <n v="40"/>
    <n v="-50"/>
    <n v="43.173974312698384"/>
    <n v="-48.816052805101094"/>
    <m/>
    <n v="824"/>
    <x v="0"/>
    <n v="34.799999999999997"/>
    <m/>
    <n v="36"/>
    <m/>
    <n v="8.3000000000000007"/>
    <n v="3.2"/>
    <m/>
    <m/>
    <s v="L"/>
    <m/>
    <m/>
    <m/>
    <x v="355"/>
    <n v="11.459155902616464"/>
  </r>
  <r>
    <n v="20"/>
    <n v="10"/>
    <n v="23.904153440943681"/>
    <n v="10.785104816809508"/>
    <m/>
    <n v="139"/>
    <x v="2"/>
    <n v="35"/>
    <m/>
    <n v="36.299999999999997"/>
    <m/>
    <n v="1.6"/>
    <n v="0.4"/>
    <m/>
    <m/>
    <s v="L"/>
    <m/>
    <m/>
    <m/>
    <x v="356"/>
    <n v="11.554648868471601"/>
  </r>
  <r>
    <n v="40"/>
    <n v="20"/>
    <n v="48.295744434881712"/>
    <n v="26.804126363721846"/>
    <m/>
    <n v="288"/>
    <x v="0"/>
    <n v="35"/>
    <m/>
    <s v="dead"/>
    <m/>
    <n v="9.8000000000000007"/>
    <m/>
    <m/>
    <m/>
    <s v="D"/>
    <m/>
    <m/>
    <m/>
    <x v="356"/>
    <s v="dead"/>
  </r>
  <r>
    <n v="30"/>
    <n v="0"/>
    <n v="31.285787071530518"/>
    <n v="8.1996042694799964"/>
    <m/>
    <n v="128"/>
    <x v="1"/>
    <n v="35.1"/>
    <m/>
    <n v="38"/>
    <m/>
    <n v="11"/>
    <n v="3.2"/>
    <m/>
    <m/>
    <s v="L"/>
    <m/>
    <m/>
    <m/>
    <x v="357"/>
    <n v="12.095775674984045"/>
  </r>
  <r>
    <n v="10"/>
    <n v="-20"/>
    <n v="16.117883851958656"/>
    <n v="-12.281271204847481"/>
    <m/>
    <n v="575"/>
    <x v="2"/>
    <n v="35.200000000000003"/>
    <m/>
    <n v="36.1"/>
    <m/>
    <n v="7.3"/>
    <n v="4.3"/>
    <m/>
    <m/>
    <s v="L"/>
    <m/>
    <m/>
    <m/>
    <x v="358"/>
    <n v="11.490986891234844"/>
  </r>
  <r>
    <n v="0"/>
    <n v="20"/>
    <n v="6.0918837271439479"/>
    <n v="26.624873784077607"/>
    <m/>
    <n v="41"/>
    <x v="0"/>
    <n v="35.4"/>
    <m/>
    <s v="dead"/>
    <m/>
    <n v="4"/>
    <m/>
    <m/>
    <m/>
    <s v="D"/>
    <m/>
    <s v="broken"/>
    <m/>
    <x v="359"/>
    <s v="dead"/>
  </r>
  <r>
    <n v="40"/>
    <n v="0"/>
    <n v="49.011636361915841"/>
    <n v="7.869739433638161"/>
    <m/>
    <n v="278"/>
    <x v="0"/>
    <n v="36"/>
    <m/>
    <s v="dead"/>
    <m/>
    <n v="10"/>
    <m/>
    <m/>
    <m/>
    <s v="D"/>
    <m/>
    <m/>
    <m/>
    <x v="360"/>
    <s v="dead"/>
  </r>
  <r>
    <n v="20"/>
    <n v="-20"/>
    <n v="27.816973727695228"/>
    <n v="-18.819040245306269"/>
    <m/>
    <n v="562"/>
    <x v="2"/>
    <n v="36"/>
    <m/>
    <n v="36.6"/>
    <m/>
    <n v="9.1999999999999993"/>
    <n v="3.3"/>
    <m/>
    <m/>
    <s v="L"/>
    <m/>
    <m/>
    <m/>
    <x v="360"/>
    <n v="11.650141834326739"/>
  </r>
  <r>
    <n v="0"/>
    <n v="-50"/>
    <n v="8.2400703001238895"/>
    <n v="-43.791443979738325"/>
    <m/>
    <n v="809"/>
    <x v="0"/>
    <n v="36.200000000000003"/>
    <m/>
    <n v="36.6"/>
    <m/>
    <n v="9.3000000000000007"/>
    <n v="4.3"/>
    <m/>
    <m/>
    <s v="L"/>
    <m/>
    <m/>
    <m/>
    <x v="361"/>
    <n v="11.650141834326739"/>
  </r>
  <r>
    <n v="30"/>
    <n v="-10"/>
    <n v="32.700022916406624"/>
    <n v="-4.0462839688971055"/>
    <m/>
    <n v="423"/>
    <x v="2"/>
    <n v="36.5"/>
    <m/>
    <n v="37"/>
    <m/>
    <n v="8.1"/>
    <n v="3.1"/>
    <m/>
    <m/>
    <s v="L"/>
    <m/>
    <s v="Dead H=9.1"/>
    <m/>
    <x v="362"/>
    <n v="11.777465788800255"/>
  </r>
  <r>
    <n v="20"/>
    <n v="10"/>
    <n v="27.91934640397676"/>
    <n v="12.973972118584976"/>
    <m/>
    <n v="160"/>
    <x v="1"/>
    <n v="36.6"/>
    <m/>
    <n v="39.299999999999997"/>
    <m/>
    <n v="11.5"/>
    <n v="2.8"/>
    <m/>
    <m/>
    <s v="L"/>
    <m/>
    <m/>
    <m/>
    <x v="363"/>
    <n v="12.509578527022972"/>
  </r>
  <r>
    <n v="40"/>
    <n v="-30"/>
    <n v="48.053490775127813"/>
    <n v="-23.804467220567812"/>
    <m/>
    <n v="698"/>
    <x v="2"/>
    <n v="36.700000000000003"/>
    <m/>
    <s v="dead"/>
    <m/>
    <n v="6.4"/>
    <m/>
    <m/>
    <m/>
    <s v="D"/>
    <m/>
    <m/>
    <s v="幹オレ"/>
    <x v="364"/>
    <s v="dead"/>
  </r>
  <r>
    <n v="30"/>
    <n v="20"/>
    <n v="35.139414580817089"/>
    <n v="25.434778538862901"/>
    <m/>
    <n v="208"/>
    <x v="0"/>
    <n v="37"/>
    <m/>
    <s v="dead"/>
    <m/>
    <n v="4.3"/>
    <m/>
    <m/>
    <m/>
    <s v="D"/>
    <m/>
    <s v="broken"/>
    <m/>
    <x v="365"/>
    <s v="dead"/>
  </r>
  <r>
    <n v="0"/>
    <n v="-50"/>
    <n v="7.1191281745700135"/>
    <n v="-48.272737003280334"/>
    <m/>
    <n v="807"/>
    <x v="0"/>
    <n v="37.4"/>
    <m/>
    <n v="38.4"/>
    <m/>
    <n v="11.2"/>
    <n v="5.0999999999999996"/>
    <m/>
    <m/>
    <s v="L"/>
    <m/>
    <m/>
    <m/>
    <x v="366"/>
    <n v="12.223099629457561"/>
  </r>
  <r>
    <n v="20"/>
    <n v="0"/>
    <n v="22.479514615325314"/>
    <n v="3.6348324957813607"/>
    <m/>
    <n v="122"/>
    <x v="1"/>
    <n v="37.6"/>
    <m/>
    <n v="38.5"/>
    <m/>
    <n v="10.5"/>
    <n v="3.2"/>
    <m/>
    <m/>
    <s v="L"/>
    <m/>
    <m/>
    <m/>
    <x v="367"/>
    <n v="12.254930618075941"/>
  </r>
  <r>
    <n v="0"/>
    <n v="-50"/>
    <n v="2.6202140931912341"/>
    <n v="-43.363162197942096"/>
    <m/>
    <n v="803"/>
    <x v="0"/>
    <n v="37.700000000000003"/>
    <m/>
    <n v="38.9"/>
    <m/>
    <n v="11.4"/>
    <n v="5"/>
    <m/>
    <m/>
    <s v="L"/>
    <m/>
    <m/>
    <m/>
    <x v="368"/>
    <n v="12.382254572549456"/>
  </r>
  <r>
    <n v="30"/>
    <n v="0"/>
    <n v="35.396556682889127"/>
    <n v="9.324486168716339"/>
    <m/>
    <n v="244"/>
    <x v="0"/>
    <n v="37.9"/>
    <m/>
    <s v="dead"/>
    <m/>
    <n v="9"/>
    <m/>
    <m/>
    <m/>
    <s v="D"/>
    <m/>
    <m/>
    <m/>
    <x v="369"/>
    <s v="dead"/>
  </r>
  <r>
    <n v="10"/>
    <n v="-50"/>
    <n v="11.166274455480494"/>
    <n v="-48.442375846327636"/>
    <m/>
    <n v="811"/>
    <x v="0"/>
    <n v="37.9"/>
    <m/>
    <n v="37.4"/>
    <m/>
    <n v="10.6"/>
    <n v="6.1"/>
    <m/>
    <m/>
    <s v="L"/>
    <m/>
    <m/>
    <m/>
    <x v="369"/>
    <n v="11.904789743273771"/>
  </r>
  <r>
    <n v="10"/>
    <n v="-20"/>
    <n v="17.002655475487977"/>
    <n v="-10.07550079607055"/>
    <m/>
    <n v="409"/>
    <x v="2"/>
    <n v="38"/>
    <m/>
    <s v="dead"/>
    <m/>
    <n v="2.8"/>
    <m/>
    <m/>
    <m/>
    <s v="D"/>
    <m/>
    <s v="broken"/>
    <m/>
    <x v="370"/>
    <s v="dead"/>
  </r>
  <r>
    <n v="10"/>
    <n v="20"/>
    <n v="19.288186164934192"/>
    <n v="28.62802262785867"/>
    <m/>
    <n v="91"/>
    <x v="2"/>
    <n v="38.200000000000003"/>
    <m/>
    <n v="38.700000000000003"/>
    <m/>
    <n v="7.4"/>
    <n v="2.8"/>
    <m/>
    <m/>
    <s v="L"/>
    <m/>
    <s v="dead Ht=8.0"/>
    <m/>
    <x v="371"/>
    <n v="12.318592595312701"/>
  </r>
  <r>
    <n v="40"/>
    <n v="-20"/>
    <n v="49.112968455015206"/>
    <n v="-16.596689013277626"/>
    <m/>
    <n v="507"/>
    <x v="2"/>
    <n v="38.200000000000003"/>
    <m/>
    <s v="dead"/>
    <m/>
    <n v="7.8"/>
    <m/>
    <m/>
    <m/>
    <s v="D"/>
    <m/>
    <m/>
    <m/>
    <x v="371"/>
    <s v="dead"/>
  </r>
  <r>
    <n v="50"/>
    <n v="-30"/>
    <n v="50.215139710240834"/>
    <n v="-27.437723206428444"/>
    <m/>
    <n v="2008"/>
    <x v="2"/>
    <n v="38.4"/>
    <m/>
    <n v="25.5"/>
    <m/>
    <m/>
    <m/>
    <n v="8"/>
    <n v="3.7"/>
    <m/>
    <m/>
    <s v="701 same tree"/>
    <s v="New No 611 White red　"/>
    <x v="372"/>
    <n v="8.1169020976866619"/>
  </r>
  <r>
    <n v="0"/>
    <n v="0"/>
    <n v="9.4845444850729379"/>
    <n v="3.8616039870230532"/>
    <m/>
    <n v="17"/>
    <x v="0"/>
    <n v="39.200000000000003"/>
    <m/>
    <s v="dead"/>
    <m/>
    <n v="9.4"/>
    <m/>
    <m/>
    <m/>
    <s v="D"/>
    <m/>
    <m/>
    <m/>
    <x v="373"/>
    <s v="dead"/>
  </r>
  <r>
    <n v="10"/>
    <n v="40"/>
    <n v="12.792044209999499"/>
    <n v="41.998943053065361"/>
    <m/>
    <n v="82"/>
    <x v="0"/>
    <n v="39.299999999999997"/>
    <m/>
    <s v="dead"/>
    <m/>
    <n v="8.4"/>
    <m/>
    <m/>
    <m/>
    <s v="D"/>
    <m/>
    <m/>
    <m/>
    <x v="374"/>
    <s v="dead"/>
  </r>
  <r>
    <n v="20"/>
    <n v="40"/>
    <n v="26.125615719030783"/>
    <n v="47.274402522734292"/>
    <m/>
    <n v="195"/>
    <x v="2"/>
    <n v="39.4"/>
    <m/>
    <n v="38.200000000000003"/>
    <m/>
    <n v="9.6999999999999993"/>
    <n v="4.2"/>
    <m/>
    <m/>
    <s v="L"/>
    <m/>
    <m/>
    <m/>
    <x v="375"/>
    <n v="12.159437652220806"/>
  </r>
  <r>
    <n v="0"/>
    <n v="-40"/>
    <n v="8.2807998791533848"/>
    <n v="-36.859816733933989"/>
    <m/>
    <n v="726"/>
    <x v="0"/>
    <n v="39.5"/>
    <m/>
    <s v="dead"/>
    <m/>
    <n v="9"/>
    <n v="1.8"/>
    <m/>
    <m/>
    <s v="L"/>
    <m/>
    <m/>
    <m/>
    <x v="376"/>
    <s v="dead"/>
  </r>
  <r>
    <n v="0"/>
    <n v="-50"/>
    <n v="3.6412415325252461"/>
    <n v="-45.488733073516883"/>
    <m/>
    <n v="804"/>
    <x v="0"/>
    <n v="39.5"/>
    <m/>
    <n v="39.9"/>
    <m/>
    <n v="12.6"/>
    <n v="6.4"/>
    <m/>
    <m/>
    <s v="L"/>
    <m/>
    <s v="resprouted top"/>
    <m/>
    <x v="376"/>
    <n v="12.700564458733249"/>
  </r>
  <r>
    <n v="30"/>
    <n v="40"/>
    <n v="37.972624291761235"/>
    <n v="45.943877191462981"/>
    <m/>
    <n v="200"/>
    <x v="2"/>
    <n v="39.700000000000003"/>
    <m/>
    <n v="40.6"/>
    <m/>
    <n v="10.7"/>
    <n v="2.9"/>
    <m/>
    <m/>
    <s v="L"/>
    <m/>
    <m/>
    <m/>
    <x v="377"/>
    <n v="12.923381379061903"/>
  </r>
  <r>
    <n v="10"/>
    <n v="-20"/>
    <n v="11.930988836250952"/>
    <n v="-17.142613284958919"/>
    <m/>
    <n v="578"/>
    <x v="0"/>
    <n v="40"/>
    <m/>
    <s v="dead"/>
    <m/>
    <n v="6.4"/>
    <m/>
    <m/>
    <m/>
    <s v="D"/>
    <m/>
    <s v="broken"/>
    <m/>
    <x v="378"/>
    <s v="dead"/>
  </r>
  <r>
    <n v="0"/>
    <n v="-30"/>
    <n v="9.3207208494274312"/>
    <n v="-23.663665790959932"/>
    <m/>
    <n v="607"/>
    <x v="0"/>
    <n v="40"/>
    <m/>
    <s v="dead"/>
    <m/>
    <n v="10.5"/>
    <m/>
    <m/>
    <m/>
    <s v="D"/>
    <m/>
    <m/>
    <m/>
    <x v="378"/>
    <s v="dead"/>
  </r>
  <r>
    <n v="0"/>
    <n v="20"/>
    <n v="6.420031139275026"/>
    <n v="24.873068865790739"/>
    <m/>
    <n v="40"/>
    <x v="0"/>
    <n v="40.4"/>
    <m/>
    <s v="dead"/>
    <m/>
    <n v="8.1999999999999993"/>
    <m/>
    <m/>
    <m/>
    <s v="D"/>
    <m/>
    <s v="broken"/>
    <m/>
    <x v="379"/>
    <s v="dead"/>
  </r>
  <r>
    <n v="30"/>
    <n v="40"/>
    <n v="37.195101814616379"/>
    <n v="45.587027258299045"/>
    <m/>
    <n v="203"/>
    <x v="2"/>
    <n v="40.4"/>
    <m/>
    <n v="42.2"/>
    <m/>
    <n v="8.3000000000000007"/>
    <n v="1.9"/>
    <m/>
    <m/>
    <s v="L"/>
    <m/>
    <m/>
    <m/>
    <x v="379"/>
    <n v="13.432677196955968"/>
  </r>
  <r>
    <n v="0"/>
    <n v="-50"/>
    <n v="1.3122807443575066"/>
    <n v="-43.563093337977357"/>
    <m/>
    <n v="801"/>
    <x v="0"/>
    <n v="40.5"/>
    <m/>
    <n v="42.8"/>
    <m/>
    <n v="12.3"/>
    <n v="3.4"/>
    <m/>
    <m/>
    <s v="L"/>
    <m/>
    <s v="broken"/>
    <m/>
    <x v="380"/>
    <n v="13.623663128666241"/>
  </r>
  <r>
    <n v="10"/>
    <n v="20"/>
    <n v="19.074849547210579"/>
    <n v="28.29398063364512"/>
    <m/>
    <n v="94"/>
    <x v="2"/>
    <n v="40.6"/>
    <m/>
    <n v="42.8"/>
    <m/>
    <n v="6.4"/>
    <n v="3.1"/>
    <m/>
    <m/>
    <s v="L"/>
    <m/>
    <s v="dead Ht=6.6, broken"/>
    <m/>
    <x v="381"/>
    <n v="13.623663128666241"/>
  </r>
  <r>
    <n v="40"/>
    <n v="20"/>
    <n v="42.20210713056332"/>
    <n v="29.671270938933304"/>
    <m/>
    <n v="302"/>
    <x v="2"/>
    <n v="40.6"/>
    <m/>
    <n v="40.9"/>
    <m/>
    <n v="8"/>
    <n v="4"/>
    <m/>
    <m/>
    <s v="L"/>
    <m/>
    <m/>
    <m/>
    <x v="381"/>
    <n v="13.018874344917039"/>
  </r>
  <r>
    <n v="20"/>
    <n v="20"/>
    <n v="30.004333579254549"/>
    <n v="27.592263592948925"/>
    <m/>
    <n v="169"/>
    <x v="0"/>
    <n v="41"/>
    <m/>
    <s v="dead"/>
    <m/>
    <n v="9.9"/>
    <m/>
    <m/>
    <m/>
    <s v="D"/>
    <m/>
    <m/>
    <m/>
    <x v="382"/>
    <s v="dead"/>
  </r>
  <r>
    <n v="30"/>
    <n v="10"/>
    <n v="34.753410149350231"/>
    <n v="11.281629054000154"/>
    <m/>
    <n v="238"/>
    <x v="0"/>
    <n v="41"/>
    <m/>
    <s v="dead"/>
    <m/>
    <n v="8.1"/>
    <m/>
    <m/>
    <m/>
    <s v="D"/>
    <m/>
    <m/>
    <m/>
    <x v="382"/>
    <s v="dead"/>
  </r>
  <r>
    <n v="0"/>
    <n v="0"/>
    <n v="2.9719342653964747"/>
    <n v="8.7986707237015302"/>
    <m/>
    <n v="1"/>
    <x v="0"/>
    <n v="41.2"/>
    <m/>
    <s v="dead"/>
    <m/>
    <n v="9"/>
    <m/>
    <m/>
    <m/>
    <s v="D"/>
    <m/>
    <m/>
    <m/>
    <x v="383"/>
    <s v="dead"/>
  </r>
  <r>
    <n v="0"/>
    <n v="40"/>
    <n v="4.8306923269049742"/>
    <n v="46.320372558966213"/>
    <m/>
    <n v="70"/>
    <x v="0"/>
    <n v="41.3"/>
    <m/>
    <n v="44.5"/>
    <m/>
    <n v="9.6999999999999993"/>
    <n v="1.2"/>
    <m/>
    <m/>
    <s v="L"/>
    <m/>
    <m/>
    <m/>
    <x v="384"/>
    <n v="14.164789935178685"/>
  </r>
  <r>
    <n v="40"/>
    <n v="-30"/>
    <n v="42.374703444130603"/>
    <n v="-25.665581582664061"/>
    <m/>
    <n v="678"/>
    <x v="2"/>
    <n v="41.5"/>
    <m/>
    <s v="dead"/>
    <m/>
    <n v="4.3"/>
    <m/>
    <m/>
    <m/>
    <s v="D"/>
    <m/>
    <s v="broken"/>
    <m/>
    <x v="385"/>
    <s v="dead"/>
  </r>
  <r>
    <n v="50"/>
    <n v="-30"/>
    <n v="50.215139710240834"/>
    <n v="-27.437723206428444"/>
    <m/>
    <n v="2006"/>
    <x v="2"/>
    <n v="41.5"/>
    <m/>
    <n v="12.9"/>
    <m/>
    <m/>
    <m/>
    <n v="3.5"/>
    <n v="2.1"/>
    <m/>
    <m/>
    <s v="701 same tree"/>
    <s v="New No 609 White red　"/>
    <x v="385"/>
    <n v="4.1061975317709001"/>
  </r>
  <r>
    <n v="0"/>
    <n v="20"/>
    <n v="8.5072670275945281"/>
    <n v="22.715015234064623"/>
    <m/>
    <n v="33"/>
    <x v="2"/>
    <n v="42.7"/>
    <m/>
    <n v="43"/>
    <m/>
    <n v="5.8"/>
    <n v="1.9"/>
    <m/>
    <m/>
    <s v="L"/>
    <m/>
    <s v="above node"/>
    <m/>
    <x v="386"/>
    <n v="13.687325105903"/>
  </r>
  <r>
    <n v="0"/>
    <n v="-50"/>
    <n v="4.3793029065855924"/>
    <n v="-46.242416534010111"/>
    <m/>
    <n v="805"/>
    <x v="0"/>
    <n v="43.4"/>
    <m/>
    <n v="44.9"/>
    <m/>
    <n v="11.5"/>
    <n v="5.2"/>
    <m/>
    <m/>
    <s v="L"/>
    <m/>
    <s v="broken"/>
    <m/>
    <x v="387"/>
    <n v="14.292113889652201"/>
  </r>
  <r>
    <n v="40"/>
    <n v="-10"/>
    <n v="43.624437901391879"/>
    <n v="-9.6637710616945149"/>
    <m/>
    <n v="453"/>
    <x v="2"/>
    <n v="43.5"/>
    <m/>
    <s v="dead"/>
    <m/>
    <n v="3.9"/>
    <m/>
    <m/>
    <m/>
    <s v="D"/>
    <m/>
    <m/>
    <m/>
    <x v="388"/>
    <s v="dead"/>
  </r>
  <r>
    <n v="30"/>
    <n v="10"/>
    <n v="33.238191204915331"/>
    <n v="10.433176194765108"/>
    <m/>
    <n v="237"/>
    <x v="0"/>
    <n v="43.7"/>
    <m/>
    <s v="dead"/>
    <m/>
    <n v="10.3"/>
    <n v="1.5"/>
    <m/>
    <m/>
    <s v="L"/>
    <m/>
    <m/>
    <m/>
    <x v="389"/>
    <s v="dead"/>
  </r>
  <r>
    <n v="10"/>
    <n v="-20"/>
    <n v="16.067810813301975"/>
    <n v="-11.937817404696471"/>
    <m/>
    <n v="574"/>
    <x v="2"/>
    <n v="44.7"/>
    <m/>
    <n v="46"/>
    <m/>
    <n v="10.199999999999999"/>
    <n v="2.8"/>
    <m/>
    <m/>
    <s v="L"/>
    <m/>
    <m/>
    <m/>
    <x v="390"/>
    <n v="14.642254764454371"/>
  </r>
  <r>
    <n v="50"/>
    <n v="-30"/>
    <n v="50.215139710240834"/>
    <n v="-27.437723206428444"/>
    <m/>
    <n v="2002"/>
    <x v="2"/>
    <n v="44.8"/>
    <m/>
    <n v="10.3"/>
    <m/>
    <m/>
    <m/>
    <n v="6"/>
    <n v="2.1"/>
    <m/>
    <m/>
    <s v="701 same tree"/>
    <s v="New No 605 White red"/>
    <x v="391"/>
    <n v="3.2785918276930444"/>
  </r>
  <r>
    <n v="30"/>
    <n v="10"/>
    <n v="32.689872970198586"/>
    <n v="12.689139352703059"/>
    <m/>
    <n v="235"/>
    <x v="0"/>
    <n v="45.2"/>
    <m/>
    <s v="dead"/>
    <m/>
    <n v="7.6"/>
    <m/>
    <m/>
    <m/>
    <s v="D"/>
    <m/>
    <s v="broken"/>
    <m/>
    <x v="392"/>
    <s v="dead"/>
  </r>
  <r>
    <n v="40"/>
    <n v="20"/>
    <n v="41.081628906778029"/>
    <n v="27.390527773607346"/>
    <m/>
    <n v="303"/>
    <x v="0"/>
    <n v="45.4"/>
    <m/>
    <s v="dead"/>
    <m/>
    <n v="7.5"/>
    <m/>
    <m/>
    <m/>
    <s v="D"/>
    <m/>
    <s v="broken"/>
    <m/>
    <x v="393"/>
    <s v="dead"/>
  </r>
  <r>
    <n v="0"/>
    <n v="30"/>
    <n v="3.7176452813807801"/>
    <n v="39.488579054457183"/>
    <m/>
    <n v="55"/>
    <x v="0"/>
    <n v="46.4"/>
    <m/>
    <s v="dead"/>
    <m/>
    <n v="12"/>
    <m/>
    <m/>
    <m/>
    <s v="D"/>
    <m/>
    <m/>
    <m/>
    <x v="394"/>
    <s v="dead"/>
  </r>
  <r>
    <n v="40"/>
    <n v="0"/>
    <n v="40.876130854070112"/>
    <n v="5.1789633141256459"/>
    <m/>
    <n v="265"/>
    <x v="2"/>
    <n v="46.9"/>
    <m/>
    <s v="dead"/>
    <m/>
    <n v="6.6"/>
    <n v="4.4000000000000004"/>
    <m/>
    <m/>
    <s v="L"/>
    <m/>
    <s v="dead Ht=10.6"/>
    <m/>
    <x v="395"/>
    <s v="dead"/>
  </r>
  <r>
    <n v="30"/>
    <n v="-20"/>
    <n v="31.451980341886681"/>
    <n v="-13.401670166919232"/>
    <m/>
    <n v="526"/>
    <x v="1"/>
    <n v="46.9"/>
    <m/>
    <n v="50.3"/>
    <m/>
    <n v="12.6"/>
    <n v="2.5"/>
    <m/>
    <m/>
    <s v="L"/>
    <m/>
    <m/>
    <m/>
    <x v="395"/>
    <n v="16.01098727504467"/>
  </r>
  <r>
    <n v="20"/>
    <n v="-20"/>
    <n v="27.094591953759824"/>
    <n v="-13.337565454045706"/>
    <m/>
    <n v="546"/>
    <x v="2"/>
    <n v="48"/>
    <m/>
    <s v="dead"/>
    <m/>
    <n v="4.3"/>
    <m/>
    <m/>
    <m/>
    <s v="D"/>
    <m/>
    <m/>
    <m/>
    <x v="396"/>
    <s v="dead"/>
  </r>
  <r>
    <n v="0"/>
    <n v="20"/>
    <n v="8.9259555083891282"/>
    <n v="22.883005074962199"/>
    <m/>
    <n v="37"/>
    <x v="2"/>
    <n v="48.4"/>
    <m/>
    <n v="52.5"/>
    <m/>
    <n v="14.2"/>
    <n v="3"/>
    <m/>
    <m/>
    <s v="L"/>
    <m/>
    <m/>
    <m/>
    <x v="397"/>
    <n v="16.71126902464901"/>
  </r>
  <r>
    <n v="20"/>
    <n v="30"/>
    <n v="25.097578655256243"/>
    <n v="34.13590656166906"/>
    <m/>
    <n v="170"/>
    <x v="2"/>
    <n v="49"/>
    <m/>
    <s v="dead"/>
    <m/>
    <n v="6.1"/>
    <n v="3.2"/>
    <m/>
    <m/>
    <s v="L"/>
    <m/>
    <s v="dead Ht=6.7"/>
    <m/>
    <x v="398"/>
    <s v="dead"/>
  </r>
  <r>
    <n v="10"/>
    <n v="-50"/>
    <n v="17.164256873551739"/>
    <n v="-46.13960352802961"/>
    <m/>
    <n v="817"/>
    <x v="0"/>
    <n v="49.4"/>
    <m/>
    <n v="50.5"/>
    <m/>
    <n v="11.7"/>
    <n v="3.6"/>
    <m/>
    <m/>
    <s v="L"/>
    <m/>
    <m/>
    <m/>
    <x v="399"/>
    <n v="16.074649252281429"/>
  </r>
  <r>
    <n v="40"/>
    <n v="10"/>
    <n v="42.304581878069619"/>
    <n v="19.634808535312285"/>
    <m/>
    <n v="284"/>
    <x v="2"/>
    <n v="49.7"/>
    <m/>
    <n v="50.3"/>
    <m/>
    <n v="10.7"/>
    <n v="3.2"/>
    <m/>
    <m/>
    <s v="L"/>
    <m/>
    <m/>
    <m/>
    <x v="400"/>
    <n v="16.01098727504467"/>
  </r>
  <r>
    <n v="10"/>
    <n v="40"/>
    <n v="19.23738470341846"/>
    <n v="42.642142673933385"/>
    <m/>
    <n v="81"/>
    <x v="0"/>
    <n v="50.2"/>
    <m/>
    <s v="dead"/>
    <m/>
    <n v="12.1"/>
    <m/>
    <m/>
    <m/>
    <s v="D"/>
    <m/>
    <m/>
    <m/>
    <x v="401"/>
    <s v="dead"/>
  </r>
  <r>
    <n v="40"/>
    <n v="0"/>
    <n v="48.467731741905403"/>
    <n v="4.3313476780518956"/>
    <m/>
    <n v="277"/>
    <x v="0"/>
    <n v="50.3"/>
    <m/>
    <s v="dead"/>
    <m/>
    <n v="4.0999999999999996"/>
    <m/>
    <m/>
    <m/>
    <s v="D"/>
    <m/>
    <s v="broken"/>
    <m/>
    <x v="402"/>
    <s v="dead"/>
  </r>
  <r>
    <n v="40"/>
    <n v="-30"/>
    <n v="48.043097408521334"/>
    <n v="-23.901055742566481"/>
    <m/>
    <n v="696"/>
    <x v="2"/>
    <n v="51"/>
    <m/>
    <n v="50"/>
    <m/>
    <n v="9.5"/>
    <n v="4.2"/>
    <m/>
    <m/>
    <s v="L"/>
    <m/>
    <s v="Dead H=10.3"/>
    <m/>
    <x v="403"/>
    <n v="15.915494309189533"/>
  </r>
  <r>
    <n v="0"/>
    <n v="-30"/>
    <n v="9.0173586714432492"/>
    <n v="-23.071405532326935"/>
    <m/>
    <n v="608"/>
    <x v="2"/>
    <n v="51.7"/>
    <m/>
    <s v="dead"/>
    <m/>
    <n v="6.6"/>
    <n v="5"/>
    <m/>
    <m/>
    <s v="L"/>
    <m/>
    <s v="Dead H=8.3"/>
    <m/>
    <x v="404"/>
    <s v="dead"/>
  </r>
  <r>
    <n v="20"/>
    <n v="-30"/>
    <n v="24.631125327517815"/>
    <n v="-26.197998447174644"/>
    <m/>
    <n v="646"/>
    <x v="2"/>
    <n v="52.2"/>
    <m/>
    <n v="52"/>
    <m/>
    <n v="11.9"/>
    <n v="4.0999999999999996"/>
    <m/>
    <m/>
    <s v="L"/>
    <m/>
    <m/>
    <m/>
    <x v="405"/>
    <n v="16.552114081557114"/>
  </r>
  <r>
    <n v="40"/>
    <n v="-50"/>
    <n v="45.008992517250434"/>
    <n v="-49.500399673810001"/>
    <m/>
    <n v="826"/>
    <x v="0"/>
    <n v="53.2"/>
    <m/>
    <n v="54.6"/>
    <m/>
    <n v="11.1"/>
    <n v="3.7"/>
    <m/>
    <m/>
    <s v="L"/>
    <m/>
    <m/>
    <m/>
    <x v="406"/>
    <n v="17.379719785634972"/>
  </r>
  <r>
    <n v="40"/>
    <n v="-30"/>
    <n v="43.168294263952326"/>
    <n v="-26.62296203959831"/>
    <m/>
    <n v="683"/>
    <x v="0"/>
    <n v="53.6"/>
    <m/>
    <s v="dead"/>
    <m/>
    <n v="12"/>
    <m/>
    <m/>
    <m/>
    <s v="D"/>
    <m/>
    <m/>
    <m/>
    <x v="407"/>
    <s v="dead"/>
  </r>
  <r>
    <n v="0"/>
    <n v="-20"/>
    <n v="6.4666413112328369"/>
    <n v="-17.283553401455698"/>
    <m/>
    <n v="582"/>
    <x v="0"/>
    <n v="54.8"/>
    <m/>
    <s v="dead"/>
    <m/>
    <n v="3.7"/>
    <m/>
    <m/>
    <m/>
    <s v="D"/>
    <m/>
    <s v="broken"/>
    <m/>
    <x v="408"/>
    <s v="dead"/>
  </r>
  <r>
    <n v="0"/>
    <n v="-40"/>
    <n v="4.8140191056457162"/>
    <n v="-37.96763631123946"/>
    <m/>
    <n v="728"/>
    <x v="0"/>
    <n v="54.8"/>
    <m/>
    <n v="55.8"/>
    <m/>
    <n v="13.1"/>
    <n v="3"/>
    <m/>
    <m/>
    <s v="L"/>
    <m/>
    <m/>
    <m/>
    <x v="408"/>
    <n v="17.761691649055518"/>
  </r>
  <r>
    <n v="10"/>
    <n v="-10"/>
    <n v="10.990466041018198"/>
    <n v="-3.8857530829415468"/>
    <m/>
    <n v="406"/>
    <x v="0"/>
    <n v="56.9"/>
    <m/>
    <s v="dead"/>
    <m/>
    <n v="11.4"/>
    <m/>
    <m/>
    <m/>
    <s v="D"/>
    <m/>
    <m/>
    <m/>
    <x v="409"/>
    <s v="dead"/>
  </r>
  <r>
    <n v="0"/>
    <n v="20"/>
    <n v="8.640717581892984"/>
    <n v="22.445076618424352"/>
    <m/>
    <n v="32"/>
    <x v="2"/>
    <n v="57.3"/>
    <m/>
    <n v="58.2"/>
    <m/>
    <n v="11.9"/>
    <n v="3.5"/>
    <m/>
    <m/>
    <s v="L"/>
    <m/>
    <m/>
    <m/>
    <x v="410"/>
    <n v="18.52563537589662"/>
  </r>
  <r>
    <n v="10"/>
    <n v="40"/>
    <n v="11.407461215204988"/>
    <n v="46.883921646256113"/>
    <m/>
    <n v="74"/>
    <x v="0"/>
    <n v="57.7"/>
    <m/>
    <n v="58.8"/>
    <m/>
    <n v="11.3"/>
    <n v="1.1000000000000001"/>
    <m/>
    <m/>
    <s v="L"/>
    <m/>
    <m/>
    <m/>
    <x v="411"/>
    <n v="18.716621307606893"/>
  </r>
  <r>
    <n v="30"/>
    <n v="40"/>
    <n v="37.478923043387454"/>
    <n v="45.780601114359932"/>
    <m/>
    <n v="202"/>
    <x v="2"/>
    <n v="57.7"/>
    <m/>
    <s v="dead"/>
    <m/>
    <n v="5.9"/>
    <m/>
    <m/>
    <m/>
    <s v="D"/>
    <m/>
    <s v="broken"/>
    <m/>
    <x v="411"/>
    <s v="dead"/>
  </r>
  <r>
    <n v="0"/>
    <n v="-50"/>
    <n v="8.970067549236866"/>
    <n v="-42.178838944682475"/>
    <m/>
    <n v="810"/>
    <x v="0"/>
    <n v="58.5"/>
    <m/>
    <n v="59.5"/>
    <m/>
    <n v="14"/>
    <n v="4.5"/>
    <m/>
    <m/>
    <s v="L"/>
    <m/>
    <m/>
    <m/>
    <x v="412"/>
    <n v="18.939438227935547"/>
  </r>
  <r>
    <n v="20"/>
    <n v="-30"/>
    <n v="24.64606832553627"/>
    <n v="-24.540464252163428"/>
    <m/>
    <n v="639"/>
    <x v="0"/>
    <n v="59"/>
    <m/>
    <s v="dead"/>
    <m/>
    <n v="8.6999999999999993"/>
    <m/>
    <m/>
    <m/>
    <s v="D"/>
    <m/>
    <s v="broken"/>
    <m/>
    <x v="413"/>
    <s v="dead"/>
  </r>
  <r>
    <n v="30"/>
    <n v="-20"/>
    <n v="30.348473496172943"/>
    <n v="-13.361017129668324"/>
    <m/>
    <n v="527"/>
    <x v="2"/>
    <n v="59.8"/>
    <m/>
    <n v="61"/>
    <m/>
    <n v="11.3"/>
    <n v="4.0999999999999996"/>
    <m/>
    <m/>
    <s v="L"/>
    <m/>
    <s v="Dead H=12.9"/>
    <m/>
    <x v="414"/>
    <n v="19.416903057211233"/>
  </r>
  <r>
    <n v="20"/>
    <n v="10"/>
    <n v="21.782757902395126"/>
    <n v="10.540297636283698"/>
    <m/>
    <n v="146"/>
    <x v="2"/>
    <n v="60"/>
    <m/>
    <s v="dead"/>
    <m/>
    <n v="7.5"/>
    <m/>
    <m/>
    <m/>
    <s v="D"/>
    <m/>
    <s v="broken,gbh at  1.5m-H"/>
    <m/>
    <x v="415"/>
    <s v="dead"/>
  </r>
  <r>
    <n v="0"/>
    <n v="-40"/>
    <n v="2.0996441669634551"/>
    <n v="-32.60697776877376"/>
    <m/>
    <n v="730"/>
    <x v="0"/>
    <n v="61.3"/>
    <m/>
    <s v="dead"/>
    <m/>
    <n v="13.2"/>
    <m/>
    <m/>
    <m/>
    <s v="D"/>
    <m/>
    <m/>
    <m/>
    <x v="416"/>
    <s v="dead"/>
  </r>
  <r>
    <n v="20"/>
    <n v="0"/>
    <n v="27.834202182826417"/>
    <n v="1.0174852129627514"/>
    <m/>
    <n v="117"/>
    <x v="1"/>
    <n v="61.5"/>
    <m/>
    <n v="62.4"/>
    <m/>
    <n v="10.5"/>
    <n v="4.9000000000000004"/>
    <m/>
    <m/>
    <s v="L"/>
    <m/>
    <m/>
    <m/>
    <x v="417"/>
    <n v="19.862536897868537"/>
  </r>
  <r>
    <n v="0"/>
    <n v="-50"/>
    <n v="1.8060621866094895"/>
    <n v="-44.139055823528977"/>
    <m/>
    <n v="802"/>
    <x v="0"/>
    <n v="61.6"/>
    <m/>
    <n v="62"/>
    <m/>
    <n v="15.2"/>
    <n v="6.9"/>
    <m/>
    <m/>
    <s v="L"/>
    <m/>
    <m/>
    <m/>
    <x v="418"/>
    <n v="19.735212943395023"/>
  </r>
  <r>
    <n v="10"/>
    <n v="-50"/>
    <n v="13.668225905124411"/>
    <n v="-49.401471127294251"/>
    <m/>
    <n v="814"/>
    <x v="0"/>
    <n v="62.8"/>
    <m/>
    <n v="63.4"/>
    <m/>
    <n v="16.7"/>
    <n v="10.9"/>
    <m/>
    <m/>
    <s v="L"/>
    <m/>
    <m/>
    <m/>
    <x v="419"/>
    <n v="20.180846784052328"/>
  </r>
  <r>
    <n v="0"/>
    <n v="-40"/>
    <n v="3.6821489091014223"/>
    <n v="-38.271631522726807"/>
    <m/>
    <n v="729"/>
    <x v="0"/>
    <n v="63.4"/>
    <m/>
    <n v="64.5"/>
    <m/>
    <n v="16.2"/>
    <n v="4.3"/>
    <m/>
    <m/>
    <s v="L"/>
    <m/>
    <m/>
    <m/>
    <x v="420"/>
    <n v="20.5309876588545"/>
  </r>
  <r>
    <n v="10"/>
    <n v="-50"/>
    <n v="19.293620727485088"/>
    <n v="-47.435506224737267"/>
    <m/>
    <n v="818"/>
    <x v="0"/>
    <n v="63.8"/>
    <m/>
    <n v="64.8"/>
    <m/>
    <n v="14.4"/>
    <n v="4.5"/>
    <m/>
    <m/>
    <s v="L"/>
    <m/>
    <m/>
    <m/>
    <x v="421"/>
    <n v="20.626480624709636"/>
  </r>
  <r>
    <n v="40"/>
    <n v="30"/>
    <n v="43.199272330210086"/>
    <n v="33.055325553969148"/>
    <m/>
    <n v="342"/>
    <x v="0"/>
    <n v="65.5"/>
    <m/>
    <s v="dead"/>
    <m/>
    <n v="7.9"/>
    <m/>
    <m/>
    <m/>
    <s v="D"/>
    <m/>
    <s v="broken"/>
    <m/>
    <x v="422"/>
    <s v="dead"/>
  </r>
  <r>
    <n v="40"/>
    <n v="20"/>
    <n v="43.349094919314922"/>
    <n v="23.576879203316832"/>
    <m/>
    <n v="286"/>
    <x v="0"/>
    <n v="65.599999999999994"/>
    <m/>
    <s v="dead"/>
    <m/>
    <n v="12.2"/>
    <m/>
    <m/>
    <m/>
    <s v="D"/>
    <m/>
    <m/>
    <m/>
    <x v="423"/>
    <s v="dead"/>
  </r>
  <r>
    <n v="10"/>
    <n v="-40"/>
    <n v="15.458956323973755"/>
    <n v="-30.151782097610404"/>
    <m/>
    <n v="724"/>
    <x v="0"/>
    <n v="66.900000000000006"/>
    <m/>
    <s v="dead"/>
    <m/>
    <n v="15.7"/>
    <m/>
    <m/>
    <m/>
    <s v="D"/>
    <m/>
    <m/>
    <m/>
    <x v="424"/>
    <s v="dead"/>
  </r>
  <r>
    <n v="20"/>
    <n v="10"/>
    <n v="24.081992358517237"/>
    <n v="14.329945512283251"/>
    <m/>
    <n v="158"/>
    <x v="0"/>
    <n v="67"/>
    <m/>
    <s v="dead"/>
    <m/>
    <n v="11.4"/>
    <m/>
    <m/>
    <m/>
    <s v="D"/>
    <m/>
    <m/>
    <m/>
    <x v="425"/>
    <s v="dead"/>
  </r>
  <r>
    <n v="30"/>
    <n v="10"/>
    <n v="31.896743692831674"/>
    <n v="17.510168004924175"/>
    <m/>
    <n v="224"/>
    <x v="2"/>
    <n v="68.8"/>
    <m/>
    <n v="68.5"/>
    <m/>
    <n v="7.3"/>
    <n v="3.2"/>
    <m/>
    <m/>
    <s v="L"/>
    <m/>
    <s v="dead Ht=9.3"/>
    <m/>
    <x v="426"/>
    <n v="21.804227203589662"/>
  </r>
  <r>
    <n v="10"/>
    <n v="-10"/>
    <n v="16.700577497173406"/>
    <n v="-0.72791565745859188"/>
    <m/>
    <n v="408"/>
    <x v="0"/>
    <n v="69.2"/>
    <m/>
    <s v="dead"/>
    <m/>
    <n v="13.5"/>
    <m/>
    <m/>
    <m/>
    <s v="D"/>
    <m/>
    <m/>
    <m/>
    <x v="427"/>
    <s v="dead"/>
  </r>
  <r>
    <n v="20"/>
    <n v="-30"/>
    <n v="25.194452297598396"/>
    <n v="-23.933295219017086"/>
    <m/>
    <n v="638"/>
    <x v="0"/>
    <n v="69.8"/>
    <m/>
    <s v="dead"/>
    <m/>
    <n v="14.6"/>
    <m/>
    <m/>
    <m/>
    <s v="D"/>
    <m/>
    <m/>
    <m/>
    <x v="428"/>
    <s v="dead"/>
  </r>
  <r>
    <n v="40"/>
    <n v="-30"/>
    <n v="47.825175149350287"/>
    <n v="-23.723873104039001"/>
    <m/>
    <n v="697"/>
    <x v="2"/>
    <n v="71.2"/>
    <m/>
    <n v="18"/>
    <m/>
    <n v="5.5"/>
    <n v="1.9"/>
    <m/>
    <m/>
    <s v="L"/>
    <m/>
    <m/>
    <m/>
    <x v="429"/>
    <n v="5.7295779513082321"/>
  </r>
  <r>
    <n v="0"/>
    <n v="30"/>
    <n v="8.4116641956156712"/>
    <n v="38.288269613612911"/>
    <m/>
    <n v="60"/>
    <x v="0"/>
    <n v="71.5"/>
    <m/>
    <s v="dead"/>
    <m/>
    <n v="13.1"/>
    <m/>
    <m/>
    <m/>
    <s v="D"/>
    <m/>
    <m/>
    <m/>
    <x v="430"/>
    <s v="dead"/>
  </r>
  <r>
    <n v="0"/>
    <n v="0"/>
    <n v="5.1128726289895026"/>
    <n v="4.974456640370116"/>
    <m/>
    <n v="16"/>
    <x v="0"/>
    <n v="72.2"/>
    <m/>
    <s v="dead"/>
    <m/>
    <n v="9.8000000000000007"/>
    <m/>
    <m/>
    <m/>
    <s v="D"/>
    <m/>
    <s v="broken"/>
    <m/>
    <x v="431"/>
    <s v="dead"/>
  </r>
  <r>
    <n v="20"/>
    <n v="-20"/>
    <n v="28.465129140768692"/>
    <n v="-16.499565697864465"/>
    <m/>
    <n v="559"/>
    <x v="0"/>
    <n v="73"/>
    <m/>
    <s v="dead"/>
    <m/>
    <n v="3"/>
    <m/>
    <m/>
    <m/>
    <s v="D"/>
    <m/>
    <m/>
    <m/>
    <x v="432"/>
    <s v="dead"/>
  </r>
  <r>
    <n v="10"/>
    <n v="-30"/>
    <n v="10.670995073625223"/>
    <n v="-20.197424387494433"/>
    <m/>
    <n v="617"/>
    <x v="0"/>
    <n v="73"/>
    <m/>
    <s v="dead"/>
    <m/>
    <n v="13.7"/>
    <m/>
    <m/>
    <m/>
    <s v="D"/>
    <m/>
    <m/>
    <m/>
    <x v="432"/>
    <s v="dead"/>
  </r>
  <r>
    <n v="40"/>
    <n v="10"/>
    <n v="44.877625007161186"/>
    <n v="16.837663182661874"/>
    <m/>
    <n v="283"/>
    <x v="0"/>
    <n v="73.400000000000006"/>
    <m/>
    <s v="dead"/>
    <m/>
    <n v="15.9"/>
    <m/>
    <m/>
    <m/>
    <s v="D"/>
    <m/>
    <m/>
    <m/>
    <x v="433"/>
    <s v="dead"/>
  </r>
  <r>
    <n v="40"/>
    <n v="-30"/>
    <n v="41.448771966454686"/>
    <n v="-26.34615792902456"/>
    <m/>
    <n v="693"/>
    <x v="0"/>
    <n v="75.5"/>
    <m/>
    <s v="dead"/>
    <m/>
    <n v="14.5"/>
    <m/>
    <m/>
    <m/>
    <s v="D"/>
    <m/>
    <m/>
    <m/>
    <x v="434"/>
    <s v="dead"/>
  </r>
  <r>
    <n v="10"/>
    <n v="-50"/>
    <n v="11.451037265159524"/>
    <n v="-46.139995316284079"/>
    <m/>
    <n v="812"/>
    <x v="0"/>
    <n v="76.5"/>
    <m/>
    <n v="78.2"/>
    <m/>
    <n v="16"/>
    <n v="4.5999999999999996"/>
    <m/>
    <m/>
    <s v="L"/>
    <m/>
    <m/>
    <m/>
    <x v="435"/>
    <n v="24.891833099572434"/>
  </r>
  <r>
    <n v="20"/>
    <n v="-30"/>
    <n v="23.287444262669794"/>
    <n v="-25.263316014950586"/>
    <m/>
    <n v="640"/>
    <x v="0"/>
    <n v="78.5"/>
    <m/>
    <s v="dead"/>
    <m/>
    <n v="15.7"/>
    <m/>
    <m/>
    <m/>
    <s v="D"/>
    <m/>
    <m/>
    <m/>
    <x v="436"/>
    <s v="dead"/>
  </r>
  <r>
    <n v="10"/>
    <n v="-40"/>
    <n v="15.09772605013295"/>
    <n v="-34.417277624868319"/>
    <m/>
    <n v="725"/>
    <x v="0"/>
    <n v="79.5"/>
    <m/>
    <s v="dead"/>
    <m/>
    <n v="15.3"/>
    <m/>
    <m/>
    <m/>
    <s v="D"/>
    <m/>
    <m/>
    <m/>
    <x v="437"/>
    <s v="dead"/>
  </r>
  <r>
    <n v="20"/>
    <n v="0"/>
    <n v="26.439860963064383"/>
    <n v="0.88215122082297992"/>
    <m/>
    <n v="116"/>
    <x v="1"/>
    <n v="80"/>
    <m/>
    <s v="dead"/>
    <m/>
    <n v="1.8"/>
    <m/>
    <m/>
    <m/>
    <s v="D"/>
    <m/>
    <s v="broken,gbh at  1m-H"/>
    <m/>
    <x v="438"/>
    <s v="dead"/>
  </r>
  <r>
    <n v="40"/>
    <n v="20"/>
    <n v="48.156732809019061"/>
    <n v="26.181056034521198"/>
    <m/>
    <n v="287"/>
    <x v="0"/>
    <n v="80.400000000000006"/>
    <m/>
    <s v="dead"/>
    <m/>
    <n v="18.5"/>
    <m/>
    <m/>
    <m/>
    <s v="D"/>
    <m/>
    <m/>
    <m/>
    <x v="439"/>
    <s v="dead"/>
  </r>
  <r>
    <n v="40"/>
    <n v="-20"/>
    <n v="40.793988816431167"/>
    <n v="-19.0753336996158"/>
    <m/>
    <n v="512"/>
    <x v="0"/>
    <n v="86"/>
    <m/>
    <s v="dead"/>
    <m/>
    <n v="16.5"/>
    <m/>
    <m/>
    <m/>
    <s v="D"/>
    <m/>
    <m/>
    <m/>
    <x v="440"/>
    <s v="dead"/>
  </r>
  <r>
    <n v="20"/>
    <n v="-50"/>
    <n v="23.607320227562639"/>
    <n v="-43.356142628275542"/>
    <m/>
    <n v="819"/>
    <x v="0"/>
    <n v="87.8"/>
    <m/>
    <s v="dead"/>
    <m/>
    <n v="16.899999999999999"/>
    <m/>
    <m/>
    <m/>
    <s v="D"/>
    <m/>
    <m/>
    <m/>
    <x v="441"/>
    <s v="dead"/>
  </r>
  <r>
    <n v="0"/>
    <n v="-20"/>
    <n v="8.5366685337559378"/>
    <n v="-10.477273867691553"/>
    <m/>
    <n v="590"/>
    <x v="0"/>
    <n v="88.5"/>
    <m/>
    <s v="dead"/>
    <m/>
    <n v="8.4"/>
    <m/>
    <m/>
    <m/>
    <s v="D"/>
    <m/>
    <s v="broken"/>
    <m/>
    <x v="442"/>
    <s v="dead"/>
  </r>
  <r>
    <n v="20"/>
    <n v="-20"/>
    <n v="27.300589115830448"/>
    <n v="-39.453605858000387"/>
    <m/>
    <n v="717"/>
    <x v="0"/>
    <n v="90.2"/>
    <m/>
    <s v="dead"/>
    <m/>
    <n v="19.399999999999999"/>
    <m/>
    <m/>
    <m/>
    <s v="D"/>
    <m/>
    <m/>
    <m/>
    <x v="443"/>
    <s v="dead"/>
  </r>
  <r>
    <n v="30"/>
    <n v="-20"/>
    <n v="30.741420526021269"/>
    <n v="-33.689937750172362"/>
    <m/>
    <n v="713"/>
    <x v="0"/>
    <n v="91.4"/>
    <m/>
    <s v="dead"/>
    <m/>
    <n v="16.100000000000001"/>
    <m/>
    <m/>
    <m/>
    <s v="D"/>
    <m/>
    <s v="broken"/>
    <m/>
    <x v="444"/>
    <s v="dead"/>
  </r>
  <r>
    <n v="0"/>
    <n v="-20"/>
    <n v="1.8407745955404609"/>
    <n v="-14.422176939971177"/>
    <m/>
    <n v="588"/>
    <x v="0"/>
    <n v="92"/>
    <m/>
    <s v="dead"/>
    <m/>
    <n v="13.5"/>
    <m/>
    <m/>
    <m/>
    <s v="D"/>
    <m/>
    <m/>
    <m/>
    <x v="445"/>
    <s v="dead"/>
  </r>
  <r>
    <n v="0"/>
    <n v="-30"/>
    <n v="3.7272304886527081"/>
    <n v="-27.998115259228051"/>
    <m/>
    <n v="606"/>
    <x v="0"/>
    <n v="93.6"/>
    <m/>
    <s v="dead"/>
    <m/>
    <n v="18.399999999999999"/>
    <m/>
    <m/>
    <m/>
    <s v="D"/>
    <m/>
    <m/>
    <m/>
    <x v="446"/>
    <s v="dead"/>
  </r>
  <r>
    <n v="10"/>
    <n v="-20"/>
    <n v="17.437640230641318"/>
    <n v="-18.478582104623413"/>
    <m/>
    <n v="571"/>
    <x v="0"/>
    <n v="97.2"/>
    <m/>
    <s v="dead"/>
    <m/>
    <n v="16.3"/>
    <m/>
    <m/>
    <m/>
    <s v="D"/>
    <m/>
    <m/>
    <m/>
    <x v="447"/>
    <s v="dead"/>
  </r>
  <r>
    <n v="20"/>
    <n v="10"/>
    <n v="23.07038032055581"/>
    <n v="14.569998788165483"/>
    <m/>
    <n v="156"/>
    <x v="0"/>
    <n v="97.3"/>
    <m/>
    <s v="dead"/>
    <m/>
    <n v="16.899999999999999"/>
    <m/>
    <m/>
    <m/>
    <s v="D"/>
    <m/>
    <m/>
    <m/>
    <x v="448"/>
    <s v="dead"/>
  </r>
  <r>
    <n v="30"/>
    <n v="-50"/>
    <n v="33.914906133753021"/>
    <n v="-40.244402616523288"/>
    <m/>
    <n v="821"/>
    <x v="0"/>
    <n v="99.5"/>
    <m/>
    <s v="dead"/>
    <m/>
    <n v="18.600000000000001"/>
    <m/>
    <m/>
    <m/>
    <s v="D"/>
    <m/>
    <m/>
    <m/>
    <x v="449"/>
    <s v="dead"/>
  </r>
  <r>
    <n v="10"/>
    <n v="-40"/>
    <n v="18.077169041346473"/>
    <n v="-34.59280661733704"/>
    <m/>
    <n v="722"/>
    <x v="0"/>
    <n v="101.1"/>
    <m/>
    <s v="dead"/>
    <m/>
    <n v="21.4"/>
    <m/>
    <m/>
    <m/>
    <s v="D"/>
    <m/>
    <m/>
    <m/>
    <x v="450"/>
    <s v="dead"/>
  </r>
  <r>
    <n v="0"/>
    <n v="-10"/>
    <n v="1.2154303413929617"/>
    <n v="-9.4124380158473588"/>
    <m/>
    <n v="405"/>
    <x v="0"/>
    <n v="103"/>
    <m/>
    <s v="dead"/>
    <m/>
    <n v="14.6"/>
    <m/>
    <m/>
    <m/>
    <s v="D"/>
    <m/>
    <m/>
    <m/>
    <x v="451"/>
    <s v="dead"/>
  </r>
  <r>
    <n v="0"/>
    <n v="-50"/>
    <n v="3.5447906807329383"/>
    <n v="-47.858700442468063"/>
    <m/>
    <n v="806"/>
    <x v="0"/>
    <n v="103.2"/>
    <m/>
    <n v="105.3"/>
    <m/>
    <n v="18.5"/>
    <n v="10.3"/>
    <m/>
    <m/>
    <s v="L"/>
    <m/>
    <m/>
    <m/>
    <x v="452"/>
    <n v="33.518031015153156"/>
  </r>
  <r>
    <n v="30"/>
    <n v="-30"/>
    <n v="36.146983389485356"/>
    <n v="-27.645305435977761"/>
    <m/>
    <n v="675"/>
    <x v="0"/>
    <n v="104"/>
    <m/>
    <s v="dead"/>
    <m/>
    <n v="2.5"/>
    <m/>
    <m/>
    <m/>
    <s v="D"/>
    <m/>
    <s v="gbh at 0.8m H"/>
    <m/>
    <x v="453"/>
    <s v="dead"/>
  </r>
  <r>
    <n v="0"/>
    <n v="-40"/>
    <n v="6.0081109655701512"/>
    <n v="-33.485829144334737"/>
    <m/>
    <n v="727"/>
    <x v="0"/>
    <n v="117"/>
    <m/>
    <s v="dead"/>
    <m/>
    <n v="21"/>
    <m/>
    <m/>
    <m/>
    <s v="D"/>
    <m/>
    <m/>
    <m/>
    <x v="454"/>
    <s v="dead"/>
  </r>
  <r>
    <n v="0"/>
    <n v="-40"/>
    <n v="0.80116598442242903"/>
    <n v="-32.577476658584828"/>
    <m/>
    <n v="731"/>
    <x v="0"/>
    <n v="118.5"/>
    <m/>
    <s v="dead"/>
    <m/>
    <n v="14.6"/>
    <m/>
    <m/>
    <m/>
    <s v="D"/>
    <m/>
    <s v="broken"/>
    <m/>
    <x v="455"/>
    <s v="dead"/>
  </r>
  <r>
    <n v="0"/>
    <n v="-10"/>
    <n v="2.7557223334190488"/>
    <n v="-4.5915903981766064"/>
    <m/>
    <n v="404"/>
    <x v="0"/>
    <n v="127.8"/>
    <m/>
    <s v="dead"/>
    <m/>
    <n v="5.4"/>
    <m/>
    <m/>
    <m/>
    <s v="D"/>
    <m/>
    <s v="broken"/>
    <m/>
    <x v="456"/>
    <s v="dead"/>
  </r>
  <r>
    <n v="10"/>
    <n v="-30"/>
    <n v="12.339531167012069"/>
    <n v="-29.699835939788905"/>
    <m/>
    <n v="626"/>
    <x v="0"/>
    <n v="135"/>
    <m/>
    <s v="dead"/>
    <m/>
    <n v="3.2"/>
    <m/>
    <m/>
    <m/>
    <s v="D"/>
    <m/>
    <s v="broken"/>
    <m/>
    <x v="457"/>
    <s v="dea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6">
  <r>
    <n v="4778"/>
    <n v="40.799999999999997"/>
    <n v="-21"/>
    <s v="bp"/>
    <x v="0"/>
    <n v="0.4"/>
    <n v="0"/>
    <x v="0"/>
    <x v="0"/>
  </r>
  <r>
    <n v="4779"/>
    <n v="40.5"/>
    <n v="-21"/>
    <s v="bp"/>
    <x v="0"/>
    <n v="0.27"/>
    <n v="0"/>
    <x v="0"/>
    <x v="0"/>
  </r>
  <r>
    <n v="4747"/>
    <n v="39.5"/>
    <n v="-16"/>
    <s v="bp"/>
    <x v="0"/>
    <n v="0.47000000000000003"/>
    <n v="0"/>
    <x v="1"/>
    <x v="0"/>
  </r>
  <r>
    <n v="828"/>
    <n v="45.382901456243502"/>
    <n v="-40.852567834469262"/>
    <s v="bp"/>
    <x v="1"/>
    <n v="2.7374650211805998"/>
    <n v="3.6"/>
    <x v="2"/>
    <x v="0"/>
  </r>
  <r>
    <n v="701"/>
    <n v="50.215139710240834"/>
    <n v="-27.437723206428444"/>
    <s v="bp"/>
    <x v="2"/>
    <n v="4.1061975317709001"/>
    <n v="5.2"/>
    <x v="3"/>
    <x v="0"/>
  </r>
  <r>
    <n v="702"/>
    <n v="50.122764376874976"/>
    <n v="-27.684136505344721"/>
    <s v="bp"/>
    <x v="3"/>
    <n v="9.6447895513688575"/>
    <n v="11"/>
    <x v="3"/>
    <x v="0"/>
  </r>
  <r>
    <n v="703"/>
    <n v="50.277366863519219"/>
    <n v="-27.783751864123932"/>
    <s v="bp"/>
    <x v="4"/>
    <n v="6.1115498147287806"/>
    <n v="6.6"/>
    <x v="3"/>
    <x v="0"/>
  </r>
  <r>
    <n v="704"/>
    <n v="50.189114493623592"/>
    <n v="-27.790330927717896"/>
    <s v="bp"/>
    <x v="5"/>
    <n v="9.0718317562380353"/>
    <n v="6.9"/>
    <x v="3"/>
    <x v="0"/>
  </r>
  <r>
    <n v="706"/>
    <n v="49.938192270330752"/>
    <n v="-27.773576332121721"/>
    <s v="bp"/>
    <x v="6"/>
    <n v="5.1884511447957884"/>
    <n v="5.2"/>
    <x v="3"/>
    <x v="1"/>
  </r>
  <r>
    <n v="2001"/>
    <n v="50.215139710240834"/>
    <n v="-27.437723206428444"/>
    <s v="bp"/>
    <x v="7"/>
    <n v="4.169859509007658"/>
    <n v="0"/>
    <x v="3"/>
    <x v="0"/>
  </r>
  <r>
    <n v="2002"/>
    <n v="50.215139710240834"/>
    <n v="-27.437723206428444"/>
    <s v="bp"/>
    <x v="8"/>
    <n v="14.260282901033822"/>
    <n v="0"/>
    <x v="3"/>
    <x v="0"/>
  </r>
  <r>
    <n v="2003"/>
    <n v="50.215139710240834"/>
    <n v="-27.437723206428444"/>
    <s v="bp"/>
    <x v="9"/>
    <n v="8.1169020976866619"/>
    <n v="0"/>
    <x v="3"/>
    <x v="0"/>
  </r>
  <r>
    <n v="2004"/>
    <n v="50.215139710240834"/>
    <n v="-27.437723206428444"/>
    <s v="bp"/>
    <x v="10"/>
    <n v="3.1194368846011491"/>
    <n v="0"/>
    <x v="3"/>
    <x v="0"/>
  </r>
  <r>
    <n v="2005"/>
    <n v="50.215139710240834"/>
    <n v="-27.437723206428444"/>
    <s v="bp"/>
    <x v="11"/>
    <n v="4.1380285203892786"/>
    <n v="0"/>
    <x v="3"/>
    <x v="0"/>
  </r>
  <r>
    <n v="2006"/>
    <n v="50.215139710240834"/>
    <n v="-27.437723206428444"/>
    <s v="bp"/>
    <x v="12"/>
    <n v="13.369015219719209"/>
    <n v="0"/>
    <x v="3"/>
    <x v="0"/>
  </r>
  <r>
    <n v="2007"/>
    <n v="50.215139710240834"/>
    <n v="-27.437723206428444"/>
    <s v="bp"/>
    <x v="13"/>
    <n v="5.0929581789406511"/>
    <n v="0"/>
    <x v="3"/>
    <x v="0"/>
  </r>
  <r>
    <n v="2008"/>
    <n v="50.215139710240834"/>
    <n v="-27.437723206428444"/>
    <s v="bp"/>
    <x v="14"/>
    <n v="12.350423583931077"/>
    <n v="0"/>
    <x v="3"/>
    <x v="0"/>
  </r>
  <r>
    <n v="2009"/>
    <n v="50.215139710240834"/>
    <n v="-27.437723206428444"/>
    <s v="bp"/>
    <x v="15"/>
    <n v="3.3422538049298023"/>
    <n v="0"/>
    <x v="3"/>
    <x v="0"/>
  </r>
  <r>
    <n v="2010"/>
    <n v="50.215139710240834"/>
    <n v="-27.437723206428444"/>
    <s v="bp"/>
    <x v="16"/>
    <n v="1.56"/>
    <n v="0"/>
    <x v="3"/>
    <x v="0"/>
  </r>
  <r>
    <n v="696"/>
    <n v="48.043097408521334"/>
    <n v="-23.901055742566481"/>
    <s v="bp"/>
    <x v="17"/>
    <n v="15.915494309189533"/>
    <n v="9.5"/>
    <x v="4"/>
    <x v="2"/>
  </r>
  <r>
    <n v="697"/>
    <n v="47.825175149350287"/>
    <n v="-23.723873104039001"/>
    <s v="bp"/>
    <x v="18"/>
    <n v="5.7295779513082321"/>
    <n v="5.5"/>
    <x v="4"/>
    <x v="0"/>
  </r>
  <r>
    <n v="698"/>
    <n v="48.053490775127813"/>
    <n v="-23.804467220567812"/>
    <s v="bp"/>
    <x v="19"/>
    <n v="0"/>
    <n v="6.4"/>
    <x v="4"/>
    <x v="0"/>
  </r>
  <r>
    <n v="699"/>
    <n v="48.14767037396004"/>
    <n v="-23.593335497569491"/>
    <s v="bp"/>
    <x v="20"/>
    <n v="6.5253526667677093"/>
    <n v="6.2"/>
    <x v="4"/>
    <x v="3"/>
  </r>
  <r>
    <n v="700"/>
    <n v="48.268851088723402"/>
    <n v="-23.650476667238095"/>
    <s v="bp"/>
    <x v="21"/>
    <n v="1.1000000000000001"/>
    <n v="2.4"/>
    <x v="4"/>
    <x v="0"/>
  </r>
  <r>
    <n v="676"/>
    <n v="42.086746232082206"/>
    <n v="-25.305710651858675"/>
    <s v="bp"/>
    <x v="22"/>
    <n v="5.4749300423611995"/>
    <n v="5.8"/>
    <x v="5"/>
    <x v="0"/>
  </r>
  <r>
    <n v="677"/>
    <n v="42.268491342012091"/>
    <n v="-25.487961387525822"/>
    <s v="bp"/>
    <x v="23"/>
    <n v="0"/>
    <n v="5.2"/>
    <x v="5"/>
    <x v="4"/>
  </r>
  <r>
    <n v="678"/>
    <n v="42.374703444130603"/>
    <n v="-25.665581582664061"/>
    <s v="bp"/>
    <x v="12"/>
    <n v="0"/>
    <n v="4.3"/>
    <x v="5"/>
    <x v="0"/>
  </r>
  <r>
    <n v="679"/>
    <n v="42.600771010641061"/>
    <n v="-25.452840538415533"/>
    <s v="bp"/>
    <x v="24"/>
    <n v="0"/>
    <n v="1.5"/>
    <x v="5"/>
    <x v="0"/>
  </r>
  <r>
    <n v="680"/>
    <n v="42.781270294175009"/>
    <n v="-25.663879383182479"/>
    <s v="bp"/>
    <x v="25"/>
    <n v="1.75"/>
    <n v="2.8"/>
    <x v="5"/>
    <x v="0"/>
  </r>
  <r>
    <n v="681"/>
    <n v="42.713143904854235"/>
    <n v="-25.766937840350597"/>
    <s v="bp"/>
    <x v="26"/>
    <n v="6.4616906895309514"/>
    <n v="5.0999999999999996"/>
    <x v="5"/>
    <x v="0"/>
  </r>
  <r>
    <n v="682"/>
    <n v="42.673689076497766"/>
    <n v="-25.82924567952502"/>
    <s v="bp"/>
    <x v="27"/>
    <n v="1.6800000000000002"/>
    <n v="1.8"/>
    <x v="5"/>
    <x v="0"/>
  </r>
  <r>
    <n v="684"/>
    <n v="42.331454315224569"/>
    <n v="-26.014452133946147"/>
    <s v="bp"/>
    <x v="28"/>
    <n v="1.6199999999999999"/>
    <n v="1.7"/>
    <x v="5"/>
    <x v="0"/>
  </r>
  <r>
    <n v="685"/>
    <n v="42.307079585689536"/>
    <n v="-26.109287362000902"/>
    <s v="bp"/>
    <x v="29"/>
    <n v="3.4377467707849396"/>
    <n v="1.7"/>
    <x v="5"/>
    <x v="0"/>
  </r>
  <r>
    <n v="686"/>
    <n v="42.242981371580008"/>
    <n v="-25.944872339684423"/>
    <s v="bp"/>
    <x v="30"/>
    <n v="8.0214091318315255"/>
    <n v="5.9"/>
    <x v="5"/>
    <x v="0"/>
  </r>
  <r>
    <n v="687"/>
    <n v="42.241277722406934"/>
    <n v="-25.786425470262586"/>
    <s v="bp"/>
    <x v="26"/>
    <n v="0"/>
    <n v="2.8"/>
    <x v="5"/>
    <x v="0"/>
  </r>
  <r>
    <n v="688"/>
    <n v="42.059526159725067"/>
    <n v="-25.726284030932"/>
    <s v="bp"/>
    <x v="31"/>
    <n v="6.3025357464390561"/>
    <n v="5.0999999999999996"/>
    <x v="5"/>
    <x v="5"/>
  </r>
  <r>
    <n v="689"/>
    <n v="41.913207673811556"/>
    <n v="-25.707852741674184"/>
    <s v="bp"/>
    <x v="11"/>
    <n v="0"/>
    <n v="0"/>
    <x v="5"/>
    <x v="0"/>
  </r>
  <r>
    <n v="690"/>
    <n v="41.859970636357168"/>
    <n v="-25.656915812060998"/>
    <s v="bp"/>
    <x v="32"/>
    <n v="0"/>
    <n v="5"/>
    <x v="5"/>
    <x v="0"/>
  </r>
  <r>
    <n v="691"/>
    <n v="41.972325866754147"/>
    <n v="-25.582787237594637"/>
    <s v="bp"/>
    <x v="26"/>
    <n v="0"/>
    <n v="5"/>
    <x v="5"/>
    <x v="0"/>
  </r>
  <r>
    <n v="692"/>
    <n v="42.046818434004329"/>
    <n v="-25.540917398602279"/>
    <s v="bp"/>
    <x v="33"/>
    <n v="0"/>
    <n v="3"/>
    <x v="5"/>
    <x v="0"/>
  </r>
  <r>
    <n v="4781"/>
    <n v="42.24"/>
    <n v="-25.94"/>
    <s v="bp"/>
    <x v="0"/>
    <n v="0.3"/>
    <n v="0"/>
    <x v="5"/>
    <x v="0"/>
  </r>
  <r>
    <n v="4782"/>
    <n v="42.09"/>
    <n v="-25.31"/>
    <s v="bp"/>
    <x v="34"/>
    <n v="1.97"/>
    <n v="2.7"/>
    <x v="5"/>
    <x v="0"/>
  </r>
  <r>
    <n v="641"/>
    <n v="24.934351111620828"/>
    <n v="-25.745850793369321"/>
    <s v="bp"/>
    <x v="35"/>
    <n v="5.1884511447957884"/>
    <n v="6.4"/>
    <x v="6"/>
    <x v="0"/>
  </r>
  <r>
    <n v="642"/>
    <n v="24.625619283291407"/>
    <n v="-25.803803228217753"/>
    <s v="bp"/>
    <x v="36"/>
    <n v="2.2999999999999998"/>
    <n v="3.9"/>
    <x v="6"/>
    <x v="0"/>
  </r>
  <r>
    <n v="643"/>
    <n v="24.491891167551483"/>
    <n v="-26.074597689551354"/>
    <s v="bp"/>
    <x v="37"/>
    <n v="7.0028174960433951"/>
    <n v="6.4"/>
    <x v="6"/>
    <x v="0"/>
  </r>
  <r>
    <n v="644"/>
    <n v="24.426142049030712"/>
    <n v="-26.190396396226696"/>
    <s v="bp"/>
    <x v="38"/>
    <n v="10.567888221301851"/>
    <n v="7.9"/>
    <x v="6"/>
    <x v="6"/>
  </r>
  <r>
    <n v="645"/>
    <n v="24.416937663290781"/>
    <n v="-26.422578527695791"/>
    <s v="bp"/>
    <x v="39"/>
    <n v="3.3104228163114233"/>
    <n v="5.4"/>
    <x v="6"/>
    <x v="0"/>
  </r>
  <r>
    <n v="646"/>
    <n v="24.631125327517815"/>
    <n v="-26.197998447174644"/>
    <s v="bp"/>
    <x v="40"/>
    <n v="16.552114081557114"/>
    <n v="11.9"/>
    <x v="6"/>
    <x v="7"/>
  </r>
  <r>
    <n v="647"/>
    <n v="24.978339189507665"/>
    <n v="-25.942333102777518"/>
    <s v="bp"/>
    <x v="41"/>
    <n v="9.9312684489342686"/>
    <n v="7.9"/>
    <x v="6"/>
    <x v="0"/>
  </r>
  <r>
    <n v="648"/>
    <n v="24.931124992627893"/>
    <n v="-26.215054799407518"/>
    <s v="bp"/>
    <x v="42"/>
    <n v="3.2785918276930444"/>
    <n v="4.8"/>
    <x v="6"/>
    <x v="0"/>
  </r>
  <r>
    <n v="608"/>
    <n v="9.0173586714432492"/>
    <n v="-23.071405532326935"/>
    <s v="bp"/>
    <x v="43"/>
    <n v="0"/>
    <n v="6.6"/>
    <x v="7"/>
    <x v="8"/>
  </r>
  <r>
    <n v="609"/>
    <n v="9.309286328818267"/>
    <n v="-23.147976576191382"/>
    <s v="bp"/>
    <x v="44"/>
    <n v="1.6300000000000001"/>
    <n v="2.2999999999999998"/>
    <x v="7"/>
    <x v="0"/>
  </r>
  <r>
    <n v="610"/>
    <n v="9.2331769958039427"/>
    <n v="-22.944436741865474"/>
    <s v="bp"/>
    <x v="45"/>
    <n v="4.2335214862444159"/>
    <n v="4.7"/>
    <x v="7"/>
    <x v="0"/>
  </r>
  <r>
    <n v="611"/>
    <n v="9.3944202602946802"/>
    <n v="-23.025684932968588"/>
    <s v="bp"/>
    <x v="46"/>
    <n v="4.2971834634811739"/>
    <n v="4.8"/>
    <x v="7"/>
    <x v="9"/>
  </r>
  <r>
    <n v="581"/>
    <n v="7.8356849124416224"/>
    <n v="-16.883817396832569"/>
    <s v="bp"/>
    <x v="47"/>
    <n v="7.7349302342661135"/>
    <n v="6.3"/>
    <x v="8"/>
    <x v="0"/>
  </r>
  <r>
    <n v="573"/>
    <n v="16.298395004410601"/>
    <n v="-11.763555350964374"/>
    <s v="bp"/>
    <x v="46"/>
    <n v="4.1380285203892786"/>
    <n v="2.9"/>
    <x v="9"/>
    <x v="0"/>
  </r>
  <r>
    <n v="574"/>
    <n v="16.067810813301975"/>
    <n v="-11.937817404696471"/>
    <s v="bp"/>
    <x v="48"/>
    <n v="14.642254764454371"/>
    <n v="10.199999999999999"/>
    <x v="9"/>
    <x v="10"/>
  </r>
  <r>
    <n v="575"/>
    <n v="16.117883851958656"/>
    <n v="-12.281271204847481"/>
    <s v="bp"/>
    <x v="49"/>
    <n v="11.490986891234844"/>
    <n v="7.3"/>
    <x v="9"/>
    <x v="11"/>
  </r>
  <r>
    <n v="560"/>
    <n v="27.802826060536908"/>
    <n v="-18.540553137267075"/>
    <s v="bp"/>
    <x v="50"/>
    <n v="5.6659159740714742"/>
    <n v="6"/>
    <x v="10"/>
    <x v="12"/>
  </r>
  <r>
    <n v="561"/>
    <n v="27.731279138370269"/>
    <n v="-18.751193542563861"/>
    <s v="bp"/>
    <x v="51"/>
    <n v="4.1380285203892786"/>
    <n v="4.4000000000000004"/>
    <x v="10"/>
    <x v="0"/>
  </r>
  <r>
    <n v="562"/>
    <n v="27.816973727695228"/>
    <n v="-18.819040245306269"/>
    <s v="bp"/>
    <x v="52"/>
    <n v="11.650141834326739"/>
    <n v="9.1999999999999993"/>
    <x v="10"/>
    <x v="13"/>
  </r>
  <r>
    <n v="563"/>
    <n v="27.646310495894554"/>
    <n v="-18.975480802506063"/>
    <s v="bp"/>
    <x v="53"/>
    <n v="3.5969017138768349"/>
    <n v="3.8"/>
    <x v="10"/>
    <x v="0"/>
  </r>
  <r>
    <n v="564"/>
    <n v="27.711031855444549"/>
    <n v="-18.928457982322666"/>
    <s v="bp"/>
    <x v="54"/>
    <n v="1.25"/>
    <n v="2.2000000000000002"/>
    <x v="10"/>
    <x v="0"/>
  </r>
  <r>
    <n v="565"/>
    <n v="28.085472499046794"/>
    <n v="-18.593028245562195"/>
    <s v="bp"/>
    <x v="55"/>
    <n v="1.65"/>
    <n v="1.8"/>
    <x v="10"/>
    <x v="0"/>
  </r>
  <r>
    <n v="540"/>
    <n v="27.573886755230106"/>
    <n v="-13.029159888179269"/>
    <s v="bp"/>
    <x v="56"/>
    <n v="1.73"/>
    <n v="3.3"/>
    <x v="11"/>
    <x v="0"/>
  </r>
  <r>
    <n v="541"/>
    <n v="27.40438838957202"/>
    <n v="-13.093778944794197"/>
    <s v="bp"/>
    <x v="57"/>
    <n v="6.716338598477984"/>
    <n v="5.9"/>
    <x v="11"/>
    <x v="0"/>
  </r>
  <r>
    <n v="542"/>
    <n v="27.296469722438403"/>
    <n v="-13.073307418250858"/>
    <s v="bp"/>
    <x v="58"/>
    <n v="0"/>
    <n v="2.5"/>
    <x v="11"/>
    <x v="0"/>
  </r>
  <r>
    <n v="543"/>
    <n v="27.258718247585577"/>
    <n v="-13.129558963430984"/>
    <s v="bp"/>
    <x v="59"/>
    <n v="0"/>
    <n v="2.1"/>
    <x v="11"/>
    <x v="0"/>
  </r>
  <r>
    <n v="544"/>
    <n v="27.200450190790999"/>
    <n v="-13.143870970885699"/>
    <s v="bp"/>
    <x v="54"/>
    <n v="0.95"/>
    <n v="2.6"/>
    <x v="11"/>
    <x v="0"/>
  </r>
  <r>
    <n v="545"/>
    <n v="27.340618084048792"/>
    <n v="-13.250376825244652"/>
    <s v="bp"/>
    <x v="60"/>
    <n v="1.1800000000000002"/>
    <n v="2.1"/>
    <x v="11"/>
    <x v="0"/>
  </r>
  <r>
    <n v="546"/>
    <n v="27.094591953759824"/>
    <n v="-13.337565454045706"/>
    <s v="bp"/>
    <x v="61"/>
    <n v="0"/>
    <n v="4.3"/>
    <x v="11"/>
    <x v="0"/>
  </r>
  <r>
    <n v="547"/>
    <n v="27.385008708664767"/>
    <n v="-13.380176729038922"/>
    <s v="bp"/>
    <x v="23"/>
    <n v="7.0346484846617745"/>
    <n v="7.1"/>
    <x v="11"/>
    <x v="14"/>
  </r>
  <r>
    <n v="548"/>
    <n v="27.449991754626517"/>
    <n v="-13.504025262616915"/>
    <s v="bp"/>
    <x v="62"/>
    <n v="3.5969017138768349"/>
    <n v="4"/>
    <x v="11"/>
    <x v="0"/>
  </r>
  <r>
    <n v="549"/>
    <n v="27.221745045931094"/>
    <n v="-13.615881680698827"/>
    <s v="bp"/>
    <x v="63"/>
    <n v="3.7242256683503507"/>
    <n v="4.2"/>
    <x v="11"/>
    <x v="0"/>
  </r>
  <r>
    <n v="550"/>
    <n v="26.978042096895663"/>
    <n v="-13.635795974718397"/>
    <s v="bp"/>
    <x v="46"/>
    <n v="4.2335214862444159"/>
    <n v="4.2"/>
    <x v="11"/>
    <x v="0"/>
  </r>
  <r>
    <n v="551"/>
    <n v="27.245017801982723"/>
    <n v="-13.513307434350482"/>
    <s v="bp"/>
    <x v="64"/>
    <n v="1.1000000000000001"/>
    <n v="2"/>
    <x v="11"/>
    <x v="0"/>
  </r>
  <r>
    <n v="552"/>
    <n v="26.95918370245057"/>
    <n v="-13.567563635531844"/>
    <s v="bp"/>
    <x v="65"/>
    <n v="6.5890146440044672"/>
    <n v="6.6"/>
    <x v="11"/>
    <x v="0"/>
  </r>
  <r>
    <n v="553"/>
    <n v="26.875698166707046"/>
    <n v="-13.369747971083783"/>
    <s v="bp"/>
    <x v="66"/>
    <n v="1.1400000000000001"/>
    <n v="3.4"/>
    <x v="11"/>
    <x v="0"/>
  </r>
  <r>
    <n v="554"/>
    <n v="26.831865447207264"/>
    <n v="-13.479171223085471"/>
    <s v="bp"/>
    <x v="67"/>
    <n v="3.183098861837907"/>
    <n v="4.2"/>
    <x v="11"/>
    <x v="0"/>
  </r>
  <r>
    <n v="555"/>
    <n v="26.880206616637487"/>
    <n v="-13.466398935188682"/>
    <s v="bp"/>
    <x v="68"/>
    <n v="3.851549622823867"/>
    <n v="2.2000000000000002"/>
    <x v="11"/>
    <x v="0"/>
  </r>
  <r>
    <n v="556"/>
    <n v="27.354652244018268"/>
    <n v="-13.459375685046041"/>
    <s v="bp"/>
    <x v="69"/>
    <n v="0"/>
    <n v="1"/>
    <x v="11"/>
    <x v="0"/>
  </r>
  <r>
    <n v="557"/>
    <n v="26.865716922766467"/>
    <n v="-13.642459065946641"/>
    <s v="bp"/>
    <x v="70"/>
    <n v="1.1199999999999999"/>
    <n v="0.9"/>
    <x v="11"/>
    <x v="0"/>
  </r>
  <r>
    <n v="527"/>
    <n v="30.348473496172943"/>
    <n v="-13.361017129668324"/>
    <s v="bp"/>
    <x v="71"/>
    <n v="19.416903057211233"/>
    <n v="11.3"/>
    <x v="12"/>
    <x v="11"/>
  </r>
  <r>
    <n v="528"/>
    <n v="30.241353318909049"/>
    <n v="-13.002151720621825"/>
    <s v="bp"/>
    <x v="72"/>
    <n v="0.72"/>
    <n v="1.3"/>
    <x v="12"/>
    <x v="0"/>
  </r>
  <r>
    <n v="529"/>
    <n v="30.102245775782585"/>
    <n v="-13.026047143880325"/>
    <s v="bp"/>
    <x v="73"/>
    <n v="2.57"/>
    <n v="2.8"/>
    <x v="12"/>
    <x v="0"/>
  </r>
  <r>
    <n v="530"/>
    <n v="30.072596810592465"/>
    <n v="-12.997259734314172"/>
    <s v="bp"/>
    <x v="74"/>
    <n v="0.7"/>
    <n v="1.4"/>
    <x v="12"/>
    <x v="0"/>
  </r>
  <r>
    <n v="531"/>
    <n v="30.272031637104213"/>
    <n v="-12.789450040868029"/>
    <s v="bp"/>
    <x v="75"/>
    <n v="1.48"/>
    <n v="2.7"/>
    <x v="12"/>
    <x v="0"/>
  </r>
  <r>
    <n v="532"/>
    <n v="30.209660419134117"/>
    <n v="-12.825836317151232"/>
    <s v="bp"/>
    <x v="76"/>
    <n v="2.67"/>
    <n v="2.6"/>
    <x v="12"/>
    <x v="0"/>
  </r>
  <r>
    <n v="533"/>
    <n v="30.138860708753782"/>
    <n v="-12.93973330059718"/>
    <s v="bp"/>
    <x v="77"/>
    <n v="5.6977469626898527"/>
    <n v="5.2"/>
    <x v="12"/>
    <x v="15"/>
  </r>
  <r>
    <n v="534"/>
    <n v="30.008426910538304"/>
    <n v="-12.921740439865401"/>
    <s v="bp"/>
    <x v="78"/>
    <n v="2.57"/>
    <n v="4"/>
    <x v="12"/>
    <x v="0"/>
  </r>
  <r>
    <n v="535"/>
    <n v="29.844011771160329"/>
    <n v="-12.893009349392088"/>
    <s v="bp"/>
    <x v="79"/>
    <n v="3.0876058959827692"/>
    <n v="4.2"/>
    <x v="12"/>
    <x v="0"/>
  </r>
  <r>
    <n v="536"/>
    <n v="29.713889649171939"/>
    <n v="-12.910675840863741"/>
    <s v="bp"/>
    <x v="80"/>
    <n v="2.8647889756541161"/>
    <n v="2.4"/>
    <x v="12"/>
    <x v="0"/>
  </r>
  <r>
    <n v="537"/>
    <n v="29.705651689543171"/>
    <n v="-12.990784656740539"/>
    <s v="bp"/>
    <x v="81"/>
    <n v="3.4059157821665602"/>
    <n v="4.8"/>
    <x v="12"/>
    <x v="0"/>
  </r>
  <r>
    <n v="538"/>
    <n v="29.893250275501281"/>
    <n v="-12.955420444935895"/>
    <s v="bp"/>
    <x v="82"/>
    <n v="0.88000000000000012"/>
    <n v="1.7"/>
    <x v="12"/>
    <x v="0"/>
  </r>
  <r>
    <n v="539"/>
    <n v="29.815354348993672"/>
    <n v="-13.113758655297145"/>
    <s v="bp"/>
    <x v="83"/>
    <n v="1.34"/>
    <n v="2.2999999999999998"/>
    <x v="12"/>
    <x v="0"/>
  </r>
  <r>
    <n v="505"/>
    <n v="48.78592455891193"/>
    <n v="-16.38334783989626"/>
    <s v="bp"/>
    <x v="84"/>
    <n v="5.5704230082163368"/>
    <n v="5.6"/>
    <x v="13"/>
    <x v="16"/>
  </r>
  <r>
    <n v="506"/>
    <n v="48.947736636769655"/>
    <n v="-16.311933862059238"/>
    <s v="bp"/>
    <x v="85"/>
    <n v="1.7100000000000002"/>
    <n v="2.8"/>
    <x v="13"/>
    <x v="0"/>
  </r>
  <r>
    <n v="507"/>
    <n v="49.112968455015206"/>
    <n v="-16.596689013277626"/>
    <s v="bp"/>
    <x v="86"/>
    <n v="0"/>
    <n v="7.8"/>
    <x v="13"/>
    <x v="0"/>
  </r>
  <r>
    <n v="508"/>
    <n v="49.102832546654355"/>
    <n v="-16.139938080108806"/>
    <s v="bp"/>
    <x v="87"/>
    <n v="3.3104228163114233"/>
    <n v="3.7"/>
    <x v="13"/>
    <x v="0"/>
  </r>
  <r>
    <n v="509"/>
    <n v="49.246140094845508"/>
    <n v="-16.426234772126698"/>
    <s v="bp"/>
    <x v="88"/>
    <n v="2.48"/>
    <n v="3.6"/>
    <x v="13"/>
    <x v="0"/>
  </r>
  <r>
    <n v="501"/>
    <n v="47.835224083829708"/>
    <n v="-10.273612054147605"/>
    <s v="bp"/>
    <x v="89"/>
    <n v="8.2760570407785572"/>
    <n v="7.6"/>
    <x v="14"/>
    <x v="0"/>
  </r>
  <r>
    <n v="502"/>
    <n v="47.913619609306409"/>
    <n v="-10.317843796857876"/>
    <s v="bp"/>
    <x v="90"/>
    <n v="2.9921129301276324"/>
    <n v="2.7"/>
    <x v="14"/>
    <x v="0"/>
  </r>
  <r>
    <n v="503"/>
    <n v="49.439942488289539"/>
    <n v="-10.032951749359711"/>
    <s v="bp"/>
    <x v="91"/>
    <n v="2.4"/>
    <n v="3.7"/>
    <x v="14"/>
    <x v="0"/>
  </r>
  <r>
    <n v="504"/>
    <n v="49.449481850504085"/>
    <n v="-10.098958359898518"/>
    <s v="bp"/>
    <x v="92"/>
    <n v="2.5300000000000002"/>
    <n v="3.2"/>
    <x v="14"/>
    <x v="0"/>
  </r>
  <r>
    <n v="4745"/>
    <n v="47.84"/>
    <n v="-10.27"/>
    <s v="bp"/>
    <x v="0"/>
    <n v="0.10700000000000001"/>
    <n v="0"/>
    <x v="14"/>
    <x v="0"/>
  </r>
  <r>
    <n v="457"/>
    <n v="46.774147756904384"/>
    <n v="-3.4593030086586767"/>
    <s v="bp"/>
    <x v="93"/>
    <n v="5.6340849854530948"/>
    <n v="4.2"/>
    <x v="15"/>
    <x v="0"/>
  </r>
  <r>
    <n v="458"/>
    <n v="47.831262169247523"/>
    <n v="-2.5663546562123978"/>
    <s v="bp"/>
    <x v="94"/>
    <n v="6.3343667350574338"/>
    <n v="5.4"/>
    <x v="15"/>
    <x v="0"/>
  </r>
  <r>
    <n v="459"/>
    <n v="47.761100883618937"/>
    <n v="-2.7549647450862382"/>
    <s v="bp"/>
    <x v="15"/>
    <n v="3.246760839074665"/>
    <n v="2.9"/>
    <x v="15"/>
    <x v="0"/>
  </r>
  <r>
    <n v="460"/>
    <n v="47.995502870026861"/>
    <n v="-2.519998265064773"/>
    <s v="bp"/>
    <x v="95"/>
    <n v="9.2309866993299305"/>
    <n v="6.6"/>
    <x v="15"/>
    <x v="14"/>
  </r>
  <r>
    <n v="461"/>
    <n v="47.95645499176517"/>
    <n v="-2.6922711229217842"/>
    <s v="bp"/>
    <x v="96"/>
    <n v="0"/>
    <n v="4.7"/>
    <x v="15"/>
    <x v="0"/>
  </r>
  <r>
    <n v="462"/>
    <n v="47.838459784886211"/>
    <n v="-2.6503101513682941"/>
    <s v="bp"/>
    <x v="97"/>
    <n v="0.72"/>
    <n v="1.4"/>
    <x v="15"/>
    <x v="0"/>
  </r>
  <r>
    <n v="463"/>
    <n v="48.186840600406832"/>
    <n v="-2.4773681582814722"/>
    <s v="bp"/>
    <x v="98"/>
    <n v="5.9842258602552647"/>
    <n v="5.3"/>
    <x v="15"/>
    <x v="0"/>
  </r>
  <r>
    <n v="464"/>
    <n v="48.415466708767497"/>
    <n v="-2.6060994319050623"/>
    <s v="bp"/>
    <x v="99"/>
    <n v="5.6022539968347163"/>
    <n v="5.0999999999999996"/>
    <x v="15"/>
    <x v="0"/>
  </r>
  <r>
    <n v="465"/>
    <n v="48.14"/>
    <n v="-3.2216145020781122"/>
    <s v="bp"/>
    <x v="100"/>
    <n v="3.7242256683503507"/>
    <n v="4.3"/>
    <x v="15"/>
    <x v="0"/>
  </r>
  <r>
    <n v="466"/>
    <n v="48.209032601146284"/>
    <n v="-3.3401400833263204"/>
    <s v="bp"/>
    <x v="101"/>
    <n v="4.9974652130855137"/>
    <n v="4.0999999999999996"/>
    <x v="15"/>
    <x v="0"/>
  </r>
  <r>
    <n v="467"/>
    <n v="48.343280774778137"/>
    <n v="-3.1961353864910453"/>
    <s v="bp"/>
    <x v="102"/>
    <n v="5.0611271903222717"/>
    <n v="5"/>
    <x v="15"/>
    <x v="0"/>
  </r>
  <r>
    <n v="468"/>
    <n v="48.306777815709822"/>
    <n v="-3.1315489194051551"/>
    <s v="bp"/>
    <x v="103"/>
    <n v="3.246760839074665"/>
    <n v="4"/>
    <x v="15"/>
    <x v="0"/>
  </r>
  <r>
    <n v="469"/>
    <n v="48.401628678836474"/>
    <n v="-3.0574023483476909"/>
    <s v="bp"/>
    <x v="103"/>
    <n v="2.928450952890874"/>
    <n v="2.8"/>
    <x v="15"/>
    <x v="0"/>
  </r>
  <r>
    <n v="470"/>
    <n v="48.499274544622907"/>
    <n v="-2.9838604370149775"/>
    <s v="bp"/>
    <x v="104"/>
    <n v="0"/>
    <n v="2"/>
    <x v="15"/>
    <x v="0"/>
  </r>
  <r>
    <n v="471"/>
    <n v="48.531267151121057"/>
    <n v="-2.6387921135671051"/>
    <s v="bp"/>
    <x v="105"/>
    <n v="4.4881693951914485"/>
    <n v="3.8"/>
    <x v="15"/>
    <x v="0"/>
  </r>
  <r>
    <n v="447"/>
    <n v="43.411546288263949"/>
    <n v="-9.4229801363622858"/>
    <s v="bp"/>
    <x v="106"/>
    <n v="1.59"/>
    <n v="1.8"/>
    <x v="16"/>
    <x v="0"/>
  </r>
  <r>
    <n v="448"/>
    <n v="43.598885535307346"/>
    <n v="-9.3912940744862272"/>
    <s v="bp"/>
    <x v="107"/>
    <n v="1.04"/>
    <n v="2"/>
    <x v="16"/>
    <x v="0"/>
  </r>
  <r>
    <n v="449"/>
    <n v="43.511176741472546"/>
    <n v="-9.4124305231359866"/>
    <s v="bp"/>
    <x v="108"/>
    <n v="1.21"/>
    <n v="1.8"/>
    <x v="16"/>
    <x v="0"/>
  </r>
  <r>
    <n v="450"/>
    <n v="43.452236059635894"/>
    <n v="-9.6493346487751737"/>
    <s v="bp"/>
    <x v="109"/>
    <n v="7.3847893594639435"/>
    <n v="6.2"/>
    <x v="16"/>
    <x v="0"/>
  </r>
  <r>
    <n v="451"/>
    <n v="43.455869235201362"/>
    <n v="-9.8309797965071795"/>
    <s v="bp"/>
    <x v="33"/>
    <n v="3.7560566569687301"/>
    <n v="3.9"/>
    <x v="16"/>
    <x v="17"/>
  </r>
  <r>
    <n v="452"/>
    <n v="43.482322601613816"/>
    <n v="-9.5600803501892919"/>
    <s v="bp"/>
    <x v="110"/>
    <n v="8.3715500066336954"/>
    <n v="5.3"/>
    <x v="16"/>
    <x v="18"/>
  </r>
  <r>
    <n v="453"/>
    <n v="43.624437901391879"/>
    <n v="-9.6637710616945149"/>
    <s v="bp"/>
    <x v="111"/>
    <n v="0"/>
    <n v="3.9"/>
    <x v="16"/>
    <x v="0"/>
  </r>
  <r>
    <n v="454"/>
    <n v="43.779331656060187"/>
    <n v="-9.7158306253282198"/>
    <s v="bp"/>
    <x v="112"/>
    <n v="3.0557749073643903"/>
    <n v="2.2999999999999998"/>
    <x v="16"/>
    <x v="0"/>
  </r>
  <r>
    <n v="455"/>
    <n v="43.818712041029102"/>
    <n v="-9.7061661222742828"/>
    <s v="bp"/>
    <x v="113"/>
    <n v="2.33"/>
    <n v="2.2999999999999998"/>
    <x v="16"/>
    <x v="0"/>
  </r>
  <r>
    <n v="446"/>
    <n v="39.01488078418457"/>
    <n v="-2.2019784476682034"/>
    <s v="bp"/>
    <x v="114"/>
    <n v="1.33"/>
    <n v="2"/>
    <x v="17"/>
    <x v="0"/>
  </r>
  <r>
    <n v="440"/>
    <n v="38.84947872844365"/>
    <n v="-3.9687562805258523"/>
    <s v="bp"/>
    <x v="115"/>
    <n v="1.9300000000000002"/>
    <n v="3"/>
    <x v="18"/>
    <x v="0"/>
  </r>
  <r>
    <n v="441"/>
    <n v="38.887856973840393"/>
    <n v="-4.1141493487037444"/>
    <s v="bp"/>
    <x v="116"/>
    <n v="0"/>
    <n v="1.6"/>
    <x v="18"/>
    <x v="0"/>
  </r>
  <r>
    <n v="442"/>
    <n v="38.88133355192322"/>
    <n v="-4.1357451131497296"/>
    <s v="bp"/>
    <x v="117"/>
    <n v="0"/>
    <n v="1.4"/>
    <x v="18"/>
    <x v="0"/>
  </r>
  <r>
    <n v="443"/>
    <n v="38.935523972621638"/>
    <n v="-4.0240656975551694"/>
    <s v="bp"/>
    <x v="118"/>
    <n v="3.1194368846011491"/>
    <n v="3.4"/>
    <x v="18"/>
    <x v="0"/>
  </r>
  <r>
    <n v="444"/>
    <n v="38.977269466040433"/>
    <n v="-4.0167799426306585"/>
    <s v="bp"/>
    <x v="119"/>
    <n v="0"/>
    <n v="1"/>
    <x v="18"/>
    <x v="0"/>
  </r>
  <r>
    <n v="4743"/>
    <n v="38.85"/>
    <n v="-3.97"/>
    <s v="bp"/>
    <x v="0"/>
    <n v="0.35"/>
    <n v="0"/>
    <x v="18"/>
    <x v="0"/>
  </r>
  <r>
    <n v="434"/>
    <n v="36.140434147170858"/>
    <n v="-1.9804145102333841"/>
    <s v="bp"/>
    <x v="120"/>
    <n v="1.55"/>
    <n v="2.7"/>
    <x v="19"/>
    <x v="0"/>
  </r>
  <r>
    <n v="435"/>
    <n v="36.224931257984402"/>
    <n v="-1.8300026932038236"/>
    <s v="bp"/>
    <x v="121"/>
    <n v="7.5439443025558388"/>
    <n v="6.4"/>
    <x v="19"/>
    <x v="19"/>
  </r>
  <r>
    <n v="436"/>
    <n v="36.376280380840498"/>
    <n v="-1.9368581730371055"/>
    <s v="bp"/>
    <x v="122"/>
    <n v="2.31"/>
    <n v="3.2"/>
    <x v="19"/>
    <x v="0"/>
  </r>
  <r>
    <n v="437"/>
    <n v="36.357692293398046"/>
    <n v="-1.8575191390812584"/>
    <s v="bp"/>
    <x v="108"/>
    <n v="1.61"/>
    <n v="3.1"/>
    <x v="19"/>
    <x v="0"/>
  </r>
  <r>
    <n v="438"/>
    <n v="36.443441690078132"/>
    <n v="-2.0492143163001968"/>
    <s v="bp"/>
    <x v="123"/>
    <n v="2.08"/>
    <n v="2.4"/>
    <x v="19"/>
    <x v="0"/>
  </r>
  <r>
    <n v="429"/>
    <n v="33.766064591840596"/>
    <n v="-6.9729636066118257"/>
    <s v="bp"/>
    <x v="46"/>
    <n v="4.2653524748627953"/>
    <n v="4.7"/>
    <x v="20"/>
    <x v="0"/>
  </r>
  <r>
    <n v="430"/>
    <n v="34.217457461745369"/>
    <n v="-7.32809023481785"/>
    <s v="bp"/>
    <x v="124"/>
    <n v="9.4538036196585828"/>
    <n v="8.6"/>
    <x v="20"/>
    <x v="20"/>
  </r>
  <r>
    <n v="431"/>
    <n v="34.096027688842931"/>
    <n v="-6.9396714311873886"/>
    <s v="bp"/>
    <x v="125"/>
    <n v="0"/>
    <n v="3.4"/>
    <x v="20"/>
    <x v="0"/>
  </r>
  <r>
    <n v="426"/>
    <n v="33.758862366994734"/>
    <n v="-1.9829056980795468"/>
    <s v="bp"/>
    <x v="126"/>
    <n v="4.0743665431525207"/>
    <n v="4.7"/>
    <x v="21"/>
    <x v="0"/>
  </r>
  <r>
    <n v="427"/>
    <n v="33.65070084480169"/>
    <n v="-1.9024386240178419"/>
    <s v="bp"/>
    <x v="127"/>
    <n v="5.6659159740714742"/>
    <n v="5.7"/>
    <x v="21"/>
    <x v="0"/>
  </r>
  <r>
    <n v="422"/>
    <n v="32.579202742904585"/>
    <n v="-4.1813516974227438"/>
    <s v="bp"/>
    <x v="128"/>
    <n v="3.7878876455871091"/>
    <n v="4.0999999999999996"/>
    <x v="22"/>
    <x v="9"/>
  </r>
  <r>
    <n v="423"/>
    <n v="32.700022916406624"/>
    <n v="-4.0462839688971055"/>
    <s v="bp"/>
    <x v="129"/>
    <n v="11.777465788800255"/>
    <n v="8.1"/>
    <x v="22"/>
    <x v="20"/>
  </r>
  <r>
    <n v="424"/>
    <n v="32.809033307619565"/>
    <n v="-4.19762134732012"/>
    <s v="bp"/>
    <x v="130"/>
    <n v="2.65"/>
    <n v="4.8"/>
    <x v="22"/>
    <x v="0"/>
  </r>
  <r>
    <n v="425"/>
    <n v="32.773001461476369"/>
    <n v="-3.8493421389108899"/>
    <s v="bp"/>
    <x v="131"/>
    <n v="7.0028174960433951"/>
    <n v="6.9"/>
    <x v="22"/>
    <x v="0"/>
  </r>
  <r>
    <n v="418"/>
    <n v="28.096502686916914"/>
    <n v="-4.7002215407223211"/>
    <s v="bp"/>
    <x v="132"/>
    <n v="9.6766205399872369"/>
    <n v="6.1"/>
    <x v="23"/>
    <x v="0"/>
  </r>
  <r>
    <n v="419"/>
    <n v="28.216300026749987"/>
    <n v="-4.6050009323052059"/>
    <s v="bp"/>
    <x v="133"/>
    <n v="4.9656342244671343"/>
    <n v="4.7"/>
    <x v="23"/>
    <x v="0"/>
  </r>
  <r>
    <n v="410"/>
    <n v="21.74400471974932"/>
    <n v="-9.6175914129299045"/>
    <s v="bp"/>
    <x v="118"/>
    <n v="2.85"/>
    <n v="2.7"/>
    <x v="24"/>
    <x v="0"/>
  </r>
  <r>
    <n v="411"/>
    <n v="21.766250392445837"/>
    <n v="-9.5225324628643904"/>
    <s v="bp"/>
    <x v="134"/>
    <n v="0"/>
    <n v="4.4000000000000004"/>
    <x v="24"/>
    <x v="21"/>
  </r>
  <r>
    <n v="412"/>
    <n v="21.573591821388145"/>
    <n v="-9.2921288004261342"/>
    <s v="bp"/>
    <x v="135"/>
    <n v="3.246760839074665"/>
    <n v="2.6"/>
    <x v="24"/>
    <x v="0"/>
  </r>
  <r>
    <n v="413"/>
    <n v="21.622350838410512"/>
    <n v="-9.3261221968864305"/>
    <s v="bp"/>
    <x v="22"/>
    <n v="5.156620156177409"/>
    <n v="5.7"/>
    <x v="24"/>
    <x v="22"/>
  </r>
  <r>
    <n v="414"/>
    <n v="22.085349303121198"/>
    <n v="-9.5621753675044623"/>
    <s v="bp"/>
    <x v="136"/>
    <n v="2.94"/>
    <n v="3"/>
    <x v="24"/>
    <x v="0"/>
  </r>
  <r>
    <n v="415"/>
    <n v="22.256082481683858"/>
    <n v="-9.5353591675352476"/>
    <s v="bp"/>
    <x v="137"/>
    <n v="3.851549622823867"/>
    <n v="3.4"/>
    <x v="24"/>
    <x v="0"/>
  </r>
  <r>
    <n v="416"/>
    <n v="21.464943970627026"/>
    <n v="-9.2555552485210217"/>
    <s v="bp"/>
    <x v="138"/>
    <n v="0.5"/>
    <n v="1.4"/>
    <x v="24"/>
    <x v="0"/>
  </r>
  <r>
    <n v="417"/>
    <n v="21.487636454088175"/>
    <n v="-9.1917327521203234"/>
    <s v="bp"/>
    <x v="139"/>
    <n v="0.64"/>
    <n v="1.7"/>
    <x v="24"/>
    <x v="0"/>
  </r>
  <r>
    <n v="409"/>
    <n v="17.002655475487977"/>
    <n v="-10.07550079607055"/>
    <s v="bp"/>
    <x v="140"/>
    <n v="0"/>
    <n v="2.8"/>
    <x v="25"/>
    <x v="0"/>
  </r>
  <r>
    <n v="362"/>
    <n v="41.820429060124383"/>
    <n v="49.212872474941911"/>
    <s v="bp"/>
    <x v="62"/>
    <n v="0"/>
    <n v="3.8"/>
    <x v="26"/>
    <x v="0"/>
  </r>
  <r>
    <n v="363"/>
    <n v="41.6247498349016"/>
    <n v="49.400174714973076"/>
    <s v="bp"/>
    <x v="141"/>
    <n v="4.2016904976260365"/>
    <n v="4.7"/>
    <x v="26"/>
    <x v="0"/>
  </r>
  <r>
    <n v="364"/>
    <n v="41.733447275510564"/>
    <n v="49.442807106641339"/>
    <s v="bp"/>
    <x v="142"/>
    <n v="7.1619724391352904"/>
    <n v="6.9"/>
    <x v="26"/>
    <x v="23"/>
  </r>
  <r>
    <n v="365"/>
    <n v="41.85837927428328"/>
    <n v="49.432158393420885"/>
    <s v="bp"/>
    <x v="143"/>
    <n v="3.1194368846011491"/>
    <n v="4.2"/>
    <x v="26"/>
    <x v="0"/>
  </r>
  <r>
    <n v="366"/>
    <n v="41.910792172547048"/>
    <n v="49.305569124146778"/>
    <s v="bp"/>
    <x v="33"/>
    <n v="3.4377467707849396"/>
    <n v="4.5"/>
    <x v="26"/>
    <x v="0"/>
  </r>
  <r>
    <n v="367"/>
    <n v="41.956430674594081"/>
    <n v="49.384593358659124"/>
    <s v="bp"/>
    <x v="144"/>
    <n v="2.1645072260497766"/>
    <n v="4"/>
    <x v="26"/>
    <x v="0"/>
  </r>
  <r>
    <n v="368"/>
    <n v="41.896156810321528"/>
    <n v="49.159728465249501"/>
    <s v="bp"/>
    <x v="145"/>
    <n v="0.64"/>
    <n v="2.1"/>
    <x v="26"/>
    <x v="0"/>
  </r>
  <r>
    <n v="356"/>
    <n v="41.55964685708858"/>
    <n v="45.418610414390876"/>
    <s v="bp"/>
    <x v="56"/>
    <n v="1.5699999999999998"/>
    <n v="2.9"/>
    <x v="27"/>
    <x v="0"/>
  </r>
  <r>
    <n v="357"/>
    <n v="41.65028445993098"/>
    <n v="45.484737951801335"/>
    <s v="bp"/>
    <x v="146"/>
    <n v="3.8197186342054881"/>
    <n v="4.4000000000000004"/>
    <x v="27"/>
    <x v="0"/>
  </r>
  <r>
    <n v="358"/>
    <n v="41.490106932122359"/>
    <n v="45.568717982919232"/>
    <s v="bp"/>
    <x v="51"/>
    <n v="0"/>
    <n v="1.6"/>
    <x v="27"/>
    <x v="0"/>
  </r>
  <r>
    <n v="359"/>
    <n v="41.480789789383856"/>
    <n v="45.681606937067514"/>
    <s v="bp"/>
    <x v="146"/>
    <n v="3.5969017138768349"/>
    <n v="4.7"/>
    <x v="27"/>
    <x v="24"/>
  </r>
  <r>
    <n v="360"/>
    <n v="41.347856998834331"/>
    <n v="45.661803730912965"/>
    <s v="bp"/>
    <x v="108"/>
    <n v="1.6870423967740906"/>
    <n v="2.8"/>
    <x v="27"/>
    <x v="0"/>
  </r>
  <r>
    <n v="352"/>
    <n v="49.818309622430874"/>
    <n v="45.476987183360826"/>
    <s v="bp"/>
    <x v="147"/>
    <n v="3.5969017138768349"/>
    <n v="4.7"/>
    <x v="28"/>
    <x v="0"/>
  </r>
  <r>
    <n v="346"/>
    <n v="48.602251723417794"/>
    <n v="41.659879439992999"/>
    <s v="bp"/>
    <x v="128"/>
    <n v="3.2785918276930444"/>
    <n v="3.3"/>
    <x v="29"/>
    <x v="0"/>
  </r>
  <r>
    <n v="347"/>
    <n v="49.006355480452719"/>
    <n v="42.140623873727854"/>
    <s v="bp"/>
    <x v="148"/>
    <n v="9.2946486765666876"/>
    <n v="8.6"/>
    <x v="29"/>
    <x v="25"/>
  </r>
  <r>
    <n v="348"/>
    <n v="49.32416780950124"/>
    <n v="42.156583142446785"/>
    <s v="bp"/>
    <x v="100"/>
    <n v="3.9152116000606259"/>
    <n v="5.4"/>
    <x v="29"/>
    <x v="0"/>
  </r>
  <r>
    <n v="349"/>
    <n v="49.59543713340743"/>
    <n v="42.182825894791982"/>
    <s v="bp"/>
    <x v="149"/>
    <n v="6.0478878374920226"/>
    <n v="6.8"/>
    <x v="29"/>
    <x v="0"/>
  </r>
  <r>
    <n v="350"/>
    <n v="49.266331268088543"/>
    <n v="42.28511054258113"/>
    <s v="bp"/>
    <x v="150"/>
    <n v="1.6800000000000002"/>
    <n v="3.4"/>
    <x v="29"/>
    <x v="0"/>
  </r>
  <r>
    <n v="351"/>
    <n v="49.237615308286394"/>
    <n v="42.694210381882002"/>
    <s v="bp"/>
    <x v="69"/>
    <n v="1.1300000000000001"/>
    <n v="2.2000000000000002"/>
    <x v="29"/>
    <x v="0"/>
  </r>
  <r>
    <n v="290"/>
    <n v="42.291153200946574"/>
    <n v="29.228458863258844"/>
    <s v="bp"/>
    <x v="76"/>
    <n v="2.7692960097989787"/>
    <n v="3"/>
    <x v="30"/>
    <x v="0"/>
  </r>
  <r>
    <n v="291"/>
    <n v="42.314959564929261"/>
    <n v="29.279987657004579"/>
    <s v="bp"/>
    <x v="151"/>
    <n v="0.55000000000000004"/>
    <n v="3.4"/>
    <x v="30"/>
    <x v="0"/>
  </r>
  <r>
    <n v="292"/>
    <n v="42.394823115933988"/>
    <n v="29.340169159319785"/>
    <s v="bp"/>
    <x v="152"/>
    <n v="3.6287327024952138"/>
    <n v="5.0999999999999996"/>
    <x v="30"/>
    <x v="0"/>
  </r>
  <r>
    <n v="293"/>
    <n v="42.218768942491181"/>
    <n v="29.27455042198882"/>
    <s v="bp"/>
    <x v="92"/>
    <n v="0"/>
    <n v="2.9"/>
    <x v="30"/>
    <x v="0"/>
  </r>
  <r>
    <n v="294"/>
    <n v="42.210517931122659"/>
    <n v="29.301921944078657"/>
    <s v="bp"/>
    <x v="91"/>
    <n v="1.83"/>
    <n v="3.5"/>
    <x v="30"/>
    <x v="0"/>
  </r>
  <r>
    <n v="295"/>
    <n v="42.296976774514143"/>
    <n v="29.435802149635169"/>
    <s v="bp"/>
    <x v="108"/>
    <n v="1.3599999999999999"/>
    <n v="2.1"/>
    <x v="30"/>
    <x v="0"/>
  </r>
  <r>
    <n v="296"/>
    <n v="42.367641332774518"/>
    <n v="29.524366008498795"/>
    <s v="bp"/>
    <x v="153"/>
    <n v="2.2918311805232929"/>
    <n v="3"/>
    <x v="30"/>
    <x v="0"/>
  </r>
  <r>
    <n v="297"/>
    <n v="42.470638986410691"/>
    <n v="29.603684879805961"/>
    <s v="bp"/>
    <x v="154"/>
    <n v="1.21"/>
    <n v="2.7"/>
    <x v="30"/>
    <x v="0"/>
  </r>
  <r>
    <n v="298"/>
    <n v="42.430857709244037"/>
    <n v="29.817299863635021"/>
    <s v="bp"/>
    <x v="24"/>
    <n v="2.4509861236151882"/>
    <n v="4.3"/>
    <x v="30"/>
    <x v="0"/>
  </r>
  <r>
    <n v="299"/>
    <n v="42.499091903781498"/>
    <n v="29.730277569567264"/>
    <s v="bp"/>
    <x v="155"/>
    <n v="8.9445078017645194"/>
    <n v="7.3"/>
    <x v="30"/>
    <x v="26"/>
  </r>
  <r>
    <n v="300"/>
    <n v="42.576651627563287"/>
    <n v="29.825957146197499"/>
    <s v="bp"/>
    <x v="7"/>
    <n v="4.2653524748627953"/>
    <n v="5.5"/>
    <x v="30"/>
    <x v="0"/>
  </r>
  <r>
    <n v="301"/>
    <n v="42.537382672775671"/>
    <n v="29.97268447893466"/>
    <s v="bp"/>
    <x v="156"/>
    <n v="1.909859317102744"/>
    <n v="3.1"/>
    <x v="30"/>
    <x v="0"/>
  </r>
  <r>
    <n v="302"/>
    <n v="42.20210713056332"/>
    <n v="29.671270938933304"/>
    <s v="bp"/>
    <x v="157"/>
    <n v="13.018874344917039"/>
    <n v="8"/>
    <x v="30"/>
    <x v="27"/>
  </r>
  <r>
    <n v="304"/>
    <n v="41.946733044397213"/>
    <n v="29.300277929498005"/>
    <s v="bp"/>
    <x v="158"/>
    <n v="5.5704230082163368"/>
    <n v="6.6"/>
    <x v="30"/>
    <x v="0"/>
  </r>
  <r>
    <n v="305"/>
    <n v="41.897873362675597"/>
    <n v="29.362703105713361"/>
    <s v="bp"/>
    <x v="159"/>
    <n v="3.4377467707849396"/>
    <n v="4.2"/>
    <x v="30"/>
    <x v="0"/>
  </r>
  <r>
    <n v="306"/>
    <n v="41.880792813059728"/>
    <n v="29.416600349019195"/>
    <s v="bp"/>
    <x v="160"/>
    <n v="2.5464790894703255"/>
    <n v="3.6"/>
    <x v="30"/>
    <x v="0"/>
  </r>
  <r>
    <n v="307"/>
    <n v="41.793904923765879"/>
    <n v="29.381295574128924"/>
    <s v="bp"/>
    <x v="161"/>
    <n v="1.941690305721123"/>
    <n v="3.9"/>
    <x v="30"/>
    <x v="0"/>
  </r>
  <r>
    <n v="308"/>
    <n v="41.818732140228228"/>
    <n v="29.333872218834813"/>
    <s v="bp"/>
    <x v="54"/>
    <n v="1.1300000000000001"/>
    <n v="1.6"/>
    <x v="30"/>
    <x v="0"/>
  </r>
  <r>
    <n v="309"/>
    <n v="41.842468171835485"/>
    <n v="29.62411282140144"/>
    <s v="bp"/>
    <x v="162"/>
    <n v="3.214929850456286"/>
    <n v="5.0999999999999996"/>
    <x v="30"/>
    <x v="0"/>
  </r>
  <r>
    <n v="310"/>
    <n v="42.049845489303813"/>
    <n v="29.65374661382328"/>
    <s v="bp"/>
    <x v="163"/>
    <n v="7.416620348082323"/>
    <n v="5.9"/>
    <x v="30"/>
    <x v="0"/>
  </r>
  <r>
    <n v="311"/>
    <n v="41.934145126044378"/>
    <n v="29.733251261038692"/>
    <s v="bp"/>
    <x v="114"/>
    <n v="1.1800000000000002"/>
    <n v="2"/>
    <x v="30"/>
    <x v="0"/>
  </r>
  <r>
    <n v="312"/>
    <n v="41.955044382048811"/>
    <n v="29.612102466330828"/>
    <s v="bp"/>
    <x v="58"/>
    <n v="1.86"/>
    <n v="3"/>
    <x v="30"/>
    <x v="0"/>
  </r>
  <r>
    <n v="313"/>
    <n v="41.994523250760842"/>
    <n v="29.817403525727038"/>
    <s v="bp"/>
    <x v="75"/>
    <n v="1.909859317102744"/>
    <n v="3.1"/>
    <x v="30"/>
    <x v="0"/>
  </r>
  <r>
    <n v="314"/>
    <n v="42.095122478025289"/>
    <n v="29.899743039168619"/>
    <s v="bp"/>
    <x v="82"/>
    <n v="1.05"/>
    <n v="2.5"/>
    <x v="30"/>
    <x v="0"/>
  </r>
  <r>
    <n v="315"/>
    <n v="42.033215261247165"/>
    <n v="29.849072569358412"/>
    <s v="bp"/>
    <x v="164"/>
    <n v="0"/>
    <n v="1.5"/>
    <x v="30"/>
    <x v="0"/>
  </r>
  <r>
    <n v="316"/>
    <n v="42.033215261247165"/>
    <n v="29.849072569358412"/>
    <s v="bp"/>
    <x v="51"/>
    <n v="4.3290144520995533"/>
    <n v="5.2"/>
    <x v="30"/>
    <x v="0"/>
  </r>
  <r>
    <n v="317"/>
    <n v="42.255591812176434"/>
    <n v="29.924382566855925"/>
    <s v="bp"/>
    <x v="165"/>
    <n v="0.99"/>
    <n v="2"/>
    <x v="30"/>
    <x v="0"/>
  </r>
  <r>
    <n v="3594"/>
    <n v="41.89"/>
    <n v="29.82"/>
    <s v="bp"/>
    <x v="0"/>
    <n v="0.71"/>
    <n v="0"/>
    <x v="30"/>
    <x v="0"/>
  </r>
  <r>
    <n v="284"/>
    <n v="42.304581878069619"/>
    <n v="19.634808535312285"/>
    <s v="bp"/>
    <x v="166"/>
    <n v="16.01098727504467"/>
    <n v="10.7"/>
    <x v="31"/>
    <x v="28"/>
  </r>
  <r>
    <n v="261"/>
    <n v="40.795535078290051"/>
    <n v="5.0333085520429153"/>
    <s v="bp"/>
    <x v="58"/>
    <n v="1.95"/>
    <n v="2"/>
    <x v="32"/>
    <x v="0"/>
  </r>
  <r>
    <n v="262"/>
    <n v="40.675863550722838"/>
    <n v="5.0660757544522106"/>
    <s v="bp"/>
    <x v="167"/>
    <n v="2.31"/>
    <n v="2.1"/>
    <x v="32"/>
    <x v="0"/>
  </r>
  <r>
    <n v="263"/>
    <n v="40.044069004266788"/>
    <n v="4.9501922885259351"/>
    <s v="bp"/>
    <x v="168"/>
    <n v="0"/>
    <n v="2.5"/>
    <x v="32"/>
    <x v="0"/>
  </r>
  <r>
    <n v="264"/>
    <n v="40.620282470305909"/>
    <n v="5.3511991162202692"/>
    <s v="bp"/>
    <x v="169"/>
    <n v="7.989578143213147"/>
    <n v="8.1"/>
    <x v="32"/>
    <x v="29"/>
  </r>
  <r>
    <n v="265"/>
    <n v="40.876130854070112"/>
    <n v="5.1789633141256459"/>
    <s v="bp"/>
    <x v="170"/>
    <n v="0"/>
    <n v="6.6"/>
    <x v="32"/>
    <x v="19"/>
  </r>
  <r>
    <n v="266"/>
    <n v="41.045795804813331"/>
    <n v="5.0799175683089572"/>
    <s v="bp"/>
    <x v="171"/>
    <n v="6.2707047578206758"/>
    <n v="4.3"/>
    <x v="32"/>
    <x v="0"/>
  </r>
  <r>
    <n v="267"/>
    <n v="41.100623071933988"/>
    <n v="5.1944273126372771"/>
    <s v="bp"/>
    <x v="172"/>
    <n v="6.366197723675814"/>
    <n v="5.0999999999999996"/>
    <x v="32"/>
    <x v="24"/>
  </r>
  <r>
    <n v="268"/>
    <n v="40.677648474707539"/>
    <n v="5.5715473870970973"/>
    <s v="bp"/>
    <x v="173"/>
    <n v="5.0611271903222717"/>
    <n v="4.9000000000000004"/>
    <x v="32"/>
    <x v="0"/>
  </r>
  <r>
    <n v="269"/>
    <n v="40.777857411188769"/>
    <n v="5.4966859039304499"/>
    <s v="bp"/>
    <x v="174"/>
    <n v="5.5385920195979574"/>
    <n v="5.0999999999999996"/>
    <x v="32"/>
    <x v="0"/>
  </r>
  <r>
    <n v="270"/>
    <n v="40.901352263515584"/>
    <n v="5.4891725706855805"/>
    <s v="bp"/>
    <x v="175"/>
    <n v="7.3847893594639435"/>
    <n v="5.8"/>
    <x v="32"/>
    <x v="0"/>
  </r>
  <r>
    <n v="245"/>
    <n v="34.025777339984387"/>
    <n v="9.7119086697301942"/>
    <s v="bp"/>
    <x v="169"/>
    <n v="7.7030992456477341"/>
    <n v="6.6"/>
    <x v="33"/>
    <x v="27"/>
  </r>
  <r>
    <n v="246"/>
    <n v="34.050937810882921"/>
    <n v="9.6930927280564454"/>
    <s v="bp"/>
    <x v="176"/>
    <n v="1.03"/>
    <n v="1.6"/>
    <x v="33"/>
    <x v="0"/>
  </r>
  <r>
    <n v="247"/>
    <n v="33.894852414965456"/>
    <n v="9.4075223287711989"/>
    <s v="bp"/>
    <x v="177"/>
    <n v="2.2199999999999998"/>
    <n v="3"/>
    <x v="33"/>
    <x v="0"/>
  </r>
  <r>
    <n v="248"/>
    <n v="34.068567064814381"/>
    <n v="9.4180847704201529"/>
    <s v="bp"/>
    <x v="178"/>
    <n v="1.03"/>
    <n v="1.5"/>
    <x v="33"/>
    <x v="0"/>
  </r>
  <r>
    <n v="249"/>
    <n v="33.861205161092634"/>
    <n v="9.3143433199608303"/>
    <s v="bp"/>
    <x v="179"/>
    <n v="3.1512678732195281"/>
    <n v="3.8"/>
    <x v="33"/>
    <x v="0"/>
  </r>
  <r>
    <n v="250"/>
    <n v="33.713362604392707"/>
    <n v="9.4955824508264737"/>
    <s v="bp"/>
    <x v="73"/>
    <n v="0"/>
    <n v="2.4"/>
    <x v="33"/>
    <x v="0"/>
  </r>
  <r>
    <n v="251"/>
    <n v="33.495999755650672"/>
    <n v="9.0689354720097679"/>
    <s v="bp"/>
    <x v="180"/>
    <n v="0"/>
    <n v="1.4"/>
    <x v="33"/>
    <x v="0"/>
  </r>
  <r>
    <n v="252"/>
    <n v="33.817488071652981"/>
    <n v="9.145595846620802"/>
    <s v="bp"/>
    <x v="181"/>
    <n v="1.08"/>
    <n v="2.5"/>
    <x v="33"/>
    <x v="0"/>
  </r>
  <r>
    <n v="253"/>
    <n v="33.991864086035775"/>
    <n v="8.9138005024738085"/>
    <s v="bp"/>
    <x v="105"/>
    <n v="4.6154933496649653"/>
    <n v="4"/>
    <x v="33"/>
    <x v="30"/>
  </r>
  <r>
    <n v="218"/>
    <n v="32.1725155843124"/>
    <n v="17.931141368792993"/>
    <s v="bp"/>
    <x v="182"/>
    <n v="2.15"/>
    <n v="2.4"/>
    <x v="34"/>
    <x v="0"/>
  </r>
  <r>
    <n v="219"/>
    <n v="32.324126605413987"/>
    <n v="17.643193787769803"/>
    <s v="bp"/>
    <x v="179"/>
    <n v="3.1512678732195281"/>
    <n v="4.2"/>
    <x v="34"/>
    <x v="0"/>
  </r>
  <r>
    <n v="220"/>
    <n v="32.410464545492722"/>
    <n v="17.503890892824881"/>
    <s v="bp"/>
    <x v="183"/>
    <n v="5.9523948716368853"/>
    <n v="5.6"/>
    <x v="34"/>
    <x v="31"/>
  </r>
  <r>
    <n v="221"/>
    <n v="31.863786000705463"/>
    <n v="17.937307162087787"/>
    <s v="bp"/>
    <x v="184"/>
    <n v="7.9577471545947667"/>
    <n v="7.4"/>
    <x v="34"/>
    <x v="32"/>
  </r>
  <r>
    <n v="222"/>
    <n v="31.685505222718554"/>
    <n v="18.033487314002659"/>
    <s v="bp"/>
    <x v="185"/>
    <n v="8.1805640749234207"/>
    <n v="7.2"/>
    <x v="34"/>
    <x v="0"/>
  </r>
  <r>
    <n v="223"/>
    <n v="31.641290490894413"/>
    <n v="17.868740859374537"/>
    <s v="bp"/>
    <x v="186"/>
    <n v="6.8436625529514998"/>
    <n v="5.8"/>
    <x v="34"/>
    <x v="29"/>
  </r>
  <r>
    <n v="224"/>
    <n v="31.896743692831674"/>
    <n v="17.510168004924175"/>
    <s v="bp"/>
    <x v="187"/>
    <n v="21.804227203589662"/>
    <n v="7.3"/>
    <x v="34"/>
    <x v="33"/>
  </r>
  <r>
    <n v="225"/>
    <n v="31.891796831328939"/>
    <n v="17.247418530002466"/>
    <s v="bp"/>
    <x v="173"/>
    <n v="5.1884511447957884"/>
    <n v="4.3"/>
    <x v="34"/>
    <x v="0"/>
  </r>
  <r>
    <n v="226"/>
    <n v="32.119407180101206"/>
    <n v="17.114776749550312"/>
    <s v="bp"/>
    <x v="188"/>
    <n v="2.5146481008519466"/>
    <n v="1.9"/>
    <x v="34"/>
    <x v="0"/>
  </r>
  <r>
    <n v="227"/>
    <n v="31.999387380366926"/>
    <n v="17.176163938322645"/>
    <s v="bp"/>
    <x v="189"/>
    <n v="2.9602819415092534"/>
    <n v="3.1"/>
    <x v="34"/>
    <x v="0"/>
  </r>
  <r>
    <n v="228"/>
    <n v="32.261169715280353"/>
    <n v="17.237390451276372"/>
    <s v="bp"/>
    <x v="190"/>
    <n v="7.352958370845565"/>
    <n v="4.3"/>
    <x v="34"/>
    <x v="34"/>
  </r>
  <r>
    <n v="229"/>
    <n v="32.249368886906424"/>
    <n v="17.100131104581216"/>
    <s v="bp"/>
    <x v="191"/>
    <n v="6.429859700912572"/>
    <n v="5.6"/>
    <x v="34"/>
    <x v="0"/>
  </r>
  <r>
    <n v="230"/>
    <n v="31.992592005271483"/>
    <n v="17.257432389068928"/>
    <s v="bp"/>
    <x v="192"/>
    <n v="1.23"/>
    <n v="2.1"/>
    <x v="34"/>
    <x v="0"/>
  </r>
  <r>
    <n v="1000"/>
    <n v="31.896743692831674"/>
    <n v="17.510168004924175"/>
    <s v="bp"/>
    <x v="193"/>
    <n v="10.949860084722399"/>
    <n v="7.6"/>
    <x v="34"/>
    <x v="35"/>
  </r>
  <r>
    <n v="1001"/>
    <n v="31.896743692831674"/>
    <n v="17.510168004924175"/>
    <s v="bp"/>
    <x v="98"/>
    <n v="5.79323992854499"/>
    <n v="6"/>
    <x v="34"/>
    <x v="0"/>
  </r>
  <r>
    <n v="211"/>
    <n v="35.208951740241446"/>
    <n v="23.344087583756682"/>
    <s v="bp"/>
    <x v="194"/>
    <n v="2.3873241463784303"/>
    <n v="2.6"/>
    <x v="35"/>
    <x v="0"/>
  </r>
  <r>
    <n v="212"/>
    <n v="35.189947767486714"/>
    <n v="23.205377071540834"/>
    <s v="bp"/>
    <x v="195"/>
    <n v="7.7030992456477341"/>
    <n v="6"/>
    <x v="35"/>
    <x v="36"/>
  </r>
  <r>
    <n v="200"/>
    <n v="37.972624291761235"/>
    <n v="45.943877191462981"/>
    <s v="bp"/>
    <x v="196"/>
    <n v="12.923381379061903"/>
    <n v="10.7"/>
    <x v="36"/>
    <x v="0"/>
  </r>
  <r>
    <n v="201"/>
    <n v="37.586645506147292"/>
    <n v="46.055567672903109"/>
    <s v="bp"/>
    <x v="114"/>
    <n v="1.17"/>
    <n v="1.9"/>
    <x v="36"/>
    <x v="0"/>
  </r>
  <r>
    <n v="202"/>
    <n v="37.478923043387454"/>
    <n v="45.780601114359932"/>
    <s v="bp"/>
    <x v="197"/>
    <n v="0"/>
    <n v="5.9"/>
    <x v="36"/>
    <x v="0"/>
  </r>
  <r>
    <n v="203"/>
    <n v="37.195101814616379"/>
    <n v="45.587027258299045"/>
    <s v="bp"/>
    <x v="198"/>
    <n v="13.432677196955968"/>
    <n v="8.3000000000000007"/>
    <x v="36"/>
    <x v="15"/>
  </r>
  <r>
    <n v="199"/>
    <n v="30.571213760692721"/>
    <n v="48.901788563302368"/>
    <s v="bp"/>
    <x v="199"/>
    <n v="5.9842258602552647"/>
    <n v="6.9"/>
    <x v="37"/>
    <x v="0"/>
  </r>
  <r>
    <n v="186"/>
    <n v="26.088068052261637"/>
    <n v="46.326438760553302"/>
    <s v="bp"/>
    <x v="200"/>
    <n v="4.8383102699936185"/>
    <n v="5"/>
    <x v="38"/>
    <x v="0"/>
  </r>
  <r>
    <n v="187"/>
    <n v="26.363027006017866"/>
    <n v="46.658527413827123"/>
    <s v="bp"/>
    <x v="31"/>
    <n v="7.0028174960433951"/>
    <n v="6.6"/>
    <x v="38"/>
    <x v="37"/>
  </r>
  <r>
    <n v="188"/>
    <n v="26.109179631508535"/>
    <n v="46.690405386070509"/>
    <s v="bp"/>
    <x v="149"/>
    <n v="6.0478878374920226"/>
    <n v="6.7"/>
    <x v="38"/>
    <x v="0"/>
  </r>
  <r>
    <n v="189"/>
    <n v="26.356224715782488"/>
    <n v="46.816216499090665"/>
    <s v="bp"/>
    <x v="201"/>
    <n v="4.0107045659157627"/>
    <n v="4.5999999999999996"/>
    <x v="38"/>
    <x v="0"/>
  </r>
  <r>
    <n v="190"/>
    <n v="25.933414994968828"/>
    <n v="46.753864560196561"/>
    <s v="bp"/>
    <x v="156"/>
    <n v="1.4300000000000002"/>
    <n v="1.8"/>
    <x v="38"/>
    <x v="0"/>
  </r>
  <r>
    <n v="191"/>
    <n v="26.645579839866279"/>
    <n v="47.052118021698369"/>
    <s v="bp"/>
    <x v="202"/>
    <n v="10.758874153012124"/>
    <n v="9.5"/>
    <x v="38"/>
    <x v="38"/>
  </r>
  <r>
    <n v="192"/>
    <n v="26.924600108357865"/>
    <n v="46.948813808077624"/>
    <s v="bp"/>
    <x v="203"/>
    <n v="0"/>
    <n v="3.5"/>
    <x v="38"/>
    <x v="0"/>
  </r>
  <r>
    <n v="193"/>
    <n v="26.58482899694452"/>
    <n v="47.338911845839178"/>
    <s v="bp"/>
    <x v="204"/>
    <n v="4.3926764293363121"/>
    <n v="4.4000000000000004"/>
    <x v="38"/>
    <x v="29"/>
  </r>
  <r>
    <n v="194"/>
    <n v="26.382700868550014"/>
    <n v="47.29090046719957"/>
    <s v="bp"/>
    <x v="194"/>
    <n v="1.48"/>
    <n v="2.7"/>
    <x v="38"/>
    <x v="0"/>
  </r>
  <r>
    <n v="195"/>
    <n v="26.125615719030783"/>
    <n v="47.274402522734292"/>
    <s v="bp"/>
    <x v="205"/>
    <n v="12.159437652220806"/>
    <n v="9.6999999999999993"/>
    <x v="38"/>
    <x v="39"/>
  </r>
  <r>
    <n v="196"/>
    <n v="26.402940262221591"/>
    <n v="47.576856604055649"/>
    <s v="bp"/>
    <x v="206"/>
    <n v="0"/>
    <n v="3.2"/>
    <x v="38"/>
    <x v="0"/>
  </r>
  <r>
    <n v="197"/>
    <n v="25.842201321935772"/>
    <n v="46.937837106330178"/>
    <s v="bp"/>
    <x v="207"/>
    <n v="9.0081697790012765"/>
    <n v="10.8"/>
    <x v="38"/>
    <x v="40"/>
  </r>
  <r>
    <n v="198"/>
    <n v="25.791475915445979"/>
    <n v="46.638893486177437"/>
    <s v="bp"/>
    <x v="90"/>
    <n v="0"/>
    <n v="2.8"/>
    <x v="38"/>
    <x v="0"/>
  </r>
  <r>
    <n v="173"/>
    <n v="20.557772508087009"/>
    <n v="33.493865215873384"/>
    <s v="bp"/>
    <x v="208"/>
    <n v="7.6712682570293556"/>
    <n v="7.7"/>
    <x v="39"/>
    <x v="0"/>
  </r>
  <r>
    <n v="174"/>
    <n v="20.869370276898547"/>
    <n v="33.306219653914141"/>
    <s v="bp"/>
    <x v="10"/>
    <n v="3.9470425886790048"/>
    <n v="4.5999999999999996"/>
    <x v="39"/>
    <x v="26"/>
  </r>
  <r>
    <n v="175"/>
    <n v="20.548209621882769"/>
    <n v="33.73393534900292"/>
    <s v="bp"/>
    <x v="44"/>
    <n v="2.0053522829578814"/>
    <n v="2.8"/>
    <x v="39"/>
    <x v="0"/>
  </r>
  <r>
    <n v="176"/>
    <n v="20.652257610790159"/>
    <n v="33.794183372901976"/>
    <s v="bp"/>
    <x v="209"/>
    <n v="11.23633898228781"/>
    <n v="9.9"/>
    <x v="39"/>
    <x v="15"/>
  </r>
  <r>
    <n v="177"/>
    <n v="20.851731153255873"/>
    <n v="33.616571920780075"/>
    <s v="bp"/>
    <x v="210"/>
    <n v="6.8754935415698792"/>
    <n v="5.6"/>
    <x v="39"/>
    <x v="41"/>
  </r>
  <r>
    <n v="178"/>
    <n v="21.000976199357556"/>
    <n v="33.607899668472051"/>
    <s v="bp"/>
    <x v="211"/>
    <n v="8.1169020976866619"/>
    <n v="9.1999999999999993"/>
    <x v="39"/>
    <x v="19"/>
  </r>
  <r>
    <n v="179"/>
    <n v="20.978472868674029"/>
    <n v="33.95872605775331"/>
    <s v="bp"/>
    <x v="212"/>
    <n v="0"/>
    <n v="6.8"/>
    <x v="39"/>
    <x v="21"/>
  </r>
  <r>
    <n v="180"/>
    <n v="20.605733397222572"/>
    <n v="34.513335525887406"/>
    <s v="bp"/>
    <x v="213"/>
    <n v="2.1326762374313977"/>
    <n v="2.7"/>
    <x v="39"/>
    <x v="0"/>
  </r>
  <r>
    <n v="170"/>
    <n v="25.097578655256243"/>
    <n v="34.13590656166906"/>
    <s v="bp"/>
    <x v="214"/>
    <n v="0"/>
    <n v="6.1"/>
    <x v="40"/>
    <x v="42"/>
  </r>
  <r>
    <n v="171"/>
    <n v="25.433323914882696"/>
    <n v="34.334182209427858"/>
    <s v="bp"/>
    <x v="215"/>
    <n v="4.3926764293363121"/>
    <n v="3.7"/>
    <x v="40"/>
    <x v="43"/>
  </r>
  <r>
    <n v="172"/>
    <n v="24.907350780199291"/>
    <n v="34.663296118381929"/>
    <s v="bp"/>
    <x v="113"/>
    <n v="2.4509861236151882"/>
    <n v="3.6"/>
    <x v="40"/>
    <x v="0"/>
  </r>
  <r>
    <n v="3587"/>
    <n v="25.43"/>
    <n v="34.33"/>
    <s v="bp"/>
    <x v="0"/>
    <n v="0.48"/>
    <n v="0"/>
    <x v="40"/>
    <x v="0"/>
  </r>
  <r>
    <n v="126"/>
    <n v="21.836540619572311"/>
    <n v="11.595461118586918"/>
    <s v="bp"/>
    <x v="216"/>
    <n v="1.0900000000000001"/>
    <n v="0"/>
    <x v="41"/>
    <x v="0"/>
  </r>
  <r>
    <n v="145"/>
    <n v="21.971325740910526"/>
    <n v="11.532730588339588"/>
    <s v="bp"/>
    <x v="106"/>
    <n v="0"/>
    <n v="1.3"/>
    <x v="41"/>
    <x v="0"/>
  </r>
  <r>
    <n v="146"/>
    <n v="21.782757902395126"/>
    <n v="10.540297636283698"/>
    <s v="bp"/>
    <x v="217"/>
    <n v="0"/>
    <n v="7.5"/>
    <x v="41"/>
    <x v="0"/>
  </r>
  <r>
    <n v="147"/>
    <n v="21.713553925037083"/>
    <n v="11.604164465655854"/>
    <s v="bp"/>
    <x v="218"/>
    <n v="2.4509861236151882"/>
    <n v="2"/>
    <x v="41"/>
    <x v="0"/>
  </r>
  <r>
    <n v="148"/>
    <n v="21.785537686445696"/>
    <n v="11.947311629411955"/>
    <s v="bp"/>
    <x v="203"/>
    <n v="3.5014087480216975"/>
    <n v="4.5999999999999996"/>
    <x v="41"/>
    <x v="0"/>
  </r>
  <r>
    <n v="149"/>
    <n v="21.951670549920319"/>
    <n v="12.184686375306248"/>
    <s v="bp"/>
    <x v="199"/>
    <n v="5.856901905781748"/>
    <n v="5.6"/>
    <x v="41"/>
    <x v="44"/>
  </r>
  <r>
    <n v="150"/>
    <n v="22.0218331717933"/>
    <n v="12.081998618831085"/>
    <s v="bp"/>
    <x v="219"/>
    <n v="1.1099999999999999"/>
    <n v="2"/>
    <x v="41"/>
    <x v="0"/>
  </r>
  <r>
    <n v="151"/>
    <n v="22.185225695543657"/>
    <n v="12.144973802340447"/>
    <s v="bp"/>
    <x v="53"/>
    <n v="3.6923946797319718"/>
    <n v="4.9000000000000004"/>
    <x v="41"/>
    <x v="45"/>
  </r>
  <r>
    <n v="152"/>
    <n v="21.916912528638999"/>
    <n v="12.382501619525305"/>
    <s v="bp"/>
    <x v="109"/>
    <n v="6.7481695870963625"/>
    <n v="6.4"/>
    <x v="41"/>
    <x v="26"/>
  </r>
  <r>
    <n v="153"/>
    <n v="22.275538913106644"/>
    <n v="12.646913562404759"/>
    <s v="bp"/>
    <x v="60"/>
    <n v="0"/>
    <n v="1.3"/>
    <x v="41"/>
    <x v="0"/>
  </r>
  <r>
    <n v="133"/>
    <n v="24.481330698158807"/>
    <n v="11.261086766992761"/>
    <s v="bp"/>
    <x v="105"/>
    <n v="4.7428173041384811"/>
    <n v="8.5"/>
    <x v="42"/>
    <x v="46"/>
  </r>
  <r>
    <n v="134"/>
    <n v="24.483757051699371"/>
    <n v="11.324677598118903"/>
    <s v="bp"/>
    <x v="100"/>
    <n v="4.1061975317709001"/>
    <n v="4.0999999999999996"/>
    <x v="42"/>
    <x v="0"/>
  </r>
  <r>
    <n v="135"/>
    <n v="24.431560707957821"/>
    <n v="11.484658013701774"/>
    <s v="bp"/>
    <x v="220"/>
    <n v="8.6261979155807271"/>
    <n v="7.1"/>
    <x v="42"/>
    <x v="47"/>
  </r>
  <r>
    <n v="136"/>
    <n v="24.256321189866224"/>
    <n v="10.97345114030658"/>
    <s v="bp"/>
    <x v="221"/>
    <n v="5.7614089399266115"/>
    <n v="6.6"/>
    <x v="42"/>
    <x v="0"/>
  </r>
  <r>
    <n v="137"/>
    <n v="24.042660540170019"/>
    <n v="10.755324065640806"/>
    <s v="bp"/>
    <x v="222"/>
    <n v="1.27"/>
    <n v="2.2999999999999998"/>
    <x v="42"/>
    <x v="0"/>
  </r>
  <r>
    <n v="138"/>
    <n v="23.975810626973125"/>
    <n v="10.577472753850401"/>
    <s v="bp"/>
    <x v="55"/>
    <n v="1.47"/>
    <n v="1.9"/>
    <x v="42"/>
    <x v="0"/>
  </r>
  <r>
    <n v="139"/>
    <n v="23.904153440943681"/>
    <n v="10.785104816809508"/>
    <s v="bp"/>
    <x v="223"/>
    <n v="11.554648868471601"/>
    <n v="1.6"/>
    <x v="42"/>
    <x v="48"/>
  </r>
  <r>
    <n v="140"/>
    <n v="23.814136091910594"/>
    <n v="10.891462981270466"/>
    <s v="bp"/>
    <x v="224"/>
    <n v="2.7056340325622208"/>
    <n v="2.8"/>
    <x v="42"/>
    <x v="0"/>
  </r>
  <r>
    <n v="141"/>
    <n v="23.803244960068398"/>
    <n v="10.799899433500032"/>
    <s v="bp"/>
    <x v="225"/>
    <n v="0.57999999999999996"/>
    <n v="1.5"/>
    <x v="42"/>
    <x v="0"/>
  </r>
  <r>
    <n v="142"/>
    <n v="23.776821029099263"/>
    <n v="11.15813707184822"/>
    <s v="bp"/>
    <x v="226"/>
    <n v="4.1380285203892786"/>
    <n v="4.8"/>
    <x v="42"/>
    <x v="24"/>
  </r>
  <r>
    <n v="143"/>
    <n v="23.822225534738159"/>
    <n v="11.163807234165036"/>
    <s v="bp"/>
    <x v="22"/>
    <n v="5.4112680651244416"/>
    <n v="5.5"/>
    <x v="42"/>
    <x v="0"/>
  </r>
  <r>
    <n v="144"/>
    <n v="24.319680469471667"/>
    <n v="11.740547714722046"/>
    <s v="bp"/>
    <x v="173"/>
    <n v="5.3476060878876837"/>
    <n v="3.3"/>
    <x v="42"/>
    <x v="49"/>
  </r>
  <r>
    <n v="112"/>
    <n v="16.471613120300947"/>
    <n v="13.888537465570909"/>
    <s v="bp"/>
    <x v="227"/>
    <n v="9.5492965855137211"/>
    <n v="6.3"/>
    <x v="43"/>
    <x v="45"/>
  </r>
  <r>
    <n v="3582"/>
    <n v="16.471613120300947"/>
    <n v="13.888537465570909"/>
    <s v="bp"/>
    <x v="0"/>
    <n v="0.65"/>
    <n v="0"/>
    <x v="43"/>
    <x v="0"/>
  </r>
  <r>
    <n v="3583"/>
    <n v="16.471613120300947"/>
    <n v="13.888537465570909"/>
    <s v="bp"/>
    <x v="0"/>
    <n v="0.65"/>
    <n v="0"/>
    <x v="43"/>
    <x v="0"/>
  </r>
  <r>
    <n v="108"/>
    <n v="19.674728156140318"/>
    <n v="13.733166900204932"/>
    <s v="bp"/>
    <x v="228"/>
    <n v="0.8"/>
    <n v="1.6"/>
    <x v="44"/>
    <x v="0"/>
  </r>
  <r>
    <n v="109"/>
    <n v="19.512906347855239"/>
    <n v="13.843463648447257"/>
    <s v="bp"/>
    <x v="229"/>
    <n v="0.38"/>
    <n v="1.4"/>
    <x v="44"/>
    <x v="0"/>
  </r>
  <r>
    <n v="110"/>
    <n v="19.669675453237815"/>
    <n v="13.828495347920654"/>
    <s v="bp"/>
    <x v="154"/>
    <n v="1.28"/>
    <n v="2.4"/>
    <x v="44"/>
    <x v="0"/>
  </r>
  <r>
    <n v="111"/>
    <n v="19.450592034892743"/>
    <n v="13.837487484021526"/>
    <s v="bp"/>
    <x v="230"/>
    <n v="4.4881693951914485"/>
    <n v="4.9000000000000004"/>
    <x v="44"/>
    <x v="0"/>
  </r>
  <r>
    <n v="105"/>
    <n v="19.699163756212034"/>
    <n v="20.653488566037861"/>
    <s v="bp"/>
    <x v="231"/>
    <n v="3.7560566569687301"/>
    <n v="3.5"/>
    <x v="45"/>
    <x v="0"/>
  </r>
  <r>
    <n v="88"/>
    <n v="19.494916087232173"/>
    <n v="28.802292130563277"/>
    <s v="bp"/>
    <x v="232"/>
    <n v="2.6419720553254629"/>
    <n v="2.9"/>
    <x v="46"/>
    <x v="0"/>
  </r>
  <r>
    <n v="89"/>
    <n v="19.166810907643413"/>
    <n v="28.65414696146544"/>
    <s v="bp"/>
    <x v="233"/>
    <n v="2.21"/>
    <n v="2.8"/>
    <x v="46"/>
    <x v="0"/>
  </r>
  <r>
    <n v="90"/>
    <n v="19.014335911764277"/>
    <n v="28.505523489744252"/>
    <s v="bp"/>
    <x v="234"/>
    <n v="2.0699999999999998"/>
    <n v="2.6"/>
    <x v="46"/>
    <x v="0"/>
  </r>
  <r>
    <n v="91"/>
    <n v="19.288186164934192"/>
    <n v="28.62802262785867"/>
    <s v="bp"/>
    <x v="86"/>
    <n v="12.318592595312701"/>
    <n v="7.4"/>
    <x v="46"/>
    <x v="34"/>
  </r>
  <r>
    <n v="92"/>
    <n v="19.562907922607756"/>
    <n v="28.425119204591159"/>
    <s v="bp"/>
    <x v="235"/>
    <n v="3.6605636911135928"/>
    <n v="3.7"/>
    <x v="46"/>
    <x v="0"/>
  </r>
  <r>
    <n v="93"/>
    <n v="19.555892102460898"/>
    <n v="28.665978541221271"/>
    <s v="bp"/>
    <x v="117"/>
    <n v="0.72"/>
    <n v="1.6"/>
    <x v="46"/>
    <x v="0"/>
  </r>
  <r>
    <n v="94"/>
    <n v="19.074849547210579"/>
    <n v="28.29398063364512"/>
    <s v="bp"/>
    <x v="157"/>
    <n v="13.623663128666241"/>
    <n v="6.4"/>
    <x v="46"/>
    <x v="20"/>
  </r>
  <r>
    <n v="95"/>
    <n v="19.312191825432201"/>
    <n v="28.19753907570496"/>
    <s v="bp"/>
    <x v="236"/>
    <n v="2.7399999999999998"/>
    <n v="3.4"/>
    <x v="46"/>
    <x v="50"/>
  </r>
  <r>
    <n v="96"/>
    <n v="19.395037262242923"/>
    <n v="28.232704877268993"/>
    <s v="bp"/>
    <x v="151"/>
    <n v="1.9300000000000002"/>
    <n v="3.3"/>
    <x v="46"/>
    <x v="0"/>
  </r>
  <r>
    <n v="50"/>
    <n v="1.0700791983558624"/>
    <n v="30.012983097421369"/>
    <s v="bp"/>
    <x v="25"/>
    <n v="1.55"/>
    <n v="2.2000000000000002"/>
    <x v="47"/>
    <x v="0"/>
  </r>
  <r>
    <n v="51"/>
    <n v="1.087553511959648"/>
    <n v="30.011100207201217"/>
    <s v="bp"/>
    <x v="237"/>
    <n v="1.1499999999999999"/>
    <n v="2"/>
    <x v="47"/>
    <x v="0"/>
  </r>
  <r>
    <n v="30"/>
    <n v="8.3029446827353137"/>
    <n v="22.162755093725913"/>
    <s v="bp"/>
    <x v="238"/>
    <n v="2.7056340325622208"/>
    <n v="3.8"/>
    <x v="48"/>
    <x v="0"/>
  </r>
  <r>
    <n v="31"/>
    <n v="8.4184890926716029"/>
    <n v="22.114578302302672"/>
    <s v="bp"/>
    <x v="239"/>
    <n v="4.6154933496649653"/>
    <n v="3.7"/>
    <x v="48"/>
    <x v="9"/>
  </r>
  <r>
    <n v="32"/>
    <n v="8.640717581892984"/>
    <n v="22.445076618424352"/>
    <s v="bp"/>
    <x v="240"/>
    <n v="18.52563537589662"/>
    <n v="11.9"/>
    <x v="48"/>
    <x v="51"/>
  </r>
  <r>
    <n v="33"/>
    <n v="8.5072670275945281"/>
    <n v="22.715015234064623"/>
    <s v="bp"/>
    <x v="241"/>
    <n v="13.687325105903"/>
    <n v="5.8"/>
    <x v="48"/>
    <x v="52"/>
  </r>
  <r>
    <n v="34"/>
    <n v="8.8119505183786533"/>
    <n v="22.148121984815155"/>
    <s v="bp"/>
    <x v="191"/>
    <n v="6.6845076098596046"/>
    <n v="4.3"/>
    <x v="48"/>
    <x v="34"/>
  </r>
  <r>
    <n v="35"/>
    <n v="8.9461265962646888"/>
    <n v="22.230519877428932"/>
    <s v="bp"/>
    <x v="242"/>
    <n v="1.06"/>
    <n v="2.1"/>
    <x v="48"/>
    <x v="0"/>
  </r>
  <r>
    <n v="36"/>
    <n v="8.9167524089241592"/>
    <n v="22.422628010641585"/>
    <s v="bp"/>
    <x v="143"/>
    <n v="3.9152116000606259"/>
    <n v="4.5"/>
    <x v="48"/>
    <x v="0"/>
  </r>
  <r>
    <n v="37"/>
    <n v="8.9259555083891282"/>
    <n v="22.883005074962199"/>
    <s v="bp"/>
    <x v="243"/>
    <n v="16.71126902464901"/>
    <n v="14.2"/>
    <x v="48"/>
    <x v="34"/>
  </r>
  <r>
    <n v="38"/>
    <n v="9.0445474699669113"/>
    <n v="22.938751616505748"/>
    <s v="bp"/>
    <x v="244"/>
    <n v="0"/>
    <n v="1.7"/>
    <x v="48"/>
    <x v="53"/>
  </r>
  <r>
    <n v="19"/>
    <n v="6.9093167736498451"/>
    <n v="17.281193390808802"/>
    <s v="bp"/>
    <x v="245"/>
    <n v="0"/>
    <n v="5"/>
    <x v="49"/>
    <x v="0"/>
  </r>
  <r>
    <n v="20"/>
    <n v="6.8999120717316238"/>
    <n v="17.634595918383937"/>
    <s v="bp"/>
    <x v="246"/>
    <n v="11.427324913998085"/>
    <n v="8.1999999999999993"/>
    <x v="49"/>
    <x v="31"/>
  </r>
  <r>
    <n v="21"/>
    <n v="6.8907652746479302"/>
    <n v="17.695625992904336"/>
    <s v="bp"/>
    <x v="239"/>
    <n v="4.5518313724282073"/>
    <n v="5.5"/>
    <x v="49"/>
    <x v="0"/>
  </r>
  <r>
    <n v="22"/>
    <n v="6.8333337259313778"/>
    <n v="17.877329795601831"/>
    <s v="bp"/>
    <x v="105"/>
    <n v="4.6154933496649653"/>
    <n v="4"/>
    <x v="49"/>
    <x v="54"/>
  </r>
  <r>
    <n v="23"/>
    <n v="6.9886929587789961"/>
    <n v="17.927321735838202"/>
    <s v="bp"/>
    <x v="247"/>
    <n v="2.9602819415092534"/>
    <n v="2.9"/>
    <x v="49"/>
    <x v="0"/>
  </r>
  <r>
    <n v="24"/>
    <n v="6.59703322326639"/>
    <n v="17.789083201279034"/>
    <s v="bp"/>
    <x v="248"/>
    <n v="1.909859317102744"/>
    <n v="3.1"/>
    <x v="49"/>
    <x v="0"/>
  </r>
  <r>
    <n v="25"/>
    <n v="6.5904406558154331"/>
    <n v="17.622165379895907"/>
    <s v="bp"/>
    <x v="249"/>
    <n v="2.196338214668156"/>
    <n v="3.7"/>
    <x v="49"/>
    <x v="0"/>
  </r>
  <r>
    <n v="2"/>
    <n v="4.5347512748652568"/>
    <n v="8.6069255682437298"/>
    <s v="bp"/>
    <x v="101"/>
    <n v="4.9656342244671343"/>
    <n v="3.8"/>
    <x v="50"/>
    <x v="14"/>
  </r>
  <r>
    <n v="3"/>
    <n v="4.6490501176979064"/>
    <n v="8.685680648742018"/>
    <s v="bp"/>
    <x v="250"/>
    <n v="3.5332397366400765"/>
    <n v="3.1"/>
    <x v="50"/>
    <x v="0"/>
  </r>
  <r>
    <n v="4"/>
    <n v="4.5413373125291585"/>
    <n v="8.7497993503386731"/>
    <s v="bp"/>
    <x v="251"/>
    <n v="8.91267681314614"/>
    <n v="8.3000000000000007"/>
    <x v="50"/>
    <x v="0"/>
  </r>
  <r>
    <n v="5"/>
    <n v="4.4428325442296615"/>
    <n v="8.5628187767275055"/>
    <s v="bp"/>
    <x v="213"/>
    <n v="1.92"/>
    <n v="3.6"/>
    <x v="50"/>
    <x v="0"/>
  </r>
  <r>
    <n v="6"/>
    <n v="4.289145621441091"/>
    <n v="8.9312426529400941"/>
    <s v="bp"/>
    <x v="252"/>
    <n v="2.8011269984173581"/>
    <n v="5.3"/>
    <x v="50"/>
    <x v="0"/>
  </r>
  <r>
    <n v="7"/>
    <n v="4.3074786275277868"/>
    <n v="9.0576091978658386"/>
    <s v="bp"/>
    <x v="253"/>
    <n v="2.3554931577600513"/>
    <n v="3.5"/>
    <x v="50"/>
    <x v="0"/>
  </r>
  <r>
    <n v="8"/>
    <n v="4.3847909736452664"/>
    <n v="9.0804742579218729"/>
    <s v="bp"/>
    <x v="254"/>
    <n v="3.214929850456286"/>
    <n v="4"/>
    <x v="50"/>
    <x v="0"/>
  </r>
  <r>
    <n v="9"/>
    <n v="4.4670921285436664"/>
    <n v="9.0144389993630316"/>
    <s v="bp"/>
    <x v="35"/>
    <n v="5.4112680651244416"/>
    <n v="6"/>
    <x v="50"/>
    <x v="3"/>
  </r>
  <r>
    <n v="10"/>
    <n v="4.5733309832961941"/>
    <n v="9.2373314067388428"/>
    <s v="bp"/>
    <x v="255"/>
    <n v="2.4191551349968092"/>
    <n v="4.0999999999999996"/>
    <x v="50"/>
    <x v="0"/>
  </r>
  <r>
    <n v="11"/>
    <n v="4.6543320396682057"/>
    <n v="9.1054419762351273"/>
    <s v="bp"/>
    <x v="256"/>
    <n v="8.2442260521601778"/>
    <n v="6.6"/>
    <x v="50"/>
    <x v="55"/>
  </r>
  <r>
    <n v="12"/>
    <n v="4.3575671820445905"/>
    <n v="8.8929986924760307"/>
    <s v="bp"/>
    <x v="192"/>
    <n v="0.71"/>
    <n v="2.1"/>
    <x v="50"/>
    <x v="0"/>
  </r>
  <r>
    <n v="13"/>
    <n v="4.9059474370510188"/>
    <n v="8.7299100481017451"/>
    <s v="bp"/>
    <x v="257"/>
    <n v="0.59000000000000008"/>
    <n v="1.7"/>
    <x v="50"/>
    <x v="0"/>
  </r>
  <r>
    <n v="14"/>
    <n v="4.9059474370510188"/>
    <n v="8.7299100481017451"/>
    <s v="bp"/>
    <x v="258"/>
    <n v="1.33"/>
    <n v="2.1"/>
    <x v="50"/>
    <x v="0"/>
  </r>
  <r>
    <n v="15"/>
    <n v="4.9136324761842101"/>
    <n v="8.9188592077476532"/>
    <s v="bp"/>
    <x v="259"/>
    <n v="0.85"/>
    <n v="1.5"/>
    <x v="5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ピボットテーブル4" cacheId="0" dataOnRows="1" applyNumberFormats="0" applyBorderFormats="0" applyFontFormats="0" applyPatternFormats="0" applyAlignmentFormats="0" applyWidthHeightFormats="1" dataCaption="データ" updatedVersion="6" showMemberPropertyTips="0" useAutoFormatting="1" itemPrintTitles="1" createdVersion="1" indent="0" compact="0" compactData="0" gridDropZones="1" chartFormat="9">
  <location ref="A3:H16" firstHeaderRow="1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77" outline="0" subtotalTop="0" showAll="0" includeNewItemsInFilter="1"/>
    <pivotField compact="0" numFmtId="177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7">
        <item x="3"/>
        <item x="2"/>
        <item x="0"/>
        <item x="1"/>
        <item x="5"/>
        <item x="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dataField="1" compact="0" outline="0" subtotalTop="0" showAll="0" includeNewItemsInFilter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ubtotalTop="0" showAll="0" includeNewItemsInFilter="1"/>
  </pivotFields>
  <rowFields count="1">
    <field x="19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データの個数 / DBH01" fld="19" subtotal="count" baseField="19" baseItem="0"/>
  </dataFields>
  <chartFormats count="18"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ﾋﾟﾎﾞｯﾄﾃｰﾌﾞﾙ2" cacheId="1" applyNumberFormats="0" applyBorderFormats="0" applyFontFormats="0" applyPatternFormats="0" applyAlignmentFormats="0" applyWidthHeightFormats="1" dataCaption="値" updatedVersion="4" minRefreshableVersion="3" useAutoFormatting="1" itemPrintTitles="1" createdVersion="4" indent="0" outline="1" outlineData="1" multipleFieldFilters="0">
  <location ref="A3:M56" firstHeaderRow="1" firstDataRow="2" firstDataCol="1"/>
  <pivotFields count="9">
    <pivotField showAll="0"/>
    <pivotField showAll="0"/>
    <pivotField showAll="0"/>
    <pivotField showAll="0"/>
    <pivotField axis="axisCol" dataFiel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axis="axisRow" showAll="0">
      <items count="52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57">
        <item x="50"/>
        <item x="1"/>
        <item x="43"/>
        <item x="25"/>
        <item x="53"/>
        <item x="36"/>
        <item x="9"/>
        <item x="12"/>
        <item x="17"/>
        <item x="24"/>
        <item x="30"/>
        <item x="26"/>
        <item x="45"/>
        <item x="44"/>
        <item x="40"/>
        <item x="16"/>
        <item x="29"/>
        <item x="22"/>
        <item x="19"/>
        <item x="3"/>
        <item x="46"/>
        <item x="5"/>
        <item x="37"/>
        <item x="27"/>
        <item x="49"/>
        <item x="38"/>
        <item x="18"/>
        <item x="39"/>
        <item x="31"/>
        <item x="15"/>
        <item x="6"/>
        <item x="14"/>
        <item x="23"/>
        <item x="42"/>
        <item x="13"/>
        <item x="10"/>
        <item x="52"/>
        <item x="41"/>
        <item x="32"/>
        <item x="7"/>
        <item x="48"/>
        <item x="21"/>
        <item x="34"/>
        <item x="55"/>
        <item x="54"/>
        <item x="4"/>
        <item x="51"/>
        <item x="20"/>
        <item x="35"/>
        <item x="8"/>
        <item x="11"/>
        <item x="33"/>
        <item x="28"/>
        <item x="2"/>
        <item x="47"/>
        <item x="0"/>
        <item t="default"/>
      </items>
    </pivotField>
  </pivotFields>
  <rowFields count="1">
    <field x="7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4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データの個数 / dbh01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ﾋﾟﾎﾞｯﾄﾃｰﾌﾞﾙ3" cacheId="1" applyNumberFormats="0" applyBorderFormats="0" applyFontFormats="0" applyPatternFormats="0" applyAlignmentFormats="0" applyWidthHeightFormats="1" dataCaption="値" updatedVersion="4" minRefreshableVersion="3" useAutoFormatting="1" itemPrintTitles="1" createdVersion="4" indent="0" outline="1" outlineData="1" multipleFieldFilters="0">
  <location ref="A3:B55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showAll="0">
      <items count="52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>
      <items count="57">
        <item x="50"/>
        <item x="1"/>
        <item x="43"/>
        <item x="25"/>
        <item x="53"/>
        <item x="36"/>
        <item x="9"/>
        <item x="12"/>
        <item x="17"/>
        <item x="24"/>
        <item x="30"/>
        <item x="26"/>
        <item x="45"/>
        <item x="44"/>
        <item x="40"/>
        <item x="16"/>
        <item x="29"/>
        <item x="22"/>
        <item x="19"/>
        <item x="3"/>
        <item x="46"/>
        <item x="5"/>
        <item x="37"/>
        <item x="27"/>
        <item x="49"/>
        <item x="38"/>
        <item x="18"/>
        <item x="39"/>
        <item x="31"/>
        <item x="15"/>
        <item x="6"/>
        <item x="14"/>
        <item x="23"/>
        <item x="42"/>
        <item x="13"/>
        <item x="10"/>
        <item x="52"/>
        <item x="41"/>
        <item x="32"/>
        <item x="7"/>
        <item x="48"/>
        <item x="21"/>
        <item x="34"/>
        <item x="55"/>
        <item x="54"/>
        <item x="4"/>
        <item x="51"/>
        <item x="20"/>
        <item x="35"/>
        <item x="8"/>
        <item x="11"/>
        <item x="33"/>
        <item x="28"/>
        <item x="2"/>
        <item x="47"/>
        <item x="0"/>
        <item t="default"/>
      </items>
    </pivotField>
  </pivotFields>
  <rowFields count="1">
    <field x="7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最大値 / age" fld="8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29"/>
  <sheetViews>
    <sheetView workbookViewId="0">
      <selection activeCell="E29" sqref="E29"/>
    </sheetView>
  </sheetViews>
  <sheetFormatPr defaultRowHeight="13"/>
  <sheetData>
    <row r="1" spans="1:7">
      <c r="A1" t="s">
        <v>177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</row>
    <row r="2" spans="1:7">
      <c r="A2">
        <f>怪しいデータを手直し!F623</f>
        <v>1</v>
      </c>
      <c r="B2">
        <f>怪しいデータを手直し!C623</f>
        <v>2.9719342653964747</v>
      </c>
      <c r="C2">
        <f>怪しいデータを手直し!D623</f>
        <v>8.7986707237015302</v>
      </c>
      <c r="D2" t="str">
        <f>怪しいデータを手直し!G623</f>
        <v>lc</v>
      </c>
      <c r="E2">
        <f>怪しいデータを手直し!T623</f>
        <v>13.114367310772177</v>
      </c>
      <c r="F2">
        <f>IF(怪しいデータを手直し!U623="dead",0,怪しいデータを手直し!U623)</f>
        <v>0</v>
      </c>
      <c r="G2">
        <f>怪しいデータを手直し!L623</f>
        <v>9</v>
      </c>
    </row>
    <row r="3" spans="1:7">
      <c r="A3">
        <f>怪しいデータを手直し!F439</f>
        <v>2</v>
      </c>
      <c r="B3">
        <f>怪しいデータを手直し!C439</f>
        <v>4.5347512748652568</v>
      </c>
      <c r="C3">
        <f>怪しいデータを手直し!D439</f>
        <v>8.6069255682437298</v>
      </c>
      <c r="D3" t="str">
        <f>怪しいデータを手直し!G439</f>
        <v>bp</v>
      </c>
      <c r="E3">
        <f>怪しいデータを手直し!T439</f>
        <v>4.7109863155201026</v>
      </c>
      <c r="F3">
        <f>IF(怪しいデータを手直し!U439="dead",0,怪しいデータを手直し!U439)</f>
        <v>4.9656342244671343</v>
      </c>
      <c r="G3">
        <f>怪しいデータを手直し!L439</f>
        <v>3.8</v>
      </c>
    </row>
    <row r="4" spans="1:7">
      <c r="A4">
        <f>怪しいデータを手直し!F383</f>
        <v>3</v>
      </c>
      <c r="B4">
        <f>怪しいデータを手直し!C383</f>
        <v>4.6490501176979064</v>
      </c>
      <c r="C4">
        <f>怪しいデータを手直し!D383</f>
        <v>8.685680648742018</v>
      </c>
      <c r="D4" t="str">
        <f>怪しいデータを手直し!G383</f>
        <v>bp</v>
      </c>
      <c r="E4">
        <f>怪しいデータを手直し!T383</f>
        <v>3.5969017138768349</v>
      </c>
      <c r="F4">
        <f>IF(怪しいデータを手直し!U383="dead",0,怪しいデータを手直し!U383)</f>
        <v>3.5332397366400765</v>
      </c>
      <c r="G4">
        <f>怪しいデータを手直し!L383</f>
        <v>3.1</v>
      </c>
    </row>
    <row r="5" spans="1:7">
      <c r="A5">
        <f>怪しいデータを手直し!F544</f>
        <v>4</v>
      </c>
      <c r="B5">
        <f>怪しいデータを手直し!C544</f>
        <v>4.5413373125291585</v>
      </c>
      <c r="C5">
        <f>怪しいデータを手直し!D544</f>
        <v>8.7497993503386731</v>
      </c>
      <c r="D5" t="str">
        <f>怪しいデータを手直し!G544</f>
        <v>bp</v>
      </c>
      <c r="E5">
        <f>怪しいデータを手直し!T544</f>
        <v>8.2760570407785572</v>
      </c>
      <c r="F5">
        <f>IF(怪しいデータを手直し!U544="dead",0,怪しいデータを手直し!U544)</f>
        <v>8.91267681314614</v>
      </c>
      <c r="G5">
        <f>怪しいデータを手直し!L544</f>
        <v>8.3000000000000007</v>
      </c>
    </row>
    <row r="6" spans="1:7">
      <c r="A6">
        <f>怪しいデータを手直し!F209</f>
        <v>5</v>
      </c>
      <c r="B6">
        <f>怪しいデータを手直し!C209</f>
        <v>4.4428325442296615</v>
      </c>
      <c r="C6">
        <f>怪しいデータを手直し!D209</f>
        <v>8.5628187767275055</v>
      </c>
      <c r="D6" t="str">
        <f>怪しいデータを手直し!G209</f>
        <v>bp</v>
      </c>
      <c r="E6">
        <f>怪しいデータを手直し!T209</f>
        <v>1.69</v>
      </c>
      <c r="F6">
        <f>IF(怪しいデータを手直し!U209="dead",0,怪しいデータを手直し!U209)</f>
        <v>1.92</v>
      </c>
      <c r="G6">
        <f>怪しいデータを手直し!L209</f>
        <v>3.6</v>
      </c>
    </row>
    <row r="7" spans="1:7">
      <c r="A7">
        <f>怪しいデータを手直し!F302</f>
        <v>6</v>
      </c>
      <c r="B7">
        <f>怪しいデータを手直し!C302</f>
        <v>4.289145621441091</v>
      </c>
      <c r="C7">
        <f>怪しいデータを手直し!D302</f>
        <v>8.9312426529400941</v>
      </c>
      <c r="D7" t="str">
        <f>怪しいデータを手直し!G302</f>
        <v>bp</v>
      </c>
      <c r="E7">
        <f>怪しいデータを手直し!T302</f>
        <v>2.5099999999999998</v>
      </c>
      <c r="F7">
        <f>IF(怪しいデータを手直し!U302="dead",0,怪しいデータを手直し!U302)</f>
        <v>2.8011269984173581</v>
      </c>
      <c r="G7">
        <f>怪しいデータを手直し!L302</f>
        <v>5.3</v>
      </c>
    </row>
    <row r="8" spans="1:7">
      <c r="A8">
        <f>怪しいデータを手直し!F223</f>
        <v>7</v>
      </c>
      <c r="B8">
        <f>怪しいデータを手直し!C223</f>
        <v>4.3074786275277868</v>
      </c>
      <c r="C8">
        <f>怪しいデータを手直し!D223</f>
        <v>9.0576091978658386</v>
      </c>
      <c r="D8" t="str">
        <f>怪しいデータを手直し!G223</f>
        <v>bp</v>
      </c>
      <c r="E8">
        <f>怪しいデータを手直し!T223</f>
        <v>1.83</v>
      </c>
      <c r="F8">
        <f>IF(怪しいデータを手直し!U223="dead",0,怪しいデータを手直し!U223)</f>
        <v>2.3554931577600513</v>
      </c>
      <c r="G8">
        <f>怪しいデータを手直し!L223</f>
        <v>3.5</v>
      </c>
    </row>
    <row r="9" spans="1:7">
      <c r="A9">
        <f>怪しいデータを手直し!F323</f>
        <v>8</v>
      </c>
      <c r="B9">
        <f>怪しいデータを手直し!C323</f>
        <v>4.3847909736452664</v>
      </c>
      <c r="C9">
        <f>怪しいデータを手直し!D323</f>
        <v>9.0804742579218729</v>
      </c>
      <c r="D9" t="str">
        <f>怪しいデータを手直し!G323</f>
        <v>bp</v>
      </c>
      <c r="E9">
        <f>怪しいデータを手直し!T323</f>
        <v>2.84</v>
      </c>
      <c r="F9">
        <f>IF(怪しいデータを手直し!U323="dead",0,怪しいデータを手直し!U323)</f>
        <v>3.214929850456286</v>
      </c>
      <c r="G9">
        <f>怪しいデータを手直し!L323</f>
        <v>4</v>
      </c>
    </row>
    <row r="10" spans="1:7">
      <c r="A10">
        <f>怪しいデータを手直し!F456</f>
        <v>9</v>
      </c>
      <c r="B10">
        <f>怪しいデータを手直し!C456</f>
        <v>4.4670921285436664</v>
      </c>
      <c r="C10">
        <f>怪しいデータを手直し!D456</f>
        <v>9.0144389993630316</v>
      </c>
      <c r="D10" t="str">
        <f>怪しいデータを手直し!G456</f>
        <v>bp</v>
      </c>
      <c r="E10">
        <f>怪しいデータを手直し!T456</f>
        <v>5.156620156177409</v>
      </c>
      <c r="F10">
        <f>IF(怪しいデータを手直し!U456="dead",0,怪しいデータを手直し!U456)</f>
        <v>5.4112680651244416</v>
      </c>
      <c r="G10">
        <f>怪しいデータを手直し!L456</f>
        <v>6</v>
      </c>
    </row>
    <row r="11" spans="1:7">
      <c r="A11">
        <f>怪しいデータを手直し!F293</f>
        <v>10</v>
      </c>
      <c r="B11">
        <f>怪しいデータを手直し!C293</f>
        <v>4.5733309832961941</v>
      </c>
      <c r="C11">
        <f>怪しいデータを手直し!D293</f>
        <v>9.2373314067388428</v>
      </c>
      <c r="D11" t="str">
        <f>怪しいデータを手直し!G293</f>
        <v>bp</v>
      </c>
      <c r="E11">
        <f>怪しいデータを手直し!T293</f>
        <v>2.42</v>
      </c>
      <c r="F11">
        <f>IF(怪しいデータを手直し!U293="dead",0,怪しいデータを手直し!U293)</f>
        <v>2.4191551349968092</v>
      </c>
      <c r="G11">
        <f>怪しいデータを手直し!L293</f>
        <v>4.0999999999999996</v>
      </c>
    </row>
    <row r="12" spans="1:7">
      <c r="A12">
        <f>怪しいデータを手直し!F539</f>
        <v>11</v>
      </c>
      <c r="B12">
        <f>怪しいデータを手直し!C539</f>
        <v>4.6543320396682057</v>
      </c>
      <c r="C12">
        <f>怪しいデータを手直し!D539</f>
        <v>9.1054419762351273</v>
      </c>
      <c r="D12" t="str">
        <f>怪しいデータを手直し!G539</f>
        <v>bp</v>
      </c>
      <c r="E12">
        <f>怪しいデータを手直し!T539</f>
        <v>7.8940851773580096</v>
      </c>
      <c r="F12">
        <f>IF(怪しいデータを手直し!U539="dead",0,怪しいデータを手直し!U539)</f>
        <v>8.2442260521601778</v>
      </c>
      <c r="G12">
        <f>怪しいデータを手直し!L539</f>
        <v>6.6</v>
      </c>
    </row>
    <row r="13" spans="1:7">
      <c r="A13">
        <f>怪しいデータを手直し!F78</f>
        <v>12</v>
      </c>
      <c r="B13">
        <f>怪しいデータを手直し!C78</f>
        <v>4.3575671820445905</v>
      </c>
      <c r="C13">
        <f>怪しいデータを手直し!D78</f>
        <v>8.8929986924760307</v>
      </c>
      <c r="D13" t="str">
        <f>怪しいデータを手直し!G78</f>
        <v>bp</v>
      </c>
      <c r="E13">
        <f>怪しいデータを手直し!T78</f>
        <v>0.76</v>
      </c>
      <c r="F13">
        <f>IF(怪しいデータを手直し!U78="dead",0,怪しいデータを手直し!U78)</f>
        <v>0.71</v>
      </c>
      <c r="G13">
        <f>怪しいデータを手直し!L78</f>
        <v>2.1</v>
      </c>
    </row>
    <row r="14" spans="1:7">
      <c r="A14">
        <f>怪しいデータを手直し!F41</f>
        <v>13</v>
      </c>
      <c r="B14">
        <f>怪しいデータを手直し!C41</f>
        <v>4.9059474370510188</v>
      </c>
      <c r="C14">
        <f>怪しいデータを手直し!D41</f>
        <v>8.7299100481017451</v>
      </c>
      <c r="D14" t="str">
        <f>怪しいデータを手直し!G41</f>
        <v>bp</v>
      </c>
      <c r="E14">
        <f>怪しいデータを手直し!T41</f>
        <v>0.54</v>
      </c>
      <c r="F14">
        <f>IF(怪しいデータを手直し!U41="dead",0,怪しいデータを手直し!U41)</f>
        <v>0.59000000000000008</v>
      </c>
      <c r="G14">
        <f>怪しいデータを手直し!L41</f>
        <v>1.7</v>
      </c>
    </row>
    <row r="15" spans="1:7">
      <c r="A15">
        <f>怪しいデータを手直し!F84</f>
        <v>14</v>
      </c>
      <c r="B15">
        <f>怪しいデータを手直し!C84</f>
        <v>4.9059474370510188</v>
      </c>
      <c r="C15">
        <f>怪しいデータを手直し!D84</f>
        <v>8.7299100481017451</v>
      </c>
      <c r="D15" t="str">
        <f>怪しいデータを手直し!G84</f>
        <v>bp</v>
      </c>
      <c r="E15">
        <f>怪しいデータを手直し!T84</f>
        <v>0.81</v>
      </c>
      <c r="F15">
        <f>IF(怪しいデータを手直し!U84="dead",0,怪しいデータを手直し!U84)</f>
        <v>1.33</v>
      </c>
      <c r="G15">
        <f>怪しいデータを手直し!L84</f>
        <v>2.1</v>
      </c>
    </row>
    <row r="16" spans="1:7">
      <c r="A16">
        <f>怪しいデータを手直し!F20</f>
        <v>15</v>
      </c>
      <c r="B16">
        <f>怪しいデータを手直し!C20</f>
        <v>4.9136324761842101</v>
      </c>
      <c r="C16">
        <f>怪しいデータを手直し!D20</f>
        <v>8.9188592077476532</v>
      </c>
      <c r="D16" t="str">
        <f>怪しいデータを手直し!G20</f>
        <v>bp</v>
      </c>
      <c r="E16">
        <f>怪しいデータを手直し!T20</f>
        <v>0.39</v>
      </c>
      <c r="F16">
        <f>IF(怪しいデータを手直し!U20="dead",0,怪しいデータを手直し!U20)</f>
        <v>0.85</v>
      </c>
      <c r="G16">
        <f>怪しいデータを手直し!L20</f>
        <v>1.5</v>
      </c>
    </row>
    <row r="17" spans="1:7">
      <c r="A17">
        <f>怪しいデータを手直し!F674</f>
        <v>16</v>
      </c>
      <c r="B17">
        <f>怪しいデータを手直し!C674</f>
        <v>5.1128726289895026</v>
      </c>
      <c r="C17">
        <f>怪しいデータを手直し!D674</f>
        <v>4.974456640370116</v>
      </c>
      <c r="D17" t="str">
        <f>怪しいデータを手直し!G674</f>
        <v>lc</v>
      </c>
      <c r="E17">
        <f>怪しいデータを手直し!T674</f>
        <v>22.981973782469687</v>
      </c>
      <c r="F17">
        <f>IF(怪しいデータを手直し!U674="dead",0,怪しいデータを手直し!U674)</f>
        <v>0</v>
      </c>
      <c r="G17">
        <f>怪しいデータを手直し!L674</f>
        <v>9.8000000000000007</v>
      </c>
    </row>
    <row r="18" spans="1:7">
      <c r="A18">
        <f>怪しいデータを手直し!F608</f>
        <v>17</v>
      </c>
      <c r="B18">
        <f>怪しいデータを手直し!C608</f>
        <v>9.4845444850729379</v>
      </c>
      <c r="C18">
        <f>怪しいデータを手直し!D608</f>
        <v>3.8616039870230532</v>
      </c>
      <c r="D18" t="str">
        <f>怪しいデータを手直し!G608</f>
        <v>lc</v>
      </c>
      <c r="E18">
        <f>怪しいデータを手直し!T608</f>
        <v>12.477747538404596</v>
      </c>
      <c r="F18">
        <f>IF(怪しいデータを手直し!U608="dead",0,怪しいデータを手直し!U608)</f>
        <v>0</v>
      </c>
      <c r="G18">
        <f>怪しいデータを手直し!L608</f>
        <v>9.4</v>
      </c>
    </row>
    <row r="19" spans="1:7">
      <c r="A19">
        <f>怪しいデータを手直し!F564</f>
        <v>18</v>
      </c>
      <c r="B19">
        <f>怪しいデータを手直し!C564</f>
        <v>9.9838034761087275</v>
      </c>
      <c r="C19">
        <f>怪しいデータを手直し!D564</f>
        <v>12.319943463236516</v>
      </c>
      <c r="D19" t="str">
        <f>怪しいデータを手直し!G564</f>
        <v>lc</v>
      </c>
      <c r="E19">
        <f>怪しいデータを手直し!T564</f>
        <v>9.7084515286056163</v>
      </c>
      <c r="F19">
        <f>IF(怪しいデータを手直し!U564="dead",0,怪しいデータを手直し!U564)</f>
        <v>0</v>
      </c>
      <c r="G19">
        <f>怪しいデータを手直し!L564</f>
        <v>7.6</v>
      </c>
    </row>
    <row r="20" spans="1:7">
      <c r="A20">
        <f>怪しいデータを手直し!F584</f>
        <v>19</v>
      </c>
      <c r="B20">
        <f>怪しいデータを手直し!C584</f>
        <v>6.9093167736498451</v>
      </c>
      <c r="C20">
        <f>怪しいデータを手直し!D584</f>
        <v>17.281193390808802</v>
      </c>
      <c r="D20" t="str">
        <f>怪しいデータを手直し!G584</f>
        <v>bp</v>
      </c>
      <c r="E20">
        <f>怪しいデータを手直し!T584</f>
        <v>11.045353050577537</v>
      </c>
      <c r="F20">
        <f>IF(怪しいデータを手直し!U584="dead",0,怪しいデータを手直し!U584)</f>
        <v>0</v>
      </c>
      <c r="G20">
        <f>怪しいデータを手直し!L584</f>
        <v>5</v>
      </c>
    </row>
    <row r="21" spans="1:7">
      <c r="A21">
        <f>怪しいデータを手直し!F574</f>
        <v>20</v>
      </c>
      <c r="B21">
        <f>怪しいデータを手直し!C574</f>
        <v>6.8999120717316238</v>
      </c>
      <c r="C21">
        <f>怪しいデータを手直し!D574</f>
        <v>17.634595918383937</v>
      </c>
      <c r="D21" t="str">
        <f>怪しいデータを手直し!G574</f>
        <v>bp</v>
      </c>
      <c r="E21">
        <f>怪しいデータを手直し!T574</f>
        <v>10.408733278209956</v>
      </c>
      <c r="F21">
        <f>IF(怪しいデータを手直し!U574="dead",0,怪しいデータを手直し!U574)</f>
        <v>11.427324913998085</v>
      </c>
      <c r="G21">
        <f>怪しいデータを手直し!L574</f>
        <v>8.1999999999999993</v>
      </c>
    </row>
    <row r="22" spans="1:7">
      <c r="A22">
        <f>怪しいデータを手直し!F421</f>
        <v>21</v>
      </c>
      <c r="B22">
        <f>怪しいデータを手直し!C421</f>
        <v>6.8907652746479302</v>
      </c>
      <c r="C22">
        <f>怪しいデータを手直し!D421</f>
        <v>17.695625992904336</v>
      </c>
      <c r="D22" t="str">
        <f>怪しいデータを手直し!G421</f>
        <v>bp</v>
      </c>
      <c r="E22">
        <f>怪しいデータを手直し!T421</f>
        <v>4.2971834634811739</v>
      </c>
      <c r="F22">
        <f>IF(怪しいデータを手直し!U421="dead",0,怪しいデータを手直し!U421)</f>
        <v>4.5518313724282073</v>
      </c>
      <c r="G22">
        <f>怪しいデータを手直し!L421</f>
        <v>5.5</v>
      </c>
    </row>
    <row r="23" spans="1:7">
      <c r="A23">
        <f>怪しいデータを手直し!F425</f>
        <v>22</v>
      </c>
      <c r="B23">
        <f>怪しいデータを手直し!C425</f>
        <v>6.8333337259313778</v>
      </c>
      <c r="C23">
        <f>怪しいデータを手直し!D425</f>
        <v>17.877329795601831</v>
      </c>
      <c r="D23" t="str">
        <f>怪しいデータを手直し!G425</f>
        <v>bp</v>
      </c>
      <c r="E23">
        <f>怪しいデータを手直し!T425</f>
        <v>4.45633840657307</v>
      </c>
      <c r="F23">
        <f>IF(怪しいデータを手直し!U425="dead",0,怪しいデータを手直し!U425)</f>
        <v>4.6154933496649653</v>
      </c>
      <c r="G23">
        <f>怪しいデータを手直し!L425</f>
        <v>4</v>
      </c>
    </row>
    <row r="24" spans="1:7">
      <c r="A24">
        <f>怪しいデータを手直し!F326</f>
        <v>23</v>
      </c>
      <c r="B24">
        <f>怪しいデータを手直し!C326</f>
        <v>6.9886929587789961</v>
      </c>
      <c r="C24">
        <f>怪しいデータを手直し!D326</f>
        <v>17.927321735838202</v>
      </c>
      <c r="D24" t="str">
        <f>怪しいデータを手直し!G326</f>
        <v>bp</v>
      </c>
      <c r="E24">
        <f>怪しいデータを手直し!T326</f>
        <v>2.896619964272495</v>
      </c>
      <c r="F24">
        <f>IF(怪しいデータを手直し!U326="dead",0,怪しいデータを手直し!U326)</f>
        <v>2.9602819415092534</v>
      </c>
      <c r="G24">
        <f>怪しいデータを手直し!L326</f>
        <v>2.9</v>
      </c>
    </row>
    <row r="25" spans="1:7">
      <c r="A25">
        <f>怪しいデータを手直し!F217</f>
        <v>24</v>
      </c>
      <c r="B25">
        <f>怪しいデータを手直し!C217</f>
        <v>6.59703322326639</v>
      </c>
      <c r="C25">
        <f>怪しいデータを手直し!D217</f>
        <v>17.789083201279034</v>
      </c>
      <c r="D25" t="str">
        <f>怪しいデータを手直し!G217</f>
        <v>bp</v>
      </c>
      <c r="E25">
        <f>怪しいデータを手直し!T217</f>
        <v>1.76</v>
      </c>
      <c r="F25">
        <f>IF(怪しいデータを手直し!U217="dead",0,怪しいデータを手直し!U217)</f>
        <v>1.909859317102744</v>
      </c>
      <c r="G25">
        <f>怪しいデータを手直し!L217</f>
        <v>3.1</v>
      </c>
    </row>
    <row r="26" spans="1:7">
      <c r="A26">
        <f>怪しいデータを手直し!F240</f>
        <v>25</v>
      </c>
      <c r="B26">
        <f>怪しいデータを手直し!C240</f>
        <v>6.5904406558154331</v>
      </c>
      <c r="C26">
        <f>怪しいデータを手直し!D240</f>
        <v>17.622165379895907</v>
      </c>
      <c r="D26" t="str">
        <f>怪しいデータを手直し!G240</f>
        <v>bp</v>
      </c>
      <c r="E26">
        <f>怪しいデータを手直し!T240</f>
        <v>1.98</v>
      </c>
      <c r="F26">
        <f>IF(怪しいデータを手直し!U240="dead",0,怪しいデータを手直し!U240)</f>
        <v>2.196338214668156</v>
      </c>
      <c r="G26">
        <f>怪しいデータを手直し!L240</f>
        <v>3.7</v>
      </c>
    </row>
    <row r="27" spans="1:7">
      <c r="A27">
        <f>怪しいデータを手直し!F392</f>
        <v>26</v>
      </c>
      <c r="B27">
        <f>怪しいデータを手直し!C392</f>
        <v>1.739478099313315</v>
      </c>
      <c r="C27">
        <f>怪しいデータを手直し!D392</f>
        <v>16.785269186132236</v>
      </c>
      <c r="D27" t="str">
        <f>怪しいデータを手直し!G392</f>
        <v>lc</v>
      </c>
      <c r="E27">
        <f>怪しいデータを手直し!T392</f>
        <v>3.7878876455871091</v>
      </c>
      <c r="F27">
        <f>IF(怪しいデータを手直し!U392="dead",0,怪しいデータを手直し!U392)</f>
        <v>4.9019722472303764</v>
      </c>
      <c r="G27">
        <f>怪しいデータを手直し!L392</f>
        <v>4.0999999999999996</v>
      </c>
    </row>
    <row r="28" spans="1:7">
      <c r="A28">
        <f>怪しいデータを手直し!F59</f>
        <v>27</v>
      </c>
      <c r="B28">
        <f>怪しいデータを手直し!C59</f>
        <v>1.2251623958207458</v>
      </c>
      <c r="C28">
        <f>怪しいデータを手直し!D59</f>
        <v>21.399491730546046</v>
      </c>
      <c r="D28" t="str">
        <f>怪しいデータを手直し!G59</f>
        <v>lc</v>
      </c>
      <c r="E28">
        <f>怪しいデータを手直し!T59</f>
        <v>0.64</v>
      </c>
      <c r="F28">
        <f>IF(怪しいデータを手直し!U59="dead",0,怪しいデータを手直し!U59)</f>
        <v>0</v>
      </c>
      <c r="G28">
        <f>怪しいデータを手直し!L59</f>
        <v>1.7</v>
      </c>
    </row>
    <row r="29" spans="1:7">
      <c r="A29">
        <f>怪しいデータを手直し!F134</f>
        <v>28</v>
      </c>
      <c r="B29">
        <f>怪しいデータを手直し!C134</f>
        <v>0.56912983370203873</v>
      </c>
      <c r="C29">
        <f>怪しいデータを手直し!D134</f>
        <v>24.635190528164973</v>
      </c>
      <c r="D29" t="str">
        <f>怪しいデータを手直し!G134</f>
        <v>lc</v>
      </c>
      <c r="E29">
        <f>怪しいデータを手直し!T134</f>
        <v>1.18</v>
      </c>
      <c r="F29">
        <f>IF(怪しいデータを手直し!U134="dead",0,怪しいデータを手直し!U134)</f>
        <v>0</v>
      </c>
      <c r="G29">
        <f>怪しいデータを手直し!L134</f>
        <v>2.2000000000000002</v>
      </c>
    </row>
    <row r="30" spans="1:7">
      <c r="A30">
        <f>怪しいデータを手直し!F185</f>
        <v>29</v>
      </c>
      <c r="B30">
        <f>怪しいデータを手直し!C185</f>
        <v>0.66636346065243546</v>
      </c>
      <c r="C30">
        <f>怪しいデータを手直し!D185</f>
        <v>24.864571896714789</v>
      </c>
      <c r="D30" t="str">
        <f>怪しいデータを手直し!G185</f>
        <v>lc</v>
      </c>
      <c r="E30">
        <f>怪しいデータを手直し!T185</f>
        <v>1.5</v>
      </c>
      <c r="F30">
        <f>IF(怪しいデータを手直し!U185="dead",0,怪しいデータを手直し!U185)</f>
        <v>2.0300000000000002</v>
      </c>
      <c r="G30">
        <f>怪しいデータを手直し!L185</f>
        <v>2</v>
      </c>
    </row>
    <row r="31" spans="1:7">
      <c r="A31">
        <f>怪しいデータを手直し!F222</f>
        <v>30</v>
      </c>
      <c r="B31">
        <f>怪しいデータを手直し!C222</f>
        <v>8.3029446827353137</v>
      </c>
      <c r="C31">
        <f>怪しいデータを手直し!D222</f>
        <v>22.162755093725913</v>
      </c>
      <c r="D31" t="str">
        <f>怪しいデータを手直し!G222</f>
        <v>bp</v>
      </c>
      <c r="E31">
        <f>怪しいデータを手直し!T222</f>
        <v>1.82</v>
      </c>
      <c r="F31">
        <f>IF(怪しいデータを手直し!U222="dead",0,怪しいデータを手直し!U222)</f>
        <v>2.7056340325622208</v>
      </c>
      <c r="G31">
        <f>怪しいデータを手直し!L222</f>
        <v>3.8</v>
      </c>
    </row>
    <row r="32" spans="1:7">
      <c r="A32">
        <f>怪しいデータを手直し!F422</f>
        <v>31</v>
      </c>
      <c r="B32">
        <f>怪しいデータを手直し!C422</f>
        <v>8.4184890926716029</v>
      </c>
      <c r="C32">
        <f>怪しいデータを手直し!D422</f>
        <v>22.114578302302672</v>
      </c>
      <c r="D32" t="str">
        <f>怪しいデータを手直し!G422</f>
        <v>bp</v>
      </c>
      <c r="E32">
        <f>怪しいデータを手直し!T422</f>
        <v>4.2971834634811739</v>
      </c>
      <c r="F32">
        <f>IF(怪しいデータを手直し!U422="dead",0,怪しいデータを手直し!U422)</f>
        <v>4.6154933496649653</v>
      </c>
      <c r="G32">
        <f>怪しいデータを手直し!L422</f>
        <v>3.7</v>
      </c>
    </row>
    <row r="33" spans="1:7">
      <c r="A33">
        <f>怪しいデータを手直し!F653</f>
        <v>32</v>
      </c>
      <c r="B33">
        <f>怪しいデータを手直し!C653</f>
        <v>8.640717581892984</v>
      </c>
      <c r="C33">
        <f>怪しいデータを手直し!D653</f>
        <v>22.445076618424352</v>
      </c>
      <c r="D33" t="str">
        <f>怪しいデータを手直し!G653</f>
        <v>bp</v>
      </c>
      <c r="E33">
        <f>怪しいデータを手直し!T653</f>
        <v>18.239156478331207</v>
      </c>
      <c r="F33">
        <f>IF(怪しいデータを手直し!U653="dead",0,怪しいデータを手直し!U653)</f>
        <v>18.52563537589662</v>
      </c>
      <c r="G33">
        <f>怪しいデータを手直し!L653</f>
        <v>11.9</v>
      </c>
    </row>
    <row r="34" spans="1:7">
      <c r="A34">
        <f>怪しいデータを手直し!F627</f>
        <v>33</v>
      </c>
      <c r="B34">
        <f>怪しいデータを手直し!C627</f>
        <v>8.5072670275945281</v>
      </c>
      <c r="C34">
        <f>怪しいデータを手直し!D627</f>
        <v>22.715015234064623</v>
      </c>
      <c r="D34" t="str">
        <f>怪しいデータを手直し!G627</f>
        <v>bp</v>
      </c>
      <c r="E34">
        <f>怪しいデータを手直し!T627</f>
        <v>13.591832140047863</v>
      </c>
      <c r="F34">
        <f>IF(怪しいデータを手直し!U627="dead",0,怪しいデータを手直し!U627)</f>
        <v>13.687325105903</v>
      </c>
      <c r="G34">
        <f>怪しいデータを手直し!L627</f>
        <v>5.8</v>
      </c>
    </row>
    <row r="35" spans="1:7">
      <c r="A35">
        <f>怪しいデータを手直し!F485</f>
        <v>34</v>
      </c>
      <c r="B35">
        <f>怪しいデータを手直し!C485</f>
        <v>8.8119505183786533</v>
      </c>
      <c r="C35">
        <f>怪しいデータを手直し!D485</f>
        <v>22.148121984815155</v>
      </c>
      <c r="D35" t="str">
        <f>怪しいデータを手直し!G485</f>
        <v>bp</v>
      </c>
      <c r="E35">
        <f>怪しいデータを手直し!T485</f>
        <v>5.856901905781748</v>
      </c>
      <c r="F35">
        <f>IF(怪しいデータを手直し!U485="dead",0,怪しいデータを手直し!U485)</f>
        <v>6.6845076098596046</v>
      </c>
      <c r="G35">
        <f>怪しいデータを手直し!L485</f>
        <v>4.3</v>
      </c>
    </row>
    <row r="36" spans="1:7">
      <c r="A36">
        <f>怪しいデータを手直し!F53</f>
        <v>35</v>
      </c>
      <c r="B36">
        <f>怪しいデータを手直し!C53</f>
        <v>8.9461265962646888</v>
      </c>
      <c r="C36">
        <f>怪しいデータを手直し!D53</f>
        <v>22.230519877428932</v>
      </c>
      <c r="D36" t="str">
        <f>怪しいデータを手直し!G53</f>
        <v>bp</v>
      </c>
      <c r="E36">
        <f>怪しいデータを手直し!T53</f>
        <v>0.62</v>
      </c>
      <c r="F36">
        <f>IF(怪しいデータを手直し!U53="dead",0,怪しいデータを手直し!U53)</f>
        <v>1.06</v>
      </c>
      <c r="G36">
        <f>怪しいデータを手直し!L53</f>
        <v>2.1</v>
      </c>
    </row>
    <row r="37" spans="1:7">
      <c r="A37">
        <f>怪しいデータを手直し!F339</f>
        <v>36</v>
      </c>
      <c r="B37">
        <f>怪しいデータを手直し!C339</f>
        <v>8.9167524089241592</v>
      </c>
      <c r="C37">
        <f>怪しいデータを手直し!D339</f>
        <v>22.422628010641585</v>
      </c>
      <c r="D37" t="str">
        <f>怪しいデータを手直し!G339</f>
        <v>bp</v>
      </c>
      <c r="E37">
        <f>怪しいデータを手直し!T339</f>
        <v>2.9921129301276324</v>
      </c>
      <c r="F37">
        <f>IF(怪しいデータを手直し!U339="dead",0,怪しいデータを手直し!U339)</f>
        <v>3.9152116000606259</v>
      </c>
      <c r="G37">
        <f>怪しいデータを手直し!L339</f>
        <v>4.5</v>
      </c>
    </row>
    <row r="38" spans="1:7">
      <c r="A38">
        <f>怪しいデータを手直し!F639</f>
        <v>37</v>
      </c>
      <c r="B38">
        <f>怪しいデータを手直し!C639</f>
        <v>8.9259555083891282</v>
      </c>
      <c r="C38">
        <f>怪しいデータを手直し!D639</f>
        <v>22.883005074962199</v>
      </c>
      <c r="D38" t="str">
        <f>怪しいデータを手直し!G639</f>
        <v>bp</v>
      </c>
      <c r="E38">
        <f>怪しいデータを手直し!T639</f>
        <v>15.406198491295468</v>
      </c>
      <c r="F38">
        <f>IF(怪しいデータを手直し!U639="dead",0,怪しいデータを手直し!U639)</f>
        <v>16.71126902464901</v>
      </c>
      <c r="G38">
        <f>怪しいデータを手直し!L639</f>
        <v>14.2</v>
      </c>
    </row>
    <row r="39" spans="1:7">
      <c r="A39">
        <f>怪しいデータを手直し!F436</f>
        <v>38</v>
      </c>
      <c r="B39">
        <f>怪しいデータを手直し!C436</f>
        <v>9.0445474699669113</v>
      </c>
      <c r="C39">
        <f>怪しいデータを手直し!D436</f>
        <v>22.938751616505748</v>
      </c>
      <c r="D39" t="str">
        <f>怪しいデータを手直し!G436</f>
        <v>bp</v>
      </c>
      <c r="E39">
        <f>怪しいデータを手直し!T436</f>
        <v>4.6791553269017232</v>
      </c>
      <c r="F39">
        <f>IF(怪しいデータを手直し!U436="dead",0,怪しいデータを手直し!U436)</f>
        <v>0</v>
      </c>
      <c r="G39">
        <f>怪しいデータを手直し!L436</f>
        <v>1.7</v>
      </c>
    </row>
    <row r="40" spans="1:7">
      <c r="A40">
        <f>怪しいデータを手直し!F551</f>
        <v>39</v>
      </c>
      <c r="B40">
        <f>怪しいデータを手直し!C551</f>
        <v>7.614100830171675</v>
      </c>
      <c r="C40">
        <f>怪しいデータを手直し!D551</f>
        <v>23.664419264764746</v>
      </c>
      <c r="D40" t="str">
        <f>怪しいデータを手直し!G551</f>
        <v>lc</v>
      </c>
      <c r="E40">
        <f>怪しいデータを手直し!T551</f>
        <v>8.7853528586726242</v>
      </c>
      <c r="F40">
        <f>IF(怪しいデータを手直し!U551="dead",0,怪しいデータを手直し!U551)</f>
        <v>0</v>
      </c>
      <c r="G40">
        <f>怪しいデータを手直し!L551</f>
        <v>5.2</v>
      </c>
    </row>
    <row r="41" spans="1:7">
      <c r="A41">
        <f>怪しいデータを手直し!F616</f>
        <v>40</v>
      </c>
      <c r="B41">
        <f>怪しいデータを手直し!C616</f>
        <v>6.420031139275026</v>
      </c>
      <c r="C41">
        <f>怪しいデータを手直し!D616</f>
        <v>24.873068865790739</v>
      </c>
      <c r="D41" t="str">
        <f>怪しいデータを手直し!G616</f>
        <v>lc</v>
      </c>
      <c r="E41">
        <f>怪しいデータを手直し!T616</f>
        <v>12.859719401825144</v>
      </c>
      <c r="F41">
        <f>IF(怪しいデータを手直し!U616="dead",0,怪しいデータを手直し!U616)</f>
        <v>0</v>
      </c>
      <c r="G41">
        <f>怪しいデータを手直し!L616</f>
        <v>8.1999999999999993</v>
      </c>
    </row>
    <row r="42" spans="1:7">
      <c r="A42">
        <f>怪しいデータを手直し!F591</f>
        <v>41</v>
      </c>
      <c r="B42">
        <f>怪しいデータを手直し!C591</f>
        <v>6.0918837271439479</v>
      </c>
      <c r="C42">
        <f>怪しいデータを手直し!D591</f>
        <v>26.624873784077607</v>
      </c>
      <c r="D42" t="str">
        <f>怪しいデータを手直し!G591</f>
        <v>lc</v>
      </c>
      <c r="E42">
        <f>怪しいデータを手直し!T591</f>
        <v>11.26816997090619</v>
      </c>
      <c r="F42">
        <f>IF(怪しいデータを手直し!U591="dead",0,怪しいデータを手直し!U591)</f>
        <v>0</v>
      </c>
      <c r="G42">
        <f>怪しいデータを手直し!L591</f>
        <v>4</v>
      </c>
    </row>
    <row r="43" spans="1:7">
      <c r="A43">
        <f>怪しいデータを手直し!F34</f>
        <v>42</v>
      </c>
      <c r="B43">
        <f>怪しいデータを手直し!C34</f>
        <v>6.3672798251672251</v>
      </c>
      <c r="C43">
        <f>怪しいデータを手直し!D34</f>
        <v>26.70971293186366</v>
      </c>
      <c r="D43" t="str">
        <f>怪しいデータを手直し!G34</f>
        <v>lc</v>
      </c>
      <c r="E43">
        <f>怪しいデータを手直し!T34</f>
        <v>0.5</v>
      </c>
      <c r="F43">
        <f>IF(怪しいデータを手直し!U34="dead",0,怪しいデータを手直し!U34)</f>
        <v>1.1599999999999999</v>
      </c>
      <c r="G43">
        <f>怪しいデータを手直し!L34</f>
        <v>1.7</v>
      </c>
    </row>
    <row r="44" spans="1:7">
      <c r="A44">
        <f>怪しいデータを手直し!F92</f>
        <v>43</v>
      </c>
      <c r="B44">
        <f>怪しいデータを手直し!C92</f>
        <v>6.0533561384906731</v>
      </c>
      <c r="C44">
        <f>怪しいデータを手直し!D92</f>
        <v>26.914693012751709</v>
      </c>
      <c r="D44" t="str">
        <f>怪しいデータを手直し!G92</f>
        <v>lc</v>
      </c>
      <c r="E44">
        <f>怪しいデータを手直し!T92</f>
        <v>0.86</v>
      </c>
      <c r="F44">
        <f>IF(怪しいデータを手直し!U92="dead",0,怪しいデータを手直し!U92)</f>
        <v>1.7399999999999998</v>
      </c>
      <c r="G44">
        <f>怪しいデータを手直し!L92</f>
        <v>1.9</v>
      </c>
    </row>
    <row r="45" spans="1:7">
      <c r="A45">
        <f>怪しいデータを手直し!F426</f>
        <v>44</v>
      </c>
      <c r="B45">
        <f>怪しいデータを手直し!C426</f>
        <v>6.7606422029613356</v>
      </c>
      <c r="C45">
        <f>怪しいデータを手直し!D426</f>
        <v>30.023064252190451</v>
      </c>
      <c r="D45" t="str">
        <f>怪しいデータを手直し!G426</f>
        <v>lc</v>
      </c>
      <c r="E45">
        <f>怪しいデータを手直し!T426</f>
        <v>4.45633840657307</v>
      </c>
      <c r="F45">
        <f>IF(怪しいデータを手直し!U426="dead",0,怪しいデータを手直し!U426)</f>
        <v>0</v>
      </c>
      <c r="G45">
        <f>怪しいデータを手直し!L426</f>
        <v>4.2</v>
      </c>
    </row>
    <row r="46" spans="1:7">
      <c r="A46">
        <f>怪しいデータを手直し!F158</f>
        <v>45</v>
      </c>
      <c r="B46">
        <f>怪しいデータを手直し!C158</f>
        <v>3.8226077947344206</v>
      </c>
      <c r="C46">
        <f>怪しいデータを手直し!D158</f>
        <v>29.704255234052518</v>
      </c>
      <c r="D46" t="str">
        <f>怪しいデータを手直し!G158</f>
        <v>lc</v>
      </c>
      <c r="E46">
        <f>怪しいデータを手直し!T158</f>
        <v>1.32</v>
      </c>
      <c r="F46">
        <f>IF(怪しいデータを手直し!U158="dead",0,怪しいデータを手直し!U158)</f>
        <v>2.6419720553254629</v>
      </c>
      <c r="G46">
        <f>怪しいデータを手直し!L158</f>
        <v>2.1</v>
      </c>
    </row>
    <row r="47" spans="1:7">
      <c r="A47">
        <f>怪しいデータを手直し!F215</f>
        <v>46</v>
      </c>
      <c r="B47">
        <f>怪しいデータを手直し!C215</f>
        <v>2.0869868475753837</v>
      </c>
      <c r="C47">
        <f>怪しいデータを手直し!D215</f>
        <v>29.185906917558405</v>
      </c>
      <c r="D47" t="str">
        <f>怪しいデータを手直し!G215</f>
        <v>lc</v>
      </c>
      <c r="E47">
        <f>怪しいデータを手直し!T215</f>
        <v>1.74</v>
      </c>
      <c r="F47">
        <f>IF(怪しいデータを手直し!U215="dead",0,怪しいデータを手直し!U215)</f>
        <v>0</v>
      </c>
      <c r="G47">
        <f>怪しいデータを手直し!L215</f>
        <v>3.8</v>
      </c>
    </row>
    <row r="48" spans="1:7">
      <c r="A48">
        <f>怪しいデータを手直し!F246</f>
        <v>47</v>
      </c>
      <c r="B48">
        <f>怪しいデータを手直し!C246</f>
        <v>1.7956392668405727</v>
      </c>
      <c r="C48">
        <f>怪しいデータを手直し!D246</f>
        <v>29.979743464808116</v>
      </c>
      <c r="D48" t="str">
        <f>怪しいデータを手直し!G246</f>
        <v>lc</v>
      </c>
      <c r="E48">
        <f>怪しいデータを手直し!T246</f>
        <v>2.06</v>
      </c>
      <c r="F48">
        <f>IF(怪しいデータを手直し!U246="dead",0,怪しいデータを手直し!U246)</f>
        <v>3.5650707252584555</v>
      </c>
      <c r="G48">
        <f>怪しいデータを手直し!L246</f>
        <v>3.3</v>
      </c>
    </row>
    <row r="49" spans="1:7">
      <c r="A49">
        <f>怪しいデータを手直し!F241</f>
        <v>48</v>
      </c>
      <c r="B49">
        <f>怪しいデータを手直し!C241</f>
        <v>0.32706413342566815</v>
      </c>
      <c r="C49">
        <f>怪しいデータを手直し!D241</f>
        <v>28.513720047818492</v>
      </c>
      <c r="D49" t="str">
        <f>怪しいデータを手直し!G241</f>
        <v>lc</v>
      </c>
      <c r="E49">
        <f>怪しいデータを手直し!T241</f>
        <v>1.98</v>
      </c>
      <c r="F49">
        <f>IF(怪しいデータを手直し!U241="dead",0,怪しいデータを手直し!U241)</f>
        <v>0</v>
      </c>
      <c r="G49">
        <f>怪しいデータを手直し!L241</f>
        <v>2.8</v>
      </c>
    </row>
    <row r="50" spans="1:7">
      <c r="A50">
        <f>怪しいデータを手直し!F224</f>
        <v>49</v>
      </c>
      <c r="B50">
        <f>怪しいデータを手直し!C224</f>
        <v>7.1383060376698781E-2</v>
      </c>
      <c r="C50">
        <f>怪しいデータを手直し!D224</f>
        <v>28.179688530664919</v>
      </c>
      <c r="D50" t="str">
        <f>怪しいデータを手直し!G224</f>
        <v>lc</v>
      </c>
      <c r="E50">
        <f>怪しいデータを手直し!T224</f>
        <v>1.83</v>
      </c>
      <c r="F50">
        <f>IF(怪しいデータを手直し!U224="dead",0,怪しいデータを手直し!U224)</f>
        <v>0</v>
      </c>
      <c r="G50">
        <f>怪しいデータを手直し!L224</f>
        <v>2.9</v>
      </c>
    </row>
    <row r="51" spans="1:7">
      <c r="A51">
        <f>怪しいデータを手直し!F192</f>
        <v>50</v>
      </c>
      <c r="B51">
        <f>怪しいデータを手直し!C192</f>
        <v>1.0700791983558624</v>
      </c>
      <c r="C51">
        <f>怪しいデータを手直し!D192</f>
        <v>30.012983097421369</v>
      </c>
      <c r="D51" t="str">
        <f>怪しいデータを手直し!G192</f>
        <v>bp</v>
      </c>
      <c r="E51">
        <f>怪しいデータを手直し!T192</f>
        <v>1.54</v>
      </c>
      <c r="F51">
        <f>IF(怪しいデータを手直し!U192="dead",0,怪しいデータを手直し!U192)</f>
        <v>1.55</v>
      </c>
      <c r="G51">
        <f>怪しいデータを手直し!L192</f>
        <v>2.2000000000000002</v>
      </c>
    </row>
    <row r="52" spans="1:7">
      <c r="A52">
        <f>怪しいデータを手直し!F46</f>
        <v>51</v>
      </c>
      <c r="B52">
        <f>怪しいデータを手直し!C46</f>
        <v>1.087553511959648</v>
      </c>
      <c r="C52">
        <f>怪しいデータを手直し!D46</f>
        <v>30.011100207201217</v>
      </c>
      <c r="D52" t="str">
        <f>怪しいデータを手直し!G46</f>
        <v>bp</v>
      </c>
      <c r="E52">
        <f>怪しいデータを手直し!T46</f>
        <v>0.56999999999999995</v>
      </c>
      <c r="F52">
        <f>IF(怪しいデータを手直し!U46="dead",0,怪しいデータを手直し!U46)</f>
        <v>1.1499999999999999</v>
      </c>
      <c r="G52">
        <f>怪しいデータを手直し!L46</f>
        <v>2</v>
      </c>
    </row>
    <row r="53" spans="1:7">
      <c r="A53">
        <f>怪しいデータを手直し!F453</f>
        <v>52</v>
      </c>
      <c r="B53">
        <f>怪しいデータを手直し!C453</f>
        <v>2.3642066204640333</v>
      </c>
      <c r="C53">
        <f>怪しいデータを手直し!D453</f>
        <v>35.450159450819726</v>
      </c>
      <c r="D53" t="str">
        <f>怪しいデータを手直し!G453</f>
        <v>lc</v>
      </c>
      <c r="E53">
        <f>怪しいデータを手直し!T453</f>
        <v>5.0929581789406511</v>
      </c>
      <c r="F53">
        <f>IF(怪しいデータを手直し!U453="dead",0,怪しいデータを手直し!U453)</f>
        <v>0</v>
      </c>
      <c r="G53">
        <f>怪しいデータを手直し!L453</f>
        <v>5.0999999999999996</v>
      </c>
    </row>
    <row r="54" spans="1:7">
      <c r="A54">
        <f>怪しいデータを手直し!F423</f>
        <v>53</v>
      </c>
      <c r="B54">
        <f>怪しいデータを手直し!C423</f>
        <v>3.3916017940016192</v>
      </c>
      <c r="C54">
        <f>怪しいデータを手直し!D423</f>
        <v>37.779399238189264</v>
      </c>
      <c r="D54" t="str">
        <f>怪しいデータを手直し!G423</f>
        <v>lc</v>
      </c>
      <c r="E54">
        <f>怪しいデータを手直し!T423</f>
        <v>4.3290144520995533</v>
      </c>
      <c r="F54">
        <f>IF(怪しいデータを手直し!U423="dead",0,怪しいデータを手直し!U423)</f>
        <v>0</v>
      </c>
      <c r="G54">
        <f>怪しいデータを手直し!L423</f>
        <v>2.1</v>
      </c>
    </row>
    <row r="55" spans="1:7">
      <c r="A55">
        <f>怪しいデータを手直し!F514</f>
        <v>54</v>
      </c>
      <c r="B55">
        <f>怪しいデータを手直し!C514</f>
        <v>3.1837218938327423</v>
      </c>
      <c r="C55">
        <f>怪しいデータを手直し!D514</f>
        <v>39.876639929895845</v>
      </c>
      <c r="D55" t="str">
        <f>怪しいデータを手直し!G514</f>
        <v>lc</v>
      </c>
      <c r="E55">
        <f>怪しいデータを手直し!T514</f>
        <v>6.9391555188066372</v>
      </c>
      <c r="F55">
        <f>IF(怪しいデータを手直し!U514="dead",0,怪しいデータを手直し!U514)</f>
        <v>0</v>
      </c>
      <c r="G55">
        <f>怪しいデータを手直し!L514</f>
        <v>4.8</v>
      </c>
    </row>
    <row r="56" spans="1:7">
      <c r="A56">
        <f>怪しいデータを手直し!F635</f>
        <v>55</v>
      </c>
      <c r="B56">
        <f>怪しいデータを手直し!C635</f>
        <v>3.7176452813807801</v>
      </c>
      <c r="C56">
        <f>怪しいデータを手直し!D635</f>
        <v>39.488579054457183</v>
      </c>
      <c r="D56" t="str">
        <f>怪しいデータを手直し!G635</f>
        <v>lc</v>
      </c>
      <c r="E56">
        <f>怪しいデータを手直し!T635</f>
        <v>14.769578718927887</v>
      </c>
      <c r="F56">
        <f>IF(怪しいデータを手直し!U635="dead",0,怪しいデータを手直し!U635)</f>
        <v>0</v>
      </c>
      <c r="G56">
        <f>怪しいデータを手直し!L635</f>
        <v>12</v>
      </c>
    </row>
    <row r="57" spans="1:7">
      <c r="A57">
        <f>怪しいデータを手直し!F216</f>
        <v>56</v>
      </c>
      <c r="B57">
        <f>怪しいデータを手直し!C216</f>
        <v>4.2100548133568347</v>
      </c>
      <c r="C57">
        <f>怪しいデータを手直し!D216</f>
        <v>38.681486516563155</v>
      </c>
      <c r="D57" t="str">
        <f>怪しいデータを手直し!G216</f>
        <v>lc</v>
      </c>
      <c r="E57">
        <f>怪しいデータを手直し!T216</f>
        <v>1.74</v>
      </c>
      <c r="F57">
        <f>IF(怪しいデータを手直し!U216="dead",0,怪しいデータを手直し!U216)</f>
        <v>0</v>
      </c>
      <c r="G57">
        <f>怪しいデータを手直し!L216</f>
        <v>2.1</v>
      </c>
    </row>
    <row r="58" spans="1:7">
      <c r="A58">
        <f>怪しいデータを手直し!F299</f>
        <v>57</v>
      </c>
      <c r="B58">
        <f>怪しいデータを手直し!C299</f>
        <v>4.3269168424163151</v>
      </c>
      <c r="C58">
        <f>怪しいデータを手直し!D299</f>
        <v>39.67994640843348</v>
      </c>
      <c r="D58" t="str">
        <f>怪しいデータを手直し!G299</f>
        <v>lc</v>
      </c>
      <c r="E58">
        <f>怪しいデータを手直し!T299</f>
        <v>2.5</v>
      </c>
      <c r="F58">
        <f>IF(怪しいデータを手直し!U299="dead",0,怪しいデータを手直し!U299)</f>
        <v>0</v>
      </c>
      <c r="G58">
        <f>怪しいデータを手直し!L299</f>
        <v>3.2</v>
      </c>
    </row>
    <row r="59" spans="1:7">
      <c r="A59">
        <f>怪しいデータを手直し!F54</f>
        <v>58</v>
      </c>
      <c r="B59">
        <f>怪しいデータを手直し!C54</f>
        <v>5.6418608251179263</v>
      </c>
      <c r="C59">
        <f>怪しいデータを手直し!D54</f>
        <v>31.120715194177023</v>
      </c>
      <c r="D59" t="str">
        <f>怪しいデータを手直し!G54</f>
        <v>lc</v>
      </c>
      <c r="E59">
        <f>怪しいデータを手直し!T54</f>
        <v>0.62</v>
      </c>
      <c r="F59">
        <f>IF(怪しいデータを手直し!U54="dead",0,怪しいデータを手直し!U54)</f>
        <v>1.3</v>
      </c>
      <c r="G59">
        <f>怪しいデータを手直し!L54</f>
        <v>1.8</v>
      </c>
    </row>
    <row r="60" spans="1:7">
      <c r="A60">
        <f>怪しいデータを手直し!F266</f>
        <v>59</v>
      </c>
      <c r="B60">
        <f>怪しいデータを手直し!C266</f>
        <v>9.4615067739142642</v>
      </c>
      <c r="C60">
        <f>怪しいデータを手直し!D266</f>
        <v>30.508067832250347</v>
      </c>
      <c r="D60" t="str">
        <f>怪しいデータを手直し!G266</f>
        <v>lc</v>
      </c>
      <c r="E60">
        <f>怪しいデータを手直し!T266</f>
        <v>2.23</v>
      </c>
      <c r="F60">
        <f>IF(怪しいデータを手直し!U266="dead",0,怪しいデータを手直し!U266)</f>
        <v>0</v>
      </c>
      <c r="G60">
        <f>怪しいデータを手直し!L266</f>
        <v>3.4</v>
      </c>
    </row>
    <row r="61" spans="1:7">
      <c r="A61">
        <f>怪しいデータを手直し!F673</f>
        <v>60</v>
      </c>
      <c r="B61">
        <f>怪しいデータを手直し!C673</f>
        <v>8.4116641956156712</v>
      </c>
      <c r="C61">
        <f>怪しいデータを手直し!D673</f>
        <v>38.288269613612911</v>
      </c>
      <c r="D61" t="str">
        <f>怪しいデータを手直し!G673</f>
        <v>lc</v>
      </c>
      <c r="E61">
        <f>怪しいデータを手直し!T673</f>
        <v>22.759156862141033</v>
      </c>
      <c r="F61">
        <f>IF(怪しいデータを手直し!U673="dead",0,怪しいデータを手直し!U673)</f>
        <v>0</v>
      </c>
      <c r="G61">
        <f>怪しいデータを手直し!L673</f>
        <v>13.1</v>
      </c>
    </row>
    <row r="62" spans="1:7">
      <c r="A62">
        <f>怪しいデータを手直し!F286</f>
        <v>61</v>
      </c>
      <c r="B62">
        <f>怪しいデータを手直し!C286</f>
        <v>8.5582568356338165</v>
      </c>
      <c r="C62">
        <f>怪しいデータを手直し!D286</f>
        <v>40.55989153510609</v>
      </c>
      <c r="D62" t="str">
        <f>怪しいデータを手直し!G286</f>
        <v>lc</v>
      </c>
      <c r="E62">
        <f>怪しいデータを手直し!T286</f>
        <v>2.35</v>
      </c>
      <c r="F62">
        <f>IF(怪しいデータを手直し!U286="dead",0,怪しいデータを手直し!U286)</f>
        <v>0</v>
      </c>
      <c r="G62">
        <f>怪しいデータを手直し!L286</f>
        <v>3.2</v>
      </c>
    </row>
    <row r="63" spans="1:7">
      <c r="A63">
        <f>怪しいデータを手直し!F205</f>
        <v>62</v>
      </c>
      <c r="B63">
        <f>怪しいデータを手直し!C205</f>
        <v>8.1404010585722872</v>
      </c>
      <c r="C63">
        <f>怪しいデータを手直し!D205</f>
        <v>40.771855251893008</v>
      </c>
      <c r="D63" t="str">
        <f>怪しいデータを手直し!G205</f>
        <v>lc</v>
      </c>
      <c r="E63">
        <f>怪しいデータを手直し!T205</f>
        <v>1.64</v>
      </c>
      <c r="F63">
        <f>IF(怪しいデータを手直し!U205="dead",0,怪しいデータを手直し!U205)</f>
        <v>0</v>
      </c>
      <c r="G63">
        <f>怪しいデータを手直し!L205</f>
        <v>2.5</v>
      </c>
    </row>
    <row r="64" spans="1:7">
      <c r="A64">
        <f>怪しいデータを手直し!F280</f>
        <v>63</v>
      </c>
      <c r="B64">
        <f>怪しいデータを手直し!C280</f>
        <v>6.9471554421474488</v>
      </c>
      <c r="C64">
        <f>怪しいデータを手直し!D280</f>
        <v>41.768314846644444</v>
      </c>
      <c r="D64" t="str">
        <f>怪しいデータを手直し!G280</f>
        <v>lc</v>
      </c>
      <c r="E64">
        <f>怪しいデータを手直し!T280</f>
        <v>2.3199999999999998</v>
      </c>
      <c r="F64">
        <f>IF(怪しいデータを手直し!U280="dead",0,怪しいデータを手直し!U280)</f>
        <v>2.48</v>
      </c>
      <c r="G64">
        <f>怪しいデータを手直し!L280</f>
        <v>2.9</v>
      </c>
    </row>
    <row r="65" spans="1:7">
      <c r="A65">
        <f>怪しいデータを手直し!F171</f>
        <v>64</v>
      </c>
      <c r="B65">
        <f>怪しいデータを手直し!C171</f>
        <v>6.9523180845387946</v>
      </c>
      <c r="C65">
        <f>怪しいデータを手直し!D171</f>
        <v>42.049935901299008</v>
      </c>
      <c r="D65" t="str">
        <f>怪しいデータを手直し!G171</f>
        <v>lc</v>
      </c>
      <c r="E65">
        <f>怪しいデータを手直し!T171</f>
        <v>1.38</v>
      </c>
      <c r="F65">
        <f>IF(怪しいデータを手直し!U171="dead",0,怪しいデータを手直し!U171)</f>
        <v>1.98</v>
      </c>
      <c r="G65">
        <f>怪しいデータを手直し!L171</f>
        <v>3.2</v>
      </c>
    </row>
    <row r="66" spans="1:7">
      <c r="A66">
        <f>怪しいデータを手直し!F455</f>
        <v>65</v>
      </c>
      <c r="B66">
        <f>怪しいデータを手直し!C455</f>
        <v>7.3835974736291741</v>
      </c>
      <c r="C66">
        <f>怪しいデータを手直し!D455</f>
        <v>42.457339298042783</v>
      </c>
      <c r="D66" t="str">
        <f>怪しいデータを手直し!G455</f>
        <v>lc</v>
      </c>
      <c r="E66">
        <f>怪しいデータを手直し!T455</f>
        <v>5.1247891675590305</v>
      </c>
      <c r="F66">
        <f>IF(怪しいデータを手直し!U455="dead",0,怪しいデータを手直し!U455)</f>
        <v>0</v>
      </c>
      <c r="G66">
        <f>怪しいデータを手直し!L455</f>
        <v>5.0999999999999996</v>
      </c>
    </row>
    <row r="67" spans="1:7">
      <c r="A67">
        <f>怪しいデータを手直し!F474</f>
        <v>66</v>
      </c>
      <c r="B67">
        <f>怪しいデータを手直し!C474</f>
        <v>6.7995243082631154</v>
      </c>
      <c r="C67">
        <f>怪しいデータを手直し!D474</f>
        <v>42.379869731107441</v>
      </c>
      <c r="D67" t="str">
        <f>怪しいデータを手直し!G474</f>
        <v>lc</v>
      </c>
      <c r="E67">
        <f>怪しいデータを手直し!T474</f>
        <v>5.6340849854530948</v>
      </c>
      <c r="F67">
        <f>IF(怪しいデータを手直し!U474="dead",0,怪しいデータを手直し!U474)</f>
        <v>0</v>
      </c>
      <c r="G67">
        <f>怪しいデータを手直し!L474</f>
        <v>5.5</v>
      </c>
    </row>
    <row r="68" spans="1:7">
      <c r="A68">
        <f>怪しいデータを手直し!F345</f>
        <v>67</v>
      </c>
      <c r="B68">
        <f>怪しいデータを手直し!C345</f>
        <v>3.8092987432644398</v>
      </c>
      <c r="C68">
        <f>怪しいデータを手直し!D345</f>
        <v>42.763471683479295</v>
      </c>
      <c r="D68" t="str">
        <f>怪しいデータを手直し!G345</f>
        <v>lc</v>
      </c>
      <c r="E68">
        <f>怪しいデータを手直し!T345</f>
        <v>3.0876058959827692</v>
      </c>
      <c r="F68">
        <f>IF(怪しいデータを手直し!U345="dead",0,怪しいデータを手直し!U345)</f>
        <v>0</v>
      </c>
      <c r="G68">
        <f>怪しいデータを手直し!L345</f>
        <v>3.7</v>
      </c>
    </row>
    <row r="69" spans="1:7">
      <c r="A69">
        <f>怪しいデータを手直し!F581</f>
        <v>68</v>
      </c>
      <c r="B69">
        <f>怪しいデータを手直し!C581</f>
        <v>2.0941290288313348</v>
      </c>
      <c r="C69">
        <f>怪しいデータを手直し!D581</f>
        <v>41.357580003610096</v>
      </c>
      <c r="D69" t="str">
        <f>怪しいデータを手直し!G581</f>
        <v>lc</v>
      </c>
      <c r="E69">
        <f>怪しいデータを手直し!T581</f>
        <v>10.663381187156988</v>
      </c>
      <c r="F69">
        <f>IF(怪しいデータを手直し!U581="dead",0,怪しいデータを手直し!U581)</f>
        <v>0</v>
      </c>
      <c r="G69">
        <f>怪しいデータを手直し!L581</f>
        <v>2.2000000000000002</v>
      </c>
    </row>
    <row r="70" spans="1:7">
      <c r="A70">
        <f>怪しいデータを手直し!F458</f>
        <v>69</v>
      </c>
      <c r="B70">
        <f>怪しいデータを手直し!C458</f>
        <v>3.513090536807443</v>
      </c>
      <c r="C70">
        <f>怪しいデータを手直し!D458</f>
        <v>47.808975077844821</v>
      </c>
      <c r="D70" t="str">
        <f>怪しいデータを手直し!G458</f>
        <v>lc</v>
      </c>
      <c r="E70">
        <f>怪しいデータを手直し!T458</f>
        <v>5.1884511447957884</v>
      </c>
      <c r="F70">
        <f>IF(怪しいデータを手直し!U458="dead",0,怪しいデータを手直し!U458)</f>
        <v>6.2388737692022982</v>
      </c>
      <c r="G70">
        <f>怪しいデータを手直し!L458</f>
        <v>5.4</v>
      </c>
    </row>
    <row r="71" spans="1:7">
      <c r="A71">
        <f>怪しいデータを手直し!F624</f>
        <v>70</v>
      </c>
      <c r="B71">
        <f>怪しいデータを手直し!C624</f>
        <v>4.8306923269049742</v>
      </c>
      <c r="C71">
        <f>怪しいデータを手直し!D624</f>
        <v>46.320372558966213</v>
      </c>
      <c r="D71" t="str">
        <f>怪しいデータを手直し!G624</f>
        <v>lc</v>
      </c>
      <c r="E71">
        <f>怪しいデータを手直し!T624</f>
        <v>13.146198299390555</v>
      </c>
      <c r="F71">
        <f>IF(怪しいデータを手直し!U624="dead",0,怪しいデータを手直し!U624)</f>
        <v>14.164789935178685</v>
      </c>
      <c r="G71">
        <f>怪しいデータを手直し!L624</f>
        <v>9.6999999999999993</v>
      </c>
    </row>
    <row r="72" spans="1:7">
      <c r="A72">
        <f>怪しいデータを手直し!F49</f>
        <v>71</v>
      </c>
      <c r="B72">
        <f>怪しいデータを手直し!C49</f>
        <v>9.9747237977389585</v>
      </c>
      <c r="C72">
        <f>怪しいデータを手直し!D49</f>
        <v>48.323144662228238</v>
      </c>
      <c r="D72" t="str">
        <f>怪しいデータを手直し!G49</f>
        <v>lc</v>
      </c>
      <c r="E72">
        <f>怪しいデータを手直し!T49</f>
        <v>0.6</v>
      </c>
      <c r="F72">
        <f>IF(怪しいデータを手直し!U49="dead",0,怪しいデータを手直し!U49)</f>
        <v>0.82</v>
      </c>
      <c r="G72">
        <f>怪しいデータを手直し!L49</f>
        <v>1.7</v>
      </c>
    </row>
    <row r="73" spans="1:7">
      <c r="A73">
        <f>怪しいデータを手直し!F82</f>
        <v>72</v>
      </c>
      <c r="B73">
        <f>怪しいデータを手直し!C82</f>
        <v>10.977000017227384</v>
      </c>
      <c r="C73">
        <f>怪しいデータを手直し!D82</f>
        <v>48.181556777954015</v>
      </c>
      <c r="D73" t="str">
        <f>怪しいデータを手直し!G82</f>
        <v>lc</v>
      </c>
      <c r="E73">
        <f>怪しいデータを手直し!T82</f>
        <v>0.8</v>
      </c>
      <c r="F73">
        <f>IF(怪しいデータを手直し!U82="dead",0,怪しいデータを手直し!U82)</f>
        <v>1.23</v>
      </c>
      <c r="G73">
        <f>怪しいデータを手直し!L82</f>
        <v>1.8</v>
      </c>
    </row>
    <row r="74" spans="1:7">
      <c r="A74">
        <f>怪しいデータを手直し!F500</f>
        <v>73</v>
      </c>
      <c r="B74">
        <f>怪しいデータを手直し!C500</f>
        <v>10.849723576956984</v>
      </c>
      <c r="C74">
        <f>怪しいデータを手直し!D500</f>
        <v>47.732583098932928</v>
      </c>
      <c r="D74" t="str">
        <f>怪しいデータを手直し!G500</f>
        <v>lc</v>
      </c>
      <c r="E74">
        <f>怪しいデータを手直し!T500</f>
        <v>6.3343667350574338</v>
      </c>
      <c r="F74">
        <f>IF(怪しいデータを手直し!U500="dead",0,怪しいデータを手直し!U500)</f>
        <v>0</v>
      </c>
      <c r="G74">
        <f>怪しいデータを手直し!L500</f>
        <v>5.4</v>
      </c>
    </row>
    <row r="75" spans="1:7">
      <c r="A75">
        <f>怪しいデータを手直し!F654</f>
        <v>74</v>
      </c>
      <c r="B75">
        <f>怪しいデータを手直し!C654</f>
        <v>11.407461215204988</v>
      </c>
      <c r="C75">
        <f>怪しいデータを手直し!D654</f>
        <v>46.883921646256113</v>
      </c>
      <c r="D75" t="str">
        <f>怪しいデータを手直し!G654</f>
        <v>lc</v>
      </c>
      <c r="E75">
        <f>怪しいデータを手直し!T654</f>
        <v>18.366480432804725</v>
      </c>
      <c r="F75">
        <f>IF(怪しいデータを手直し!U654="dead",0,怪しいデータを手直し!U654)</f>
        <v>18.716621307606893</v>
      </c>
      <c r="G75">
        <f>怪しいデータを手直し!L654</f>
        <v>11.3</v>
      </c>
    </row>
    <row r="76" spans="1:7">
      <c r="A76">
        <f>怪しいデータを手直し!F432</f>
        <v>75</v>
      </c>
      <c r="B76">
        <f>怪しいデータを手直し!C432</f>
        <v>12.358481639250277</v>
      </c>
      <c r="C76">
        <f>怪しいデータを手直し!D432</f>
        <v>45.370549054084215</v>
      </c>
      <c r="D76" t="str">
        <f>怪しいデータを手直し!G432</f>
        <v>lc</v>
      </c>
      <c r="E76">
        <f>怪しいデータを手直し!T432</f>
        <v>4.5836623610465859</v>
      </c>
      <c r="F76">
        <f>IF(怪しいデータを手直し!U432="dead",0,怪しいデータを手直し!U432)</f>
        <v>5.5385920195979574</v>
      </c>
      <c r="G76">
        <f>怪しいデータを手直し!L432</f>
        <v>3.7</v>
      </c>
    </row>
    <row r="77" spans="1:7">
      <c r="A77">
        <f>怪しいデータを手直し!F267</f>
        <v>76</v>
      </c>
      <c r="B77">
        <f>怪しいデータを手直し!C267</f>
        <v>14.7505595735526</v>
      </c>
      <c r="C77">
        <f>怪しいデータを手直し!D267</f>
        <v>45.809670834839075</v>
      </c>
      <c r="D77" t="str">
        <f>怪しいデータを手直し!G267</f>
        <v>lc</v>
      </c>
      <c r="E77">
        <f>怪しいデータを手直し!T267</f>
        <v>2.2400000000000002</v>
      </c>
      <c r="F77">
        <f>IF(怪しいデータを手直し!U267="dead",0,怪しいデータを手直し!U267)</f>
        <v>0</v>
      </c>
      <c r="G77">
        <f>怪しいデータを手直し!L267</f>
        <v>3.3</v>
      </c>
    </row>
    <row r="78" spans="1:7">
      <c r="A78">
        <f>怪しいデータを手直し!F505</f>
        <v>77</v>
      </c>
      <c r="B78">
        <f>怪しいデータを手直し!C505</f>
        <v>14.923433426844973</v>
      </c>
      <c r="C78">
        <f>怪しいデータを手直し!D505</f>
        <v>45.147948312514899</v>
      </c>
      <c r="D78" t="str">
        <f>怪しいデータを手直し!G505</f>
        <v>lc</v>
      </c>
      <c r="E78">
        <f>怪しいデータを手直し!T505</f>
        <v>6.5253526667677093</v>
      </c>
      <c r="F78">
        <f>IF(怪しいデータを手直し!U505="dead",0,怪しいデータを手直し!U505)</f>
        <v>0</v>
      </c>
      <c r="G78">
        <f>怪しいデータを手直し!L505</f>
        <v>5.0999999999999996</v>
      </c>
    </row>
    <row r="79" spans="1:7">
      <c r="A79">
        <f>怪しいデータを手直し!F229</f>
        <v>78</v>
      </c>
      <c r="B79">
        <f>怪しいデータを手直し!C229</f>
        <v>17.19336699698033</v>
      </c>
      <c r="C79">
        <f>怪しいデータを手直し!D229</f>
        <v>46.911903586303907</v>
      </c>
      <c r="D79" t="str">
        <f>怪しいデータを手直し!G229</f>
        <v>lc</v>
      </c>
      <c r="E79">
        <f>怪しいデータを手直し!T229</f>
        <v>1.86</v>
      </c>
      <c r="F79">
        <f>IF(怪しいデータを手直し!U229="dead",0,怪しいデータを手直し!U229)</f>
        <v>0</v>
      </c>
      <c r="G79">
        <f>怪しいデータを手直し!L229</f>
        <v>2.5</v>
      </c>
    </row>
    <row r="80" spans="1:7">
      <c r="A80">
        <f>怪しいデータを手直し!F327</f>
        <v>79</v>
      </c>
      <c r="B80">
        <f>怪しいデータを手直し!C327</f>
        <v>18.446376209973945</v>
      </c>
      <c r="C80">
        <f>怪しいデータを手直し!D327</f>
        <v>46.095108950549211</v>
      </c>
      <c r="D80" t="str">
        <f>怪しいデータを手直し!G327</f>
        <v>lc</v>
      </c>
      <c r="E80">
        <f>怪しいデータを手直し!T327</f>
        <v>2.896619964272495</v>
      </c>
      <c r="F80">
        <f>IF(怪しいデータを手直し!U327="dead",0,怪しいデータを手直し!U327)</f>
        <v>3.8197186342054881</v>
      </c>
      <c r="G80">
        <f>怪しいデータを手直し!L327</f>
        <v>3</v>
      </c>
    </row>
    <row r="81" spans="1:7">
      <c r="A81">
        <f>怪しいデータを手直し!F317</f>
        <v>80</v>
      </c>
      <c r="B81">
        <f>怪しいデータを手直し!C317</f>
        <v>17.956442225570612</v>
      </c>
      <c r="C81">
        <f>怪しいデータを手直し!D317</f>
        <v>43.611976138150581</v>
      </c>
      <c r="D81" t="str">
        <f>怪しいデータを手直し!G317</f>
        <v>lc</v>
      </c>
      <c r="E81">
        <f>怪しいデータを手直し!T317</f>
        <v>2.74</v>
      </c>
      <c r="F81">
        <f>IF(怪しいデータを手直し!U317="dead",0,怪しいデータを手直し!U317)</f>
        <v>0</v>
      </c>
      <c r="G81">
        <f>怪しいデータを手直し!L317</f>
        <v>3.8</v>
      </c>
    </row>
    <row r="82" spans="1:7">
      <c r="A82">
        <f>怪しいデータを手直し!F643</f>
        <v>81</v>
      </c>
      <c r="B82">
        <f>怪しいデータを手直し!C643</f>
        <v>19.23738470341846</v>
      </c>
      <c r="C82">
        <f>怪しいデータを手直し!D643</f>
        <v>42.642142673933385</v>
      </c>
      <c r="D82" t="str">
        <f>怪しいデータを手直し!G643</f>
        <v>lc</v>
      </c>
      <c r="E82">
        <f>怪しいデータを手直し!T643</f>
        <v>15.979156286426294</v>
      </c>
      <c r="F82">
        <f>IF(怪しいデータを手直し!U643="dead",0,怪しいデータを手直し!U643)</f>
        <v>0</v>
      </c>
      <c r="G82">
        <f>怪しいデータを手直し!L643</f>
        <v>12.1</v>
      </c>
    </row>
    <row r="83" spans="1:7">
      <c r="A83">
        <f>怪しいデータを手直し!F609</f>
        <v>82</v>
      </c>
      <c r="B83">
        <f>怪しいデータを手直し!C609</f>
        <v>12.792044209999499</v>
      </c>
      <c r="C83">
        <f>怪しいデータを手直し!D609</f>
        <v>41.998943053065361</v>
      </c>
      <c r="D83" t="str">
        <f>怪しいデータを手直し!G609</f>
        <v>lc</v>
      </c>
      <c r="E83">
        <f>怪しいデータを手直し!T609</f>
        <v>12.509578527022972</v>
      </c>
      <c r="F83">
        <f>IF(怪しいデータを手直し!U609="dead",0,怪しいデータを手直し!U609)</f>
        <v>0</v>
      </c>
      <c r="G83">
        <f>怪しいデータを手直し!L609</f>
        <v>8.4</v>
      </c>
    </row>
    <row r="84" spans="1:7">
      <c r="A84">
        <f>怪しいデータを手直し!F201</f>
        <v>83</v>
      </c>
      <c r="B84">
        <f>怪しいデータを手直し!C201</f>
        <v>12.785030728212849</v>
      </c>
      <c r="C84">
        <f>怪しいデータを手直し!D201</f>
        <v>39.991395380979618</v>
      </c>
      <c r="D84" t="str">
        <f>怪しいデータを手直し!G201</f>
        <v>lc</v>
      </c>
      <c r="E84">
        <f>怪しいデータを手直し!T201</f>
        <v>1.61</v>
      </c>
      <c r="F84">
        <f>IF(怪しいデータを手直し!U201="dead",0,怪しいデータを手直し!U201)</f>
        <v>2.7692960097989787</v>
      </c>
      <c r="G84">
        <f>怪しいデータを手直し!L201</f>
        <v>2.9</v>
      </c>
    </row>
    <row r="85" spans="1:7">
      <c r="A85">
        <f>怪しいデータを手直し!F475</f>
        <v>84</v>
      </c>
      <c r="B85">
        <f>怪しいデータを手直し!C475</f>
        <v>8.9931143600748431</v>
      </c>
      <c r="C85">
        <f>怪しいデータを手直し!D475</f>
        <v>32.377960013936693</v>
      </c>
      <c r="D85" t="str">
        <f>怪しいデータを手直し!G475</f>
        <v>lc</v>
      </c>
      <c r="E85">
        <f>怪しいデータを手直し!T475</f>
        <v>5.6340849854530948</v>
      </c>
      <c r="F85">
        <f>IF(怪しいデータを手直し!U475="dead",0,怪しいデータを手直し!U475)</f>
        <v>0</v>
      </c>
      <c r="G85">
        <f>怪しいデータを手直し!L475</f>
        <v>5.0999999999999996</v>
      </c>
    </row>
    <row r="86" spans="1:7">
      <c r="A86">
        <f>怪しいデータを手直し!F430</f>
        <v>85</v>
      </c>
      <c r="B86">
        <f>怪しいデータを手直し!C430</f>
        <v>13.816394323818171</v>
      </c>
      <c r="C86">
        <f>怪しいデータを手直し!D430</f>
        <v>30.41139990053043</v>
      </c>
      <c r="D86" t="str">
        <f>怪しいデータを手直し!G430</f>
        <v>lc</v>
      </c>
      <c r="E86">
        <f>怪しいデータを手直し!T430</f>
        <v>4.520000383809827</v>
      </c>
      <c r="F86">
        <f>IF(怪しいデータを手直し!U430="dead",0,怪しいデータを手直し!U430)</f>
        <v>0</v>
      </c>
      <c r="G86">
        <f>怪しいデータを手直し!L430</f>
        <v>5</v>
      </c>
    </row>
    <row r="87" spans="1:7">
      <c r="A87">
        <f>怪しいデータを手直し!F86</f>
        <v>86</v>
      </c>
      <c r="B87">
        <f>怪しいデータを手直し!C86</f>
        <v>17.134050908049542</v>
      </c>
      <c r="C87">
        <f>怪しいデータを手直し!D86</f>
        <v>31.254967768961702</v>
      </c>
      <c r="D87" t="str">
        <f>怪しいデータを手直し!G86</f>
        <v>lc</v>
      </c>
      <c r="E87">
        <f>怪しいデータを手直し!T86</f>
        <v>0.82</v>
      </c>
      <c r="F87">
        <f>IF(怪しいデータを手直し!U86="dead",0,怪しいデータを手直し!U86)</f>
        <v>1.58</v>
      </c>
      <c r="G87">
        <f>怪しいデータを手直し!L86</f>
        <v>1.8</v>
      </c>
    </row>
    <row r="88" spans="1:7">
      <c r="A88">
        <f>怪しいデータを手直し!F207</f>
        <v>87</v>
      </c>
      <c r="B88">
        <f>怪しいデータを手直し!C207</f>
        <v>17.517240329533635</v>
      </c>
      <c r="C88">
        <f>怪しいデータを手直し!D207</f>
        <v>31.159712865363531</v>
      </c>
      <c r="D88" t="str">
        <f>怪しいデータを手直し!G207</f>
        <v>lc</v>
      </c>
      <c r="E88">
        <f>怪しいデータを手直し!T207</f>
        <v>1.67</v>
      </c>
      <c r="F88">
        <f>IF(怪しいデータを手直し!U207="dead",0,怪しいデータを手直し!U207)</f>
        <v>3.1194368846011491</v>
      </c>
      <c r="G88">
        <f>怪しいデータを手直し!L207</f>
        <v>2.5</v>
      </c>
    </row>
    <row r="89" spans="1:7">
      <c r="A89">
        <f>怪しいデータを手直し!F303</f>
        <v>88</v>
      </c>
      <c r="B89">
        <f>怪しいデータを手直し!C303</f>
        <v>19.494916087232173</v>
      </c>
      <c r="C89">
        <f>怪しいデータを手直し!D303</f>
        <v>28.802292130563277</v>
      </c>
      <c r="D89" t="str">
        <f>怪しいデータを手直し!G303</f>
        <v>bp</v>
      </c>
      <c r="E89">
        <f>怪しいデータを手直し!T303</f>
        <v>2.5299999999999998</v>
      </c>
      <c r="F89">
        <f>IF(怪しいデータを手直し!U303="dead",0,怪しいデータを手直し!U303)</f>
        <v>2.6419720553254629</v>
      </c>
      <c r="G89">
        <f>怪しいデータを手直し!L303</f>
        <v>2.9</v>
      </c>
    </row>
    <row r="90" spans="1:7">
      <c r="A90">
        <f>怪しいデータを手直し!F231</f>
        <v>89</v>
      </c>
      <c r="B90">
        <f>怪しいデータを手直し!C231</f>
        <v>19.166810907643413</v>
      </c>
      <c r="C90">
        <f>怪しいデータを手直し!D231</f>
        <v>28.65414696146544</v>
      </c>
      <c r="D90" t="str">
        <f>怪しいデータを手直し!G231</f>
        <v>bp</v>
      </c>
      <c r="E90">
        <f>怪しいデータを手直し!T231</f>
        <v>1.87</v>
      </c>
      <c r="F90">
        <f>IF(怪しいデータを手直し!U231="dead",0,怪しいデータを手直し!U231)</f>
        <v>2.21</v>
      </c>
      <c r="G90">
        <f>怪しいデータを手直し!L231</f>
        <v>2.8</v>
      </c>
    </row>
    <row r="91" spans="1:7">
      <c r="A91">
        <f>怪しいデータを手直し!F230</f>
        <v>90</v>
      </c>
      <c r="B91">
        <f>怪しいデータを手直し!C230</f>
        <v>19.014335911764277</v>
      </c>
      <c r="C91">
        <f>怪しいデータを手直し!D230</f>
        <v>28.505523489744252</v>
      </c>
      <c r="D91" t="str">
        <f>怪しいデータを手直し!G230</f>
        <v>bp</v>
      </c>
      <c r="E91">
        <f>怪しいデータを手直し!T230</f>
        <v>1.86</v>
      </c>
      <c r="F91">
        <f>IF(怪しいデータを手直し!U230="dead",0,怪しいデータを手直し!U230)</f>
        <v>2.0699999999999998</v>
      </c>
      <c r="G91">
        <f>怪しいデータを手直し!L230</f>
        <v>2.6</v>
      </c>
    </row>
    <row r="92" spans="1:7">
      <c r="A92">
        <f>怪しいデータを手直し!F605</f>
        <v>91</v>
      </c>
      <c r="B92">
        <f>怪しいデータを手直し!C605</f>
        <v>19.288186164934192</v>
      </c>
      <c r="C92">
        <f>怪しいデータを手直し!D605</f>
        <v>28.62802262785867</v>
      </c>
      <c r="D92" t="str">
        <f>怪しいデータを手直し!G605</f>
        <v>bp</v>
      </c>
      <c r="E92">
        <f>怪しいデータを手直し!T605</f>
        <v>12.159437652220806</v>
      </c>
      <c r="F92">
        <f>IF(怪しいデータを手直し!U605="dead",0,怪しいデータを手直し!U605)</f>
        <v>12.318592595312701</v>
      </c>
      <c r="G92">
        <f>怪しいデータを手直し!L605</f>
        <v>7.4</v>
      </c>
    </row>
    <row r="93" spans="1:7">
      <c r="A93">
        <f>怪しいデータを手直し!F350</f>
        <v>92</v>
      </c>
      <c r="B93">
        <f>怪しいデータを手直し!C350</f>
        <v>19.562907922607756</v>
      </c>
      <c r="C93">
        <f>怪しいデータを手直し!D350</f>
        <v>28.425119204591159</v>
      </c>
      <c r="D93" t="str">
        <f>怪しいデータを手直し!G350</f>
        <v>bp</v>
      </c>
      <c r="E93">
        <f>怪しいデータを手直し!T350</f>
        <v>3.16</v>
      </c>
      <c r="F93">
        <f>IF(怪しいデータを手直し!U350="dead",0,怪しいデータを手直し!U350)</f>
        <v>3.6605636911135928</v>
      </c>
      <c r="G93">
        <f>怪しいデータを手直し!L350</f>
        <v>3.7</v>
      </c>
    </row>
    <row r="94" spans="1:7">
      <c r="A94">
        <f>怪しいデータを手直し!F66</f>
        <v>93</v>
      </c>
      <c r="B94">
        <f>怪しいデータを手直し!C66</f>
        <v>19.555892102460898</v>
      </c>
      <c r="C94">
        <f>怪しいデータを手直し!D66</f>
        <v>28.665978541221271</v>
      </c>
      <c r="D94" t="str">
        <f>怪しいデータを手直し!G66</f>
        <v>bp</v>
      </c>
      <c r="E94">
        <f>怪しいデータを手直し!T66</f>
        <v>0.69</v>
      </c>
      <c r="F94">
        <f>IF(怪しいデータを手直し!U66="dead",0,怪しいデータを手直し!U66)</f>
        <v>0.72</v>
      </c>
      <c r="G94">
        <f>怪しいデータを手直し!L66</f>
        <v>1.6</v>
      </c>
    </row>
    <row r="95" spans="1:7">
      <c r="A95">
        <f>怪しいデータを手直し!F619</f>
        <v>94</v>
      </c>
      <c r="B95">
        <f>怪しいデータを手直し!C619</f>
        <v>19.074849547210579</v>
      </c>
      <c r="C95">
        <f>怪しいデータを手直し!D619</f>
        <v>28.29398063364512</v>
      </c>
      <c r="D95" t="str">
        <f>怪しいデータを手直し!G619</f>
        <v>bp</v>
      </c>
      <c r="E95">
        <f>怪しいデータを手直し!T619</f>
        <v>12.923381379061903</v>
      </c>
      <c r="F95">
        <f>IF(怪しいデータを手直し!U619="dead",0,怪しいデータを手直し!U619)</f>
        <v>13.623663128666241</v>
      </c>
      <c r="G95">
        <f>怪しいデータを手直し!L619</f>
        <v>6.4</v>
      </c>
    </row>
    <row r="96" spans="1:7">
      <c r="A96">
        <f>怪しいデータを手直し!F243</f>
        <v>95</v>
      </c>
      <c r="B96">
        <f>怪しいデータを手直し!C243</f>
        <v>19.312191825432201</v>
      </c>
      <c r="C96">
        <f>怪しいデータを手直し!D243</f>
        <v>28.19753907570496</v>
      </c>
      <c r="D96" t="str">
        <f>怪しいデータを手直し!G243</f>
        <v>bp</v>
      </c>
      <c r="E96">
        <f>怪しいデータを手直し!T243</f>
        <v>2.02</v>
      </c>
      <c r="F96">
        <f>IF(怪しいデータを手直し!U243="dead",0,怪しいデータを手直し!U243)</f>
        <v>2.7399999999999998</v>
      </c>
      <c r="G96">
        <f>怪しいデータを手直し!L243</f>
        <v>3.4</v>
      </c>
    </row>
    <row r="97" spans="1:7">
      <c r="A97">
        <f>怪しいデータを手直し!F143</f>
        <v>96</v>
      </c>
      <c r="B97">
        <f>怪しいデータを手直し!C143</f>
        <v>19.395037262242923</v>
      </c>
      <c r="C97">
        <f>怪しいデータを手直し!D143</f>
        <v>28.232704877268993</v>
      </c>
      <c r="D97" t="str">
        <f>怪しいデータを手直し!G143</f>
        <v>bp</v>
      </c>
      <c r="E97">
        <f>怪しいデータを手直し!T143</f>
        <v>1.24</v>
      </c>
      <c r="F97">
        <f>IF(怪しいデータを手直し!U143="dead",0,怪しいデータを手直し!U143)</f>
        <v>1.9300000000000002</v>
      </c>
      <c r="G97">
        <f>怪しいデータを手直し!L143</f>
        <v>3.3</v>
      </c>
    </row>
    <row r="98" spans="1:7">
      <c r="A98">
        <f>怪しいデータを手直し!F531</f>
        <v>97</v>
      </c>
      <c r="B98">
        <f>怪しいデータを手直し!C531</f>
        <v>12.124794924736131</v>
      </c>
      <c r="C98">
        <f>怪しいデータを手直し!D531</f>
        <v>29.575586041234914</v>
      </c>
      <c r="D98" t="str">
        <f>怪しいデータを手直し!G531</f>
        <v>lc</v>
      </c>
      <c r="E98">
        <f>怪しいデータを手直し!T531</f>
        <v>7.4802823253190809</v>
      </c>
      <c r="F98">
        <f>IF(怪しいデータを手直し!U531="dead",0,怪しいデータを手直し!U531)</f>
        <v>0</v>
      </c>
      <c r="G98">
        <f>怪しいデータを手直し!L531</f>
        <v>4.7</v>
      </c>
    </row>
    <row r="99" spans="1:7">
      <c r="A99">
        <f>怪しいデータを手直し!F547</f>
        <v>98</v>
      </c>
      <c r="B99">
        <f>怪しいデータを手直し!C547</f>
        <v>10.313090442493955</v>
      </c>
      <c r="C99">
        <f>怪しいデータを手直し!D547</f>
        <v>24.787177197988377</v>
      </c>
      <c r="D99" t="str">
        <f>怪しいデータを手直し!G547</f>
        <v>lc</v>
      </c>
      <c r="E99">
        <f>怪しいデータを手直し!T547</f>
        <v>8.5307049497255907</v>
      </c>
      <c r="F99">
        <f>IF(怪しいデータを手直し!U547="dead",0,怪しいデータを手直し!U547)</f>
        <v>0</v>
      </c>
      <c r="G99">
        <f>怪しいデータを手直し!L547</f>
        <v>3.9</v>
      </c>
    </row>
    <row r="100" spans="1:7">
      <c r="A100">
        <f>怪しいデータを手直し!F329</f>
        <v>99</v>
      </c>
      <c r="B100">
        <f>怪しいデータを手直し!C329</f>
        <v>10.120495513001957</v>
      </c>
      <c r="C100">
        <f>怪しいデータを手直し!D329</f>
        <v>24.04790940749756</v>
      </c>
      <c r="D100" t="str">
        <f>怪しいデータを手直し!G329</f>
        <v>lc</v>
      </c>
      <c r="E100">
        <f>怪しいデータを手直し!T329</f>
        <v>2.928450952890874</v>
      </c>
      <c r="F100">
        <f>IF(怪しいデータを手直し!U329="dead",0,怪しいデータを手直し!U329)</f>
        <v>4.169859509007658</v>
      </c>
      <c r="G100">
        <f>怪しいデータを手直し!L329</f>
        <v>3.6</v>
      </c>
    </row>
    <row r="101" spans="1:7">
      <c r="A101">
        <f>怪しいデータを手直し!F279</f>
        <v>100</v>
      </c>
      <c r="B101">
        <f>怪しいデータを手直し!C279</f>
        <v>17.684763959829091</v>
      </c>
      <c r="C101">
        <f>怪しいデータを手直し!D279</f>
        <v>23.662338554138607</v>
      </c>
      <c r="D101" t="str">
        <f>怪しいデータを手直し!G279</f>
        <v>lc</v>
      </c>
      <c r="E101">
        <f>怪しいデータを手直し!T279</f>
        <v>2.31</v>
      </c>
      <c r="F101">
        <f>IF(怪しいデータを手直し!U279="dead",0,怪しいデータを手直し!U279)</f>
        <v>0</v>
      </c>
      <c r="G101">
        <f>怪しいデータを手直し!L279</f>
        <v>2.9</v>
      </c>
    </row>
    <row r="102" spans="1:7">
      <c r="A102">
        <f>怪しいデータを手直し!F136</f>
        <v>101</v>
      </c>
      <c r="B102">
        <f>怪しいデータを手直し!C136</f>
        <v>18.750671087244616</v>
      </c>
      <c r="C102">
        <f>怪しいデータを手直し!D136</f>
        <v>23.475231471135253</v>
      </c>
      <c r="D102" t="str">
        <f>怪しいデータを手直し!G136</f>
        <v>lc</v>
      </c>
      <c r="E102">
        <f>怪しいデータを手直し!T136</f>
        <v>1.19</v>
      </c>
      <c r="F102">
        <f>IF(怪しいデータを手直し!U136="dead",0,怪しいデータを手直し!U136)</f>
        <v>0</v>
      </c>
      <c r="G102">
        <f>怪しいデータを手直し!L136</f>
        <v>2.1</v>
      </c>
    </row>
    <row r="103" spans="1:7">
      <c r="A103">
        <f>怪しいデータを手直し!F190</f>
        <v>102</v>
      </c>
      <c r="B103">
        <f>怪しいデータを手直し!C190</f>
        <v>18.888959746745883</v>
      </c>
      <c r="C103">
        <f>怪しいデータを手直し!D190</f>
        <v>21.51976961603188</v>
      </c>
      <c r="D103" t="str">
        <f>怪しいデータを手直し!G190</f>
        <v>lc</v>
      </c>
      <c r="E103">
        <f>怪しいデータを手直し!T190</f>
        <v>1.53</v>
      </c>
      <c r="F103">
        <f>IF(怪しいデータを手直し!U190="dead",0,怪しいデータを手直し!U190)</f>
        <v>0</v>
      </c>
      <c r="G103">
        <f>怪しいデータを手直し!L190</f>
        <v>2.6</v>
      </c>
    </row>
    <row r="104" spans="1:7">
      <c r="A104">
        <f>怪しいデータを手直し!F162</f>
        <v>104</v>
      </c>
      <c r="B104">
        <f>怪しいデータを手直し!C162</f>
        <v>18.480876301162375</v>
      </c>
      <c r="C104">
        <f>怪しいデータを手直し!D162</f>
        <v>20.580784935354586</v>
      </c>
      <c r="D104" t="str">
        <f>怪しいデータを手直し!G162</f>
        <v>lc</v>
      </c>
      <c r="E104">
        <f>怪しいデータを手直し!T162</f>
        <v>1.34</v>
      </c>
      <c r="F104">
        <f>IF(怪しいデータを手直し!U162="dead",0,怪しいデータを手直し!U162)</f>
        <v>0</v>
      </c>
      <c r="G104">
        <f>怪しいデータを手直し!L162</f>
        <v>2.1</v>
      </c>
    </row>
    <row r="105" spans="1:7">
      <c r="A105">
        <f>怪しいデータを手直し!F387</f>
        <v>105</v>
      </c>
      <c r="B105">
        <f>怪しいデータを手直し!C387</f>
        <v>19.699163756212034</v>
      </c>
      <c r="C105">
        <f>怪しいデータを手直し!D387</f>
        <v>20.653488566037861</v>
      </c>
      <c r="D105" t="str">
        <f>怪しいデータを手直し!G387</f>
        <v>bp</v>
      </c>
      <c r="E105">
        <f>怪しいデータを手直し!T387</f>
        <v>3.6287327024952138</v>
      </c>
      <c r="F105">
        <f>IF(怪しいデータを手直し!U387="dead",0,怪しいデータを手直し!U387)</f>
        <v>3.7560566569687301</v>
      </c>
      <c r="G105">
        <f>怪しいデータを手直し!L387</f>
        <v>3.5</v>
      </c>
    </row>
    <row r="106" spans="1:7">
      <c r="A106">
        <f>怪しいデータを手直し!F213</f>
        <v>106</v>
      </c>
      <c r="B106">
        <f>怪しいデータを手直し!C213</f>
        <v>17.062022304305565</v>
      </c>
      <c r="C106">
        <f>怪しいデータを手直し!D213</f>
        <v>15.739149847624711</v>
      </c>
      <c r="D106" t="str">
        <f>怪しいデータを手直し!G213</f>
        <v>pt</v>
      </c>
      <c r="E106">
        <f>怪しいデータを手直し!T213</f>
        <v>1.7</v>
      </c>
      <c r="F106">
        <f>IF(怪しいデータを手直し!U213="dead",0,怪しいデータを手直し!U213)</f>
        <v>2.35</v>
      </c>
      <c r="G106">
        <f>怪しいデータを手直し!L213</f>
        <v>2.8</v>
      </c>
    </row>
    <row r="107" spans="1:7">
      <c r="A107">
        <f>怪しいデータを手直し!F51</f>
        <v>107</v>
      </c>
      <c r="B107">
        <f>怪しいデータを手直し!C51</f>
        <v>18.06974470609142</v>
      </c>
      <c r="C107">
        <f>怪しいデータを手直し!D51</f>
        <v>14.418056176477329</v>
      </c>
      <c r="D107" t="str">
        <f>怪しいデータを手直し!G51</f>
        <v>pt</v>
      </c>
      <c r="E107">
        <f>怪しいデータを手直し!T51</f>
        <v>0.61</v>
      </c>
      <c r="F107">
        <f>IF(怪しいデータを手直し!U51="dead",0,怪しいデータを手直し!U51)</f>
        <v>0.85</v>
      </c>
      <c r="G107">
        <f>怪しいデータを手直し!L51</f>
        <v>2</v>
      </c>
    </row>
    <row r="108" spans="1:7">
      <c r="A108">
        <f>怪しいデータを手直し!F27</f>
        <v>108</v>
      </c>
      <c r="B108">
        <f>怪しいデータを手直し!C27</f>
        <v>19.674728156140318</v>
      </c>
      <c r="C108">
        <f>怪しいデータを手直し!D27</f>
        <v>13.733166900204932</v>
      </c>
      <c r="D108" t="str">
        <f>怪しいデータを手直し!G27</f>
        <v>bp</v>
      </c>
      <c r="E108">
        <f>怪しいデータを手直し!T27</f>
        <v>0.44</v>
      </c>
      <c r="F108">
        <f>IF(怪しいデータを手直し!U27="dead",0,怪しいデータを手直し!U27)</f>
        <v>0.8</v>
      </c>
      <c r="G108">
        <f>怪しいデータを手直し!L27</f>
        <v>1.6</v>
      </c>
    </row>
    <row r="109" spans="1:7">
      <c r="A109">
        <f>怪しいデータを手直し!F7</f>
        <v>109</v>
      </c>
      <c r="B109">
        <f>怪しいデータを手直し!C7</f>
        <v>19.512906347855239</v>
      </c>
      <c r="C109">
        <f>怪しいデータを手直し!D7</f>
        <v>13.843463648447257</v>
      </c>
      <c r="D109" t="str">
        <f>怪しいデータを手直し!G7</f>
        <v>bp</v>
      </c>
      <c r="E109">
        <f>怪しいデータを手直し!T7</f>
        <v>0.19</v>
      </c>
      <c r="F109">
        <f>IF(怪しいデータを手直し!U7="dead",0,怪しいデータを手直し!U7)</f>
        <v>0.38</v>
      </c>
      <c r="G109">
        <f>怪しいデータを手直し!L7</f>
        <v>1.4</v>
      </c>
    </row>
    <row r="110" spans="1:7">
      <c r="A110">
        <f>怪しいデータを手直し!F110</f>
        <v>110</v>
      </c>
      <c r="B110">
        <f>怪しいデータを手直し!C110</f>
        <v>19.669675453237815</v>
      </c>
      <c r="C110">
        <f>怪しいデータを手直し!D110</f>
        <v>13.828495347920654</v>
      </c>
      <c r="D110" t="str">
        <f>怪しいデータを手直し!G110</f>
        <v>bp</v>
      </c>
      <c r="E110">
        <f>怪しいデータを手直し!T110</f>
        <v>1</v>
      </c>
      <c r="F110">
        <f>IF(怪しいデータを手直し!U110="dead",0,怪しいデータを手直し!U110)</f>
        <v>1.28</v>
      </c>
      <c r="G110">
        <f>怪しいデータを手直し!L110</f>
        <v>2.4</v>
      </c>
    </row>
    <row r="111" spans="1:7">
      <c r="A111">
        <f>怪しいデータを手直し!F420</f>
        <v>111</v>
      </c>
      <c r="B111">
        <f>怪しいデータを手直し!C420</f>
        <v>19.450592034892743</v>
      </c>
      <c r="C111">
        <f>怪しいデータを手直し!D420</f>
        <v>13.837487484021526</v>
      </c>
      <c r="D111" t="str">
        <f>怪しいデータを手直し!G420</f>
        <v>bp</v>
      </c>
      <c r="E111">
        <f>怪しいデータを手直し!T420</f>
        <v>4.2653524748627953</v>
      </c>
      <c r="F111">
        <f>IF(怪しいデータを手直し!U420="dead",0,怪しいデータを手直し!U420)</f>
        <v>4.4881693951914485</v>
      </c>
      <c r="G111">
        <f>怪しいデータを手直し!L420</f>
        <v>4.9000000000000004</v>
      </c>
    </row>
    <row r="112" spans="1:7">
      <c r="A112">
        <f>怪しいデータを手直し!F552</f>
        <v>112</v>
      </c>
      <c r="B112">
        <f>怪しいデータを手直し!C552</f>
        <v>16.471613120300947</v>
      </c>
      <c r="C112">
        <f>怪しいデータを手直し!D552</f>
        <v>13.888537465570909</v>
      </c>
      <c r="D112" t="str">
        <f>怪しいデータを手直し!G552</f>
        <v>bp</v>
      </c>
      <c r="E112">
        <f>怪しいデータを手直し!T552</f>
        <v>8.7853528586726242</v>
      </c>
      <c r="F112">
        <f>IF(怪しいデータを手直し!U552="dead",0,怪しいデータを手直し!U552)</f>
        <v>9.5492965855137211</v>
      </c>
      <c r="G112">
        <f>怪しいデータを手直し!L552</f>
        <v>6.3</v>
      </c>
    </row>
    <row r="113" spans="1:7">
      <c r="A113">
        <f>怪しいデータを手直し!F181</f>
        <v>113</v>
      </c>
      <c r="B113">
        <f>怪しいデータを手直し!C181</f>
        <v>13.695974146610109</v>
      </c>
      <c r="C113">
        <f>怪しいデータを手直し!D181</f>
        <v>10.572167027702303</v>
      </c>
      <c r="D113" t="str">
        <f>怪しいデータを手直し!G181</f>
        <v>lc</v>
      </c>
      <c r="E113">
        <f>怪しいデータを手直し!T181</f>
        <v>1.47</v>
      </c>
      <c r="F113">
        <f>IF(怪しいデータを手直し!U181="dead",0,怪しいデータを手直し!U181)</f>
        <v>0</v>
      </c>
      <c r="G113">
        <f>怪しいデータを手直し!L181</f>
        <v>2.2000000000000002</v>
      </c>
    </row>
    <row r="114" spans="1:7">
      <c r="A114">
        <f>怪しいデータを手直し!F4</f>
        <v>114</v>
      </c>
      <c r="B114">
        <f>怪しいデータを手直し!C4</f>
        <v>14.368205115985283</v>
      </c>
      <c r="C114">
        <f>怪しいデータを手直し!D4</f>
        <v>6.4331474710584446</v>
      </c>
      <c r="D114" t="str">
        <f>怪しいデータを手直し!G4</f>
        <v>lc</v>
      </c>
      <c r="E114">
        <f>怪しいデータを手直し!T4</f>
        <v>0.14000000000000001</v>
      </c>
      <c r="F114">
        <f>IF(怪しいデータを手直し!U4="dead",0,怪しいデータを手直し!U4)</f>
        <v>1.02</v>
      </c>
      <c r="G114">
        <f>怪しいデータを手直し!L4</f>
        <v>1.4</v>
      </c>
    </row>
    <row r="115" spans="1:7">
      <c r="A115">
        <f>怪しいデータを手直し!F62</f>
        <v>115</v>
      </c>
      <c r="B115">
        <f>怪しいデータを手直し!C62</f>
        <v>16.93600320004315</v>
      </c>
      <c r="C115">
        <f>怪しいデータを手直し!D62</f>
        <v>5.5275965491209815</v>
      </c>
      <c r="D115" t="str">
        <f>怪しいデータを手直し!G62</f>
        <v>lc</v>
      </c>
      <c r="E115">
        <f>怪しいデータを手直し!T62</f>
        <v>0.65</v>
      </c>
      <c r="F115">
        <f>IF(怪しいデータを手直し!U62="dead",0,怪しいデータを手直し!U62)</f>
        <v>1.25</v>
      </c>
      <c r="G115">
        <f>怪しいデータを手直し!L62</f>
        <v>1.8</v>
      </c>
    </row>
    <row r="116" spans="1:7">
      <c r="A116">
        <f>怪しいデータを手直し!F682</f>
        <v>116</v>
      </c>
      <c r="B116">
        <f>怪しいデータを手直し!C682</f>
        <v>26.439860963064383</v>
      </c>
      <c r="C116">
        <f>怪しいデータを手直し!D682</f>
        <v>0.88215122082297992</v>
      </c>
      <c r="D116" t="str">
        <f>怪しいデータを手直し!G682</f>
        <v>pt</v>
      </c>
      <c r="E116">
        <f>怪しいデータを手直し!T682</f>
        <v>25.464790894703256</v>
      </c>
      <c r="F116">
        <f>IF(怪しいデータを手直し!U682="dead",0,怪しいデータを手直し!U682)</f>
        <v>0</v>
      </c>
      <c r="G116">
        <f>怪しいデータを手直し!L682</f>
        <v>1.8</v>
      </c>
    </row>
    <row r="117" spans="1:7">
      <c r="A117">
        <f>怪しいデータを手直し!F661</f>
        <v>117</v>
      </c>
      <c r="B117">
        <f>怪しいデータを手直し!C661</f>
        <v>27.834202182826417</v>
      </c>
      <c r="C117">
        <f>怪しいデータを手直し!D661</f>
        <v>1.0174852129627514</v>
      </c>
      <c r="D117" t="str">
        <f>怪しいデータを手直し!G661</f>
        <v>pt</v>
      </c>
      <c r="E117">
        <f>怪しいデータを手直し!T661</f>
        <v>19.576058000303128</v>
      </c>
      <c r="F117">
        <f>IF(怪しいデータを手直し!U661="dead",0,怪しいデータを手直し!U661)</f>
        <v>19.862536897868537</v>
      </c>
      <c r="G117">
        <f>怪しいデータを手直し!L661</f>
        <v>10.5</v>
      </c>
    </row>
    <row r="118" spans="1:7">
      <c r="A118">
        <f>怪しいデータを手直し!F364</f>
        <v>118</v>
      </c>
      <c r="B118">
        <f>怪しいデータを手直し!C364</f>
        <v>29.998157121216444</v>
      </c>
      <c r="C118">
        <f>怪しいデータを手直し!D364</f>
        <v>0.19197442399690065</v>
      </c>
      <c r="D118" t="str">
        <f>怪しいデータを手直し!G364</f>
        <v>lc</v>
      </c>
      <c r="E118">
        <f>怪しいデータを手直し!T364</f>
        <v>3.3422538049298023</v>
      </c>
      <c r="F118">
        <f>IF(怪しいデータを手直し!U364="dead",0,怪しいデータを手直し!U364)</f>
        <v>4.5836623610465859</v>
      </c>
      <c r="G118">
        <f>怪しいデータを手直し!L364</f>
        <v>3.4</v>
      </c>
    </row>
    <row r="119" spans="1:7">
      <c r="A119">
        <f>怪しいデータを手直し!F367</f>
        <v>119</v>
      </c>
      <c r="B119">
        <f>怪しいデータを手直し!C367</f>
        <v>29.939609554551797</v>
      </c>
      <c r="C119">
        <f>怪しいデータを手直し!D367</f>
        <v>1.0973431109104534</v>
      </c>
      <c r="D119" t="str">
        <f>怪しいデータを手直し!G367</f>
        <v>lc</v>
      </c>
      <c r="E119">
        <f>怪しいデータを手直し!T367</f>
        <v>3.3740847935481812</v>
      </c>
      <c r="F119">
        <f>IF(怪しいデータを手直し!U367="dead",0,怪しいデータを手直し!U367)</f>
        <v>4.45633840657307</v>
      </c>
      <c r="G119">
        <f>怪しいデータを手直し!L367</f>
        <v>4.5</v>
      </c>
    </row>
    <row r="120" spans="1:7">
      <c r="A120">
        <f>怪しいデータを手直し!F91</f>
        <v>120</v>
      </c>
      <c r="B120">
        <f>怪しいデータを手直し!C91</f>
        <v>26.528558261896087</v>
      </c>
      <c r="C120">
        <f>怪しいデータを手直し!D91</f>
        <v>4.760706567415002</v>
      </c>
      <c r="D120" t="str">
        <f>怪しいデータを手直し!G91</f>
        <v>pt</v>
      </c>
      <c r="E120">
        <f>怪しいデータを手直し!T91</f>
        <v>0.85</v>
      </c>
      <c r="F120">
        <f>IF(怪しいデータを手直し!U91="dead",0,怪しいデータを手直し!U91)</f>
        <v>1.27</v>
      </c>
      <c r="G120">
        <f>怪しいデータを手直し!L91</f>
        <v>2.2000000000000002</v>
      </c>
    </row>
    <row r="121" spans="1:7">
      <c r="A121">
        <f>怪しいデータを手直し!F572</f>
        <v>121</v>
      </c>
      <c r="B121">
        <f>怪しいデータを手直し!C572</f>
        <v>23.975649436810265</v>
      </c>
      <c r="C121">
        <f>怪しいデータを手直し!D572</f>
        <v>3.1623743541191063</v>
      </c>
      <c r="D121" t="str">
        <f>怪しいデータを手直し!G572</f>
        <v>pt</v>
      </c>
      <c r="E121">
        <f>怪しいデータを手直し!T572</f>
        <v>10.345071300973197</v>
      </c>
      <c r="F121">
        <f>IF(怪しいデータを手直し!U572="dead",0,怪しいデータを手直し!U572)</f>
        <v>10.536057232683472</v>
      </c>
      <c r="G121">
        <f>怪しいデータを手直し!L572</f>
        <v>9.9</v>
      </c>
    </row>
    <row r="122" spans="1:7">
      <c r="A122">
        <f>怪しいデータを手直し!F600</f>
        <v>122</v>
      </c>
      <c r="B122">
        <f>怪しいデータを手直し!C600</f>
        <v>22.479514615325314</v>
      </c>
      <c r="C122">
        <f>怪しいデータを手直し!D600</f>
        <v>3.6348324957813607</v>
      </c>
      <c r="D122" t="str">
        <f>怪しいデータを手直し!G600</f>
        <v>pt</v>
      </c>
      <c r="E122">
        <f>怪しいデータを手直し!T600</f>
        <v>11.968451720510529</v>
      </c>
      <c r="F122">
        <f>IF(怪しいデータを手直し!U600="dead",0,怪しいデータを手直し!U600)</f>
        <v>12.254930618075941</v>
      </c>
      <c r="G122">
        <f>怪しいデータを手直し!L600</f>
        <v>10.5</v>
      </c>
    </row>
    <row r="123" spans="1:7">
      <c r="A123">
        <f>怪しいデータを手直し!F163</f>
        <v>123</v>
      </c>
      <c r="B123">
        <f>怪しいデータを手直し!C163</f>
        <v>27.161315759394988</v>
      </c>
      <c r="C123">
        <f>怪しいデータを手直し!D163</f>
        <v>7.1363615795614637</v>
      </c>
      <c r="D123" t="str">
        <f>怪しいデータを手直し!G163</f>
        <v>lc</v>
      </c>
      <c r="E123">
        <f>怪しいデータを手直し!T163</f>
        <v>1.34</v>
      </c>
      <c r="F123">
        <f>IF(怪しいデータを手直し!U163="dead",0,怪しいデータを手直し!U163)</f>
        <v>0</v>
      </c>
      <c r="G123">
        <f>怪しいデータを手直し!L163</f>
        <v>2.4</v>
      </c>
    </row>
    <row r="124" spans="1:7">
      <c r="A124">
        <f>怪しいデータを手直し!F313</f>
        <v>124</v>
      </c>
      <c r="B124">
        <f>怪しいデータを手直し!C313</f>
        <v>29.525739770440893</v>
      </c>
      <c r="C124">
        <f>怪しいデータを手直し!D313</f>
        <v>6.8449384092072521</v>
      </c>
      <c r="D124" t="str">
        <f>怪しいデータを手直し!G313</f>
        <v>lc</v>
      </c>
      <c r="E124">
        <f>怪しいデータを手直し!T313</f>
        <v>2.67</v>
      </c>
      <c r="F124">
        <f>IF(怪しいデータを手直し!U313="dead",0,怪しいデータを手直し!U313)</f>
        <v>3.883380611442246</v>
      </c>
      <c r="G124">
        <f>怪しいデータを手直し!L313</f>
        <v>3.2</v>
      </c>
    </row>
    <row r="125" spans="1:7">
      <c r="A125">
        <f>怪しいデータを手直し!F257</f>
        <v>125</v>
      </c>
      <c r="B125">
        <f>怪しいデータを手直し!C257</f>
        <v>29.141634328646191</v>
      </c>
      <c r="C125">
        <f>怪しいデータを手直し!D257</f>
        <v>7.350062707305125</v>
      </c>
      <c r="D125" t="str">
        <f>怪しいデータを手直し!G257</f>
        <v>lc</v>
      </c>
      <c r="E125">
        <f>怪しいデータを手直し!T257</f>
        <v>2.14</v>
      </c>
      <c r="F125">
        <f>IF(怪しいデータを手直し!U257="dead",0,怪しいデータを手直し!U257)</f>
        <v>0</v>
      </c>
      <c r="G125">
        <f>怪しいデータを手直し!L257</f>
        <v>2.9</v>
      </c>
    </row>
    <row r="126" spans="1:7">
      <c r="A126">
        <f>怪しいデータを手直し!F114</f>
        <v>126</v>
      </c>
      <c r="B126">
        <f>怪しいデータを手直し!C114</f>
        <v>21.836540619572311</v>
      </c>
      <c r="C126">
        <f>怪しいデータを手直し!D114</f>
        <v>11.595461118586918</v>
      </c>
      <c r="D126" t="str">
        <f>怪しいデータを手直し!G114</f>
        <v>bp</v>
      </c>
      <c r="E126">
        <f>怪しいデータを手直し!T114</f>
        <v>1.01</v>
      </c>
      <c r="F126">
        <f>IF(怪しいデータを手直し!U114="dead",0,怪しいデータを手直し!U114)</f>
        <v>1.0900000000000001</v>
      </c>
      <c r="G126">
        <f>怪しいデータを手直し!L114</f>
        <v>0</v>
      </c>
    </row>
    <row r="127" spans="1:7">
      <c r="A127">
        <f>怪しいデータを手直し!F542</f>
        <v>127</v>
      </c>
      <c r="B127">
        <f>怪しいデータを手直し!C542</f>
        <v>30.928387507289877</v>
      </c>
      <c r="C127">
        <f>怪しいデータを手直し!D542</f>
        <v>8.0276987045174106</v>
      </c>
      <c r="D127" t="str">
        <f>怪しいデータを手直し!G542</f>
        <v>pt</v>
      </c>
      <c r="E127">
        <f>怪しいデータを手直し!T542</f>
        <v>8.1169020976866619</v>
      </c>
      <c r="F127">
        <f>IF(怪しいデータを手直し!U542="dead",0,怪しいデータを手直し!U542)</f>
        <v>0</v>
      </c>
      <c r="G127">
        <f>怪しいデータを手直し!L542</f>
        <v>8.1</v>
      </c>
    </row>
    <row r="128" spans="1:7">
      <c r="A128">
        <f>怪しいデータを手直し!F589</f>
        <v>128</v>
      </c>
      <c r="B128">
        <f>怪しいデータを手直し!C589</f>
        <v>31.285787071530518</v>
      </c>
      <c r="C128">
        <f>怪しいデータを手直し!D589</f>
        <v>8.1996042694799964</v>
      </c>
      <c r="D128" t="str">
        <f>怪しいデータを手直し!G589</f>
        <v>pt</v>
      </c>
      <c r="E128">
        <f>怪しいデータを手直し!T589</f>
        <v>11.172677005051053</v>
      </c>
      <c r="F128">
        <f>IF(怪しいデータを手直し!U589="dead",0,怪しいデータを手直し!U589)</f>
        <v>12.095775674984045</v>
      </c>
      <c r="G128">
        <f>怪しいデータを手直し!L589</f>
        <v>11</v>
      </c>
    </row>
    <row r="129" spans="1:7">
      <c r="A129">
        <f>怪しいデータを手直し!F151</f>
        <v>129</v>
      </c>
      <c r="B129">
        <f>怪しいデータを手直し!C151</f>
        <v>24.676352046017037</v>
      </c>
      <c r="C129">
        <f>怪しいデータを手直し!D151</f>
        <v>39.225834938974714</v>
      </c>
      <c r="D129" t="str">
        <f>怪しいデータを手直し!G151</f>
        <v>lc</v>
      </c>
      <c r="E129">
        <f>怪しいデータを手直し!T151</f>
        <v>1.28</v>
      </c>
      <c r="F129">
        <f>IF(怪しいデータを手直し!U151="dead",0,怪しいデータを手直し!U151)</f>
        <v>2.228169203286535</v>
      </c>
      <c r="G129">
        <f>怪しいデータを手直し!L151</f>
        <v>2.5</v>
      </c>
    </row>
    <row r="130" spans="1:7">
      <c r="A130">
        <f>怪しいデータを手直し!F437</f>
        <v>132</v>
      </c>
      <c r="B130">
        <f>怪しいデータを手直し!C437</f>
        <v>27.062223874983264</v>
      </c>
      <c r="C130">
        <f>怪しいデータを手直し!D437</f>
        <v>8.9744857200630914</v>
      </c>
      <c r="D130" t="str">
        <f>怪しいデータを手直し!G437</f>
        <v>pt</v>
      </c>
      <c r="E130">
        <f>怪しいデータを手直し!T437</f>
        <v>4.6791553269017232</v>
      </c>
      <c r="F130">
        <f>IF(怪しいデータを手直し!U437="dead",0,怪しいデータを手直し!U437)</f>
        <v>4.9019722472303764</v>
      </c>
      <c r="G130">
        <f>怪しいデータを手直し!L437</f>
        <v>6</v>
      </c>
    </row>
    <row r="131" spans="1:7">
      <c r="A131">
        <f>怪しいデータを手直し!F427</f>
        <v>133</v>
      </c>
      <c r="B131">
        <f>怪しいデータを手直し!C427</f>
        <v>24.481330698158807</v>
      </c>
      <c r="C131">
        <f>怪しいデータを手直し!D427</f>
        <v>11.261086766992761</v>
      </c>
      <c r="D131" t="str">
        <f>怪しいデータを手直し!G427</f>
        <v>bp</v>
      </c>
      <c r="E131">
        <f>怪しいデータを手直し!T427</f>
        <v>4.45633840657307</v>
      </c>
      <c r="F131">
        <f>IF(怪しいデータを手直し!U427="dead",0,怪しいデータを手直し!U427)</f>
        <v>4.7428173041384811</v>
      </c>
      <c r="G131">
        <f>怪しいデータを手直し!L427</f>
        <v>8.5</v>
      </c>
    </row>
    <row r="132" spans="1:7">
      <c r="A132">
        <f>怪しいデータを手直し!F393</f>
        <v>134</v>
      </c>
      <c r="B132">
        <f>怪しいデータを手直し!C393</f>
        <v>24.483757051699371</v>
      </c>
      <c r="C132">
        <f>怪しいデータを手直し!D393</f>
        <v>11.324677598118903</v>
      </c>
      <c r="D132" t="str">
        <f>怪しいデータを手直し!G393</f>
        <v>bp</v>
      </c>
      <c r="E132">
        <f>怪しいデータを手直し!T393</f>
        <v>3.7878876455871091</v>
      </c>
      <c r="F132">
        <f>IF(怪しいデータを手直し!U393="dead",0,怪しいデータを手直し!U393)</f>
        <v>4.1061975317709001</v>
      </c>
      <c r="G132">
        <f>怪しいデータを手直し!L393</f>
        <v>4.0999999999999996</v>
      </c>
    </row>
    <row r="133" spans="1:7">
      <c r="A133">
        <f>怪しいデータを手直し!F546</f>
        <v>135</v>
      </c>
      <c r="B133">
        <f>怪しいデータを手直し!C546</f>
        <v>24.431560707957821</v>
      </c>
      <c r="C133">
        <f>怪しいデータを手直し!D546</f>
        <v>11.484658013701774</v>
      </c>
      <c r="D133" t="str">
        <f>怪しいデータを手直し!G546</f>
        <v>bp</v>
      </c>
      <c r="E133">
        <f>怪しいデータを手直し!T546</f>
        <v>8.4670429724888319</v>
      </c>
      <c r="F133">
        <f>IF(怪しいデータを手直し!U546="dead",0,怪しいデータを手直し!U546)</f>
        <v>8.6261979155807271</v>
      </c>
      <c r="G133">
        <f>怪しいデータを手直し!L546</f>
        <v>7.1</v>
      </c>
    </row>
    <row r="134" spans="1:7">
      <c r="A134">
        <f>怪しいデータを手直し!F487</f>
        <v>136</v>
      </c>
      <c r="B134">
        <f>怪しいデータを手直し!C487</f>
        <v>24.256321189866224</v>
      </c>
      <c r="C134">
        <f>怪しいデータを手直し!D487</f>
        <v>10.97345114030658</v>
      </c>
      <c r="D134" t="str">
        <f>怪しいデータを手直し!G487</f>
        <v>bp</v>
      </c>
      <c r="E134">
        <f>怪しいデータを手直し!T487</f>
        <v>5.8887328944001274</v>
      </c>
      <c r="F134">
        <f>IF(怪しいデータを手直し!U487="dead",0,怪しいデータを手直し!U487)</f>
        <v>5.7614089399266115</v>
      </c>
      <c r="G134">
        <f>怪しいデータを手直し!L487</f>
        <v>6.6</v>
      </c>
    </row>
    <row r="135" spans="1:7">
      <c r="A135">
        <f>怪しいデータを手直し!F55</f>
        <v>137</v>
      </c>
      <c r="B135">
        <f>怪しいデータを手直し!C55</f>
        <v>24.042660540170019</v>
      </c>
      <c r="C135">
        <f>怪しいデータを手直し!D55</f>
        <v>10.755324065640806</v>
      </c>
      <c r="D135" t="str">
        <f>怪しいデータを手直し!G55</f>
        <v>bp</v>
      </c>
      <c r="E135">
        <f>怪しいデータを手直し!T55</f>
        <v>0.63</v>
      </c>
      <c r="F135">
        <f>IF(怪しいデータを手直し!U55="dead",0,怪しいデータを手直し!U55)</f>
        <v>1.27</v>
      </c>
      <c r="G135">
        <f>怪しいデータを手直し!L55</f>
        <v>2.2999999999999998</v>
      </c>
    </row>
    <row r="136" spans="1:7">
      <c r="A136">
        <f>怪しいデータを手直し!F97</f>
        <v>138</v>
      </c>
      <c r="B136">
        <f>怪しいデータを手直し!C97</f>
        <v>23.975810626973125</v>
      </c>
      <c r="C136">
        <f>怪しいデータを手直し!D97</f>
        <v>10.577472753850401</v>
      </c>
      <c r="D136" t="str">
        <f>怪しいデータを手直し!G97</f>
        <v>bp</v>
      </c>
      <c r="E136">
        <f>怪しいデータを手直し!T97</f>
        <v>0.9</v>
      </c>
      <c r="F136">
        <f>IF(怪しいデータを手直し!U97="dead",0,怪しいデータを手直し!U97)</f>
        <v>1.47</v>
      </c>
      <c r="G136">
        <f>怪しいデータを手直し!L97</f>
        <v>1.9</v>
      </c>
    </row>
    <row r="137" spans="1:7">
      <c r="A137">
        <f>怪しいデータを手直し!F587</f>
        <v>139</v>
      </c>
      <c r="B137">
        <f>怪しいデータを手直し!C587</f>
        <v>23.904153440943681</v>
      </c>
      <c r="C137">
        <f>怪しいデータを手直し!D587</f>
        <v>10.785104816809508</v>
      </c>
      <c r="D137" t="str">
        <f>怪しいデータを手直し!G587</f>
        <v>bp</v>
      </c>
      <c r="E137">
        <f>怪しいデータを手直し!T587</f>
        <v>11.140846016432674</v>
      </c>
      <c r="F137">
        <f>IF(怪しいデータを手直し!U587="dead",0,怪しいデータを手直し!U587)</f>
        <v>11.554648868471601</v>
      </c>
      <c r="G137">
        <f>怪しいデータを手直し!L587</f>
        <v>1.6</v>
      </c>
    </row>
    <row r="138" spans="1:7">
      <c r="A138">
        <f>怪しいデータを手直し!F273</f>
        <v>140</v>
      </c>
      <c r="B138">
        <f>怪しいデータを手直し!C273</f>
        <v>23.814136091910594</v>
      </c>
      <c r="C138">
        <f>怪しいデータを手直し!D273</f>
        <v>10.891462981270466</v>
      </c>
      <c r="D138" t="str">
        <f>怪しいデータを手直し!G273</f>
        <v>bp</v>
      </c>
      <c r="E138">
        <f>怪しいデータを手直し!T273</f>
        <v>2.27</v>
      </c>
      <c r="F138">
        <f>IF(怪しいデータを手直し!U273="dead",0,怪しいデータを手直し!U273)</f>
        <v>2.7056340325622208</v>
      </c>
      <c r="G138">
        <f>怪しいデータを手直し!L273</f>
        <v>2.8</v>
      </c>
    </row>
    <row r="139" spans="1:7">
      <c r="A139">
        <f>怪しいデータを手直し!F42</f>
        <v>141</v>
      </c>
      <c r="B139">
        <f>怪しいデータを手直し!C42</f>
        <v>23.803244960068398</v>
      </c>
      <c r="C139">
        <f>怪しいデータを手直し!D42</f>
        <v>10.799899433500032</v>
      </c>
      <c r="D139" t="str">
        <f>怪しいデータを手直し!G42</f>
        <v>bp</v>
      </c>
      <c r="E139">
        <f>怪しいデータを手直し!T42</f>
        <v>0.55000000000000004</v>
      </c>
      <c r="F139">
        <f>IF(怪しいデータを手直し!U42="dead",0,怪しいデータを手直し!U42)</f>
        <v>0.57999999999999996</v>
      </c>
      <c r="G139">
        <f>怪しいデータを手直し!L42</f>
        <v>1.5</v>
      </c>
    </row>
    <row r="140" spans="1:7">
      <c r="A140">
        <f>怪しいデータを手直し!F403</f>
        <v>142</v>
      </c>
      <c r="B140">
        <f>怪しいデータを手直し!C403</f>
        <v>23.776821029099263</v>
      </c>
      <c r="C140">
        <f>怪しいデータを手直し!D403</f>
        <v>11.15813707184822</v>
      </c>
      <c r="D140" t="str">
        <f>怪しいデータを手直し!G403</f>
        <v>bp</v>
      </c>
      <c r="E140">
        <f>怪しいデータを手直し!T403</f>
        <v>3.9788735772973833</v>
      </c>
      <c r="F140">
        <f>IF(怪しいデータを手直し!U403="dead",0,怪しいデータを手直し!U403)</f>
        <v>4.1380285203892786</v>
      </c>
      <c r="G140">
        <f>怪しいデータを手直し!L403</f>
        <v>4.8</v>
      </c>
    </row>
    <row r="141" spans="1:7">
      <c r="A141">
        <f>怪しいデータを手直し!F450</f>
        <v>143</v>
      </c>
      <c r="B141">
        <f>怪しいデータを手直し!C450</f>
        <v>23.822225534738159</v>
      </c>
      <c r="C141">
        <f>怪しいデータを手直し!D450</f>
        <v>11.163807234165036</v>
      </c>
      <c r="D141" t="str">
        <f>怪しいデータを手直し!G450</f>
        <v>bp</v>
      </c>
      <c r="E141">
        <f>怪しいデータを手直し!T450</f>
        <v>5.0292962017038931</v>
      </c>
      <c r="F141">
        <f>IF(怪しいデータを手直し!U450="dead",0,怪しいデータを手直し!U450)</f>
        <v>5.4112680651244416</v>
      </c>
      <c r="G141">
        <f>怪しいデータを手直し!L450</f>
        <v>5.5</v>
      </c>
    </row>
    <row r="142" spans="1:7">
      <c r="A142">
        <f>怪しいデータを手直し!F444</f>
        <v>144</v>
      </c>
      <c r="B142">
        <f>怪しいデータを手直し!C444</f>
        <v>24.319680469471667</v>
      </c>
      <c r="C142">
        <f>怪しいデータを手直し!D444</f>
        <v>11.740547714722046</v>
      </c>
      <c r="D142" t="str">
        <f>怪しいデータを手直し!G444</f>
        <v>bp</v>
      </c>
      <c r="E142">
        <f>怪しいデータを手直し!T444</f>
        <v>4.9019722472303764</v>
      </c>
      <c r="F142">
        <f>IF(怪しいデータを手直し!U444="dead",0,怪しいデータを手直し!U444)</f>
        <v>5.3476060878876837</v>
      </c>
      <c r="G142">
        <f>怪しいデータを手直し!L444</f>
        <v>3.3</v>
      </c>
    </row>
    <row r="143" spans="1:7">
      <c r="A143">
        <f>怪しいデータを手直し!F160</f>
        <v>145</v>
      </c>
      <c r="B143">
        <f>怪しいデータを手直し!C160</f>
        <v>21.971325740910526</v>
      </c>
      <c r="C143">
        <f>怪しいデータを手直し!D160</f>
        <v>11.532730588339588</v>
      </c>
      <c r="D143" t="str">
        <f>怪しいデータを手直し!G160</f>
        <v>bp</v>
      </c>
      <c r="E143">
        <f>怪しいデータを手直し!T160</f>
        <v>1.33</v>
      </c>
      <c r="F143">
        <f>IF(怪しいデータを手直し!U160="dead",0,怪しいデータを手直し!U160)</f>
        <v>0</v>
      </c>
      <c r="G143">
        <f>怪しいデータを手直し!L160</f>
        <v>1.3</v>
      </c>
    </row>
    <row r="144" spans="1:7">
      <c r="A144">
        <f>怪しいデータを手直し!F659</f>
        <v>146</v>
      </c>
      <c r="B144">
        <f>怪しいデータを手直し!C659</f>
        <v>21.782757902395126</v>
      </c>
      <c r="C144">
        <f>怪しいデータを手直し!D659</f>
        <v>10.540297636283698</v>
      </c>
      <c r="D144" t="str">
        <f>怪しいデータを手直し!G659</f>
        <v>bp</v>
      </c>
      <c r="E144">
        <f>怪しいデータを手直し!T659</f>
        <v>19.098593171027442</v>
      </c>
      <c r="F144">
        <f>IF(怪しいデータを手直し!U659="dead",0,怪しいデータを手直し!U659)</f>
        <v>0</v>
      </c>
      <c r="G144">
        <f>怪しいデータを手直し!L659</f>
        <v>7.5</v>
      </c>
    </row>
    <row r="145" spans="1:7">
      <c r="A145">
        <f>怪しいデータを手直し!F276</f>
        <v>147</v>
      </c>
      <c r="B145">
        <f>怪しいデータを手直し!C276</f>
        <v>21.713553925037083</v>
      </c>
      <c r="C145">
        <f>怪しいデータを手直し!D276</f>
        <v>11.604164465655854</v>
      </c>
      <c r="D145" t="str">
        <f>怪しいデータを手直し!G276</f>
        <v>bp</v>
      </c>
      <c r="E145">
        <f>怪しいデータを手直し!T276</f>
        <v>2.29</v>
      </c>
      <c r="F145">
        <f>IF(怪しいデータを手直し!U276="dead",0,怪しいデータを手直し!U276)</f>
        <v>2.4509861236151882</v>
      </c>
      <c r="G145">
        <f>怪しいデータを手直し!L276</f>
        <v>2</v>
      </c>
    </row>
    <row r="146" spans="1:7">
      <c r="A146">
        <f>怪しいデータを手直し!F375</f>
        <v>148</v>
      </c>
      <c r="B146">
        <f>怪しいデータを手直し!C375</f>
        <v>21.785537686445696</v>
      </c>
      <c r="C146">
        <f>怪しいデータを手直し!D375</f>
        <v>11.947311629411955</v>
      </c>
      <c r="D146" t="str">
        <f>怪しいデータを手直し!G375</f>
        <v>bp</v>
      </c>
      <c r="E146">
        <f>怪しいデータを手直し!T375</f>
        <v>3.4695777594033186</v>
      </c>
      <c r="F146">
        <f>IF(怪しいデータを手直し!U375="dead",0,怪しいデータを手直し!U375)</f>
        <v>3.5014087480216975</v>
      </c>
      <c r="G146">
        <f>怪しいデータを手直し!L375</f>
        <v>4.5999999999999996</v>
      </c>
    </row>
    <row r="147" spans="1:7">
      <c r="A147">
        <f>怪しいデータを手直し!F489</f>
        <v>149</v>
      </c>
      <c r="B147">
        <f>怪しいデータを手直し!C489</f>
        <v>21.951670549920319</v>
      </c>
      <c r="C147">
        <f>怪しいデータを手直し!D489</f>
        <v>12.184686375306248</v>
      </c>
      <c r="D147" t="str">
        <f>怪しいデータを手直し!G489</f>
        <v>bp</v>
      </c>
      <c r="E147">
        <f>怪しいデータを手直し!T489</f>
        <v>5.9842258602552647</v>
      </c>
      <c r="F147">
        <f>IF(怪しいデータを手直し!U489="dead",0,怪しいデータを手直し!U489)</f>
        <v>5.856901905781748</v>
      </c>
      <c r="G147">
        <f>怪しいデータを手直し!L489</f>
        <v>5.6</v>
      </c>
    </row>
    <row r="148" spans="1:7">
      <c r="A148">
        <f>怪しいデータを手直し!F70</f>
        <v>150</v>
      </c>
      <c r="B148">
        <f>怪しいデータを手直し!C70</f>
        <v>22.0218331717933</v>
      </c>
      <c r="C148">
        <f>怪しいデータを手直し!D70</f>
        <v>12.081998618831085</v>
      </c>
      <c r="D148" t="str">
        <f>怪しいデータを手直し!G70</f>
        <v>bp</v>
      </c>
      <c r="E148">
        <f>怪しいデータを手直し!T70</f>
        <v>0.7</v>
      </c>
      <c r="F148">
        <f>IF(怪しいデータを手直し!U70="dead",0,怪しいデータを手直し!U70)</f>
        <v>1.1099999999999999</v>
      </c>
      <c r="G148">
        <f>怪しいデータを手直し!L70</f>
        <v>2</v>
      </c>
    </row>
    <row r="149" spans="1:7">
      <c r="A149">
        <f>怪しいデータを手直し!F377</f>
        <v>151</v>
      </c>
      <c r="B149">
        <f>怪しいデータを手直し!C377</f>
        <v>22.185225695543657</v>
      </c>
      <c r="C149">
        <f>怪しいデータを手直し!D377</f>
        <v>12.144973802340447</v>
      </c>
      <c r="D149" t="str">
        <f>怪しいデータを手直し!G377</f>
        <v>bp</v>
      </c>
      <c r="E149">
        <f>怪しいデータを手直し!T377</f>
        <v>3.5014087480216975</v>
      </c>
      <c r="F149">
        <f>IF(怪しいデータを手直し!U377="dead",0,怪しいデータを手直し!U377)</f>
        <v>3.6923946797319718</v>
      </c>
      <c r="G149">
        <f>怪しいデータを手直し!L377</f>
        <v>4.9000000000000004</v>
      </c>
    </row>
    <row r="150" spans="1:7">
      <c r="A150">
        <f>怪しいデータを手直し!F506</f>
        <v>152</v>
      </c>
      <c r="B150">
        <f>怪しいデータを手直し!C506</f>
        <v>21.916912528638999</v>
      </c>
      <c r="C150">
        <f>怪しいデータを手直し!D506</f>
        <v>12.382501619525305</v>
      </c>
      <c r="D150" t="str">
        <f>怪しいデータを手直し!G506</f>
        <v>bp</v>
      </c>
      <c r="E150">
        <f>怪しいデータを手直し!T506</f>
        <v>6.5253526667677093</v>
      </c>
      <c r="F150">
        <f>IF(怪しいデータを手直し!U506="dead",0,怪しいデータを手直し!U506)</f>
        <v>6.7481695870963625</v>
      </c>
      <c r="G150">
        <f>怪しいデータを手直し!L506</f>
        <v>6.4</v>
      </c>
    </row>
    <row r="151" spans="1:7">
      <c r="A151">
        <f>怪しいデータを手直し!F63</f>
        <v>153</v>
      </c>
      <c r="B151">
        <f>怪しいデータを手直し!C63</f>
        <v>22.275538913106644</v>
      </c>
      <c r="C151">
        <f>怪しいデータを手直し!D63</f>
        <v>12.646913562404759</v>
      </c>
      <c r="D151" t="str">
        <f>怪しいデータを手直し!G63</f>
        <v>bp</v>
      </c>
      <c r="E151">
        <f>怪しいデータを手直し!T63</f>
        <v>0.65</v>
      </c>
      <c r="F151">
        <f>IF(怪しいデータを手直し!U63="dead",0,怪しいデータを手直し!U63)</f>
        <v>0</v>
      </c>
      <c r="G151">
        <f>怪しいデータを手直し!L63</f>
        <v>1.3</v>
      </c>
    </row>
    <row r="152" spans="1:7">
      <c r="A152">
        <f>怪しいデータを手直し!F296</f>
        <v>154</v>
      </c>
      <c r="B152">
        <f>怪しいデータを手直し!C296</f>
        <v>20.236305583160817</v>
      </c>
      <c r="C152">
        <f>怪しいデータを手直し!D296</f>
        <v>13.537937792417537</v>
      </c>
      <c r="D152" t="str">
        <f>怪しいデータを手直し!G296</f>
        <v>lc</v>
      </c>
      <c r="E152">
        <f>怪しいデータを手直し!T296</f>
        <v>2.4700000000000002</v>
      </c>
      <c r="F152">
        <f>IF(怪しいデータを手直し!U296="dead",0,怪しいデータを手直し!U296)</f>
        <v>3.5332397366400765</v>
      </c>
      <c r="G152">
        <f>怪しいデータを手直し!L296</f>
        <v>3</v>
      </c>
    </row>
    <row r="153" spans="1:7">
      <c r="A153">
        <f>怪しいデータを手直し!F189</f>
        <v>155</v>
      </c>
      <c r="B153">
        <f>怪しいデータを手直し!C189</f>
        <v>20.025377074440154</v>
      </c>
      <c r="C153">
        <f>怪しいデータを手直し!D189</f>
        <v>14.539977854319202</v>
      </c>
      <c r="D153" t="str">
        <f>怪しいデータを手直し!G189</f>
        <v>lc</v>
      </c>
      <c r="E153">
        <f>怪しいデータを手直し!T189</f>
        <v>1.52</v>
      </c>
      <c r="F153">
        <f>IF(怪しいデータを手直し!U189="dead",0,怪しいデータを手直し!U189)</f>
        <v>2.1100000000000003</v>
      </c>
      <c r="G153">
        <f>怪しいデータを手直し!L189</f>
        <v>2.4</v>
      </c>
    </row>
    <row r="154" spans="1:7">
      <c r="A154">
        <f>怪しいデータを手直し!F692</f>
        <v>156</v>
      </c>
      <c r="B154">
        <f>怪しいデータを手直し!C692</f>
        <v>23.07038032055581</v>
      </c>
      <c r="C154">
        <f>怪しいデータを手直し!D692</f>
        <v>14.569998788165483</v>
      </c>
      <c r="D154" t="str">
        <f>怪しいデータを手直し!G692</f>
        <v>lc</v>
      </c>
      <c r="E154">
        <f>怪しいデータを手直し!T692</f>
        <v>30.971551925682832</v>
      </c>
      <c r="F154">
        <f>IF(怪しいデータを手直し!U692="dead",0,怪しいデータを手直し!U692)</f>
        <v>0</v>
      </c>
      <c r="G154">
        <f>怪しいデータを手直し!L692</f>
        <v>16.899999999999999</v>
      </c>
    </row>
    <row r="155" spans="1:7">
      <c r="A155">
        <f>怪しいデータを手直し!F131</f>
        <v>157</v>
      </c>
      <c r="B155">
        <f>怪しいデータを手直し!C131</f>
        <v>22.650337940557488</v>
      </c>
      <c r="C155">
        <f>怪しいデータを手直し!D131</f>
        <v>15.505115568767668</v>
      </c>
      <c r="D155" t="str">
        <f>怪しいデータを手直し!G131</f>
        <v>lc</v>
      </c>
      <c r="E155">
        <f>怪しいデータを手直し!T131</f>
        <v>1.1499999999999999</v>
      </c>
      <c r="F155">
        <f>IF(怪しいデータを手直し!U131="dead",0,怪しいデータを手直し!U131)</f>
        <v>2.1800000000000002</v>
      </c>
      <c r="G155">
        <f>怪しいデータを手直し!L131</f>
        <v>1.4</v>
      </c>
    </row>
    <row r="156" spans="1:7">
      <c r="A156">
        <f>怪しいデータを手直し!F669</f>
        <v>158</v>
      </c>
      <c r="B156">
        <f>怪しいデータを手直し!C669</f>
        <v>24.081992358517237</v>
      </c>
      <c r="C156">
        <f>怪しいデータを手直し!D669</f>
        <v>14.329945512283251</v>
      </c>
      <c r="D156" t="str">
        <f>怪しいデータを手直し!G669</f>
        <v>lc</v>
      </c>
      <c r="E156">
        <f>怪しいデータを手直し!T669</f>
        <v>21.326762374313976</v>
      </c>
      <c r="F156">
        <f>IF(怪しいデータを手直し!U669="dead",0,怪しいデータを手直し!U669)</f>
        <v>0</v>
      </c>
      <c r="G156">
        <f>怪しいデータを手直し!L669</f>
        <v>11.4</v>
      </c>
    </row>
    <row r="157" spans="1:7">
      <c r="A157">
        <f>怪しいデータを手直し!F253</f>
        <v>159</v>
      </c>
      <c r="B157">
        <f>怪しいデータを手直し!C253</f>
        <v>26.909703103773136</v>
      </c>
      <c r="C157">
        <f>怪しいデータを手直し!D253</f>
        <v>14.486493813815263</v>
      </c>
      <c r="D157" t="str">
        <f>怪しいデータを手直し!G253</f>
        <v>pt</v>
      </c>
      <c r="E157">
        <f>怪しいデータを手直し!T253</f>
        <v>2.12</v>
      </c>
      <c r="F157">
        <f>IF(怪しいデータを手直し!U253="dead",0,怪しいデータを手直し!U253)</f>
        <v>3.0239439187460113</v>
      </c>
      <c r="G157">
        <f>怪しいデータを手直し!L253</f>
        <v>3.5</v>
      </c>
    </row>
    <row r="158" spans="1:7">
      <c r="A158">
        <f>怪しいデータを手直し!F596</f>
        <v>160</v>
      </c>
      <c r="B158">
        <f>怪しいデータを手直し!C596</f>
        <v>27.91934640397676</v>
      </c>
      <c r="C158">
        <f>怪しいデータを手直し!D596</f>
        <v>12.973972118584976</v>
      </c>
      <c r="D158" t="str">
        <f>怪しいデータを手直し!G596</f>
        <v>pt</v>
      </c>
      <c r="E158">
        <f>怪しいデータを手直し!T596</f>
        <v>11.650141834326739</v>
      </c>
      <c r="F158">
        <f>IF(怪しいデータを手直し!U596="dead",0,怪しいデータを手直し!U596)</f>
        <v>12.509578527022972</v>
      </c>
      <c r="G158">
        <f>怪しいデータを手直し!L596</f>
        <v>11.5</v>
      </c>
    </row>
    <row r="159" spans="1:7">
      <c r="A159">
        <f>怪しいデータを手直し!F295</f>
        <v>161</v>
      </c>
      <c r="B159">
        <f>怪しいデータを手直し!C295</f>
        <v>29.693552363066686</v>
      </c>
      <c r="C159">
        <f>怪しいデータを手直し!D295</f>
        <v>12.817173736221424</v>
      </c>
      <c r="D159" t="str">
        <f>怪しいデータを手直し!G295</f>
        <v>lc</v>
      </c>
      <c r="E159">
        <f>怪しいデータを手直し!T295</f>
        <v>2.4500000000000002</v>
      </c>
      <c r="F159">
        <f>IF(怪しいデータを手直し!U295="dead",0,怪しいデータを手直し!U295)</f>
        <v>0</v>
      </c>
      <c r="G159">
        <f>怪しいデータを手直し!L295</f>
        <v>3.6</v>
      </c>
    </row>
    <row r="160" spans="1:7">
      <c r="A160">
        <f>怪しいデータを手直し!F164</f>
        <v>162</v>
      </c>
      <c r="B160">
        <f>怪しいデータを手直し!C164</f>
        <v>29.620093591599371</v>
      </c>
      <c r="C160">
        <f>怪しいデータを手直し!D164</f>
        <v>21.086119526062333</v>
      </c>
      <c r="D160" t="str">
        <f>怪しいデータを手直し!G164</f>
        <v>pt</v>
      </c>
      <c r="E160">
        <f>怪しいデータを手直し!T164</f>
        <v>1.34</v>
      </c>
      <c r="F160">
        <f>IF(怪しいデータを手直し!U164="dead",0,怪しいデータを手直し!U164)</f>
        <v>2.12</v>
      </c>
      <c r="G160">
        <f>怪しいデータを手直し!L164</f>
        <v>1.6</v>
      </c>
    </row>
    <row r="161" spans="1:7">
      <c r="A161">
        <f>怪しいデータを手直し!F56</f>
        <v>163</v>
      </c>
      <c r="B161">
        <f>怪しいデータを手直し!C56</f>
        <v>26.373923925033939</v>
      </c>
      <c r="C161">
        <f>怪しいデータを手直し!D56</f>
        <v>20.920997717978985</v>
      </c>
      <c r="D161" t="str">
        <f>怪しいデータを手直し!G56</f>
        <v>pt</v>
      </c>
      <c r="E161">
        <f>怪しいデータを手直し!T56</f>
        <v>0.63</v>
      </c>
      <c r="F161">
        <f>IF(怪しいデータを手直し!U56="dead",0,怪しいデータを手直し!U56)</f>
        <v>0.95</v>
      </c>
      <c r="G161">
        <f>怪しいデータを手直し!L56</f>
        <v>2</v>
      </c>
    </row>
    <row r="162" spans="1:7">
      <c r="A162">
        <f>怪しいデータを手直し!F122</f>
        <v>164</v>
      </c>
      <c r="B162">
        <f>怪しいデータを手直し!C122</f>
        <v>25.677496816558932</v>
      </c>
      <c r="C162">
        <f>怪しいデータを手直し!D122</f>
        <v>20.358548791109246</v>
      </c>
      <c r="D162" t="str">
        <f>怪しいデータを手直し!G122</f>
        <v>pt</v>
      </c>
      <c r="E162">
        <f>怪しいデータを手直し!T122</f>
        <v>1.08</v>
      </c>
      <c r="F162">
        <f>IF(怪しいデータを手直し!U122="dead",0,怪しいデータを手直し!U122)</f>
        <v>2.02</v>
      </c>
      <c r="G162">
        <f>怪しいデータを手直し!L122</f>
        <v>2.5</v>
      </c>
    </row>
    <row r="163" spans="1:7">
      <c r="A163">
        <f>怪しいデータを手直し!F380</f>
        <v>165</v>
      </c>
      <c r="B163">
        <f>怪しいデータを手直し!C380</f>
        <v>26.105063208120857</v>
      </c>
      <c r="C163">
        <f>怪しいデータを手直し!D380</f>
        <v>23.112840326777921</v>
      </c>
      <c r="D163" t="str">
        <f>怪しいデータを手直し!G380</f>
        <v>lc</v>
      </c>
      <c r="E163">
        <f>怪しいデータを手直し!T380</f>
        <v>3.5332397366400765</v>
      </c>
      <c r="F163">
        <f>IF(怪しいデータを手直し!U380="dead",0,怪しいデータを手直し!U380)</f>
        <v>0</v>
      </c>
      <c r="G163">
        <f>怪しいデータを手直し!L380</f>
        <v>3.7</v>
      </c>
    </row>
    <row r="164" spans="1:7">
      <c r="A164">
        <f>怪しいデータを手直し!F67</f>
        <v>166</v>
      </c>
      <c r="B164">
        <f>怪しいデータを手直し!C67</f>
        <v>25.099509798458744</v>
      </c>
      <c r="C164">
        <f>怪しいデータを手直し!D67</f>
        <v>23.482844796581301</v>
      </c>
      <c r="D164" t="str">
        <f>怪しいデータを手直し!G67</f>
        <v>lc</v>
      </c>
      <c r="E164">
        <f>怪しいデータを手直し!T67</f>
        <v>0.69</v>
      </c>
      <c r="F164">
        <f>IF(怪しいデータを手直し!U67="dead",0,怪しいデータを手直し!U67)</f>
        <v>0</v>
      </c>
      <c r="G164">
        <f>怪しいデータを手直し!L67</f>
        <v>1.8</v>
      </c>
    </row>
    <row r="165" spans="1:7">
      <c r="A165">
        <f>怪しいデータを手直し!F22</f>
        <v>167</v>
      </c>
      <c r="B165">
        <f>怪しいデータを手直し!C22</f>
        <v>24.174543443410826</v>
      </c>
      <c r="C165">
        <f>怪しいデータを手直し!D22</f>
        <v>27.529531811649555</v>
      </c>
      <c r="D165" t="str">
        <f>怪しいデータを手直し!G22</f>
        <v>pt</v>
      </c>
      <c r="E165">
        <f>怪しいデータを手直し!T22</f>
        <v>0.4</v>
      </c>
      <c r="F165">
        <f>IF(怪しいデータを手直し!U22="dead",0,怪しいデータを手直し!U22)</f>
        <v>0.54</v>
      </c>
      <c r="G165">
        <f>怪しいデータを手直し!L22</f>
        <v>1.8</v>
      </c>
    </row>
    <row r="166" spans="1:7">
      <c r="A166">
        <f>怪しいデータを手直し!F468</f>
        <v>168</v>
      </c>
      <c r="B166">
        <f>怪しいデータを手直し!C468</f>
        <v>26.023388160580492</v>
      </c>
      <c r="C166">
        <f>怪しいデータを手直し!D468</f>
        <v>28.859083961886746</v>
      </c>
      <c r="D166" t="str">
        <f>怪しいデータを手直し!G468</f>
        <v>lc</v>
      </c>
      <c r="E166">
        <f>怪しいデータを手直し!T468</f>
        <v>5.5067610309795789</v>
      </c>
      <c r="F166">
        <f>IF(怪しいデータを手直し!U468="dead",0,怪しいデータを手直し!U468)</f>
        <v>0</v>
      </c>
      <c r="G166">
        <f>怪しいデータを手直し!L468</f>
        <v>3.7</v>
      </c>
    </row>
    <row r="167" spans="1:7">
      <c r="A167">
        <f>怪しいデータを手直し!F621</f>
        <v>169</v>
      </c>
      <c r="B167">
        <f>怪しいデータを手直し!C621</f>
        <v>30.004333579254549</v>
      </c>
      <c r="C167">
        <f>怪しいデータを手直し!D621</f>
        <v>27.592263592948925</v>
      </c>
      <c r="D167" t="str">
        <f>怪しいデータを手直し!G621</f>
        <v>lc</v>
      </c>
      <c r="E167">
        <f>怪しいデータを手直し!T621</f>
        <v>13.050705333535419</v>
      </c>
      <c r="F167">
        <f>IF(怪しいデータを手直し!U621="dead",0,怪しいデータを手直し!U621)</f>
        <v>0</v>
      </c>
      <c r="G167">
        <f>怪しいデータを手直し!L621</f>
        <v>9.9</v>
      </c>
    </row>
    <row r="168" spans="1:7">
      <c r="A168">
        <f>怪しいデータを手直し!F640</f>
        <v>170</v>
      </c>
      <c r="B168">
        <f>怪しいデータを手直し!C640</f>
        <v>25.097578655256243</v>
      </c>
      <c r="C168">
        <f>怪しいデータを手直し!D640</f>
        <v>34.13590656166906</v>
      </c>
      <c r="D168" t="str">
        <f>怪しいデータを手直し!G640</f>
        <v>bp</v>
      </c>
      <c r="E168">
        <f>怪しいデータを手直し!T640</f>
        <v>15.597184423005743</v>
      </c>
      <c r="F168">
        <f>IF(怪しいデータを手直し!U640="dead",0,怪しいデータを手直し!U640)</f>
        <v>0</v>
      </c>
      <c r="G168">
        <f>怪しいデータを手直し!L640</f>
        <v>6.1</v>
      </c>
    </row>
    <row r="169" spans="1:7">
      <c r="A169">
        <f>怪しいデータを手直し!F418</f>
        <v>171</v>
      </c>
      <c r="B169">
        <f>怪しいデータを手直し!C418</f>
        <v>25.433323914882696</v>
      </c>
      <c r="C169">
        <f>怪しいデータを手直し!D418</f>
        <v>34.334182209427858</v>
      </c>
      <c r="D169" t="str">
        <f>怪しいデータを手直し!G418</f>
        <v>bp</v>
      </c>
      <c r="E169">
        <f>怪しいデータを手直し!T418</f>
        <v>4.2335214862444159</v>
      </c>
      <c r="F169">
        <f>IF(怪しいデータを手直し!U418="dead",0,怪しいデータを手直し!U418)</f>
        <v>4.3926764293363121</v>
      </c>
      <c r="G169">
        <f>怪しいデータを手直し!L418</f>
        <v>3.7</v>
      </c>
    </row>
    <row r="170" spans="1:7">
      <c r="A170">
        <f>怪しいデータを手直し!F264</f>
        <v>172</v>
      </c>
      <c r="B170">
        <f>怪しいデータを手直し!C264</f>
        <v>24.907350780199291</v>
      </c>
      <c r="C170">
        <f>怪しいデータを手直し!D264</f>
        <v>34.663296118381929</v>
      </c>
      <c r="D170" t="str">
        <f>怪しいデータを手直し!G264</f>
        <v>bp</v>
      </c>
      <c r="E170">
        <f>怪しいデータを手直し!T264</f>
        <v>2.2200000000000002</v>
      </c>
      <c r="F170">
        <f>IF(怪しいデータを手直し!U264="dead",0,怪しいデータを手直し!U264)</f>
        <v>2.4509861236151882</v>
      </c>
      <c r="G170">
        <f>怪しいデータを手直し!L264</f>
        <v>3.6</v>
      </c>
    </row>
    <row r="171" spans="1:7">
      <c r="A171">
        <f>怪しいデータを手直し!F534</f>
        <v>173</v>
      </c>
      <c r="B171">
        <f>怪しいデータを手直し!C534</f>
        <v>20.557772508087009</v>
      </c>
      <c r="C171">
        <f>怪しいデータを手直し!D534</f>
        <v>33.493865215873384</v>
      </c>
      <c r="D171" t="str">
        <f>怪しいデータを手直し!G534</f>
        <v>bp</v>
      </c>
      <c r="E171">
        <f>怪しいデータを手直し!T534</f>
        <v>7.5121133139374603</v>
      </c>
      <c r="F171">
        <f>IF(怪しいデータを手直し!U534="dead",0,怪しいデータを手直し!U534)</f>
        <v>7.6712682570293556</v>
      </c>
      <c r="G171">
        <f>怪しいデータを手直し!L534</f>
        <v>7.7</v>
      </c>
    </row>
    <row r="172" spans="1:7">
      <c r="A172">
        <f>怪しいデータを手直し!F346</f>
        <v>174</v>
      </c>
      <c r="B172">
        <f>怪しいデータを手直し!C346</f>
        <v>20.869370276898547</v>
      </c>
      <c r="C172">
        <f>怪しいデータを手直し!D346</f>
        <v>33.306219653914141</v>
      </c>
      <c r="D172" t="str">
        <f>怪しいデータを手直し!G346</f>
        <v>bp</v>
      </c>
      <c r="E172">
        <f>怪しいデータを手直し!T346</f>
        <v>3.1194368846011491</v>
      </c>
      <c r="F172">
        <f>IF(怪しいデータを手直し!U346="dead",0,怪しいデータを手直し!U346)</f>
        <v>3.9470425886790048</v>
      </c>
      <c r="G172">
        <f>怪しいデータを手直し!L346</f>
        <v>4.5999999999999996</v>
      </c>
    </row>
    <row r="173" spans="1:7">
      <c r="A173">
        <f>怪しいデータを手直し!F148</f>
        <v>175</v>
      </c>
      <c r="B173">
        <f>怪しいデータを手直し!C148</f>
        <v>20.548209621882769</v>
      </c>
      <c r="C173">
        <f>怪しいデータを手直し!D148</f>
        <v>33.73393534900292</v>
      </c>
      <c r="D173" t="str">
        <f>怪しいデータを手直し!G148</f>
        <v>bp</v>
      </c>
      <c r="E173">
        <f>怪しいデータを手直し!T148</f>
        <v>1.27</v>
      </c>
      <c r="F173">
        <f>IF(怪しいデータを手直し!U148="dead",0,怪しいデータを手直し!U148)</f>
        <v>2.0053522829578814</v>
      </c>
      <c r="G173">
        <f>怪しいデータを手直し!L148</f>
        <v>2.8</v>
      </c>
    </row>
    <row r="174" spans="1:7">
      <c r="A174">
        <f>怪しいデータを手直し!F575</f>
        <v>176</v>
      </c>
      <c r="B174">
        <f>怪しいデータを手直し!C575</f>
        <v>20.652257610790159</v>
      </c>
      <c r="C174">
        <f>怪しいデータを手直し!D575</f>
        <v>33.794183372901976</v>
      </c>
      <c r="D174" t="str">
        <f>怪しいデータを手直し!G575</f>
        <v>bp</v>
      </c>
      <c r="E174">
        <f>怪しいデータを手直し!T575</f>
        <v>10.440564266828334</v>
      </c>
      <c r="F174">
        <f>IF(怪しいデータを手直し!U575="dead",0,怪しいデータを手直し!U575)</f>
        <v>11.23633898228781</v>
      </c>
      <c r="G174">
        <f>怪しいデータを手直し!L575</f>
        <v>9.9</v>
      </c>
    </row>
    <row r="175" spans="1:7">
      <c r="A175">
        <f>怪しいデータを手直し!F493</f>
        <v>177</v>
      </c>
      <c r="B175">
        <f>怪しいデータを手直し!C493</f>
        <v>20.851731153255873</v>
      </c>
      <c r="C175">
        <f>怪しいデータを手直し!D493</f>
        <v>33.616571920780075</v>
      </c>
      <c r="D175" t="str">
        <f>怪しいデータを手直し!G493</f>
        <v>bp</v>
      </c>
      <c r="E175">
        <f>怪しいデータを手直し!T493</f>
        <v>6.1115498147287806</v>
      </c>
      <c r="F175">
        <f>IF(怪しいデータを手直し!U493="dead",0,怪しいデータを手直し!U493)</f>
        <v>6.8754935415698792</v>
      </c>
      <c r="G175">
        <f>怪しいデータを手直し!L493</f>
        <v>5.6</v>
      </c>
    </row>
    <row r="176" spans="1:7">
      <c r="A176">
        <f>怪しいデータを手直し!F535</f>
        <v>178</v>
      </c>
      <c r="B176">
        <f>怪しいデータを手直し!C535</f>
        <v>21.000976199357556</v>
      </c>
      <c r="C176">
        <f>怪しいデータを手直し!D535</f>
        <v>33.607899668472051</v>
      </c>
      <c r="D176" t="str">
        <f>怪しいデータを手直し!G535</f>
        <v>bp</v>
      </c>
      <c r="E176">
        <f>怪しいデータを手直し!T535</f>
        <v>7.6712682570293556</v>
      </c>
      <c r="F176">
        <f>IF(怪しいデータを手直し!U535="dead",0,怪しいデータを手直し!U535)</f>
        <v>8.1169020976866619</v>
      </c>
      <c r="G176">
        <f>怪しいデータを手直し!L535</f>
        <v>9.1999999999999993</v>
      </c>
    </row>
    <row r="177" spans="1:7">
      <c r="A177">
        <f>怪しいデータを手直し!F582</f>
        <v>179</v>
      </c>
      <c r="B177">
        <f>怪しいデータを手直し!C582</f>
        <v>20.978472868674029</v>
      </c>
      <c r="C177">
        <f>怪しいデータを手直し!D582</f>
        <v>33.95872605775331</v>
      </c>
      <c r="D177" t="str">
        <f>怪しいデータを手直し!G582</f>
        <v>bp</v>
      </c>
      <c r="E177">
        <f>怪しいデータを手直し!T582</f>
        <v>10.663381187156988</v>
      </c>
      <c r="F177">
        <f>IF(怪しいデータを手直し!U582="dead",0,怪しいデータを手直し!U582)</f>
        <v>0</v>
      </c>
      <c r="G177">
        <f>怪しいデータを手直し!L582</f>
        <v>6.8</v>
      </c>
    </row>
    <row r="178" spans="1:7">
      <c r="A178">
        <f>怪しいデータを手直し!F210</f>
        <v>180</v>
      </c>
      <c r="B178">
        <f>怪しいデータを手直し!C210</f>
        <v>20.605733397222572</v>
      </c>
      <c r="C178">
        <f>怪しいデータを手直し!D210</f>
        <v>34.513335525887406</v>
      </c>
      <c r="D178" t="str">
        <f>怪しいデータを手直し!G210</f>
        <v>bp</v>
      </c>
      <c r="E178">
        <f>怪しいデータを手直し!T210</f>
        <v>1.69</v>
      </c>
      <c r="F178">
        <f>IF(怪しいデータを手直し!U210="dead",0,怪しいデータを手直し!U210)</f>
        <v>2.1326762374313977</v>
      </c>
      <c r="G178">
        <f>怪しいデータを手直し!L210</f>
        <v>2.7</v>
      </c>
    </row>
    <row r="179" spans="1:7">
      <c r="A179">
        <f>怪しいデータを手直し!F419</f>
        <v>181</v>
      </c>
      <c r="B179">
        <f>怪しいデータを手直し!C419</f>
        <v>21.776802246029185</v>
      </c>
      <c r="C179">
        <f>怪しいデータを手直し!D419</f>
        <v>38.060960604189376</v>
      </c>
      <c r="D179" t="str">
        <f>怪しいデータを手直し!G419</f>
        <v>lc</v>
      </c>
      <c r="E179">
        <f>怪しいデータを手直し!T419</f>
        <v>4.2335214862444159</v>
      </c>
      <c r="F179">
        <f>IF(怪しいデータを手直し!U419="dead",0,怪しいデータを手直し!U419)</f>
        <v>0</v>
      </c>
      <c r="G179">
        <f>怪しいデータを手直し!L419</f>
        <v>4.3</v>
      </c>
    </row>
    <row r="180" spans="1:7">
      <c r="A180">
        <f>怪しいデータを手直し!F434</f>
        <v>182</v>
      </c>
      <c r="B180">
        <f>怪しいデータを手直し!C434</f>
        <v>21.331866296913631</v>
      </c>
      <c r="C180">
        <f>怪しいデータを手直し!D434</f>
        <v>38.494599001214105</v>
      </c>
      <c r="D180" t="str">
        <f>怪しいデータを手直し!G434</f>
        <v>lc</v>
      </c>
      <c r="E180">
        <f>怪しいデータを手直し!T434</f>
        <v>4.6473243382833438</v>
      </c>
      <c r="F180">
        <f>IF(怪しいデータを手直し!U434="dead",0,怪しいデータを手直し!U434)</f>
        <v>5.856901905781748</v>
      </c>
      <c r="G180">
        <f>怪しいデータを手直し!L434</f>
        <v>5.2</v>
      </c>
    </row>
    <row r="181" spans="1:7">
      <c r="A181">
        <f>怪しいデータを手直し!F390</f>
        <v>183</v>
      </c>
      <c r="B181">
        <f>怪しいデータを手直し!C390</f>
        <v>22.110566473137055</v>
      </c>
      <c r="C181">
        <f>怪しいデータを手直し!D390</f>
        <v>42.311365216159018</v>
      </c>
      <c r="D181" t="str">
        <f>怪しいデータを手直し!G390</f>
        <v>lc</v>
      </c>
      <c r="E181">
        <f>怪しいデータを手直し!T390</f>
        <v>3.7560566569687301</v>
      </c>
      <c r="F181">
        <f>IF(怪しいデータを手直し!U390="dead",0,怪しいデータを手直し!U390)</f>
        <v>0</v>
      </c>
      <c r="G181">
        <f>怪しいデータを手直し!L390</f>
        <v>4.2</v>
      </c>
    </row>
    <row r="182" spans="1:7">
      <c r="A182">
        <f>怪しいデータを手直し!F362</f>
        <v>184</v>
      </c>
      <c r="B182">
        <f>怪しいデータを手直し!C362</f>
        <v>23.615371315622383</v>
      </c>
      <c r="C182">
        <f>怪しいデータを手直し!D362</f>
        <v>41.380576057366952</v>
      </c>
      <c r="D182" t="str">
        <f>怪しいデータを手直し!G362</f>
        <v>lc</v>
      </c>
      <c r="E182">
        <f>怪しいデータを手直し!T362</f>
        <v>3.3104228163114233</v>
      </c>
      <c r="F182">
        <f>IF(怪しいデータを手直し!U362="dead",0,怪しいデータを手直し!U362)</f>
        <v>4.6154933496649653</v>
      </c>
      <c r="G182">
        <f>怪しいデータを手直し!L362</f>
        <v>4</v>
      </c>
    </row>
    <row r="183" spans="1:7">
      <c r="A183">
        <f>怪しいデータを手直し!F394</f>
        <v>185</v>
      </c>
      <c r="B183">
        <f>怪しいデータを手直し!C394</f>
        <v>27.401715058725056</v>
      </c>
      <c r="C183">
        <f>怪しいデータを手直し!D394</f>
        <v>42.122407639790886</v>
      </c>
      <c r="D183" t="str">
        <f>怪しいデータを手直し!G394</f>
        <v>lc</v>
      </c>
      <c r="E183">
        <f>怪しいデータを手直し!T394</f>
        <v>3.7878876455871091</v>
      </c>
      <c r="F183">
        <f>IF(怪しいデータを手直し!U394="dead",0,怪しいデータを手直し!U394)</f>
        <v>0</v>
      </c>
      <c r="G183">
        <f>怪しいデータを手直し!L394</f>
        <v>4.4000000000000004</v>
      </c>
    </row>
    <row r="184" spans="1:7">
      <c r="A184">
        <f>怪しいデータを手直し!F431</f>
        <v>186</v>
      </c>
      <c r="B184">
        <f>怪しいデータを手直し!C431</f>
        <v>26.088068052261637</v>
      </c>
      <c r="C184">
        <f>怪しいデータを手直し!D431</f>
        <v>46.326438760553302</v>
      </c>
      <c r="D184" t="str">
        <f>怪しいデータを手直し!G431</f>
        <v>bp</v>
      </c>
      <c r="E184">
        <f>怪しいデータを手直し!T431</f>
        <v>4.5518313724282073</v>
      </c>
      <c r="F184">
        <f>IF(怪しいデータを手直し!U431="dead",0,怪しいデータを手直し!U431)</f>
        <v>4.8383102699936185</v>
      </c>
      <c r="G184">
        <f>怪しいデータを手直し!L431</f>
        <v>5</v>
      </c>
    </row>
    <row r="185" spans="1:7">
      <c r="A185">
        <f>怪しいデータを手直し!F503</f>
        <v>187</v>
      </c>
      <c r="B185">
        <f>怪しいデータを手直し!C503</f>
        <v>26.363027006017866</v>
      </c>
      <c r="C185">
        <f>怪しいデータを手直し!D503</f>
        <v>46.658527413827123</v>
      </c>
      <c r="D185" t="str">
        <f>怪しいデータを手直し!G503</f>
        <v>bp</v>
      </c>
      <c r="E185">
        <f>怪しいデータを手直し!T503</f>
        <v>6.4616906895309514</v>
      </c>
      <c r="F185">
        <f>IF(怪しいデータを手直し!U503="dead",0,怪しいデータを手直し!U503)</f>
        <v>7.0028174960433951</v>
      </c>
      <c r="G185">
        <f>怪しいデータを手直し!L503</f>
        <v>6.6</v>
      </c>
    </row>
    <row r="186" spans="1:7">
      <c r="A186">
        <f>怪しいデータを手直し!F481</f>
        <v>188</v>
      </c>
      <c r="B186">
        <f>怪しいデータを手直し!C481</f>
        <v>26.109179631508535</v>
      </c>
      <c r="C186">
        <f>怪しいデータを手直し!D481</f>
        <v>46.690405386070509</v>
      </c>
      <c r="D186" t="str">
        <f>怪しいデータを手直し!G481</f>
        <v>bp</v>
      </c>
      <c r="E186">
        <f>怪しいデータを手直し!T481</f>
        <v>5.7295779513082321</v>
      </c>
      <c r="F186">
        <f>IF(怪しいデータを手直し!U481="dead",0,怪しいデータを手直し!U481)</f>
        <v>6.0478878374920226</v>
      </c>
      <c r="G186">
        <f>怪しいデータを手直し!L481</f>
        <v>6.7</v>
      </c>
    </row>
    <row r="187" spans="1:7">
      <c r="A187">
        <f>怪しいデータを手直し!F399</f>
        <v>189</v>
      </c>
      <c r="B187">
        <f>怪しいデータを手直し!C399</f>
        <v>26.356224715782488</v>
      </c>
      <c r="C187">
        <f>怪しいデータを手直し!D399</f>
        <v>46.816216499090665</v>
      </c>
      <c r="D187" t="str">
        <f>怪しいデータを手直し!G399</f>
        <v>bp</v>
      </c>
      <c r="E187">
        <f>怪しいデータを手直し!T399</f>
        <v>3.9152116000606259</v>
      </c>
      <c r="F187">
        <f>IF(怪しいデータを手直し!U399="dead",0,怪しいデータを手直し!U399)</f>
        <v>4.0107045659157627</v>
      </c>
      <c r="G187">
        <f>怪しいデータを手直し!L399</f>
        <v>4.5999999999999996</v>
      </c>
    </row>
    <row r="188" spans="1:7">
      <c r="A188">
        <f>怪しいデータを手直し!F156</f>
        <v>190</v>
      </c>
      <c r="B188">
        <f>怪しいデータを手直し!C156</f>
        <v>25.933414994968828</v>
      </c>
      <c r="C188">
        <f>怪しいデータを手直し!D156</f>
        <v>46.753864560196561</v>
      </c>
      <c r="D188" t="str">
        <f>怪しいデータを手直し!G156</f>
        <v>bp</v>
      </c>
      <c r="E188">
        <f>怪しいデータを手直し!T156</f>
        <v>1.31</v>
      </c>
      <c r="F188">
        <f>IF(怪しいデータを手直し!U156="dead",0,怪しいデータを手直し!U156)</f>
        <v>1.4300000000000002</v>
      </c>
      <c r="G188">
        <f>怪しいデータを手直し!L156</f>
        <v>1.8</v>
      </c>
    </row>
    <row r="189" spans="1:7">
      <c r="A189">
        <f>怪しいデータを手直し!F579</f>
        <v>191</v>
      </c>
      <c r="B189">
        <f>怪しいデータを手直し!C579</f>
        <v>26.645579839866279</v>
      </c>
      <c r="C189">
        <f>怪しいデータを手直し!D579</f>
        <v>47.052118021698369</v>
      </c>
      <c r="D189" t="str">
        <f>怪しいデータを手直し!G579</f>
        <v>bp</v>
      </c>
      <c r="E189">
        <f>怪しいデータを手直し!T579</f>
        <v>10.567888221301851</v>
      </c>
      <c r="F189">
        <f>IF(怪しいデータを手直し!U579="dead",0,怪しいデータを手直し!U579)</f>
        <v>10.758874153012124</v>
      </c>
      <c r="G189">
        <f>怪しいデータを手直し!L579</f>
        <v>9.5</v>
      </c>
    </row>
    <row r="190" spans="1:7">
      <c r="A190">
        <f>怪しいデータを手直し!F376</f>
        <v>192</v>
      </c>
      <c r="B190">
        <f>怪しいデータを手直し!C376</f>
        <v>26.924600108357865</v>
      </c>
      <c r="C190">
        <f>怪しいデータを手直し!D376</f>
        <v>46.948813808077624</v>
      </c>
      <c r="D190" t="str">
        <f>怪しいデータを手直し!G376</f>
        <v>bp</v>
      </c>
      <c r="E190">
        <f>怪しいデータを手直し!T376</f>
        <v>3.4695777594033186</v>
      </c>
      <c r="F190">
        <f>IF(怪しいデータを手直し!U376="dead",0,怪しいデータを手直し!U376)</f>
        <v>0</v>
      </c>
      <c r="G190">
        <f>怪しいデータを手直し!L376</f>
        <v>3.5</v>
      </c>
    </row>
    <row r="191" spans="1:7">
      <c r="A191">
        <f>怪しいデータを手直し!F443</f>
        <v>193</v>
      </c>
      <c r="B191">
        <f>怪しいデータを手直し!C443</f>
        <v>26.58482899694452</v>
      </c>
      <c r="C191">
        <f>怪しいデータを手直し!D443</f>
        <v>47.338911845839178</v>
      </c>
      <c r="D191" t="str">
        <f>怪しいデータを手直し!G443</f>
        <v>bp</v>
      </c>
      <c r="E191">
        <f>怪しいデータを手直し!T443</f>
        <v>4.8701412586119979</v>
      </c>
      <c r="F191">
        <f>IF(怪しいデータを手直し!U443="dead",0,怪しいデータを手直し!U443)</f>
        <v>4.3926764293363121</v>
      </c>
      <c r="G191">
        <f>怪しいデータを手直し!L443</f>
        <v>4.4000000000000004</v>
      </c>
    </row>
    <row r="192" spans="1:7">
      <c r="A192">
        <f>怪しいデータを手直し!F166</f>
        <v>194</v>
      </c>
      <c r="B192">
        <f>怪しいデータを手直し!C166</f>
        <v>26.382700868550014</v>
      </c>
      <c r="C192">
        <f>怪しいデータを手直し!D166</f>
        <v>47.29090046719957</v>
      </c>
      <c r="D192" t="str">
        <f>怪しいデータを手直し!G166</f>
        <v>bp</v>
      </c>
      <c r="E192">
        <f>怪しいデータを手直し!T166</f>
        <v>1.35</v>
      </c>
      <c r="F192">
        <f>IF(怪しいデータを手直し!U166="dead",0,怪しいデータを手直し!U166)</f>
        <v>1.48</v>
      </c>
      <c r="G192">
        <f>怪しいデータを手直し!L166</f>
        <v>2.7</v>
      </c>
    </row>
    <row r="193" spans="1:7">
      <c r="A193">
        <f>怪しいデータを手直し!F610</f>
        <v>195</v>
      </c>
      <c r="B193">
        <f>怪しいデータを手直し!C610</f>
        <v>26.125615719030783</v>
      </c>
      <c r="C193">
        <f>怪しいデータを手直し!D610</f>
        <v>47.274402522734292</v>
      </c>
      <c r="D193" t="str">
        <f>怪しいデータを手直し!G610</f>
        <v>bp</v>
      </c>
      <c r="E193">
        <f>怪しいデータを手直し!T610</f>
        <v>12.541409515641352</v>
      </c>
      <c r="F193">
        <f>IF(怪しいデータを手直し!U610="dead",0,怪しいデータを手直し!U610)</f>
        <v>12.159437652220806</v>
      </c>
      <c r="G193">
        <f>怪しいデータを手直し!L610</f>
        <v>9.6999999999999993</v>
      </c>
    </row>
    <row r="194" spans="1:7">
      <c r="A194">
        <f>怪しいデータを手直し!F289</f>
        <v>196</v>
      </c>
      <c r="B194">
        <f>怪しいデータを手直し!C289</f>
        <v>26.402940262221591</v>
      </c>
      <c r="C194">
        <f>怪しいデータを手直し!D289</f>
        <v>47.576856604055649</v>
      </c>
      <c r="D194" t="str">
        <f>怪しいデータを手直し!G289</f>
        <v>bp</v>
      </c>
      <c r="E194">
        <f>怪しいデータを手直し!T289</f>
        <v>2.38</v>
      </c>
      <c r="F194">
        <f>IF(怪しいデータを手直し!U289="dead",0,怪しいデータを手直し!U289)</f>
        <v>0</v>
      </c>
      <c r="G194">
        <f>怪しいデータを手直し!L289</f>
        <v>3.2</v>
      </c>
    </row>
    <row r="195" spans="1:7">
      <c r="A195">
        <f>怪しいデータを手直し!F556</f>
        <v>197</v>
      </c>
      <c r="B195">
        <f>怪しいデータを手直し!C556</f>
        <v>25.842201321935772</v>
      </c>
      <c r="C195">
        <f>怪しいデータを手直し!D556</f>
        <v>46.937837106330178</v>
      </c>
      <c r="D195" t="str">
        <f>怪しいデータを手直し!G556</f>
        <v>bp</v>
      </c>
      <c r="E195">
        <f>怪しいデータを手直し!T556</f>
        <v>9.0400007676196541</v>
      </c>
      <c r="F195">
        <f>IF(怪しいデータを手直し!U556="dead",0,怪しいデータを手直し!U556)</f>
        <v>9.0081697790012765</v>
      </c>
      <c r="G195">
        <f>怪しいデータを手直し!L556</f>
        <v>10.8</v>
      </c>
    </row>
    <row r="196" spans="1:7">
      <c r="A196">
        <f>怪しいデータを手直し!F330</f>
        <v>198</v>
      </c>
      <c r="B196">
        <f>怪しいデータを手直し!C330</f>
        <v>25.791475915445979</v>
      </c>
      <c r="C196">
        <f>怪しいデータを手直し!D330</f>
        <v>46.638893486177437</v>
      </c>
      <c r="D196" t="str">
        <f>怪しいデータを手直し!G330</f>
        <v>bp</v>
      </c>
      <c r="E196">
        <f>怪しいデータを手直し!T330</f>
        <v>2.928450952890874</v>
      </c>
      <c r="F196">
        <f>IF(怪しいデータを手直し!U330="dead",0,怪しいデータを手直し!U330)</f>
        <v>0</v>
      </c>
      <c r="G196">
        <f>怪しいデータを手直し!L330</f>
        <v>2.8</v>
      </c>
    </row>
    <row r="197" spans="1:7">
      <c r="A197">
        <f>怪しいデータを手直し!F490</f>
        <v>199</v>
      </c>
      <c r="B197">
        <f>怪しいデータを手直し!C490</f>
        <v>30.571213760692721</v>
      </c>
      <c r="C197">
        <f>怪しいデータを手直し!D490</f>
        <v>48.901788563302368</v>
      </c>
      <c r="D197" t="str">
        <f>怪しいデータを手直し!G490</f>
        <v>bp</v>
      </c>
      <c r="E197">
        <f>怪しいデータを手直し!T490</f>
        <v>5.9842258602552647</v>
      </c>
      <c r="F197">
        <f>IF(怪しいデータを手直し!U490="dead",0,怪しいデータを手直し!U490)</f>
        <v>5.9842258602552647</v>
      </c>
      <c r="G197">
        <f>怪しいデータを手直し!L490</f>
        <v>6.9</v>
      </c>
    </row>
    <row r="198" spans="1:7">
      <c r="A198">
        <f>怪しいデータを手直し!F613</f>
        <v>200</v>
      </c>
      <c r="B198">
        <f>怪しいデータを手直し!C613</f>
        <v>37.972624291761235</v>
      </c>
      <c r="C198">
        <f>怪しいデータを手直し!D613</f>
        <v>45.943877191462981</v>
      </c>
      <c r="D198" t="str">
        <f>怪しいデータを手直し!G613</f>
        <v>bp</v>
      </c>
      <c r="E198">
        <f>怪しいデータを手直し!T613</f>
        <v>12.636902481496492</v>
      </c>
      <c r="F198">
        <f>IF(怪しいデータを手直し!U613="dead",0,怪しいデータを手直し!U613)</f>
        <v>12.923381379061903</v>
      </c>
      <c r="G198">
        <f>怪しいデータを手直し!L613</f>
        <v>10.7</v>
      </c>
    </row>
    <row r="199" spans="1:7">
      <c r="A199">
        <f>怪しいデータを手直し!F125</f>
        <v>201</v>
      </c>
      <c r="B199">
        <f>怪しいデータを手直し!C125</f>
        <v>37.586645506147292</v>
      </c>
      <c r="C199">
        <f>怪しいデータを手直し!D125</f>
        <v>46.055567672903109</v>
      </c>
      <c r="D199" t="str">
        <f>怪しいデータを手直し!G125</f>
        <v>bp</v>
      </c>
      <c r="E199">
        <f>怪しいデータを手直し!T125</f>
        <v>1.0900000000000001</v>
      </c>
      <c r="F199">
        <f>IF(怪しいデータを手直し!U125="dead",0,怪しいデータを手直し!U125)</f>
        <v>1.17</v>
      </c>
      <c r="G199">
        <f>怪しいデータを手直し!L125</f>
        <v>1.9</v>
      </c>
    </row>
    <row r="200" spans="1:7">
      <c r="A200">
        <f>怪しいデータを手直し!F655</f>
        <v>202</v>
      </c>
      <c r="B200">
        <f>怪しいデータを手直し!C655</f>
        <v>37.478923043387454</v>
      </c>
      <c r="C200">
        <f>怪しいデータを手直し!D655</f>
        <v>45.780601114359932</v>
      </c>
      <c r="D200" t="str">
        <f>怪しいデータを手直し!G655</f>
        <v>bp</v>
      </c>
      <c r="E200">
        <f>怪しいデータを手直し!T655</f>
        <v>18.366480432804725</v>
      </c>
      <c r="F200">
        <f>IF(怪しいデータを手直し!U655="dead",0,怪しいデータを手直し!U655)</f>
        <v>0</v>
      </c>
      <c r="G200">
        <f>怪しいデータを手直し!L655</f>
        <v>5.9</v>
      </c>
    </row>
    <row r="201" spans="1:7">
      <c r="A201">
        <f>怪しいデータを手直し!F617</f>
        <v>203</v>
      </c>
      <c r="B201">
        <f>怪しいデータを手直し!C617</f>
        <v>37.195101814616379</v>
      </c>
      <c r="C201">
        <f>怪しいデータを手直し!D617</f>
        <v>45.587027258299045</v>
      </c>
      <c r="D201" t="str">
        <f>怪しいデータを手直し!G617</f>
        <v>bp</v>
      </c>
      <c r="E201">
        <f>怪しいデータを手直し!T617</f>
        <v>12.859719401825144</v>
      </c>
      <c r="F201">
        <f>IF(怪しいデータを手直し!U617="dead",0,怪しいデータを手直し!U617)</f>
        <v>13.432677196955968</v>
      </c>
      <c r="G201">
        <f>怪しいデータを手直し!L617</f>
        <v>8.3000000000000007</v>
      </c>
    </row>
    <row r="202" spans="1:7">
      <c r="A202">
        <f>怪しいデータを手直し!F254</f>
        <v>204</v>
      </c>
      <c r="B202">
        <f>怪しいデータを手直し!C254</f>
        <v>34.511392259886222</v>
      </c>
      <c r="C202">
        <f>怪しいデータを手直し!D254</f>
        <v>39.264884580685361</v>
      </c>
      <c r="D202" t="str">
        <f>怪しいデータを手直し!G254</f>
        <v>lc</v>
      </c>
      <c r="E202">
        <f>怪しいデータを手直し!T254</f>
        <v>2.12</v>
      </c>
      <c r="F202">
        <f>IF(怪しいデータを手直し!U254="dead",0,怪しいデータを手直し!U254)</f>
        <v>3.5969017138768349</v>
      </c>
      <c r="G202">
        <f>怪しいデータを手直し!L254</f>
        <v>3.3</v>
      </c>
    </row>
    <row r="203" spans="1:7">
      <c r="A203">
        <f>怪しいデータを手直し!F291</f>
        <v>205</v>
      </c>
      <c r="B203">
        <f>怪しいデータを手直し!C291</f>
        <v>38.369831897088261</v>
      </c>
      <c r="C203">
        <f>怪しいデータを手直し!D291</f>
        <v>35.037619958440359</v>
      </c>
      <c r="D203" t="str">
        <f>怪しいデータを手直し!G291</f>
        <v>lc</v>
      </c>
      <c r="E203">
        <f>怪しいデータを手直し!T291</f>
        <v>2.41</v>
      </c>
      <c r="F203">
        <f>IF(怪しいデータを手直し!U291="dead",0,怪しいデータを手直し!U291)</f>
        <v>3.7560566569687301</v>
      </c>
      <c r="G203">
        <f>怪しいデータを手直し!L291</f>
        <v>2.8</v>
      </c>
    </row>
    <row r="204" spans="1:7">
      <c r="A204">
        <f>怪しいデータを手直し!F233</f>
        <v>206</v>
      </c>
      <c r="B204">
        <f>怪しいデータを手直し!C233</f>
        <v>39.177377799053929</v>
      </c>
      <c r="C204">
        <f>怪しいデータを手直し!D233</f>
        <v>30.783382434720195</v>
      </c>
      <c r="D204" t="str">
        <f>怪しいデータを手直し!G233</f>
        <v>lc</v>
      </c>
      <c r="E204">
        <f>怪しいデータを手直し!T233</f>
        <v>1.89</v>
      </c>
      <c r="F204">
        <f>IF(怪しいデータを手直し!U233="dead",0,怪しいデータを手直し!U233)</f>
        <v>0</v>
      </c>
      <c r="G204">
        <f>怪しいデータを手直し!L233</f>
        <v>2.9</v>
      </c>
    </row>
    <row r="205" spans="1:7">
      <c r="A205">
        <f>怪しいデータを手直し!F491</f>
        <v>207</v>
      </c>
      <c r="B205">
        <f>怪しいデータを手直し!C491</f>
        <v>30.124602273945477</v>
      </c>
      <c r="C205">
        <f>怪しいデータを手直し!D491</f>
        <v>24.75836886688365</v>
      </c>
      <c r="D205" t="str">
        <f>怪しいデータを手直し!G491</f>
        <v>lc</v>
      </c>
      <c r="E205">
        <f>怪しいデータを手直し!T491</f>
        <v>6.0160568488736432</v>
      </c>
      <c r="F205">
        <f>IF(怪しいデータを手直し!U491="dead",0,怪しいデータを手直し!U491)</f>
        <v>0</v>
      </c>
      <c r="G205">
        <f>怪しいデータを手直し!L491</f>
        <v>6.3</v>
      </c>
    </row>
    <row r="206" spans="1:7">
      <c r="A206">
        <f>怪しいデータを手直し!F598</f>
        <v>208</v>
      </c>
      <c r="B206">
        <f>怪しいデータを手直し!C598</f>
        <v>35.139414580817089</v>
      </c>
      <c r="C206">
        <f>怪しいデータを手直し!D598</f>
        <v>25.434778538862901</v>
      </c>
      <c r="D206" t="str">
        <f>怪しいデータを手直し!G598</f>
        <v>lc</v>
      </c>
      <c r="E206">
        <f>怪しいデータを手直し!T598</f>
        <v>11.777465788800255</v>
      </c>
      <c r="F206">
        <f>IF(怪しいデータを手直し!U598="dead",0,怪しいデータを手直し!U598)</f>
        <v>0</v>
      </c>
      <c r="G206">
        <f>怪しいデータを手直し!L598</f>
        <v>4.3</v>
      </c>
    </row>
    <row r="207" spans="1:7">
      <c r="A207">
        <f>怪しいデータを手直し!F170</f>
        <v>209</v>
      </c>
      <c r="B207">
        <f>怪しいデータを手直し!C170</f>
        <v>33.939110065365163</v>
      </c>
      <c r="C207">
        <f>怪しいデータを手直し!D170</f>
        <v>24.008467524246502</v>
      </c>
      <c r="D207" t="str">
        <f>怪しいデータを手直し!G170</f>
        <v>pt</v>
      </c>
      <c r="E207">
        <f>怪しいデータを手直し!T170</f>
        <v>1.36</v>
      </c>
      <c r="F207">
        <f>IF(怪しいデータを手直し!U170="dead",0,怪しいデータを手直し!U170)</f>
        <v>2.1399999999999997</v>
      </c>
      <c r="G207">
        <f>怪しいデータを手直し!L170</f>
        <v>2.7</v>
      </c>
    </row>
    <row r="208" spans="1:7">
      <c r="A208">
        <f>怪しいデータを手直し!F30</f>
        <v>210</v>
      </c>
      <c r="B208">
        <f>怪しいデータを手直し!C30</f>
        <v>34.094149764448233</v>
      </c>
      <c r="C208">
        <f>怪しいデータを手直し!D30</f>
        <v>24.037380054722185</v>
      </c>
      <c r="D208" t="str">
        <f>怪しいデータを手直し!G30</f>
        <v>pt</v>
      </c>
      <c r="E208">
        <f>怪しいデータを手直し!T30</f>
        <v>0.46</v>
      </c>
      <c r="F208">
        <f>IF(怪しいデータを手直し!U30="dead",0,怪しいデータを手直し!U30)</f>
        <v>0</v>
      </c>
      <c r="G208">
        <f>怪しいデータを手直し!L30</f>
        <v>1.8</v>
      </c>
    </row>
    <row r="209" spans="1:7">
      <c r="A209">
        <f>怪しいデータを手直し!F167</f>
        <v>211</v>
      </c>
      <c r="B209">
        <f>怪しいデータを手直し!C167</f>
        <v>35.208951740241446</v>
      </c>
      <c r="C209">
        <f>怪しいデータを手直し!D167</f>
        <v>23.344087583756682</v>
      </c>
      <c r="D209" t="str">
        <f>怪しいデータを手直し!G167</f>
        <v>bp</v>
      </c>
      <c r="E209">
        <f>怪しいデータを手直し!T167</f>
        <v>1.35</v>
      </c>
      <c r="F209">
        <f>IF(怪しいデータを手直し!U167="dead",0,怪しいデータを手直し!U167)</f>
        <v>2.3873241463784303</v>
      </c>
      <c r="G209">
        <f>怪しいデータを手直し!L167</f>
        <v>2.6</v>
      </c>
    </row>
    <row r="210" spans="1:7">
      <c r="A210">
        <f>怪しいデータを手直し!F510</f>
        <v>212</v>
      </c>
      <c r="B210">
        <f>怪しいデータを手直し!C510</f>
        <v>35.189947767486714</v>
      </c>
      <c r="C210">
        <f>怪しいデータを手直し!D510</f>
        <v>23.205377071540834</v>
      </c>
      <c r="D210" t="str">
        <f>怪しいデータを手直し!G510</f>
        <v>bp</v>
      </c>
      <c r="E210">
        <f>怪しいデータを手直し!T510</f>
        <v>6.7800005757147419</v>
      </c>
      <c r="F210">
        <f>IF(怪しいデータを手直し!U510="dead",0,怪しいデータを手直し!U510)</f>
        <v>7.7030992456477341</v>
      </c>
      <c r="G210">
        <f>怪しいデータを手直し!L510</f>
        <v>6</v>
      </c>
    </row>
    <row r="211" spans="1:7">
      <c r="A211">
        <f>怪しいデータを手直し!F440</f>
        <v>213</v>
      </c>
      <c r="B211">
        <f>怪しいデータを手直し!C440</f>
        <v>37.160972634049095</v>
      </c>
      <c r="C211">
        <f>怪しいデータを手直し!D440</f>
        <v>18.582089236094202</v>
      </c>
      <c r="D211" t="str">
        <f>怪しいデータを手直し!G440</f>
        <v>lc</v>
      </c>
      <c r="E211">
        <f>怪しいデータを手直し!T440</f>
        <v>4.7109863155201026</v>
      </c>
      <c r="F211">
        <f>IF(怪しいデータを手直し!U440="dead",0,怪しいデータを手直し!U440)</f>
        <v>5.79323992854499</v>
      </c>
      <c r="G211">
        <f>怪しいデータを手直し!L440</f>
        <v>5.0999999999999996</v>
      </c>
    </row>
    <row r="212" spans="1:7">
      <c r="A212">
        <f>怪しいデータを手直し!F252</f>
        <v>214</v>
      </c>
      <c r="B212">
        <f>怪しいデータを手直し!C252</f>
        <v>37.037694491441883</v>
      </c>
      <c r="C212">
        <f>怪しいデータを手直し!D252</f>
        <v>18.258346692039844</v>
      </c>
      <c r="D212" t="str">
        <f>怪しいデータを手直し!G252</f>
        <v>lc</v>
      </c>
      <c r="E212">
        <f>怪しいデータを手直し!T252</f>
        <v>2.1</v>
      </c>
      <c r="F212">
        <f>IF(怪しいデータを手直し!U252="dead",0,怪しいデータを手直し!U252)</f>
        <v>3.0239439187460113</v>
      </c>
      <c r="G212">
        <f>怪しいデータを手直し!L252</f>
        <v>2.5</v>
      </c>
    </row>
    <row r="213" spans="1:7">
      <c r="A213">
        <f>怪しいデータを手直し!F277</f>
        <v>215</v>
      </c>
      <c r="B213">
        <f>怪しいデータを手直し!C277</f>
        <v>36.716514801527289</v>
      </c>
      <c r="C213">
        <f>怪しいデータを手直し!D277</f>
        <v>18.175163316659585</v>
      </c>
      <c r="D213" t="str">
        <f>怪しいデータを手直し!G277</f>
        <v>lc</v>
      </c>
      <c r="E213">
        <f>怪しいデータを手直し!T277</f>
        <v>2.2999999999999998</v>
      </c>
      <c r="F213">
        <f>IF(怪しいデータを手直し!U277="dead",0,怪しいデータを手直し!U277)</f>
        <v>2.896619964272495</v>
      </c>
      <c r="G213">
        <f>怪しいデータを手直し!L277</f>
        <v>3</v>
      </c>
    </row>
    <row r="214" spans="1:7">
      <c r="A214">
        <f>怪しいデータを手直し!F238</f>
        <v>216</v>
      </c>
      <c r="B214">
        <f>怪しいデータを手直し!C238</f>
        <v>36.223984999037157</v>
      </c>
      <c r="C214">
        <f>怪しいデータを手直し!D238</f>
        <v>18.902543517144998</v>
      </c>
      <c r="D214" t="str">
        <f>怪しいデータを手直し!G238</f>
        <v>lc</v>
      </c>
      <c r="E214">
        <f>怪しいデータを手直し!T238</f>
        <v>1.97</v>
      </c>
      <c r="F214">
        <f>IF(怪しいデータを手直し!U238="dead",0,怪しいデータを手直し!U238)</f>
        <v>2.896619964272495</v>
      </c>
      <c r="G214">
        <f>怪しいデータを手直し!L238</f>
        <v>2.8</v>
      </c>
    </row>
    <row r="215" spans="1:7">
      <c r="A215">
        <f>怪しいデータを手直し!F371</f>
        <v>217</v>
      </c>
      <c r="B215">
        <f>怪しいデータを手直し!C371</f>
        <v>34.412191184356885</v>
      </c>
      <c r="C215">
        <f>怪しいデータを手直し!D371</f>
        <v>18.734824536799977</v>
      </c>
      <c r="D215" t="str">
        <f>怪しいデータを手直し!G371</f>
        <v>lc</v>
      </c>
      <c r="E215">
        <f>怪しいデータを手直し!T371</f>
        <v>3.4377467707849396</v>
      </c>
      <c r="F215">
        <f>IF(怪しいデータを手直し!U371="dead",0,怪しいデータを手直し!U371)</f>
        <v>0</v>
      </c>
      <c r="G215">
        <f>怪しいデータを手直し!L371</f>
        <v>2.7</v>
      </c>
    </row>
    <row r="216" spans="1:7">
      <c r="A216">
        <f>怪しいデータを手直し!F247</f>
        <v>218</v>
      </c>
      <c r="B216">
        <f>怪しいデータを手直し!C247</f>
        <v>32.1725155843124</v>
      </c>
      <c r="C216">
        <f>怪しいデータを手直し!D247</f>
        <v>17.931141368792993</v>
      </c>
      <c r="D216" t="str">
        <f>怪しいデータを手直し!G247</f>
        <v>bp</v>
      </c>
      <c r="E216">
        <f>怪しいデータを手直し!T247</f>
        <v>2.06</v>
      </c>
      <c r="F216">
        <f>IF(怪しいデータを手直し!U247="dead",0,怪しいデータを手直し!U247)</f>
        <v>2.15</v>
      </c>
      <c r="G216">
        <f>怪しいデータを手直し!L247</f>
        <v>2.4</v>
      </c>
    </row>
    <row r="217" spans="1:7">
      <c r="A217">
        <f>怪しいデータを手直し!F332</f>
        <v>219</v>
      </c>
      <c r="B217">
        <f>怪しいデータを手直し!C332</f>
        <v>32.324126605413987</v>
      </c>
      <c r="C217">
        <f>怪しいデータを手直し!D332</f>
        <v>17.643193787769803</v>
      </c>
      <c r="D217" t="str">
        <f>怪しいデータを手直し!G332</f>
        <v>bp</v>
      </c>
      <c r="E217">
        <f>怪しいデータを手直し!T332</f>
        <v>2.93</v>
      </c>
      <c r="F217">
        <f>IF(怪しいデータを手直し!U332="dead",0,怪しいデータを手直し!U332)</f>
        <v>3.1512678732195281</v>
      </c>
      <c r="G217">
        <f>怪しいデータを手直し!L332</f>
        <v>4.2</v>
      </c>
    </row>
    <row r="218" spans="1:7">
      <c r="A218">
        <f>怪しいデータを手直し!F469</f>
        <v>220</v>
      </c>
      <c r="B218">
        <f>怪しいデータを手直し!C469</f>
        <v>32.410464545492722</v>
      </c>
      <c r="C218">
        <f>怪しいデータを手直し!D469</f>
        <v>17.503890892824881</v>
      </c>
      <c r="D218" t="str">
        <f>怪しいデータを手直し!G469</f>
        <v>bp</v>
      </c>
      <c r="E218">
        <f>怪しいデータを手直し!T469</f>
        <v>5.5067610309795789</v>
      </c>
      <c r="F218">
        <f>IF(怪しいデータを手直し!U469="dead",0,怪しいデータを手直し!U469)</f>
        <v>5.9523948716368853</v>
      </c>
      <c r="G218">
        <f>怪しいデータを手直し!L469</f>
        <v>5.6</v>
      </c>
    </row>
    <row r="219" spans="1:7">
      <c r="A219">
        <f>怪しいデータを手直し!F557</f>
        <v>221</v>
      </c>
      <c r="B219">
        <f>怪しいデータを手直し!C557</f>
        <v>31.863786000705463</v>
      </c>
      <c r="C219">
        <f>怪しいデータを手直し!D557</f>
        <v>17.937307162087787</v>
      </c>
      <c r="D219" t="str">
        <f>怪しいデータを手直し!G557</f>
        <v>bp</v>
      </c>
      <c r="E219">
        <f>怪しいデータを手直し!T557</f>
        <v>9.1354937334747923</v>
      </c>
      <c r="F219">
        <f>IF(怪しいデータを手直し!U557="dead",0,怪しいデータを手直し!U557)</f>
        <v>7.9577471545947667</v>
      </c>
      <c r="G219">
        <f>怪しいデータを手直し!L557</f>
        <v>7.4</v>
      </c>
    </row>
    <row r="220" spans="1:7">
      <c r="A220">
        <f>怪しいデータを手直し!F537</f>
        <v>222</v>
      </c>
      <c r="B220">
        <f>怪しいデータを手直し!C537</f>
        <v>31.685505222718554</v>
      </c>
      <c r="C220">
        <f>怪しいデータを手直し!D537</f>
        <v>18.033487314002659</v>
      </c>
      <c r="D220" t="str">
        <f>怪しいデータを手直し!G537</f>
        <v>bp</v>
      </c>
      <c r="E220">
        <f>怪しいデータを手直し!T537</f>
        <v>7.766761222884492</v>
      </c>
      <c r="F220">
        <f>IF(怪しいデータを手直し!U537="dead",0,怪しいデータを手直し!U537)</f>
        <v>8.1805640749234207</v>
      </c>
      <c r="G220">
        <f>怪しいデータを手直し!L537</f>
        <v>7.2</v>
      </c>
    </row>
    <row r="221" spans="1:7">
      <c r="A221">
        <f>怪しいデータを手直し!F509</f>
        <v>223</v>
      </c>
      <c r="B221">
        <f>怪しいデータを手直し!C509</f>
        <v>31.641290490894413</v>
      </c>
      <c r="C221">
        <f>怪しいデータを手直し!D509</f>
        <v>17.868740859374537</v>
      </c>
      <c r="D221" t="str">
        <f>怪しいデータを手直し!G509</f>
        <v>bp</v>
      </c>
      <c r="E221">
        <f>怪しいデータを手直し!T509</f>
        <v>6.5890146440044672</v>
      </c>
      <c r="F221">
        <f>IF(怪しいデータを手直し!U509="dead",0,怪しいデータを手直し!U509)</f>
        <v>6.8436625529514998</v>
      </c>
      <c r="G221">
        <f>怪しいデータを手直し!L509</f>
        <v>5.8</v>
      </c>
    </row>
    <row r="222" spans="1:7">
      <c r="A222">
        <f>怪しいデータを手直し!F670</f>
        <v>224</v>
      </c>
      <c r="B222">
        <f>怪しいデータを手直し!C670</f>
        <v>31.896743692831674</v>
      </c>
      <c r="C222">
        <f>怪しいデータを手直し!D670</f>
        <v>17.510168004924175</v>
      </c>
      <c r="D222" t="str">
        <f>怪しいデータを手直し!G670</f>
        <v>bp</v>
      </c>
      <c r="E222">
        <f>怪しいデータを手直し!T670</f>
        <v>21.899720169444798</v>
      </c>
      <c r="F222">
        <f>IF(怪しいデータを手直し!U670="dead",0,怪しいデータを手直し!U670)</f>
        <v>21.804227203589662</v>
      </c>
      <c r="G222">
        <f>怪しいデータを手直し!L670</f>
        <v>7.3</v>
      </c>
    </row>
    <row r="223" spans="1:7">
      <c r="A223">
        <f>怪しいデータを手直し!F445</f>
        <v>225</v>
      </c>
      <c r="B223">
        <f>怪しいデータを手直し!C445</f>
        <v>31.891796831328939</v>
      </c>
      <c r="C223">
        <f>怪しいデータを手直し!D445</f>
        <v>17.247418530002466</v>
      </c>
      <c r="D223" t="str">
        <f>怪しいデータを手直し!G445</f>
        <v>bp</v>
      </c>
      <c r="E223">
        <f>怪しいデータを手直し!T445</f>
        <v>4.9019722472303764</v>
      </c>
      <c r="F223">
        <f>IF(怪しいデータを手直し!U445="dead",0,怪しいデータを手直し!U445)</f>
        <v>5.1884511447957884</v>
      </c>
      <c r="G223">
        <f>怪しいデータを手直し!L445</f>
        <v>4.3</v>
      </c>
    </row>
    <row r="224" spans="1:7">
      <c r="A224">
        <f>怪しいデータを手直し!F256</f>
        <v>226</v>
      </c>
      <c r="B224">
        <f>怪しいデータを手直し!C256</f>
        <v>32.119407180101206</v>
      </c>
      <c r="C224">
        <f>怪しいデータを手直し!D256</f>
        <v>17.114776749550312</v>
      </c>
      <c r="D224" t="str">
        <f>怪しいデータを手直し!G256</f>
        <v>bp</v>
      </c>
      <c r="E224">
        <f>怪しいデータを手直し!T256</f>
        <v>2.13</v>
      </c>
      <c r="F224">
        <f>IF(怪しいデータを手直し!U256="dead",0,怪しいデータを手直し!U256)</f>
        <v>2.5146481008519466</v>
      </c>
      <c r="G224">
        <f>怪しいデータを手直し!L256</f>
        <v>1.9</v>
      </c>
    </row>
    <row r="225" spans="1:7">
      <c r="A225">
        <f>怪しいデータを手直し!F321</f>
        <v>227</v>
      </c>
      <c r="B225">
        <f>怪しいデータを手直し!C321</f>
        <v>31.999387380366926</v>
      </c>
      <c r="C225">
        <f>怪しいデータを手直し!D321</f>
        <v>17.176163938322645</v>
      </c>
      <c r="D225" t="str">
        <f>怪しいデータを手直し!G321</f>
        <v>bp</v>
      </c>
      <c r="E225">
        <f>怪しいデータを手直し!T321</f>
        <v>2.8329579870357371</v>
      </c>
      <c r="F225">
        <f>IF(怪しいデータを手直し!U321="dead",0,怪しいデータを手直し!U321)</f>
        <v>2.9602819415092534</v>
      </c>
      <c r="G225">
        <f>怪しいデータを手直し!L321</f>
        <v>3.1</v>
      </c>
    </row>
    <row r="226" spans="1:7">
      <c r="A226">
        <f>怪しいデータを手直し!F523</f>
        <v>228</v>
      </c>
      <c r="B226">
        <f>怪しいデータを手直し!C523</f>
        <v>32.261169715280353</v>
      </c>
      <c r="C226">
        <f>怪しいデータを手直し!D523</f>
        <v>17.237390451276372</v>
      </c>
      <c r="D226" t="str">
        <f>怪しいデータを手直し!G523</f>
        <v>bp</v>
      </c>
      <c r="E226">
        <f>怪しいデータを手直し!T523</f>
        <v>7.2892963936088062</v>
      </c>
      <c r="F226">
        <f>IF(怪しいデータを手直し!U523="dead",0,怪しいデータを手直し!U523)</f>
        <v>7.352958370845565</v>
      </c>
      <c r="G226">
        <f>怪しいデータを手直し!L523</f>
        <v>4.3</v>
      </c>
    </row>
    <row r="227" spans="1:7">
      <c r="A227">
        <f>怪しいデータを手直し!F486</f>
        <v>229</v>
      </c>
      <c r="B227">
        <f>怪しいデータを手直し!C486</f>
        <v>32.249368886906424</v>
      </c>
      <c r="C227">
        <f>怪しいデータを手直し!D486</f>
        <v>17.100131104581216</v>
      </c>
      <c r="D227" t="str">
        <f>怪しいデータを手直し!G486</f>
        <v>bp</v>
      </c>
      <c r="E227">
        <f>怪しいデータを手直し!T486</f>
        <v>5.856901905781748</v>
      </c>
      <c r="F227">
        <f>IF(怪しいデータを手直し!U486="dead",0,怪しいデータを手直し!U486)</f>
        <v>6.429859700912572</v>
      </c>
      <c r="G227">
        <f>怪しいデータを手直し!L486</f>
        <v>5.6</v>
      </c>
    </row>
    <row r="228" spans="1:7">
      <c r="A228">
        <f>怪しいデータを手直し!F79</f>
        <v>230</v>
      </c>
      <c r="B228">
        <f>怪しいデータを手直し!C79</f>
        <v>31.992592005271483</v>
      </c>
      <c r="C228">
        <f>怪しいデータを手直し!D79</f>
        <v>17.257432389068928</v>
      </c>
      <c r="D228" t="str">
        <f>怪しいデータを手直し!G79</f>
        <v>bp</v>
      </c>
      <c r="E228">
        <f>怪しいデータを手直し!T79</f>
        <v>0.76</v>
      </c>
      <c r="F228">
        <f>IF(怪しいデータを手直し!U79="dead",0,怪しいデータを手直し!U79)</f>
        <v>1.23</v>
      </c>
      <c r="G228">
        <f>怪しいデータを手直し!L79</f>
        <v>2.1</v>
      </c>
    </row>
    <row r="229" spans="1:7">
      <c r="A229">
        <f>怪しいデータを手直し!F35</f>
        <v>231</v>
      </c>
      <c r="B229">
        <f>怪しいデータを手直し!C35</f>
        <v>33.598797543972296</v>
      </c>
      <c r="C229">
        <f>怪しいデータを手直し!D35</f>
        <v>14.841244700753974</v>
      </c>
      <c r="D229" t="str">
        <f>怪しいデータを手直し!G35</f>
        <v>pt</v>
      </c>
      <c r="E229">
        <f>怪しいデータを手直し!T35</f>
        <v>0.5</v>
      </c>
      <c r="F229">
        <f>IF(怪しいデータを手直し!U35="dead",0,怪しいデータを手直し!U35)</f>
        <v>1.19</v>
      </c>
      <c r="G229">
        <f>怪しいデータを手直し!L35</f>
        <v>1.8</v>
      </c>
    </row>
    <row r="230" spans="1:7">
      <c r="A230">
        <f>怪しいデータを手直し!F576</f>
        <v>232</v>
      </c>
      <c r="B230">
        <f>怪しいデータを手直し!C576</f>
        <v>34.695315057578405</v>
      </c>
      <c r="C230">
        <f>怪しいデータを手直し!D576</f>
        <v>13.584665518456774</v>
      </c>
      <c r="D230" t="str">
        <f>怪しいデータを手直し!G576</f>
        <v>lc</v>
      </c>
      <c r="E230">
        <f>怪しいデータを手直し!T576</f>
        <v>10.440564266828334</v>
      </c>
      <c r="F230">
        <f>IF(怪しいデータを手直し!U576="dead",0,怪しいデータを手直し!U576)</f>
        <v>0</v>
      </c>
      <c r="G230">
        <f>怪しいデータを手直し!L576</f>
        <v>8.3000000000000007</v>
      </c>
    </row>
    <row r="231" spans="1:7">
      <c r="A231">
        <f>怪しいデータを手直し!F414</f>
        <v>233</v>
      </c>
      <c r="B231">
        <f>怪しいデータを手直し!C414</f>
        <v>35.175231914701541</v>
      </c>
      <c r="C231">
        <f>怪しいデータを手直し!D414</f>
        <v>13.031544315341126</v>
      </c>
      <c r="D231" t="str">
        <f>怪しいデータを手直し!G414</f>
        <v>lc</v>
      </c>
      <c r="E231">
        <f>怪しいデータを手直し!T414</f>
        <v>4.1380285203892786</v>
      </c>
      <c r="F231">
        <f>IF(怪しいデータを手直し!U414="dead",0,怪しいデータを手直し!U414)</f>
        <v>5.4112680651244416</v>
      </c>
      <c r="G231">
        <f>怪しいデータを手直し!L414</f>
        <v>4.5</v>
      </c>
    </row>
    <row r="232" spans="1:7">
      <c r="A232">
        <f>怪しいデータを手直し!F17</f>
        <v>234</v>
      </c>
      <c r="B232">
        <f>怪しいデータを手直し!C17</f>
        <v>33.495831695602774</v>
      </c>
      <c r="C232">
        <f>怪しいデータを手直し!D17</f>
        <v>12.926722064274653</v>
      </c>
      <c r="D232" t="str">
        <f>怪しいデータを手直し!G17</f>
        <v>lc</v>
      </c>
      <c r="E232">
        <f>怪しいデータを手直し!T17</f>
        <v>0.36</v>
      </c>
      <c r="F232">
        <f>IF(怪しいデータを手直し!U17="dead",0,怪しいデータを手直し!U17)</f>
        <v>1.05</v>
      </c>
      <c r="G232">
        <f>怪しいデータを手直し!L17</f>
        <v>1.5</v>
      </c>
    </row>
    <row r="233" spans="1:7">
      <c r="A233">
        <f>怪しいデータを手直し!F633</f>
        <v>235</v>
      </c>
      <c r="B233">
        <f>怪しいデータを手直し!C633</f>
        <v>32.689872970198586</v>
      </c>
      <c r="C233">
        <f>怪しいデータを手直し!D633</f>
        <v>12.689139352703059</v>
      </c>
      <c r="D233" t="str">
        <f>怪しいデータを手直し!G633</f>
        <v>lc</v>
      </c>
      <c r="E233">
        <f>怪しいデータを手直し!T633</f>
        <v>14.38760685550734</v>
      </c>
      <c r="F233">
        <f>IF(怪しいデータを手直し!U633="dead",0,怪しいデータを手直し!U633)</f>
        <v>0</v>
      </c>
      <c r="G233">
        <f>怪しいデータを手直し!L633</f>
        <v>7.6</v>
      </c>
    </row>
    <row r="234" spans="1:7">
      <c r="A234">
        <f>怪しいデータを手直し!F567</f>
        <v>236</v>
      </c>
      <c r="B234">
        <f>怪しいデータを手直し!C567</f>
        <v>33.173371849837416</v>
      </c>
      <c r="C234">
        <f>怪しいデータを手直し!D567</f>
        <v>11.088136496632174</v>
      </c>
      <c r="D234" t="str">
        <f>怪しいデータを手直し!G567</f>
        <v>lc</v>
      </c>
      <c r="E234">
        <f>怪しいデータを手直し!T567</f>
        <v>9.9949304261710274</v>
      </c>
      <c r="F234">
        <f>IF(怪しいデータを手直し!U567="dead",0,怪しいデータを手直し!U567)</f>
        <v>0</v>
      </c>
      <c r="G234">
        <f>怪しいデータを手直し!L567</f>
        <v>1.6</v>
      </c>
    </row>
    <row r="235" spans="1:7">
      <c r="A235">
        <f>怪しいデータを手直し!F630</f>
        <v>237</v>
      </c>
      <c r="B235">
        <f>怪しいデータを手直し!C630</f>
        <v>33.238191204915331</v>
      </c>
      <c r="C235">
        <f>怪しいデータを手直し!D630</f>
        <v>10.433176194765108</v>
      </c>
      <c r="D235" t="str">
        <f>怪しいデータを手直し!G630</f>
        <v>lc</v>
      </c>
      <c r="E235">
        <f>怪しいデータを手直し!T630</f>
        <v>13.910142026231654</v>
      </c>
      <c r="F235">
        <f>IF(怪しいデータを手直し!U630="dead",0,怪しいデータを手直し!U630)</f>
        <v>0</v>
      </c>
      <c r="G235">
        <f>怪しいデータを手直し!L630</f>
        <v>10.3</v>
      </c>
    </row>
    <row r="236" spans="1:7">
      <c r="A236">
        <f>怪しいデータを手直し!F622</f>
        <v>238</v>
      </c>
      <c r="B236">
        <f>怪しいデータを手直し!C622</f>
        <v>34.753410149350231</v>
      </c>
      <c r="C236">
        <f>怪しいデータを手直し!D622</f>
        <v>11.281629054000154</v>
      </c>
      <c r="D236" t="str">
        <f>怪しいデータを手直し!G622</f>
        <v>lc</v>
      </c>
      <c r="E236">
        <f>怪しいデータを手直し!T622</f>
        <v>13.050705333535419</v>
      </c>
      <c r="F236">
        <f>IF(怪しいデータを手直し!U622="dead",0,怪しいデータを手直し!U622)</f>
        <v>0</v>
      </c>
      <c r="G236">
        <f>怪しいデータを手直し!L622</f>
        <v>8.1</v>
      </c>
    </row>
    <row r="237" spans="1:7">
      <c r="A237">
        <f>怪しいデータを手直し!F16</f>
        <v>239</v>
      </c>
      <c r="B237">
        <f>怪しいデータを手直し!C16</f>
        <v>39.475523248039664</v>
      </c>
      <c r="C237">
        <f>怪しいデータを手直し!D16</f>
        <v>13.752043600035297</v>
      </c>
      <c r="D237" t="str">
        <f>怪しいデータを手直し!G16</f>
        <v>pt</v>
      </c>
      <c r="E237">
        <f>怪しいデータを手直し!T16</f>
        <v>0.34</v>
      </c>
      <c r="F237">
        <f>IF(怪しいデータを手直し!U16="dead",0,怪しいデータを手直し!U16)</f>
        <v>0.7</v>
      </c>
      <c r="G237">
        <f>怪しいデータを手直し!L16</f>
        <v>1.8</v>
      </c>
    </row>
    <row r="238" spans="1:7">
      <c r="A238">
        <f>怪しいデータを手直し!F470</f>
        <v>240</v>
      </c>
      <c r="B238">
        <f>怪しいデータを手直し!C470</f>
        <v>39.735868630954577</v>
      </c>
      <c r="C238">
        <f>怪しいデータを手直し!D470</f>
        <v>10.432588542307032</v>
      </c>
      <c r="D238" t="str">
        <f>怪しいデータを手直し!G470</f>
        <v>lc</v>
      </c>
      <c r="E238">
        <f>怪しいデータを手直し!T470</f>
        <v>5.5385920195979574</v>
      </c>
      <c r="F238">
        <f>IF(怪しいデータを手直し!U470="dead",0,怪しいデータを手直し!U470)</f>
        <v>0</v>
      </c>
      <c r="G238">
        <f>怪しいデータを手直し!L470</f>
        <v>5.0999999999999996</v>
      </c>
    </row>
    <row r="239" spans="1:7">
      <c r="A239">
        <f>怪しいデータを手直し!F83</f>
        <v>241</v>
      </c>
      <c r="B239">
        <f>怪しいデータを手直し!C83</f>
        <v>39.175844745901799</v>
      </c>
      <c r="C239">
        <f>怪しいデータを手直し!D83</f>
        <v>9.4772927717291982</v>
      </c>
      <c r="D239" t="str">
        <f>怪しいデータを手直し!G83</f>
        <v>lc</v>
      </c>
      <c r="E239">
        <f>怪しいデータを手直し!T83</f>
        <v>0.8</v>
      </c>
      <c r="F239">
        <f>IF(怪しいデータを手直し!U83="dead",0,怪しいデータを手直し!U83)</f>
        <v>1.4300000000000002</v>
      </c>
      <c r="G239">
        <f>怪しいデータを手直し!L83</f>
        <v>1.8</v>
      </c>
    </row>
    <row r="240" spans="1:7">
      <c r="A240">
        <f>怪しいデータを手直し!F43</f>
        <v>242</v>
      </c>
      <c r="B240">
        <f>怪しいデータを手直し!C43</f>
        <v>37.787935082170875</v>
      </c>
      <c r="C240">
        <f>怪しいデータを手直し!D43</f>
        <v>9.6982970418767067</v>
      </c>
      <c r="D240" t="str">
        <f>怪しいデータを手直し!G43</f>
        <v>lc</v>
      </c>
      <c r="E240">
        <f>怪しいデータを手直し!T43</f>
        <v>0.55000000000000004</v>
      </c>
      <c r="F240">
        <f>IF(怪しいデータを手直し!U43="dead",0,怪しいデータを手直し!U43)</f>
        <v>1.1599999999999999</v>
      </c>
      <c r="G240">
        <f>怪しいデータを手直し!L43</f>
        <v>1.6</v>
      </c>
    </row>
    <row r="241" spans="1:7">
      <c r="A241">
        <f>怪しいデータを手直し!F559</f>
        <v>243</v>
      </c>
      <c r="B241">
        <f>怪しいデータを手直し!C559</f>
        <v>35.804963619066001</v>
      </c>
      <c r="C241">
        <f>怪しいデータを手直し!D559</f>
        <v>9.125</v>
      </c>
      <c r="D241" t="str">
        <f>怪しいデータを手直し!G559</f>
        <v>lc</v>
      </c>
      <c r="E241">
        <f>怪しいデータを手直し!T559</f>
        <v>9.3583106538034464</v>
      </c>
      <c r="F241">
        <f>IF(怪しいデータを手直し!U559="dead",0,怪しいデータを手直し!U559)</f>
        <v>0</v>
      </c>
      <c r="G241">
        <f>怪しいデータを手直し!L559</f>
        <v>6.5</v>
      </c>
    </row>
    <row r="242" spans="1:7">
      <c r="A242">
        <f>怪しいデータを手直し!F602</f>
        <v>244</v>
      </c>
      <c r="B242">
        <f>怪しいデータを手直し!C602</f>
        <v>35.396556682889127</v>
      </c>
      <c r="C242">
        <f>怪しいデータを手直し!D602</f>
        <v>9.324486168716339</v>
      </c>
      <c r="D242" t="str">
        <f>怪しいデータを手直し!G602</f>
        <v>lc</v>
      </c>
      <c r="E242">
        <f>怪しいデータを手直し!T602</f>
        <v>12.063944686365666</v>
      </c>
      <c r="F242">
        <f>IF(怪しいデータを手直し!U602="dead",0,怪しいデータを手直し!U602)</f>
        <v>0</v>
      </c>
      <c r="G242">
        <f>怪しいデータを手直し!L602</f>
        <v>9</v>
      </c>
    </row>
    <row r="243" spans="1:7">
      <c r="A243">
        <f>怪しいデータを手直し!F528</f>
        <v>245</v>
      </c>
      <c r="B243">
        <f>怪しいデータを手直し!C528</f>
        <v>34.025777339984387</v>
      </c>
      <c r="C243">
        <f>怪しいデータを手直し!D528</f>
        <v>9.7119086697301942</v>
      </c>
      <c r="D243" t="str">
        <f>怪しいデータを手直し!G528</f>
        <v>bp</v>
      </c>
      <c r="E243">
        <f>怪しいデータを手直し!T528</f>
        <v>7.4484513367007015</v>
      </c>
      <c r="F243">
        <f>IF(怪しいデータを手直し!U528="dead",0,怪しいデータを手直し!U528)</f>
        <v>7.7030992456477341</v>
      </c>
      <c r="G243">
        <f>怪しいデータを手直し!L528</f>
        <v>6.6</v>
      </c>
    </row>
    <row r="244" spans="1:7">
      <c r="A244">
        <f>怪しいデータを手直し!F18</f>
        <v>246</v>
      </c>
      <c r="B244">
        <f>怪しいデータを手直し!C18</f>
        <v>34.050937810882921</v>
      </c>
      <c r="C244">
        <f>怪しいデータを手直し!D18</f>
        <v>9.6930927280564454</v>
      </c>
      <c r="D244" t="str">
        <f>怪しいデータを手直し!G18</f>
        <v>bp</v>
      </c>
      <c r="E244">
        <f>怪しいデータを手直し!T18</f>
        <v>0.36</v>
      </c>
      <c r="F244">
        <f>IF(怪しいデータを手直し!U18="dead",0,怪しいデータを手直し!U18)</f>
        <v>1.03</v>
      </c>
      <c r="G244">
        <f>怪しいデータを手直し!L18</f>
        <v>1.6</v>
      </c>
    </row>
    <row r="245" spans="1:7">
      <c r="A245">
        <f>怪しいデータを手直し!F249</f>
        <v>247</v>
      </c>
      <c r="B245">
        <f>怪しいデータを手直し!C249</f>
        <v>33.894852414965456</v>
      </c>
      <c r="C245">
        <f>怪しいデータを手直し!D249</f>
        <v>9.4075223287711989</v>
      </c>
      <c r="D245" t="str">
        <f>怪しいデータを手直し!G249</f>
        <v>bp</v>
      </c>
      <c r="E245">
        <f>怪しいデータを手直し!T249</f>
        <v>2.08</v>
      </c>
      <c r="F245">
        <f>IF(怪しいデータを手直し!U249="dead",0,怪しいデータを手直し!U249)</f>
        <v>2.2199999999999998</v>
      </c>
      <c r="G245">
        <f>怪しいデータを手直し!L249</f>
        <v>3</v>
      </c>
    </row>
    <row r="246" spans="1:7">
      <c r="A246">
        <f>怪しいデータを手直し!F105</f>
        <v>248</v>
      </c>
      <c r="B246">
        <f>怪しいデータを手直し!C105</f>
        <v>34.068567064814381</v>
      </c>
      <c r="C246">
        <f>怪しいデータを手直し!D105</f>
        <v>9.4180847704201529</v>
      </c>
      <c r="D246" t="str">
        <f>怪しいデータを手直し!G105</f>
        <v>bp</v>
      </c>
      <c r="E246">
        <f>怪しいデータを手直し!T105</f>
        <v>0.96</v>
      </c>
      <c r="F246">
        <f>IF(怪しいデータを手直し!U105="dead",0,怪しいデータを手直し!U105)</f>
        <v>1.03</v>
      </c>
      <c r="G246">
        <f>怪しいデータを手直し!L105</f>
        <v>1.5</v>
      </c>
    </row>
    <row r="247" spans="1:7">
      <c r="A247">
        <f>怪しいデータを手直し!F333</f>
        <v>249</v>
      </c>
      <c r="B247">
        <f>怪しいデータを手直し!C333</f>
        <v>33.861205161092634</v>
      </c>
      <c r="C247">
        <f>怪しいデータを手直し!D333</f>
        <v>9.3143433199608303</v>
      </c>
      <c r="D247" t="str">
        <f>怪しいデータを手直し!G333</f>
        <v>bp</v>
      </c>
      <c r="E247">
        <f>怪しいデータを手直し!T333</f>
        <v>2.93</v>
      </c>
      <c r="F247">
        <f>IF(怪しいデータを手直し!U333="dead",0,怪しいデータを手直し!U333)</f>
        <v>3.1512678732195281</v>
      </c>
      <c r="G247">
        <f>怪しいデータを手直し!L333</f>
        <v>3.8</v>
      </c>
    </row>
    <row r="248" spans="1:7">
      <c r="A248">
        <f>怪しいデータを手直し!F283</f>
        <v>250</v>
      </c>
      <c r="B248">
        <f>怪しいデータを手直し!C283</f>
        <v>33.713362604392707</v>
      </c>
      <c r="C248">
        <f>怪しいデータを手直し!D283</f>
        <v>9.4955824508264737</v>
      </c>
      <c r="D248" t="str">
        <f>怪しいデータを手直し!G283</f>
        <v>bp</v>
      </c>
      <c r="E248">
        <f>怪しいデータを手直し!T283</f>
        <v>2.34</v>
      </c>
      <c r="F248">
        <f>IF(怪しいデータを手直し!U283="dead",0,怪しいデータを手直し!U283)</f>
        <v>0</v>
      </c>
      <c r="G248">
        <f>怪しいデータを手直し!L283</f>
        <v>2.4</v>
      </c>
    </row>
    <row r="249" spans="1:7">
      <c r="A249">
        <f>怪しいデータを手直し!F328</f>
        <v>251</v>
      </c>
      <c r="B249">
        <f>怪しいデータを手直し!C328</f>
        <v>33.495999755650672</v>
      </c>
      <c r="C249">
        <f>怪しいデータを手直し!D328</f>
        <v>9.0689354720097679</v>
      </c>
      <c r="D249" t="str">
        <f>怪しいデータを手直し!G328</f>
        <v>bp</v>
      </c>
      <c r="E249">
        <f>怪しいデータを手直し!T328</f>
        <v>2.9</v>
      </c>
      <c r="F249">
        <f>IF(怪しいデータを手直し!U328="dead",0,怪しいデータを手直し!U328)</f>
        <v>0</v>
      </c>
      <c r="G249">
        <f>怪しいデータを手直し!L328</f>
        <v>1.4</v>
      </c>
    </row>
    <row r="250" spans="1:7">
      <c r="A250">
        <f>怪しいデータを手直し!F72</f>
        <v>252</v>
      </c>
      <c r="B250">
        <f>怪しいデータを手直し!C72</f>
        <v>33.817488071652981</v>
      </c>
      <c r="C250">
        <f>怪しいデータを手直し!D72</f>
        <v>9.145595846620802</v>
      </c>
      <c r="D250" t="str">
        <f>怪しいデータを手直し!G72</f>
        <v>bp</v>
      </c>
      <c r="E250">
        <f>怪しいデータを手直し!T72</f>
        <v>0.73</v>
      </c>
      <c r="F250">
        <f>IF(怪しいデータを手直し!U72="dead",0,怪しいデータを手直し!U72)</f>
        <v>1.08</v>
      </c>
      <c r="G250">
        <f>怪しいデータを手直し!L72</f>
        <v>2.5</v>
      </c>
    </row>
    <row r="251" spans="1:7">
      <c r="A251">
        <f>怪しいデータを手直し!F428</f>
        <v>253</v>
      </c>
      <c r="B251">
        <f>怪しいデータを手直し!C428</f>
        <v>33.991864086035775</v>
      </c>
      <c r="C251">
        <f>怪しいデータを手直し!D428</f>
        <v>8.9138005024738085</v>
      </c>
      <c r="D251" t="str">
        <f>怪しいデータを手直し!G428</f>
        <v>bp</v>
      </c>
      <c r="E251">
        <f>怪しいデータを手直し!T428</f>
        <v>4.45633840657307</v>
      </c>
      <c r="F251">
        <f>IF(怪しいデータを手直し!U428="dead",0,怪しいデータを手直し!U428)</f>
        <v>4.6154933496649653</v>
      </c>
      <c r="G251">
        <f>怪しいデータを手直し!L428</f>
        <v>4</v>
      </c>
    </row>
    <row r="252" spans="1:7">
      <c r="A252">
        <f>怪しいデータを手直し!F75</f>
        <v>254</v>
      </c>
      <c r="B252">
        <f>怪しいデータを手直し!C75</f>
        <v>32.51296487374573</v>
      </c>
      <c r="C252">
        <f>怪しいデータを手直し!D75</f>
        <v>8.1260144024241967</v>
      </c>
      <c r="D252" t="str">
        <f>怪しいデータを手直し!G75</f>
        <v>pt</v>
      </c>
      <c r="E252">
        <f>怪しいデータを手直し!T75</f>
        <v>0.75</v>
      </c>
      <c r="F252">
        <f>IF(怪しいデータを手直し!U75="dead",0,怪しいデータを手直し!U75)</f>
        <v>1.31</v>
      </c>
      <c r="G252">
        <f>怪しいデータを手直し!L75</f>
        <v>2</v>
      </c>
    </row>
    <row r="253" spans="1:7">
      <c r="A253">
        <f>怪しいデータを手直し!F569</f>
        <v>255</v>
      </c>
      <c r="B253">
        <f>怪しいデータを手直し!C569</f>
        <v>32.364956775153857</v>
      </c>
      <c r="C253">
        <f>怪しいデータを手直し!D569</f>
        <v>6.71362375685269</v>
      </c>
      <c r="D253" t="str">
        <f>怪しいデータを手直し!G569</f>
        <v>pt</v>
      </c>
      <c r="E253">
        <f>怪しいデータを手直し!T569</f>
        <v>10.122254380644543</v>
      </c>
      <c r="F253">
        <f>IF(怪しいデータを手直し!U569="dead",0,怪しいデータを手直し!U569)</f>
        <v>10.631550198538608</v>
      </c>
      <c r="G253">
        <f>怪しいデータを手直し!L569</f>
        <v>10.199999999999999</v>
      </c>
    </row>
    <row r="254" spans="1:7">
      <c r="A254">
        <f>怪しいデータを手直し!F320</f>
        <v>256</v>
      </c>
      <c r="B254">
        <f>怪しいデータを手直し!C320</f>
        <v>34.144984640554</v>
      </c>
      <c r="C254">
        <f>怪しいデータを手直し!D320</f>
        <v>6.625994983282995</v>
      </c>
      <c r="D254" t="str">
        <f>怪しいデータを手直し!G320</f>
        <v>pt</v>
      </c>
      <c r="E254">
        <f>怪しいデータを手直し!T320</f>
        <v>2.8011269984173581</v>
      </c>
      <c r="F254">
        <f>IF(怪しいデータを手直し!U320="dead",0,怪しいデータを手直し!U320)</f>
        <v>3.4059157821665602</v>
      </c>
      <c r="G254">
        <f>怪しいデータを手直し!L320</f>
        <v>4.0999999999999996</v>
      </c>
    </row>
    <row r="255" spans="1:7">
      <c r="A255">
        <f>怪しいデータを手直し!F560</f>
        <v>257</v>
      </c>
      <c r="B255">
        <f>怪しいデータを手直し!C560</f>
        <v>33.450797670107235</v>
      </c>
      <c r="C255">
        <f>怪しいデータを手直し!D560</f>
        <v>6.101552428508481</v>
      </c>
      <c r="D255" t="str">
        <f>怪しいデータを手直し!G560</f>
        <v>pt</v>
      </c>
      <c r="E255">
        <f>怪しいデータを手直し!T560</f>
        <v>9.3901416424218258</v>
      </c>
      <c r="F255">
        <f>IF(怪しいデータを手直し!U560="dead",0,怪しいデータを手直し!U560)</f>
        <v>9.963099437552648</v>
      </c>
      <c r="G255">
        <f>怪しいデータを手直し!L560</f>
        <v>10</v>
      </c>
    </row>
    <row r="256" spans="1:7">
      <c r="A256">
        <f>怪しいデータを手直し!F511</f>
        <v>258</v>
      </c>
      <c r="B256">
        <f>怪しいデータを手直し!C511</f>
        <v>34.51042732397022</v>
      </c>
      <c r="C256">
        <f>怪しいデータを手直し!D511</f>
        <v>5.862593186959022</v>
      </c>
      <c r="D256" t="str">
        <f>怪しいデータを手直し!G511</f>
        <v>pt</v>
      </c>
      <c r="E256">
        <f>怪しいデータを手直し!T511</f>
        <v>6.7800005757147419</v>
      </c>
      <c r="F256">
        <f>IF(怪しいデータを手直し!U511="dead",0,怪しいデータを手直し!U511)</f>
        <v>7.1619724391352904</v>
      </c>
      <c r="G256">
        <f>怪しいデータを手直し!L511</f>
        <v>8.3000000000000007</v>
      </c>
    </row>
    <row r="257" spans="1:7">
      <c r="A257">
        <f>怪しいデータを手直し!F39</f>
        <v>259</v>
      </c>
      <c r="B257">
        <f>怪しいデータを手直し!C39</f>
        <v>38.619257460528999</v>
      </c>
      <c r="C257">
        <f>怪しいデータを手直し!D39</f>
        <v>7.5983782229193677</v>
      </c>
      <c r="D257" t="str">
        <f>怪しいデータを手直し!G39</f>
        <v>lc</v>
      </c>
      <c r="E257">
        <f>怪しいデータを手直し!T39</f>
        <v>0.51</v>
      </c>
      <c r="F257">
        <f>IF(怪しいデータを手直し!U39="dead",0,怪しいデータを手直し!U39)</f>
        <v>1.35</v>
      </c>
      <c r="G257">
        <f>怪しいデータを手直し!L39</f>
        <v>1.8</v>
      </c>
    </row>
    <row r="258" spans="1:7">
      <c r="A258">
        <f>怪しいデータを手直し!F128</f>
        <v>260</v>
      </c>
      <c r="B258">
        <f>怪しいデータを手直し!C128</f>
        <v>30.958879013021043</v>
      </c>
      <c r="C258">
        <f>怪しいデータを手直し!D128</f>
        <v>1.4622266506827504</v>
      </c>
      <c r="D258" t="str">
        <f>怪しいデータを手直し!G128</f>
        <v>lc</v>
      </c>
      <c r="E258">
        <f>怪しいデータを手直し!T128</f>
        <v>1.1000000000000001</v>
      </c>
      <c r="F258">
        <f>IF(怪しいデータを手直し!U128="dead",0,怪しいデータを手直し!U128)</f>
        <v>0</v>
      </c>
      <c r="G258">
        <f>怪しいデータを手直し!L128</f>
        <v>2.1</v>
      </c>
    </row>
    <row r="259" spans="1:7">
      <c r="A259">
        <f>怪しいデータを手直し!F225</f>
        <v>261</v>
      </c>
      <c r="B259">
        <f>怪しいデータを手直し!C225</f>
        <v>40.795535078290051</v>
      </c>
      <c r="C259">
        <f>怪しいデータを手直し!D225</f>
        <v>5.0333085520429153</v>
      </c>
      <c r="D259" t="str">
        <f>怪しいデータを手直し!G225</f>
        <v>bp</v>
      </c>
      <c r="E259">
        <f>怪しいデータを手直し!T225</f>
        <v>1.84</v>
      </c>
      <c r="F259">
        <f>IF(怪しいデータを手直し!U225="dead",0,怪しいデータを手直し!U225)</f>
        <v>1.95</v>
      </c>
      <c r="G259">
        <f>怪しいデータを手直し!L225</f>
        <v>2</v>
      </c>
    </row>
    <row r="260" spans="1:7">
      <c r="A260">
        <f>怪しいデータを手直し!F107</f>
        <v>262</v>
      </c>
      <c r="B260">
        <f>怪しいデータを手直し!C107</f>
        <v>40.675863550722838</v>
      </c>
      <c r="C260">
        <f>怪しいデータを手直し!D107</f>
        <v>5.0660757544522106</v>
      </c>
      <c r="D260" t="str">
        <f>怪しいデータを手直し!G107</f>
        <v>bp</v>
      </c>
      <c r="E260">
        <f>怪しいデータを手直し!T107</f>
        <v>0.97</v>
      </c>
      <c r="F260">
        <f>IF(怪しいデータを手直し!U107="dead",0,怪しいデータを手直し!U107)</f>
        <v>2.31</v>
      </c>
      <c r="G260">
        <f>怪しいデータを手直し!L107</f>
        <v>2.1</v>
      </c>
    </row>
    <row r="261" spans="1:7">
      <c r="A261">
        <f>怪しいデータを手直し!F146</f>
        <v>263</v>
      </c>
      <c r="B261">
        <f>怪しいデータを手直し!C146</f>
        <v>40.044069004266788</v>
      </c>
      <c r="C261">
        <f>怪しいデータを手直し!D146</f>
        <v>4.9501922885259351</v>
      </c>
      <c r="D261" t="str">
        <f>怪しいデータを手直し!G146</f>
        <v>bp</v>
      </c>
      <c r="E261">
        <f>怪しいデータを手直し!T146</f>
        <v>1.26</v>
      </c>
      <c r="F261">
        <f>IF(怪しいデータを手直し!U146="dead",0,怪しいデータを手直し!U146)</f>
        <v>0</v>
      </c>
      <c r="G261">
        <f>怪しいデータを手直し!L146</f>
        <v>2.5</v>
      </c>
    </row>
    <row r="262" spans="1:7">
      <c r="A262">
        <f>怪しいデータを手直し!F529</f>
        <v>264</v>
      </c>
      <c r="B262">
        <f>怪しいデータを手直し!C529</f>
        <v>40.620282470305909</v>
      </c>
      <c r="C262">
        <f>怪しいデータを手直し!D529</f>
        <v>5.3511991162202692</v>
      </c>
      <c r="D262" t="str">
        <f>怪しいデータを手直し!G529</f>
        <v>bp</v>
      </c>
      <c r="E262">
        <f>怪しいデータを手直し!T529</f>
        <v>7.4484513367007015</v>
      </c>
      <c r="F262">
        <f>IF(怪しいデータを手直し!U529="dead",0,怪しいデータを手直し!U529)</f>
        <v>7.989578143213147</v>
      </c>
      <c r="G262">
        <f>怪しいデータを手直し!L529</f>
        <v>8.1</v>
      </c>
    </row>
    <row r="263" spans="1:7">
      <c r="A263">
        <f>怪しいデータを手直し!F636</f>
        <v>265</v>
      </c>
      <c r="B263">
        <f>怪しいデータを手直し!C636</f>
        <v>40.876130854070112</v>
      </c>
      <c r="C263">
        <f>怪しいデータを手直し!D636</f>
        <v>5.1789633141256459</v>
      </c>
      <c r="D263" t="str">
        <f>怪しいデータを手直し!G636</f>
        <v>bp</v>
      </c>
      <c r="E263">
        <f>怪しいデータを手直し!T636</f>
        <v>14.928733662019782</v>
      </c>
      <c r="F263">
        <f>IF(怪しいデータを手直し!U636="dead",0,怪しいデータを手直し!U636)</f>
        <v>0</v>
      </c>
      <c r="G263">
        <f>怪しいデータを手直し!L636</f>
        <v>6.6</v>
      </c>
    </row>
    <row r="264" spans="1:7">
      <c r="A264">
        <f>怪しいデータを手直し!F483</f>
        <v>266</v>
      </c>
      <c r="B264">
        <f>怪しいデータを手直し!C483</f>
        <v>41.045795804813331</v>
      </c>
      <c r="C264">
        <f>怪しいデータを手直し!D483</f>
        <v>5.0799175683089572</v>
      </c>
      <c r="D264" t="str">
        <f>怪しいデータを手直し!G483</f>
        <v>bp</v>
      </c>
      <c r="E264">
        <f>怪しいデータを手直し!T483</f>
        <v>5.7614089399266115</v>
      </c>
      <c r="F264">
        <f>IF(怪しいデータを手直し!U483="dead",0,怪しいデータを手直し!U483)</f>
        <v>6.2707047578206758</v>
      </c>
      <c r="G264">
        <f>怪しいデータを手直し!L483</f>
        <v>4.3</v>
      </c>
    </row>
    <row r="265" spans="1:7">
      <c r="A265">
        <f>怪しいデータを手直し!F477</f>
        <v>267</v>
      </c>
      <c r="B265">
        <f>怪しいデータを手直し!C477</f>
        <v>41.100623071933988</v>
      </c>
      <c r="C265">
        <f>怪しいデータを手直し!D477</f>
        <v>5.1944273126372771</v>
      </c>
      <c r="D265" t="str">
        <f>怪しいデータを手直し!G477</f>
        <v>bp</v>
      </c>
      <c r="E265">
        <f>怪しいデータを手直し!T477</f>
        <v>5.6659159740714742</v>
      </c>
      <c r="F265">
        <f>IF(怪しいデータを手直し!U477="dead",0,怪しいデータを手直し!U477)</f>
        <v>6.366197723675814</v>
      </c>
      <c r="G265">
        <f>怪しいデータを手直し!L477</f>
        <v>5.0999999999999996</v>
      </c>
    </row>
    <row r="266" spans="1:7">
      <c r="A266">
        <f>怪しいデータを手直し!F446</f>
        <v>268</v>
      </c>
      <c r="B266">
        <f>怪しいデータを手直し!C446</f>
        <v>40.677648474707539</v>
      </c>
      <c r="C266">
        <f>怪しいデータを手直し!D446</f>
        <v>5.5715473870970973</v>
      </c>
      <c r="D266" t="str">
        <f>怪しいデータを手直し!G446</f>
        <v>bp</v>
      </c>
      <c r="E266">
        <f>怪しいデータを手直し!T446</f>
        <v>4.9019722472303764</v>
      </c>
      <c r="F266">
        <f>IF(怪しいデータを手直し!U446="dead",0,怪しいデータを手直し!U446)</f>
        <v>5.0611271903222717</v>
      </c>
      <c r="G266">
        <f>怪しいデータを手直し!L446</f>
        <v>4.9000000000000004</v>
      </c>
    </row>
    <row r="267" spans="1:7">
      <c r="A267">
        <f>怪しいデータを手直し!F463</f>
        <v>269</v>
      </c>
      <c r="B267">
        <f>怪しいデータを手直し!C463</f>
        <v>40.777857411188769</v>
      </c>
      <c r="C267">
        <f>怪しいデータを手直し!D463</f>
        <v>5.4966859039304499</v>
      </c>
      <c r="D267" t="str">
        <f>怪しいデータを手直し!G463</f>
        <v>bp</v>
      </c>
      <c r="E267">
        <f>怪しいデータを手直し!T463</f>
        <v>5.3157750992693042</v>
      </c>
      <c r="F267">
        <f>IF(怪しいデータを手直し!U463="dead",0,怪しいデータを手直し!U463)</f>
        <v>5.5385920195979574</v>
      </c>
      <c r="G267">
        <f>怪しいデータを手直し!L463</f>
        <v>5.0999999999999996</v>
      </c>
    </row>
    <row r="268" spans="1:7">
      <c r="A268">
        <f>怪しいデータを手直し!F513</f>
        <v>270</v>
      </c>
      <c r="B268">
        <f>怪しいデータを手直し!C513</f>
        <v>40.901352263515584</v>
      </c>
      <c r="C268">
        <f>怪しいデータを手直し!D513</f>
        <v>5.4891725706855805</v>
      </c>
      <c r="D268" t="str">
        <f>怪しいデータを手直し!G513</f>
        <v>bp</v>
      </c>
      <c r="E268">
        <f>怪しいデータを手直し!T513</f>
        <v>6.8754935415698792</v>
      </c>
      <c r="F268">
        <f>IF(怪しいデータを手直し!U513="dead",0,怪しいデータを手直し!U513)</f>
        <v>7.3847893594639435</v>
      </c>
      <c r="G268">
        <f>怪しいデータを手直し!L513</f>
        <v>5.8</v>
      </c>
    </row>
    <row r="269" spans="1:7">
      <c r="A269">
        <f>怪しいデータを手直し!F268</f>
        <v>271</v>
      </c>
      <c r="B269">
        <f>怪しいデータを手直し!C268</f>
        <v>41.114237411154114</v>
      </c>
      <c r="C269">
        <f>怪しいデータを手直し!D268</f>
        <v>7.3877069476062651</v>
      </c>
      <c r="D269" t="str">
        <f>怪しいデータを手直し!G268</f>
        <v>lc</v>
      </c>
      <c r="E269">
        <f>怪しいデータを手直し!T268</f>
        <v>2.2400000000000002</v>
      </c>
      <c r="F269">
        <f>IF(怪しいデータを手直し!U268="dead",0,怪しいデータを手直し!U268)</f>
        <v>0</v>
      </c>
      <c r="G269">
        <f>怪しいデータを手直し!L268</f>
        <v>2.8</v>
      </c>
    </row>
    <row r="270" spans="1:7">
      <c r="A270">
        <f>怪しいデータを手直し!F315</f>
        <v>272</v>
      </c>
      <c r="B270">
        <f>怪しいデータを手直し!C315</f>
        <v>40.363569407803752</v>
      </c>
      <c r="C270">
        <f>怪しいデータを手直し!D315</f>
        <v>7.678294315441935</v>
      </c>
      <c r="D270" t="str">
        <f>怪しいデータを手直し!G315</f>
        <v>lc</v>
      </c>
      <c r="E270">
        <f>怪しいデータを手直し!T315</f>
        <v>2.7</v>
      </c>
      <c r="F270">
        <f>IF(怪しいデータを手直し!U315="dead",0,怪しいデータを手直し!U315)</f>
        <v>3.9152116000606259</v>
      </c>
      <c r="G270">
        <f>怪しいデータを手直し!L315</f>
        <v>3.5</v>
      </c>
    </row>
    <row r="271" spans="1:7">
      <c r="A271">
        <f>怪しいデータを手直し!F108</f>
        <v>273</v>
      </c>
      <c r="B271">
        <f>怪しいデータを手直し!C108</f>
        <v>40.628453171262755</v>
      </c>
      <c r="C271">
        <f>怪しいデータを手直し!D108</f>
        <v>7.808323333260633</v>
      </c>
      <c r="D271" t="str">
        <f>怪しいデータを手直し!G108</f>
        <v>lc</v>
      </c>
      <c r="E271">
        <f>怪しいデータを手直し!T108</f>
        <v>0.97</v>
      </c>
      <c r="F271">
        <f>IF(怪しいデータを手直し!U108="dead",0,怪しいデータを手直し!U108)</f>
        <v>0</v>
      </c>
      <c r="G271">
        <f>怪しいデータを手直し!L108</f>
        <v>2</v>
      </c>
    </row>
    <row r="272" spans="1:7">
      <c r="A272">
        <f>怪しいデータを手直し!F218</f>
        <v>274</v>
      </c>
      <c r="B272">
        <f>怪しいデータを手直し!C218</f>
        <v>48.235042680231857</v>
      </c>
      <c r="C272">
        <f>怪しいデータを手直し!D218</f>
        <v>2.3206984656962657</v>
      </c>
      <c r="D272" t="str">
        <f>怪しいデータを手直し!G218</f>
        <v>lc</v>
      </c>
      <c r="E272">
        <f>怪しいデータを手直し!T218</f>
        <v>1.79</v>
      </c>
      <c r="F272">
        <f>IF(怪しいデータを手直し!U218="dead",0,怪しいデータを手直し!U218)</f>
        <v>3.0876058959827692</v>
      </c>
      <c r="G272">
        <f>怪しいデータを手直し!L218</f>
        <v>2.9</v>
      </c>
    </row>
    <row r="273" spans="1:7">
      <c r="A273">
        <f>怪しいデータを手直し!F123</f>
        <v>275</v>
      </c>
      <c r="B273">
        <f>怪しいデータを手直し!C123</f>
        <v>49.221325124819906</v>
      </c>
      <c r="C273">
        <f>怪しいデータを手直し!D123</f>
        <v>2.2897754285387277</v>
      </c>
      <c r="D273" t="str">
        <f>怪しいデータを手直し!G123</f>
        <v>pt</v>
      </c>
      <c r="E273">
        <f>怪しいデータを手直し!T123</f>
        <v>1.08</v>
      </c>
      <c r="F273">
        <f>IF(怪しいデータを手直し!U123="dead",0,怪しいデータを手直し!U123)</f>
        <v>2.0371832715762603</v>
      </c>
      <c r="G273">
        <f>怪しいデータを手直し!L123</f>
        <v>2.8</v>
      </c>
    </row>
    <row r="274" spans="1:7">
      <c r="A274">
        <f>怪しいデータを手直し!F194</f>
        <v>276</v>
      </c>
      <c r="B274">
        <f>怪しいデータを手直し!C194</f>
        <v>49.012604403629609</v>
      </c>
      <c r="C274">
        <f>怪しいデータを手直し!D194</f>
        <v>2.6494992100077894</v>
      </c>
      <c r="D274" t="str">
        <f>怪しいデータを手直し!G194</f>
        <v>pt</v>
      </c>
      <c r="E274">
        <f>怪しいデータを手直し!T194</f>
        <v>1.55</v>
      </c>
      <c r="F274">
        <f>IF(怪しいデータを手直し!U194="dead",0,怪しいデータを手直し!U194)</f>
        <v>2.6738030439438418</v>
      </c>
      <c r="G274">
        <f>怪しいデータを手直し!L194</f>
        <v>3.2</v>
      </c>
    </row>
    <row r="275" spans="1:7">
      <c r="A275">
        <f>怪しいデータを手直し!F644</f>
        <v>277</v>
      </c>
      <c r="B275">
        <f>怪しいデータを手直し!C644</f>
        <v>48.467731741905403</v>
      </c>
      <c r="C275">
        <f>怪しいデータを手直し!D644</f>
        <v>4.3313476780518956</v>
      </c>
      <c r="D275" t="str">
        <f>怪しいデータを手直し!G644</f>
        <v>lc</v>
      </c>
      <c r="E275">
        <f>怪しいデータを手直し!T644</f>
        <v>16.01098727504467</v>
      </c>
      <c r="F275">
        <f>IF(怪しいデータを手直し!U644="dead",0,怪しいデータを手直し!U644)</f>
        <v>0</v>
      </c>
      <c r="G275">
        <f>怪しいデータを手直し!L644</f>
        <v>4.0999999999999996</v>
      </c>
    </row>
    <row r="276" spans="1:7">
      <c r="A276">
        <f>怪しいデータを手直し!F592</f>
        <v>278</v>
      </c>
      <c r="B276">
        <f>怪しいデータを手直し!C592</f>
        <v>49.011636361915841</v>
      </c>
      <c r="C276">
        <f>怪しいデータを手直し!D592</f>
        <v>7.869739433638161</v>
      </c>
      <c r="D276" t="str">
        <f>怪しいデータを手直し!G592</f>
        <v>lc</v>
      </c>
      <c r="E276">
        <f>怪しいデータを手直し!T592</f>
        <v>11.459155902616464</v>
      </c>
      <c r="F276">
        <f>IF(怪しいデータを手直し!U592="dead",0,怪しいデータを手直し!U592)</f>
        <v>0</v>
      </c>
      <c r="G276">
        <f>怪しいデータを手直し!L592</f>
        <v>10</v>
      </c>
    </row>
    <row r="277" spans="1:7">
      <c r="A277">
        <f>怪しいデータを手直し!F203</f>
        <v>279</v>
      </c>
      <c r="B277">
        <f>怪しいデータを手直し!C203</f>
        <v>42.95207783888543</v>
      </c>
      <c r="C277">
        <f>怪しいデータを手直し!D203</f>
        <v>10.555182391625927</v>
      </c>
      <c r="D277" t="str">
        <f>怪しいデータを手直し!G203</f>
        <v>pt</v>
      </c>
      <c r="E277">
        <f>怪しいデータを手直し!T203</f>
        <v>1.63</v>
      </c>
      <c r="F277">
        <f>IF(怪しいデータを手直し!U203="dead",0,怪しいデータを手直し!U203)</f>
        <v>2.6419720553254629</v>
      </c>
      <c r="G277">
        <f>怪しいデータを手直し!L203</f>
        <v>3.2</v>
      </c>
    </row>
    <row r="278" spans="1:7">
      <c r="A278">
        <f>怪しいデータを手直し!F269</f>
        <v>280</v>
      </c>
      <c r="B278">
        <f>怪しいデータを手直し!C269</f>
        <v>44.448175780776694</v>
      </c>
      <c r="C278">
        <f>怪しいデータを手直し!D269</f>
        <v>11.04175147655649</v>
      </c>
      <c r="D278" t="str">
        <f>怪しいデータを手直し!G269</f>
        <v>pt</v>
      </c>
      <c r="E278">
        <f>怪しいデータを手直し!T269</f>
        <v>2.25</v>
      </c>
      <c r="F278">
        <f>IF(怪しいデータを手直し!U269="dead",0,怪しいデータを手直し!U269)</f>
        <v>2.46</v>
      </c>
      <c r="G278">
        <f>怪しいデータを手直し!L269</f>
        <v>1.7</v>
      </c>
    </row>
    <row r="279" spans="1:7">
      <c r="A279">
        <f>怪しいデータを手直し!F176</f>
        <v>281</v>
      </c>
      <c r="B279">
        <f>怪しいデータを手直し!C176</f>
        <v>41.378009384887001</v>
      </c>
      <c r="C279">
        <f>怪しいデータを手直し!D176</f>
        <v>14.425970717925551</v>
      </c>
      <c r="D279" t="str">
        <f>怪しいデータを手直し!G176</f>
        <v>lc</v>
      </c>
      <c r="E279">
        <f>怪しいデータを手直し!T176</f>
        <v>1.41</v>
      </c>
      <c r="F279">
        <f>IF(怪しいデータを手直し!U176="dead",0,怪しいデータを手直し!U176)</f>
        <v>2.4509861236151882</v>
      </c>
      <c r="G279">
        <f>怪しいデータを手直し!L176</f>
        <v>2.2000000000000002</v>
      </c>
    </row>
    <row r="280" spans="1:7">
      <c r="A280">
        <f>怪しいデータを手直し!F191</f>
        <v>282</v>
      </c>
      <c r="B280">
        <f>怪しいデータを手直し!C191</f>
        <v>42.941695206502793</v>
      </c>
      <c r="C280">
        <f>怪しいデータを手直し!D191</f>
        <v>16.264571620016966</v>
      </c>
      <c r="D280" t="str">
        <f>怪しいデータを手直し!G191</f>
        <v>lc</v>
      </c>
      <c r="E280">
        <f>怪しいデータを手直し!T191</f>
        <v>1.53</v>
      </c>
      <c r="F280">
        <f>IF(怪しいデータを手直し!U191="dead",0,怪しいデータを手直し!U191)</f>
        <v>2.6419720553254629</v>
      </c>
      <c r="G280">
        <f>怪しいデータを手直し!L191</f>
        <v>3.1</v>
      </c>
    </row>
    <row r="281" spans="1:7">
      <c r="A281">
        <f>怪しいデータを手直し!F677</f>
        <v>283</v>
      </c>
      <c r="B281">
        <f>怪しいデータを手直し!C677</f>
        <v>44.877625007161186</v>
      </c>
      <c r="C281">
        <f>怪しいデータを手直し!D677</f>
        <v>16.837663182661874</v>
      </c>
      <c r="D281" t="str">
        <f>怪しいデータを手直し!G677</f>
        <v>lc</v>
      </c>
      <c r="E281">
        <f>怪しいデータを手直し!T677</f>
        <v>23.363945645890237</v>
      </c>
      <c r="F281">
        <f>IF(怪しいデータを手直し!U677="dead",0,怪しいデータを手直し!U677)</f>
        <v>0</v>
      </c>
      <c r="G281">
        <f>怪しいデータを手直し!L677</f>
        <v>15.9</v>
      </c>
    </row>
    <row r="282" spans="1:7">
      <c r="A282">
        <f>怪しいデータを手直し!F642</f>
        <v>284</v>
      </c>
      <c r="B282">
        <f>怪しいデータを手直し!C642</f>
        <v>42.304581878069619</v>
      </c>
      <c r="C282">
        <f>怪しいデータを手直し!D642</f>
        <v>19.634808535312285</v>
      </c>
      <c r="D282" t="str">
        <f>怪しいデータを手直し!G642</f>
        <v>bp</v>
      </c>
      <c r="E282">
        <f>怪しいデータを手直し!T642</f>
        <v>15.820001343334399</v>
      </c>
      <c r="F282">
        <f>IF(怪しいデータを手直し!U642="dead",0,怪しいデータを手直し!U642)</f>
        <v>16.01098727504467</v>
      </c>
      <c r="G282">
        <f>怪しいデータを手直し!L642</f>
        <v>10.7</v>
      </c>
    </row>
    <row r="283" spans="1:7">
      <c r="A283">
        <f>怪しいデータを手直し!F585</f>
        <v>285</v>
      </c>
      <c r="B283">
        <f>怪しいデータを手直し!C585</f>
        <v>49.999878153155805</v>
      </c>
      <c r="C283">
        <f>怪しいデータを手直し!D585</f>
        <v>19.930186971695527</v>
      </c>
      <c r="D283" t="str">
        <f>怪しいデータを手直し!G585</f>
        <v>lc</v>
      </c>
      <c r="E283">
        <f>怪しいデータを手直し!T585</f>
        <v>11.045353050577537</v>
      </c>
      <c r="F283">
        <f>IF(怪しいデータを手直し!U585="dead",0,怪しいデータを手直し!U585)</f>
        <v>0</v>
      </c>
      <c r="G283">
        <f>怪しいデータを手直し!L585</f>
        <v>7.4</v>
      </c>
    </row>
    <row r="284" spans="1:7">
      <c r="A284">
        <f>怪しいデータを手直し!F667</f>
        <v>286</v>
      </c>
      <c r="B284">
        <f>怪しいデータを手直し!C667</f>
        <v>43.349094919314922</v>
      </c>
      <c r="C284">
        <f>怪しいデータを手直し!D667</f>
        <v>23.576879203316832</v>
      </c>
      <c r="D284" t="str">
        <f>怪しいデータを手直し!G667</f>
        <v>lc</v>
      </c>
      <c r="E284">
        <f>怪しいデータを手直し!T667</f>
        <v>20.881128533656668</v>
      </c>
      <c r="F284">
        <f>IF(怪しいデータを手直し!U667="dead",0,怪しいデータを手直し!U667)</f>
        <v>0</v>
      </c>
      <c r="G284">
        <f>怪しいデータを手直し!L667</f>
        <v>12.2</v>
      </c>
    </row>
    <row r="285" spans="1:7">
      <c r="A285">
        <f>怪しいデータを手直し!F683</f>
        <v>287</v>
      </c>
      <c r="B285">
        <f>怪しいデータを手直し!C683</f>
        <v>48.156732809019061</v>
      </c>
      <c r="C285">
        <f>怪しいデータを手直し!D683</f>
        <v>26.181056034521198</v>
      </c>
      <c r="D285" t="str">
        <f>怪しいデータを手直し!G683</f>
        <v>lc</v>
      </c>
      <c r="E285">
        <f>怪しいデータを手直し!T683</f>
        <v>25.592114849176774</v>
      </c>
      <c r="F285">
        <f>IF(怪しいデータを手直し!U683="dead",0,怪しいデータを手直し!U683)</f>
        <v>0</v>
      </c>
      <c r="G285">
        <f>怪しいデータを手直し!L683</f>
        <v>18.5</v>
      </c>
    </row>
    <row r="286" spans="1:7">
      <c r="A286">
        <f>怪しいデータを手直し!F588</f>
        <v>288</v>
      </c>
      <c r="B286">
        <f>怪しいデータを手直し!C588</f>
        <v>48.295744434881712</v>
      </c>
      <c r="C286">
        <f>怪しいデータを手直し!D588</f>
        <v>26.804126363721846</v>
      </c>
      <c r="D286" t="str">
        <f>怪しいデータを手直し!G588</f>
        <v>lc</v>
      </c>
      <c r="E286">
        <f>怪しいデータを手直し!T588</f>
        <v>11.140846016432674</v>
      </c>
      <c r="F286">
        <f>IF(怪しいデータを手直し!U588="dead",0,怪しいデータを手直し!U588)</f>
        <v>0</v>
      </c>
      <c r="G286">
        <f>怪しいデータを手直し!L588</f>
        <v>9.8000000000000007</v>
      </c>
    </row>
    <row r="287" spans="1:7">
      <c r="A287">
        <f>怪しいデータを手直し!F447</f>
        <v>289</v>
      </c>
      <c r="B287">
        <f>怪しいデータを手直し!C447</f>
        <v>48.806686210966056</v>
      </c>
      <c r="C287">
        <f>怪しいデータを手直し!D447</f>
        <v>30.211197469555618</v>
      </c>
      <c r="D287" t="str">
        <f>怪しいデータを手直し!G447</f>
        <v>af</v>
      </c>
      <c r="E287">
        <f>怪しいデータを手直し!T447</f>
        <v>4.9019722472303764</v>
      </c>
      <c r="F287">
        <f>IF(怪しいデータを手直し!U447="dead",0,怪しいデータを手直し!U447)</f>
        <v>0</v>
      </c>
      <c r="G287">
        <f>怪しいデータを手直し!L447</f>
        <v>3</v>
      </c>
    </row>
    <row r="288" spans="1:7">
      <c r="A288">
        <f>怪しいデータを手直し!F297</f>
        <v>290</v>
      </c>
      <c r="B288">
        <f>怪しいデータを手直し!C297</f>
        <v>42.291153200946574</v>
      </c>
      <c r="C288">
        <f>怪しいデータを手直し!D297</f>
        <v>29.228458863258844</v>
      </c>
      <c r="D288" t="str">
        <f>怪しいデータを手直し!G297</f>
        <v>bp</v>
      </c>
      <c r="E288">
        <f>怪しいデータを手直し!T297</f>
        <v>2.4900000000000002</v>
      </c>
      <c r="F288">
        <f>IF(怪しいデータを手直し!U297="dead",0,怪しいデータを手直し!U297)</f>
        <v>2.7692960097989787</v>
      </c>
      <c r="G288">
        <f>怪しいデータを手直し!L297</f>
        <v>3</v>
      </c>
    </row>
    <row r="289" spans="1:7">
      <c r="A289">
        <f>怪しいデータを手直し!F144</f>
        <v>291</v>
      </c>
      <c r="B289">
        <f>怪しいデータを手直し!C144</f>
        <v>42.314959564929261</v>
      </c>
      <c r="C289">
        <f>怪しいデータを手直し!D144</f>
        <v>29.279987657004579</v>
      </c>
      <c r="D289" t="str">
        <f>怪しいデータを手直し!G144</f>
        <v>bp</v>
      </c>
      <c r="E289">
        <f>怪しいデータを手直し!T144</f>
        <v>1.24</v>
      </c>
      <c r="F289">
        <f>IF(怪しいデータを手直し!U144="dead",0,怪しいデータを手直し!U144)</f>
        <v>0.55000000000000004</v>
      </c>
      <c r="G289">
        <f>怪しいデータを手直し!L144</f>
        <v>3.4</v>
      </c>
    </row>
    <row r="290" spans="1:7">
      <c r="A290">
        <f>怪しいデータを手直し!F382</f>
        <v>292</v>
      </c>
      <c r="B290">
        <f>怪しいデータを手直し!C382</f>
        <v>42.394823115933988</v>
      </c>
      <c r="C290">
        <f>怪しいデータを手直し!D382</f>
        <v>29.340169159319785</v>
      </c>
      <c r="D290" t="str">
        <f>怪しいデータを手直し!G382</f>
        <v>bp</v>
      </c>
      <c r="E290">
        <f>怪しいデータを手直し!T382</f>
        <v>3.59</v>
      </c>
      <c r="F290">
        <f>IF(怪しいデータを手直し!U382="dead",0,怪しいデータを手直し!U382)</f>
        <v>3.6287327024952138</v>
      </c>
      <c r="G290">
        <f>怪しいデータを手直し!L382</f>
        <v>5.0999999999999996</v>
      </c>
    </row>
    <row r="291" spans="1:7">
      <c r="A291">
        <f>怪しいデータを手直し!F311</f>
        <v>293</v>
      </c>
      <c r="B291">
        <f>怪しいデータを手直し!C311</f>
        <v>42.218768942491181</v>
      </c>
      <c r="C291">
        <f>怪しいデータを手直し!D311</f>
        <v>29.27455042198882</v>
      </c>
      <c r="D291" t="str">
        <f>怪しいデータを手直し!G311</f>
        <v>bp</v>
      </c>
      <c r="E291">
        <f>怪しいデータを手直し!T311</f>
        <v>2.65</v>
      </c>
      <c r="F291">
        <f>IF(怪しいデータを手直し!U311="dead",0,怪しいデータを手直し!U311)</f>
        <v>0</v>
      </c>
      <c r="G291">
        <f>怪しいデータを手直し!L311</f>
        <v>2.9</v>
      </c>
    </row>
    <row r="292" spans="1:7">
      <c r="A292">
        <f>怪しいデータを手直し!F219</f>
        <v>294</v>
      </c>
      <c r="B292">
        <f>怪しいデータを手直し!C219</f>
        <v>42.210517931122659</v>
      </c>
      <c r="C292">
        <f>怪しいデータを手直し!D219</f>
        <v>29.301921944078657</v>
      </c>
      <c r="D292" t="str">
        <f>怪しいデータを手直し!G219</f>
        <v>bp</v>
      </c>
      <c r="E292">
        <f>怪しいデータを手直し!T219</f>
        <v>1.8</v>
      </c>
      <c r="F292">
        <f>IF(怪しいデータを手直し!U219="dead",0,怪しいデータを手直し!U219)</f>
        <v>1.83</v>
      </c>
      <c r="G292">
        <f>怪しいデータを手直し!L219</f>
        <v>3.5</v>
      </c>
    </row>
    <row r="293" spans="1:7">
      <c r="A293">
        <f>怪しいデータを手直し!F137</f>
        <v>295</v>
      </c>
      <c r="B293">
        <f>怪しいデータを手直し!C137</f>
        <v>42.296976774514143</v>
      </c>
      <c r="C293">
        <f>怪しいデータを手直し!D137</f>
        <v>29.435802149635169</v>
      </c>
      <c r="D293" t="str">
        <f>怪しいデータを手直し!G137</f>
        <v>bp</v>
      </c>
      <c r="E293">
        <f>怪しいデータを手直し!T137</f>
        <v>1.22</v>
      </c>
      <c r="F293">
        <f>IF(怪しいデータを手直し!U137="dead",0,怪しいデータを手直し!U137)</f>
        <v>1.3599999999999999</v>
      </c>
      <c r="G293">
        <f>怪しいデータを手直し!L137</f>
        <v>2.1</v>
      </c>
    </row>
    <row r="294" spans="1:7">
      <c r="A294">
        <f>怪しいデータを手直し!F245</f>
        <v>296</v>
      </c>
      <c r="B294">
        <f>怪しいデータを手直し!C245</f>
        <v>42.367641332774518</v>
      </c>
      <c r="C294">
        <f>怪しいデータを手直し!D245</f>
        <v>29.524366008498795</v>
      </c>
      <c r="D294" t="str">
        <f>怪しいデータを手直し!G245</f>
        <v>bp</v>
      </c>
      <c r="E294">
        <f>怪しいデータを手直し!T245</f>
        <v>2.0499999999999998</v>
      </c>
      <c r="F294">
        <f>IF(怪しいデータを手直し!U245="dead",0,怪しいデータを手直し!U245)</f>
        <v>2.2918311805232929</v>
      </c>
      <c r="G294">
        <f>怪しいデータを手直し!L245</f>
        <v>3</v>
      </c>
    </row>
    <row r="295" spans="1:7">
      <c r="A295">
        <f>怪しいデータを手直し!F111</f>
        <v>297</v>
      </c>
      <c r="B295">
        <f>怪しいデータを手直し!C111</f>
        <v>42.470638986410691</v>
      </c>
      <c r="C295">
        <f>怪しいデータを手直し!D111</f>
        <v>29.603684879805961</v>
      </c>
      <c r="D295" t="str">
        <f>怪しいデータを手直し!G111</f>
        <v>bp</v>
      </c>
      <c r="E295">
        <f>怪しいデータを手直し!T111</f>
        <v>1</v>
      </c>
      <c r="F295">
        <f>IF(怪しいデータを手直し!U111="dead",0,怪しいデータを手直し!U111)</f>
        <v>1.21</v>
      </c>
      <c r="G295">
        <f>怪しいデータを手直し!L111</f>
        <v>2.7</v>
      </c>
    </row>
    <row r="296" spans="1:7">
      <c r="A296">
        <f>怪しいデータを手直し!F271</f>
        <v>298</v>
      </c>
      <c r="B296">
        <f>怪しいデータを手直し!C271</f>
        <v>42.430857709244037</v>
      </c>
      <c r="C296">
        <f>怪しいデータを手直し!D271</f>
        <v>29.817299863635021</v>
      </c>
      <c r="D296" t="str">
        <f>怪しいデータを手直し!G271</f>
        <v>bp</v>
      </c>
      <c r="E296">
        <f>怪しいデータを手直し!T271</f>
        <v>2.2599999999999998</v>
      </c>
      <c r="F296">
        <f>IF(怪しいデータを手直し!U271="dead",0,怪しいデータを手直し!U271)</f>
        <v>2.4509861236151882</v>
      </c>
      <c r="G296">
        <f>怪しいデータを手直し!L271</f>
        <v>4.3</v>
      </c>
    </row>
    <row r="297" spans="1:7">
      <c r="A297">
        <f>怪しいデータを手直し!F548</f>
        <v>299</v>
      </c>
      <c r="B297">
        <f>怪しいデータを手直し!C548</f>
        <v>42.499091903781498</v>
      </c>
      <c r="C297">
        <f>怪しいデータを手直し!D548</f>
        <v>29.730277569567264</v>
      </c>
      <c r="D297" t="str">
        <f>怪しいデータを手直し!G548</f>
        <v>bp</v>
      </c>
      <c r="E297">
        <f>怪しいデータを手直し!T548</f>
        <v>8.5307049497255907</v>
      </c>
      <c r="F297">
        <f>IF(怪しいデータを手直し!U548="dead",0,怪しいデータを手直し!U548)</f>
        <v>8.9445078017645194</v>
      </c>
      <c r="G297">
        <f>怪しいデータを手直し!L548</f>
        <v>7.3</v>
      </c>
    </row>
    <row r="298" spans="1:7">
      <c r="A298">
        <f>怪しいデータを手直し!F415</f>
        <v>300</v>
      </c>
      <c r="B298">
        <f>怪しいデータを手直し!C415</f>
        <v>42.576651627563287</v>
      </c>
      <c r="C298">
        <f>怪しいデータを手直し!D415</f>
        <v>29.825957146197499</v>
      </c>
      <c r="D298" t="str">
        <f>怪しいデータを手直し!G415</f>
        <v>bp</v>
      </c>
      <c r="E298">
        <f>怪しいデータを手直し!T415</f>
        <v>4.169859509007658</v>
      </c>
      <c r="F298">
        <f>IF(怪しいデータを手直し!U415="dead",0,怪しいデータを手直し!U415)</f>
        <v>4.2653524748627953</v>
      </c>
      <c r="G298">
        <f>怪しいデータを手直し!L415</f>
        <v>5.5</v>
      </c>
    </row>
    <row r="299" spans="1:7">
      <c r="A299">
        <f>怪しいデータを手直し!F157</f>
        <v>301</v>
      </c>
      <c r="B299">
        <f>怪しいデータを手直し!C157</f>
        <v>42.537382672775671</v>
      </c>
      <c r="C299">
        <f>怪しいデータを手直し!D157</f>
        <v>29.97268447893466</v>
      </c>
      <c r="D299" t="str">
        <f>怪しいデータを手直し!G157</f>
        <v>bp</v>
      </c>
      <c r="E299">
        <f>怪しいデータを手直し!T157</f>
        <v>1.31</v>
      </c>
      <c r="F299">
        <f>IF(怪しいデータを手直し!U157="dead",0,怪しいデータを手直し!U157)</f>
        <v>1.909859317102744</v>
      </c>
      <c r="G299">
        <f>怪しいデータを手直し!L157</f>
        <v>3.1</v>
      </c>
    </row>
    <row r="300" spans="1:7">
      <c r="A300">
        <f>怪しいデータを手直し!F620</f>
        <v>302</v>
      </c>
      <c r="B300">
        <f>怪しいデータを手直し!C620</f>
        <v>42.20210713056332</v>
      </c>
      <c r="C300">
        <f>怪しいデータを手直し!D620</f>
        <v>29.671270938933304</v>
      </c>
      <c r="D300" t="str">
        <f>怪しいデータを手直し!G620</f>
        <v>bp</v>
      </c>
      <c r="E300">
        <f>怪しいデータを手直し!T620</f>
        <v>12.923381379061903</v>
      </c>
      <c r="F300">
        <f>IF(怪しいデータを手直し!U620="dead",0,怪しいデータを手直し!U620)</f>
        <v>13.018874344917039</v>
      </c>
      <c r="G300">
        <f>怪しいデータを手直し!L620</f>
        <v>8</v>
      </c>
    </row>
    <row r="301" spans="1:7">
      <c r="A301">
        <f>怪しいデータを手直し!F634</f>
        <v>303</v>
      </c>
      <c r="B301">
        <f>怪しいデータを手直し!C634</f>
        <v>41.081628906778029</v>
      </c>
      <c r="C301">
        <f>怪しいデータを手直し!D634</f>
        <v>27.390527773607346</v>
      </c>
      <c r="D301" t="str">
        <f>怪しいデータを手直し!G634</f>
        <v>lc</v>
      </c>
      <c r="E301">
        <f>怪しいデータを手直し!T634</f>
        <v>14.451268832744097</v>
      </c>
      <c r="F301">
        <f>IF(怪しいデータを手直し!U634="dead",0,怪しいデータを手直し!U634)</f>
        <v>0</v>
      </c>
      <c r="G301">
        <f>怪しいデータを手直し!L634</f>
        <v>7.5</v>
      </c>
    </row>
    <row r="302" spans="1:7">
      <c r="A302">
        <f>怪しいデータを手直し!F459</f>
        <v>304</v>
      </c>
      <c r="B302">
        <f>怪しいデータを手直し!C459</f>
        <v>41.946733044397213</v>
      </c>
      <c r="C302">
        <f>怪しいデータを手直し!D459</f>
        <v>29.300277929498005</v>
      </c>
      <c r="D302" t="str">
        <f>怪しいデータを手直し!G459</f>
        <v>bp</v>
      </c>
      <c r="E302">
        <f>怪しいデータを手直し!T459</f>
        <v>5.1884511447957884</v>
      </c>
      <c r="F302">
        <f>IF(怪しいデータを手直し!U459="dead",0,怪しいデータを手直し!U459)</f>
        <v>5.5704230082163368</v>
      </c>
      <c r="G302">
        <f>怪しいデータを手直し!L459</f>
        <v>6.6</v>
      </c>
    </row>
    <row r="303" spans="1:7">
      <c r="A303">
        <f>怪しいデータを手直し!F355</f>
        <v>305</v>
      </c>
      <c r="B303">
        <f>怪しいデータを手直し!C355</f>
        <v>41.897873362675597</v>
      </c>
      <c r="C303">
        <f>怪しいデータを手直し!D355</f>
        <v>29.362703105713361</v>
      </c>
      <c r="D303" t="str">
        <f>怪しいデータを手直し!G355</f>
        <v>bp</v>
      </c>
      <c r="E303">
        <f>怪しいデータを手直し!T355</f>
        <v>3.21</v>
      </c>
      <c r="F303">
        <f>IF(怪しいデータを手直し!U355="dead",0,怪しいデータを手直し!U355)</f>
        <v>3.4377467707849396</v>
      </c>
      <c r="G303">
        <f>怪しいデータを手直し!L355</f>
        <v>4.2</v>
      </c>
    </row>
    <row r="304" spans="1:7">
      <c r="A304">
        <f>怪しいデータを手直し!F270</f>
        <v>306</v>
      </c>
      <c r="B304">
        <f>怪しいデータを手直し!C270</f>
        <v>41.880792813059728</v>
      </c>
      <c r="C304">
        <f>怪しいデータを手直し!D270</f>
        <v>29.416600349019195</v>
      </c>
      <c r="D304" t="str">
        <f>怪しいデータを手直し!G270</f>
        <v>bp</v>
      </c>
      <c r="E304">
        <f>怪しいデータを手直し!T270</f>
        <v>2.25</v>
      </c>
      <c r="F304">
        <f>IF(怪しいデータを手直し!U270="dead",0,怪しいデータを手直し!U270)</f>
        <v>2.5464790894703255</v>
      </c>
      <c r="G304">
        <f>怪しいデータを手直し!L270</f>
        <v>3.6</v>
      </c>
    </row>
    <row r="305" spans="1:7">
      <c r="A305">
        <f>怪しいデータを手直し!F195</f>
        <v>307</v>
      </c>
      <c r="B305">
        <f>怪しいデータを手直し!C195</f>
        <v>41.793904923765879</v>
      </c>
      <c r="C305">
        <f>怪しいデータを手直し!D195</f>
        <v>29.381295574128924</v>
      </c>
      <c r="D305" t="str">
        <f>怪しいデータを手直し!G195</f>
        <v>bp</v>
      </c>
      <c r="E305">
        <f>怪しいデータを手直し!T195</f>
        <v>1.56</v>
      </c>
      <c r="F305">
        <f>IF(怪しいデータを手直し!U195="dead",0,怪しいデータを手直し!U195)</f>
        <v>1.941690305721123</v>
      </c>
      <c r="G305">
        <f>怪しいデータを手直し!L195</f>
        <v>3.9</v>
      </c>
    </row>
    <row r="306" spans="1:7">
      <c r="A306">
        <f>怪しいデータを手直し!F88</f>
        <v>308</v>
      </c>
      <c r="B306">
        <f>怪しいデータを手直し!C88</f>
        <v>41.818732140228228</v>
      </c>
      <c r="C306">
        <f>怪しいデータを手直し!D88</f>
        <v>29.333872218834813</v>
      </c>
      <c r="D306" t="str">
        <f>怪しいデータを手直し!G88</f>
        <v>bp</v>
      </c>
      <c r="E306">
        <f>怪しいデータを手直し!T88</f>
        <v>0.84</v>
      </c>
      <c r="F306">
        <f>IF(怪しいデータを手直し!U88="dead",0,怪しいデータを手直し!U88)</f>
        <v>1.1300000000000001</v>
      </c>
      <c r="G306">
        <f>怪しいデータを手直し!L88</f>
        <v>1.6</v>
      </c>
    </row>
    <row r="307" spans="1:7">
      <c r="A307">
        <f>怪しいデータを手直し!F342</f>
        <v>309</v>
      </c>
      <c r="B307">
        <f>怪しいデータを手直し!C342</f>
        <v>41.842468171835485</v>
      </c>
      <c r="C307">
        <f>怪しいデータを手直し!D342</f>
        <v>29.62411282140144</v>
      </c>
      <c r="D307" t="str">
        <f>怪しいデータを手直し!G342</f>
        <v>bp</v>
      </c>
      <c r="E307">
        <f>怪しいデータを手直し!T342</f>
        <v>3.04</v>
      </c>
      <c r="F307">
        <f>IF(怪しいデータを手直し!U342="dead",0,怪しいデータを手直し!U342)</f>
        <v>3.214929850456286</v>
      </c>
      <c r="G307">
        <f>怪しいデータを手直し!L342</f>
        <v>5.0999999999999996</v>
      </c>
    </row>
    <row r="308" spans="1:7">
      <c r="A308">
        <f>怪しいデータを手直し!F501</f>
        <v>310</v>
      </c>
      <c r="B308">
        <f>怪しいデータを手直し!C501</f>
        <v>42.049845489303813</v>
      </c>
      <c r="C308">
        <f>怪しいデータを手直し!D501</f>
        <v>29.65374661382328</v>
      </c>
      <c r="D308" t="str">
        <f>怪しいデータを手直し!G501</f>
        <v>bp</v>
      </c>
      <c r="E308">
        <f>怪しいデータを手直し!T501</f>
        <v>6.35</v>
      </c>
      <c r="F308">
        <f>IF(怪しいデータを手直し!U501="dead",0,怪しいデータを手直し!U501)</f>
        <v>7.416620348082323</v>
      </c>
      <c r="G308">
        <f>怪しいデータを手直し!L501</f>
        <v>5.9</v>
      </c>
    </row>
    <row r="309" spans="1:7">
      <c r="A309">
        <f>怪しいデータを手直し!F126</f>
        <v>311</v>
      </c>
      <c r="B309">
        <f>怪しいデータを手直し!C126</f>
        <v>41.934145126044378</v>
      </c>
      <c r="C309">
        <f>怪しいデータを手直し!D126</f>
        <v>29.733251261038692</v>
      </c>
      <c r="D309" t="str">
        <f>怪しいデータを手直し!G126</f>
        <v>bp</v>
      </c>
      <c r="E309">
        <f>怪しいデータを手直し!T126</f>
        <v>1.0900000000000001</v>
      </c>
      <c r="F309">
        <f>IF(怪しいデータを手直し!U126="dead",0,怪しいデータを手直し!U126)</f>
        <v>1.1800000000000002</v>
      </c>
      <c r="G309">
        <f>怪しいデータを手直し!L126</f>
        <v>2</v>
      </c>
    </row>
    <row r="310" spans="1:7">
      <c r="A310">
        <f>怪しいデータを手直し!F226</f>
        <v>312</v>
      </c>
      <c r="B310">
        <f>怪しいデータを手直し!C226</f>
        <v>41.955044382048811</v>
      </c>
      <c r="C310">
        <f>怪しいデータを手直し!D226</f>
        <v>29.612102466330828</v>
      </c>
      <c r="D310" t="str">
        <f>怪しいデータを手直し!G226</f>
        <v>bp</v>
      </c>
      <c r="E310">
        <f>怪しいデータを手直し!T226</f>
        <v>1.84</v>
      </c>
      <c r="F310">
        <f>IF(怪しいデータを手直し!U226="dead",0,怪しいデータを手直し!U226)</f>
        <v>1.86</v>
      </c>
      <c r="G310">
        <f>怪しいデータを手直し!L226</f>
        <v>3</v>
      </c>
    </row>
    <row r="311" spans="1:7">
      <c r="A311">
        <f>怪しいデータを手直し!F153</f>
        <v>313</v>
      </c>
      <c r="B311">
        <f>怪しいデータを手直し!C153</f>
        <v>41.994523250760842</v>
      </c>
      <c r="C311">
        <f>怪しいデータを手直し!D153</f>
        <v>29.817403525727038</v>
      </c>
      <c r="D311" t="str">
        <f>怪しいデータを手直し!G153</f>
        <v>bp</v>
      </c>
      <c r="E311">
        <f>怪しいデータを手直し!T153</f>
        <v>1.3</v>
      </c>
      <c r="F311">
        <f>IF(怪しいデータを手直し!U153="dead",0,怪しいデータを手直し!U153)</f>
        <v>1.909859317102744</v>
      </c>
      <c r="G311">
        <f>怪しいデータを手直し!L153</f>
        <v>3.1</v>
      </c>
    </row>
    <row r="312" spans="1:7">
      <c r="A312">
        <f>怪しいデータを手直し!F93</f>
        <v>314</v>
      </c>
      <c r="B312">
        <f>怪しいデータを手直し!C93</f>
        <v>42.095122478025289</v>
      </c>
      <c r="C312">
        <f>怪しいデータを手直し!D93</f>
        <v>29.899743039168619</v>
      </c>
      <c r="D312" t="str">
        <f>怪しいデータを手直し!G93</f>
        <v>bp</v>
      </c>
      <c r="E312">
        <f>怪しいデータを手直し!T93</f>
        <v>0.86</v>
      </c>
      <c r="F312">
        <f>IF(怪しいデータを手直し!U93="dead",0,怪しいデータを手直し!U93)</f>
        <v>1.05</v>
      </c>
      <c r="G312">
        <f>怪しいデータを手直し!L93</f>
        <v>2.5</v>
      </c>
    </row>
    <row r="313" spans="1:7">
      <c r="A313">
        <f>怪しいデータを手直し!F142</f>
        <v>315</v>
      </c>
      <c r="B313">
        <f>怪しいデータを手直し!C142</f>
        <v>42.033215261247165</v>
      </c>
      <c r="C313">
        <f>怪しいデータを手直し!D142</f>
        <v>29.849072569358412</v>
      </c>
      <c r="D313" t="str">
        <f>怪しいデータを手直し!G142</f>
        <v>bp</v>
      </c>
      <c r="E313">
        <f>怪しいデータを手直し!T142</f>
        <v>1.23</v>
      </c>
      <c r="F313">
        <f>IF(怪しいデータを手直し!U142="dead",0,怪しいデータを手直し!U142)</f>
        <v>0</v>
      </c>
      <c r="G313">
        <f>怪しいデータを手直し!L142</f>
        <v>1.5</v>
      </c>
    </row>
    <row r="314" spans="1:7">
      <c r="A314">
        <f>怪しいデータを手直し!F411</f>
        <v>316</v>
      </c>
      <c r="B314">
        <f>怪しいデータを手直し!C411</f>
        <v>42.033215261247165</v>
      </c>
      <c r="C314">
        <f>怪しいデータを手直し!D411</f>
        <v>29.849072569358412</v>
      </c>
      <c r="D314" t="str">
        <f>怪しいデータを手直し!G411</f>
        <v>bp</v>
      </c>
      <c r="E314">
        <f>怪しいデータを手直し!T411</f>
        <v>4.1061975317709001</v>
      </c>
      <c r="F314">
        <f>IF(怪しいデータを手直し!U411="dead",0,怪しいデータを手直し!U411)</f>
        <v>4.3290144520995533</v>
      </c>
      <c r="G314">
        <f>怪しいデータを手直し!L411</f>
        <v>5.2</v>
      </c>
    </row>
    <row r="315" spans="1:7">
      <c r="A315">
        <f>怪しいデータを手直し!F95</f>
        <v>317</v>
      </c>
      <c r="B315">
        <f>怪しいデータを手直し!C95</f>
        <v>42.255591812176434</v>
      </c>
      <c r="C315">
        <f>怪しいデータを手直し!D95</f>
        <v>29.924382566855925</v>
      </c>
      <c r="D315" t="str">
        <f>怪しいデータを手直し!G95</f>
        <v>bp</v>
      </c>
      <c r="E315">
        <f>怪しいデータを手直し!T95</f>
        <v>0.87</v>
      </c>
      <c r="F315">
        <f>IF(怪しいデータを手直し!U95="dead",0,怪しいデータを手直し!U95)</f>
        <v>0.99</v>
      </c>
      <c r="G315">
        <f>怪しいデータを手直し!L95</f>
        <v>2</v>
      </c>
    </row>
    <row r="316" spans="1:7">
      <c r="A316">
        <f>怪しいデータを手直し!F50</f>
        <v>318</v>
      </c>
      <c r="B316">
        <f>怪しいデータを手直し!C50</f>
        <v>48.783013822605028</v>
      </c>
      <c r="C316">
        <f>怪しいデータを手直し!D50</f>
        <v>29.943368126254718</v>
      </c>
      <c r="D316" t="str">
        <f>怪しいデータを手直し!G50</f>
        <v>af</v>
      </c>
      <c r="E316">
        <f>怪しいデータを手直し!T50</f>
        <v>0.6</v>
      </c>
      <c r="F316">
        <f>IF(怪しいデータを手直し!U50="dead",0,怪しいデータを手直し!U50)</f>
        <v>0.69000000000000006</v>
      </c>
      <c r="G316">
        <f>怪しいデータを手直し!L50</f>
        <v>1.1000000000000001</v>
      </c>
    </row>
    <row r="317" spans="1:7">
      <c r="A317">
        <f>怪しいデータを手直し!F80</f>
        <v>319</v>
      </c>
      <c r="B317">
        <f>怪しいデータを手直し!C80</f>
        <v>49.026122660403686</v>
      </c>
      <c r="C317">
        <f>怪しいデータを手直し!D80</f>
        <v>30.067630548181324</v>
      </c>
      <c r="D317" t="str">
        <f>怪しいデータを手直し!G80</f>
        <v>af</v>
      </c>
      <c r="E317">
        <f>怪しいデータを手直し!T80</f>
        <v>0.78</v>
      </c>
      <c r="F317">
        <f>IF(怪しいデータを手直し!U80="dead",0,怪しいデータを手直し!U80)</f>
        <v>0.9</v>
      </c>
      <c r="G317">
        <f>怪しいデータを手直し!L80</f>
        <v>1.6</v>
      </c>
    </row>
    <row r="318" spans="1:7">
      <c r="A318">
        <f>怪しいデータを手直し!F378</f>
        <v>320</v>
      </c>
      <c r="B318">
        <f>怪しいデータを手直し!C378</f>
        <v>49.095619109009078</v>
      </c>
      <c r="C318">
        <f>怪しいデータを手直し!D378</f>
        <v>30.432649520164404</v>
      </c>
      <c r="D318" t="str">
        <f>怪しいデータを手直し!G378</f>
        <v>af</v>
      </c>
      <c r="E318">
        <f>怪しいデータを手直し!T378</f>
        <v>3.5014087480216975</v>
      </c>
      <c r="F318">
        <f>IF(怪しいデータを手直し!U378="dead",0,怪しいデータを手直し!U378)</f>
        <v>3.6605636911135928</v>
      </c>
      <c r="G318">
        <f>怪しいデータを手直し!L378</f>
        <v>3.8</v>
      </c>
    </row>
    <row r="319" spans="1:7">
      <c r="A319">
        <f>怪しいデータを手直し!F250</f>
        <v>321</v>
      </c>
      <c r="B319">
        <f>怪しいデータを手直し!C250</f>
        <v>48.923210114886899</v>
      </c>
      <c r="C319">
        <f>怪しいデータを手直し!D250</f>
        <v>30.400201900908641</v>
      </c>
      <c r="D319" t="str">
        <f>怪しいデータを手直し!G250</f>
        <v>af</v>
      </c>
      <c r="E319">
        <f>怪しいデータを手直し!T250</f>
        <v>2.08</v>
      </c>
      <c r="F319">
        <f>IF(怪しいデータを手直し!U250="dead",0,怪しいデータを手直し!U250)</f>
        <v>2.7056340325622208</v>
      </c>
      <c r="G319">
        <f>怪しいデータを手直し!L250</f>
        <v>3.3</v>
      </c>
    </row>
    <row r="320" spans="1:7">
      <c r="A320">
        <f>怪しいデータを手直し!F274</f>
        <v>322</v>
      </c>
      <c r="B320">
        <f>怪しいデータを手直し!C274</f>
        <v>49.057455574932867</v>
      </c>
      <c r="C320">
        <f>怪しいデータを手直し!D274</f>
        <v>30.556922641067963</v>
      </c>
      <c r="D320" t="str">
        <f>怪しいデータを手直し!G274</f>
        <v>af</v>
      </c>
      <c r="E320">
        <f>怪しいデータを手直し!T274</f>
        <v>2.27</v>
      </c>
      <c r="F320">
        <f>IF(怪しいデータを手直し!U274="dead",0,怪しいデータを手直し!U274)</f>
        <v>2.8647889756541161</v>
      </c>
      <c r="G320">
        <f>怪しいデータを手直し!L274</f>
        <v>2.8</v>
      </c>
    </row>
    <row r="321" spans="1:7">
      <c r="A321">
        <f>怪しいデータを手直し!F103</f>
        <v>323</v>
      </c>
      <c r="B321">
        <f>怪しいデータを手直し!C103</f>
        <v>48.923878928480136</v>
      </c>
      <c r="C321">
        <f>怪しいデータを手直し!D103</f>
        <v>30.406164508423601</v>
      </c>
      <c r="D321" t="str">
        <f>怪しいデータを手直し!G103</f>
        <v>af</v>
      </c>
      <c r="E321">
        <f>怪しいデータを手直し!T103</f>
        <v>0.94</v>
      </c>
      <c r="F321">
        <f>IF(怪しいデータを手直し!U103="dead",0,怪しいデータを手直し!U103)</f>
        <v>1.22</v>
      </c>
      <c r="G321">
        <f>怪しいデータを手直し!L103</f>
        <v>2.1</v>
      </c>
    </row>
    <row r="322" spans="1:7">
      <c r="A322">
        <f>怪しいデータを手直し!F182</f>
        <v>324</v>
      </c>
      <c r="B322">
        <f>怪しいデータを手直し!C182</f>
        <v>48.780725712693545</v>
      </c>
      <c r="C322">
        <f>怪しいデータを手直し!D182</f>
        <v>30.982052882594992</v>
      </c>
      <c r="D322" t="str">
        <f>怪しいデータを手直し!G182</f>
        <v>af</v>
      </c>
      <c r="E322">
        <f>怪しいデータを手直し!T182</f>
        <v>1.47</v>
      </c>
      <c r="F322">
        <f>IF(怪しいデータを手直し!U182="dead",0,怪しいデータを手直し!U182)</f>
        <v>0</v>
      </c>
      <c r="G322">
        <f>怪しいデータを手直し!L182</f>
        <v>1</v>
      </c>
    </row>
    <row r="323" spans="1:7">
      <c r="A323">
        <f>怪しいデータを手直し!F168</f>
        <v>325</v>
      </c>
      <c r="B323">
        <f>怪しいデータを手直し!C168</f>
        <v>48.85269318912912</v>
      </c>
      <c r="C323">
        <f>怪しいデータを手直し!D168</f>
        <v>30.519167384573795</v>
      </c>
      <c r="D323" t="str">
        <f>怪しいデータを手直し!G168</f>
        <v>af</v>
      </c>
      <c r="E323">
        <f>怪しいデータを手直し!T168</f>
        <v>1.35</v>
      </c>
      <c r="F323">
        <f>IF(怪しいデータを手直し!U168="dead",0,怪しいデータを手直し!U168)</f>
        <v>1.83</v>
      </c>
      <c r="G323">
        <f>怪しいデータを手直し!L168</f>
        <v>1.4</v>
      </c>
    </row>
    <row r="324" spans="1:7">
      <c r="A324">
        <f>怪しいデータを手直し!F15</f>
        <v>326</v>
      </c>
      <c r="B324">
        <f>怪しいデータを手直し!C15</f>
        <v>48.896603355268482</v>
      </c>
      <c r="C324">
        <f>怪しいデータを手直し!D15</f>
        <v>30.463621450236197</v>
      </c>
      <c r="D324" t="str">
        <f>怪しいデータを手直し!G15</f>
        <v>af</v>
      </c>
      <c r="E324">
        <f>怪しいデータを手直し!T15</f>
        <v>0.3</v>
      </c>
      <c r="F324">
        <f>IF(怪しいデータを手直し!U15="dead",0,怪しいデータを手直し!U15)</f>
        <v>0</v>
      </c>
      <c r="G324">
        <f>怪しいデータを手直し!L15</f>
        <v>1.3</v>
      </c>
    </row>
    <row r="325" spans="1:7">
      <c r="A325">
        <f>怪しいデータを手直し!F44</f>
        <v>327</v>
      </c>
      <c r="B325">
        <f>怪しいデータを手直し!C44</f>
        <v>48.923210114886899</v>
      </c>
      <c r="C325">
        <f>怪しいデータを手直し!D44</f>
        <v>30.400201900908641</v>
      </c>
      <c r="D325" t="str">
        <f>怪しいデータを手直し!G44</f>
        <v>af</v>
      </c>
      <c r="E325">
        <f>怪しいデータを手直し!T44</f>
        <v>0.56000000000000005</v>
      </c>
      <c r="F325">
        <f>IF(怪しいデータを手直し!U44="dead",0,怪しいデータを手直し!U44)</f>
        <v>0.90999999999999992</v>
      </c>
      <c r="G325">
        <f>怪しいデータを手直し!L44</f>
        <v>1.7</v>
      </c>
    </row>
    <row r="326" spans="1:7">
      <c r="A326">
        <f>怪しいデータを手直し!F316</f>
        <v>328</v>
      </c>
      <c r="B326">
        <f>怪しいデータを手直し!C316</f>
        <v>49.773513708524909</v>
      </c>
      <c r="C326">
        <f>怪しいデータを手直し!D316</f>
        <v>30.732767189728435</v>
      </c>
      <c r="D326" t="str">
        <f>怪しいデータを手直し!G316</f>
        <v>af</v>
      </c>
      <c r="E326">
        <f>怪しいデータを手直し!T316</f>
        <v>2.71</v>
      </c>
      <c r="F326">
        <f>IF(怪しいデータを手直し!U316="dead",0,怪しいデータを手直し!U316)</f>
        <v>1</v>
      </c>
      <c r="G326">
        <f>怪しいデータを手直し!L316</f>
        <v>3.5</v>
      </c>
    </row>
    <row r="327" spans="1:7">
      <c r="A327">
        <f>怪しいデータを手直し!F221</f>
        <v>329</v>
      </c>
      <c r="B327">
        <f>怪しいデータを手直し!C221</f>
        <v>49.643761131667816</v>
      </c>
      <c r="C327">
        <f>怪しいデータを手直し!D221</f>
        <v>30.726840135709438</v>
      </c>
      <c r="D327" t="str">
        <f>怪しいデータを手直し!G221</f>
        <v>af</v>
      </c>
      <c r="E327">
        <f>怪しいデータを手直し!T221</f>
        <v>1.81</v>
      </c>
      <c r="F327">
        <f>IF(怪しいデータを手直し!U221="dead",0,怪しいデータを手直し!U221)</f>
        <v>2.4191551349968092</v>
      </c>
      <c r="G327">
        <f>怪しいデータを手直し!L221</f>
        <v>3.3</v>
      </c>
    </row>
    <row r="328" spans="1:7">
      <c r="A328">
        <f>怪しいデータを手直し!F287</f>
        <v>330</v>
      </c>
      <c r="B328">
        <f>怪しいデータを手直し!C287</f>
        <v>49.01626407235689</v>
      </c>
      <c r="C328">
        <f>怪しいデータを手直し!D287</f>
        <v>31.365860574170455</v>
      </c>
      <c r="D328" t="str">
        <f>怪しいデータを手直し!G287</f>
        <v>af</v>
      </c>
      <c r="E328">
        <f>怪しいデータを手直し!T287</f>
        <v>2.35</v>
      </c>
      <c r="F328">
        <f>IF(怪しいデータを手直し!U287="dead",0,怪しいデータを手直し!U287)</f>
        <v>2.7374650211805998</v>
      </c>
      <c r="G328">
        <f>怪しいデータを手直し!L287</f>
        <v>3.4</v>
      </c>
    </row>
    <row r="329" spans="1:7">
      <c r="A329">
        <f>怪しいデータを手直し!F234</f>
        <v>331</v>
      </c>
      <c r="B329">
        <f>怪しいデータを手直し!C234</f>
        <v>48.75869591198731</v>
      </c>
      <c r="C329">
        <f>怪しいデータを手直し!D234</f>
        <v>30.571359368335063</v>
      </c>
      <c r="D329" t="str">
        <f>怪しいデータを手直し!G234</f>
        <v>af</v>
      </c>
      <c r="E329">
        <f>怪しいデータを手直し!T234</f>
        <v>1.93</v>
      </c>
      <c r="F329">
        <f>IF(怪しいデータを手直し!U234="dead",0,怪しいデータを手直し!U234)</f>
        <v>2.228169203286535</v>
      </c>
      <c r="G329">
        <f>怪しいデータを手直し!L234</f>
        <v>3.2</v>
      </c>
    </row>
    <row r="330" spans="1:7">
      <c r="A330">
        <f>怪しいデータを手直し!F248</f>
        <v>332</v>
      </c>
      <c r="B330">
        <f>怪しいデータを手直し!C248</f>
        <v>48.684961231235185</v>
      </c>
      <c r="C330">
        <f>怪しいデータを手直し!D248</f>
        <v>30.874263151030185</v>
      </c>
      <c r="D330" t="str">
        <f>怪しいデータを手直し!G248</f>
        <v>af</v>
      </c>
      <c r="E330">
        <f>怪しいデータを手直し!T248</f>
        <v>2.0699999999999998</v>
      </c>
      <c r="F330">
        <f>IF(怪しいデータを手直し!U248="dead",0,怪しいデータを手直し!U248)</f>
        <v>2.8647889756541161</v>
      </c>
      <c r="G330">
        <f>怪しいデータを手直し!L248</f>
        <v>3.6</v>
      </c>
    </row>
    <row r="331" spans="1:7">
      <c r="A331">
        <f>怪しいデータを手直し!F294</f>
        <v>333</v>
      </c>
      <c r="B331">
        <f>怪しいデータを手直し!C294</f>
        <v>48.775305826219046</v>
      </c>
      <c r="C331">
        <f>怪しいデータを手直し!D294</f>
        <v>30.821344097270725</v>
      </c>
      <c r="D331" t="str">
        <f>怪しいデータを手直し!G294</f>
        <v>af</v>
      </c>
      <c r="E331">
        <f>怪しいデータを手直し!T294</f>
        <v>2.4300000000000002</v>
      </c>
      <c r="F331">
        <f>IF(怪しいデータを手直し!U294="dead",0,怪しいデータを手直し!U294)</f>
        <v>2.6419720553254629</v>
      </c>
      <c r="G331">
        <f>怪しいデータを手直し!L294</f>
        <v>3.5</v>
      </c>
    </row>
    <row r="332" spans="1:7">
      <c r="A332">
        <f>怪しいデータを手直し!F258</f>
        <v>334</v>
      </c>
      <c r="B332">
        <f>怪しいデータを手直し!C258</f>
        <v>48.911560240158103</v>
      </c>
      <c r="C332">
        <f>怪しいデータを手直し!D258</f>
        <v>31.005618482119225</v>
      </c>
      <c r="D332" t="str">
        <f>怪しいデータを手直し!G258</f>
        <v>af</v>
      </c>
      <c r="E332">
        <f>怪しいデータを手直し!T258</f>
        <v>2.14</v>
      </c>
      <c r="F332">
        <f>IF(怪しいデータを手直し!U258="dead",0,怪しいデータを手直し!U258)</f>
        <v>3.9788735772973833</v>
      </c>
      <c r="G332">
        <f>怪しいデータを手直し!L258</f>
        <v>1.7</v>
      </c>
    </row>
    <row r="333" spans="1:7">
      <c r="A333">
        <f>怪しいデータを手直し!F112</f>
        <v>335</v>
      </c>
      <c r="B333">
        <f>怪しいデータを手直し!C112</f>
        <v>49.098880675068742</v>
      </c>
      <c r="C333">
        <f>怪しいデータを手直し!D112</f>
        <v>31.568014233750425</v>
      </c>
      <c r="D333" t="str">
        <f>怪しいデータを手直し!G112</f>
        <v>af</v>
      </c>
      <c r="E333">
        <f>怪しいデータを手直し!T112</f>
        <v>1</v>
      </c>
      <c r="F333">
        <f>IF(怪しいデータを手直し!U112="dead",0,怪しいデータを手直し!U112)</f>
        <v>1.21</v>
      </c>
      <c r="G333">
        <f>怪しいデータを手直し!L112</f>
        <v>1.7</v>
      </c>
    </row>
    <row r="334" spans="1:7">
      <c r="A334">
        <f>怪しいデータを手直し!F152</f>
        <v>336</v>
      </c>
      <c r="B334">
        <f>怪しいデータを手直し!C152</f>
        <v>48.785431380698043</v>
      </c>
      <c r="C334">
        <f>怪しいデータを手直し!D152</f>
        <v>31.465996070483271</v>
      </c>
      <c r="D334" t="str">
        <f>怪しいデータを手直し!G152</f>
        <v>af</v>
      </c>
      <c r="E334">
        <f>怪しいデータを手直し!T152</f>
        <v>1.28</v>
      </c>
      <c r="F334">
        <f>IF(怪しいデータを手直し!U152="dead",0,怪しいデータを手直し!U152)</f>
        <v>1.7100000000000002</v>
      </c>
      <c r="G334">
        <f>怪しいデータを手直し!L152</f>
        <v>2.1</v>
      </c>
    </row>
    <row r="335" spans="1:7">
      <c r="A335">
        <f>怪しいデータを手直し!F19</f>
        <v>337</v>
      </c>
      <c r="B335">
        <f>怪しいデータを手直し!C19</f>
        <v>48.673566100653304</v>
      </c>
      <c r="C335">
        <f>怪しいデータを手直し!D19</f>
        <v>31.017407216696064</v>
      </c>
      <c r="D335" t="str">
        <f>怪しいデータを手直し!G19</f>
        <v>af</v>
      </c>
      <c r="E335">
        <f>怪しいデータを手直し!T19</f>
        <v>0.37</v>
      </c>
      <c r="F335">
        <f>IF(怪しいデータを手直し!U19="dead",0,怪しいデータを手直し!U19)</f>
        <v>0</v>
      </c>
      <c r="G335">
        <f>怪しいデータを手直し!L19</f>
        <v>1.3</v>
      </c>
    </row>
    <row r="336" spans="1:7">
      <c r="A336">
        <f>怪しいデータを手直し!F465</f>
        <v>338</v>
      </c>
      <c r="B336">
        <f>怪しいデータを手直し!C465</f>
        <v>48.274236971404648</v>
      </c>
      <c r="C336">
        <f>怪しいデータを手直し!D465</f>
        <v>30.59705673902403</v>
      </c>
      <c r="D336" t="str">
        <f>怪しいデータを手直し!G465</f>
        <v>af</v>
      </c>
      <c r="E336">
        <f>怪しいデータを手直し!T465</f>
        <v>5.4749300423611995</v>
      </c>
      <c r="F336">
        <f>IF(怪しいデータを手直し!U465="dead",0,怪しいデータを手直し!U465)</f>
        <v>0</v>
      </c>
      <c r="G336">
        <f>怪しいデータを手直し!L465</f>
        <v>3.4</v>
      </c>
    </row>
    <row r="337" spans="1:7">
      <c r="A337">
        <f>怪しいデータを手直し!F87</f>
        <v>339</v>
      </c>
      <c r="B337">
        <f>怪しいデータを手直し!C87</f>
        <v>49.93570259265578</v>
      </c>
      <c r="C337">
        <f>怪しいデータを手直し!D87</f>
        <v>30.790224441203314</v>
      </c>
      <c r="D337" t="str">
        <f>怪しいデータを手直し!G87</f>
        <v>af</v>
      </c>
      <c r="E337">
        <f>怪しいデータを手直し!T87</f>
        <v>0.83</v>
      </c>
      <c r="F337">
        <f>IF(怪しいデータを手直し!U87="dead",0,怪しいデータを手直し!U87)</f>
        <v>0</v>
      </c>
      <c r="G337">
        <f>怪しいデータを手直し!L87</f>
        <v>1.5</v>
      </c>
    </row>
    <row r="338" spans="1:7">
      <c r="A338">
        <f>怪しいデータを手直し!F174</f>
        <v>340</v>
      </c>
      <c r="B338">
        <f>怪しいデータを手直し!C174</f>
        <v>49.824853784818124</v>
      </c>
      <c r="C338">
        <f>怪しいデータを手直し!D174</f>
        <v>32.281987056028768</v>
      </c>
      <c r="D338" t="str">
        <f>怪しいデータを手直し!G174</f>
        <v>af</v>
      </c>
      <c r="E338">
        <f>怪しいデータを手直し!T174</f>
        <v>1.4</v>
      </c>
      <c r="F338">
        <f>IF(怪しいデータを手直し!U174="dead",0,怪しいデータを手直し!U174)</f>
        <v>0</v>
      </c>
      <c r="G338">
        <f>怪しいデータを手直し!L174</f>
        <v>1.4</v>
      </c>
    </row>
    <row r="339" spans="1:7">
      <c r="A339">
        <f>怪しいデータを手直し!F57</f>
        <v>341</v>
      </c>
      <c r="B339">
        <f>怪しいデータを手直し!C57</f>
        <v>44.901832820608057</v>
      </c>
      <c r="C339">
        <f>怪しいデータを手直し!D57</f>
        <v>34.030813170039757</v>
      </c>
      <c r="D339" t="str">
        <f>怪しいデータを手直し!G57</f>
        <v>lc</v>
      </c>
      <c r="E339">
        <f>怪しいデータを手直し!T57</f>
        <v>0.63</v>
      </c>
      <c r="F339">
        <f>IF(怪しいデータを手直し!U57="dead",0,怪しいデータを手直し!U57)</f>
        <v>1.3900000000000001</v>
      </c>
      <c r="G339">
        <f>怪しいデータを手直し!L57</f>
        <v>1.4</v>
      </c>
    </row>
    <row r="340" spans="1:7">
      <c r="A340">
        <f>怪しいデータを手直し!F666</f>
        <v>342</v>
      </c>
      <c r="B340">
        <f>怪しいデータを手直し!C666</f>
        <v>43.199272330210086</v>
      </c>
      <c r="C340">
        <f>怪しいデータを手直し!D666</f>
        <v>33.055325553969148</v>
      </c>
      <c r="D340" t="str">
        <f>怪しいデータを手直し!G666</f>
        <v>lc</v>
      </c>
      <c r="E340">
        <f>怪しいデータを手直し!T666</f>
        <v>20.84929754503829</v>
      </c>
      <c r="F340">
        <f>IF(怪しいデータを手直し!U666="dead",0,怪しいデータを手直し!U666)</f>
        <v>0</v>
      </c>
      <c r="G340">
        <f>怪しいデータを手直し!L666</f>
        <v>7.9</v>
      </c>
    </row>
    <row r="341" spans="1:7">
      <c r="A341">
        <f>怪しいデータを手直し!F404</f>
        <v>343</v>
      </c>
      <c r="B341">
        <f>怪しいデータを手直し!C404</f>
        <v>41.87688214569787</v>
      </c>
      <c r="C341">
        <f>怪しいデータを手直し!D404</f>
        <v>35.680861622369804</v>
      </c>
      <c r="D341" t="str">
        <f>怪しいデータを手直し!G404</f>
        <v>lc</v>
      </c>
      <c r="E341">
        <f>怪しいデータを手直し!T404</f>
        <v>4.0425355545341413</v>
      </c>
      <c r="F341">
        <f>IF(怪しいデータを手直し!U404="dead",0,怪しいデータを手直し!U404)</f>
        <v>0</v>
      </c>
      <c r="G341">
        <f>怪しいデータを手直し!L404</f>
        <v>4.5</v>
      </c>
    </row>
    <row r="342" spans="1:7">
      <c r="A342">
        <f>怪しいデータを手直し!F159</f>
        <v>344</v>
      </c>
      <c r="B342">
        <f>怪しいデータを手直し!C159</f>
        <v>43.446618132143705</v>
      </c>
      <c r="C342">
        <f>怪しいデータを手直し!D159</f>
        <v>36.456599642426447</v>
      </c>
      <c r="D342" t="str">
        <f>怪しいデータを手直し!G159</f>
        <v>lc</v>
      </c>
      <c r="E342">
        <f>怪しいデータを手直し!T159</f>
        <v>1.32</v>
      </c>
      <c r="F342">
        <f>IF(怪しいデータを手直し!U159="dead",0,怪しいデータを手直し!U159)</f>
        <v>2.3554931577600513</v>
      </c>
      <c r="G342">
        <f>怪しいデータを手直し!L159</f>
        <v>2.6</v>
      </c>
    </row>
    <row r="343" spans="1:7">
      <c r="A343">
        <f>怪しいデータを手直し!F100</f>
        <v>345</v>
      </c>
      <c r="B343">
        <f>怪しいデータを手直し!C100</f>
        <v>41.809840918419845</v>
      </c>
      <c r="C343">
        <f>怪しいデータを手直し!D100</f>
        <v>38.003454428666828</v>
      </c>
      <c r="D343" t="str">
        <f>怪しいデータを手直し!G100</f>
        <v>lc</v>
      </c>
      <c r="E343">
        <f>怪しいデータを手直し!T100</f>
        <v>0.91</v>
      </c>
      <c r="F343">
        <f>IF(怪しいデータを手直し!U100="dead",0,怪しいデータを手直し!U100)</f>
        <v>1.9899999999999998</v>
      </c>
      <c r="G343">
        <f>怪しいデータを手直し!L100</f>
        <v>2.4</v>
      </c>
    </row>
    <row r="344" spans="1:7">
      <c r="A344">
        <f>怪しいデータを手直し!F365</f>
        <v>346</v>
      </c>
      <c r="B344">
        <f>怪しいデータを手直し!C365</f>
        <v>48.602251723417794</v>
      </c>
      <c r="C344">
        <f>怪しいデータを手直し!D365</f>
        <v>41.659879439992999</v>
      </c>
      <c r="D344" t="str">
        <f>怪しいデータを手直し!G365</f>
        <v>bp</v>
      </c>
      <c r="E344">
        <f>怪しいデータを手直し!T365</f>
        <v>3.3422538049298023</v>
      </c>
      <c r="F344">
        <f>IF(怪しいデータを手直し!U365="dead",0,怪しいデータを手直し!U365)</f>
        <v>3.2785918276930444</v>
      </c>
      <c r="G344">
        <f>怪しいデータを手直し!L365</f>
        <v>3.3</v>
      </c>
    </row>
    <row r="345" spans="1:7">
      <c r="A345">
        <f>怪しいデータを手直し!F549</f>
        <v>347</v>
      </c>
      <c r="B345">
        <f>怪しいデータを手直し!C549</f>
        <v>49.006355480452719</v>
      </c>
      <c r="C345">
        <f>怪しいデータを手直し!D549</f>
        <v>42.140623873727854</v>
      </c>
      <c r="D345" t="str">
        <f>怪しいデータを手直し!G549</f>
        <v>bp</v>
      </c>
      <c r="E345">
        <f>怪しいデータを手直し!T549</f>
        <v>8.5625359383439683</v>
      </c>
      <c r="F345">
        <f>IF(怪しいデータを手直し!U549="dead",0,怪しいデータを手直し!U549)</f>
        <v>9.2946486765666876</v>
      </c>
      <c r="G345">
        <f>怪しいデータを手直し!L549</f>
        <v>8.6</v>
      </c>
    </row>
    <row r="346" spans="1:7">
      <c r="A346">
        <f>怪しいデータを手直し!F395</f>
        <v>348</v>
      </c>
      <c r="B346">
        <f>怪しいデータを手直し!C395</f>
        <v>49.32416780950124</v>
      </c>
      <c r="C346">
        <f>怪しいデータを手直し!D395</f>
        <v>42.156583142446785</v>
      </c>
      <c r="D346" t="str">
        <f>怪しいデータを手直し!G395</f>
        <v>bp</v>
      </c>
      <c r="E346">
        <f>怪しいデータを手直し!T395</f>
        <v>3.7878876455871091</v>
      </c>
      <c r="F346">
        <f>IF(怪しいデータを手直し!U395="dead",0,怪しいデータを手直し!U395)</f>
        <v>3.9152116000606259</v>
      </c>
      <c r="G346">
        <f>怪しいデータを手直し!L395</f>
        <v>5.4</v>
      </c>
    </row>
    <row r="347" spans="1:7">
      <c r="A347">
        <f>怪しいデータを手直し!F482</f>
        <v>349</v>
      </c>
      <c r="B347">
        <f>怪しいデータを手直し!C482</f>
        <v>49.59543713340743</v>
      </c>
      <c r="C347">
        <f>怪しいデータを手直し!D482</f>
        <v>42.182825894791982</v>
      </c>
      <c r="D347" t="str">
        <f>怪しいデータを手直し!G482</f>
        <v>bp</v>
      </c>
      <c r="E347">
        <f>怪しいデータを手直し!T482</f>
        <v>5.7295779513082321</v>
      </c>
      <c r="F347">
        <f>IF(怪しいデータを手直し!U482="dead",0,怪しいデータを手直し!U482)</f>
        <v>6.0478878374920226</v>
      </c>
      <c r="G347">
        <f>怪しいデータを手直し!L482</f>
        <v>6.8</v>
      </c>
    </row>
    <row r="348" spans="1:7">
      <c r="A348">
        <f>怪しいデータを手直し!F204</f>
        <v>350</v>
      </c>
      <c r="B348">
        <f>怪しいデータを手直し!C204</f>
        <v>49.266331268088543</v>
      </c>
      <c r="C348">
        <f>怪しいデータを手直し!D204</f>
        <v>42.28511054258113</v>
      </c>
      <c r="D348" t="str">
        <f>怪しいデータを手直し!G204</f>
        <v>bp</v>
      </c>
      <c r="E348">
        <f>怪しいデータを手直し!T204</f>
        <v>1.63</v>
      </c>
      <c r="F348">
        <f>IF(怪しいデータを手直し!U204="dead",0,怪しいデータを手直し!U204)</f>
        <v>1.6800000000000002</v>
      </c>
      <c r="G348">
        <f>怪しいデータを手直し!L204</f>
        <v>3.4</v>
      </c>
    </row>
    <row r="349" spans="1:7">
      <c r="A349">
        <f>怪しいデータを手直し!F119</f>
        <v>351</v>
      </c>
      <c r="B349">
        <f>怪しいデータを手直し!C119</f>
        <v>49.237615308286394</v>
      </c>
      <c r="C349">
        <f>怪しいデータを手直し!D119</f>
        <v>42.694210381882002</v>
      </c>
      <c r="D349" t="str">
        <f>怪しいデータを手直し!G119</f>
        <v>bp</v>
      </c>
      <c r="E349">
        <f>怪しいデータを手直し!T119</f>
        <v>1.05</v>
      </c>
      <c r="F349">
        <f>IF(怪しいデータを手直し!U119="dead",0,怪しいデータを手直し!U119)</f>
        <v>1.1300000000000001</v>
      </c>
      <c r="G349">
        <f>怪しいデータを手直し!L119</f>
        <v>2.2000000000000002</v>
      </c>
    </row>
    <row r="350" spans="1:7">
      <c r="A350">
        <f>怪しいデータを手直し!F356</f>
        <v>352</v>
      </c>
      <c r="B350">
        <f>怪しいデータを手直し!C356</f>
        <v>49.818309622430874</v>
      </c>
      <c r="C350">
        <f>怪しいデータを手直し!D356</f>
        <v>45.476987183360826</v>
      </c>
      <c r="D350" t="str">
        <f>怪しいデータを手直し!G356</f>
        <v>bp</v>
      </c>
      <c r="E350">
        <f>怪しいデータを手直し!T356</f>
        <v>3.214929850456286</v>
      </c>
      <c r="F350">
        <f>IF(怪しいデータを手直し!U356="dead",0,怪しいデータを手直し!U356)</f>
        <v>3.5969017138768349</v>
      </c>
      <c r="G350">
        <f>怪しいデータを手直し!L356</f>
        <v>4.7</v>
      </c>
    </row>
    <row r="351" spans="1:7">
      <c r="A351">
        <f>怪しいデータを手直し!F478</f>
        <v>353</v>
      </c>
      <c r="B351">
        <f>怪しいデータを手直し!C478</f>
        <v>46.208042528020819</v>
      </c>
      <c r="C351">
        <f>怪しいデータを手直し!D478</f>
        <v>45.883966224469788</v>
      </c>
      <c r="D351" t="str">
        <f>怪しいデータを手直し!G478</f>
        <v>lc</v>
      </c>
      <c r="E351">
        <f>怪しいデータを手直し!T478</f>
        <v>5.6977469626898527</v>
      </c>
      <c r="F351">
        <f>IF(怪しいデータを手直し!U478="dead",0,怪しいデータを手直し!U478)</f>
        <v>7.0983104618985324</v>
      </c>
      <c r="G351">
        <f>怪しいデータを手直し!L478</f>
        <v>6.8</v>
      </c>
    </row>
    <row r="352" spans="1:7">
      <c r="A352">
        <f>怪しいデータを手直し!F530</f>
        <v>354</v>
      </c>
      <c r="B352">
        <f>怪しいデータを手直し!C530</f>
        <v>45.361908717962699</v>
      </c>
      <c r="C352">
        <f>怪しいデータを手直し!D530</f>
        <v>45.727565735937873</v>
      </c>
      <c r="D352" t="str">
        <f>怪しいデータを手直し!G530</f>
        <v>lc</v>
      </c>
      <c r="E352">
        <f>怪しいデータを手直し!T530</f>
        <v>7.4484513367007015</v>
      </c>
      <c r="F352">
        <f>IF(怪しいデータを手直し!U530="dead",0,怪しいデータを手直し!U530)</f>
        <v>8.753521870054243</v>
      </c>
      <c r="G352">
        <f>怪しいデータを手直し!L530</f>
        <v>7.9</v>
      </c>
    </row>
    <row r="353" spans="1:7">
      <c r="A353">
        <f>怪しいデータを手直し!F76</f>
        <v>355</v>
      </c>
      <c r="B353">
        <f>怪しいデータを手直し!C76</f>
        <v>41.788521062382372</v>
      </c>
      <c r="C353">
        <f>怪しいデータを手直し!D76</f>
        <v>44.856255106258537</v>
      </c>
      <c r="D353" t="str">
        <f>怪しいデータを手直し!G76</f>
        <v>lc</v>
      </c>
      <c r="E353">
        <f>怪しいデータを手直し!T76</f>
        <v>0.75</v>
      </c>
      <c r="F353">
        <f>IF(怪しいデータを手直し!U76="dead",0,怪しいデータを手直し!U76)</f>
        <v>0</v>
      </c>
      <c r="G353">
        <f>怪しいデータを手直し!L76</f>
        <v>1.8</v>
      </c>
    </row>
    <row r="354" spans="1:7">
      <c r="A354">
        <f>怪しいデータを手直し!F186</f>
        <v>356</v>
      </c>
      <c r="B354">
        <f>怪しいデータを手直し!C186</f>
        <v>41.55964685708858</v>
      </c>
      <c r="C354">
        <f>怪しいデータを手直し!D186</f>
        <v>45.418610414390876</v>
      </c>
      <c r="D354" t="str">
        <f>怪しいデータを手直し!G186</f>
        <v>bp</v>
      </c>
      <c r="E354">
        <f>怪しいデータを手直し!T186</f>
        <v>1.51</v>
      </c>
      <c r="F354">
        <f>IF(怪しいデータを手直し!U186="dead",0,怪しいデータを手直し!U186)</f>
        <v>1.5699999999999998</v>
      </c>
      <c r="G354">
        <f>怪しいデータを手直し!L186</f>
        <v>2.9</v>
      </c>
    </row>
    <row r="355" spans="1:7">
      <c r="A355">
        <f>怪しいデータを手直し!F368</f>
        <v>357</v>
      </c>
      <c r="B355">
        <f>怪しいデータを手直し!C368</f>
        <v>41.65028445993098</v>
      </c>
      <c r="C355">
        <f>怪しいデータを手直し!D368</f>
        <v>45.484737951801335</v>
      </c>
      <c r="D355" t="str">
        <f>怪しいデータを手直し!G368</f>
        <v>bp</v>
      </c>
      <c r="E355">
        <f>怪しいデータを手直し!T368</f>
        <v>3.4059157821665602</v>
      </c>
      <c r="F355">
        <f>IF(怪しいデータを手直し!U368="dead",0,怪しいデータを手直し!U368)</f>
        <v>3.8197186342054881</v>
      </c>
      <c r="G355">
        <f>怪しいデータを手直し!L368</f>
        <v>4.4000000000000004</v>
      </c>
    </row>
    <row r="356" spans="1:7">
      <c r="A356">
        <f>怪しいデータを手直し!F412</f>
        <v>358</v>
      </c>
      <c r="B356">
        <f>怪しいデータを手直し!C412</f>
        <v>41.490106932122359</v>
      </c>
      <c r="C356">
        <f>怪しいデータを手直し!D412</f>
        <v>45.568717982919232</v>
      </c>
      <c r="D356" t="str">
        <f>怪しいデータを手直し!G412</f>
        <v>bp</v>
      </c>
      <c r="E356">
        <f>怪しいデータを手直し!T412</f>
        <v>4.1061975317709001</v>
      </c>
      <c r="F356">
        <f>IF(怪しいデータを手直し!U412="dead",0,怪しいデータを手直し!U412)</f>
        <v>0</v>
      </c>
      <c r="G356">
        <f>怪しいデータを手直し!L412</f>
        <v>1.6</v>
      </c>
    </row>
    <row r="357" spans="1:7">
      <c r="A357">
        <f>怪しいデータを手直し!F369</f>
        <v>359</v>
      </c>
      <c r="B357">
        <f>怪しいデータを手直し!C369</f>
        <v>41.480789789383856</v>
      </c>
      <c r="C357">
        <f>怪しいデータを手直し!D369</f>
        <v>45.681606937067514</v>
      </c>
      <c r="D357" t="str">
        <f>怪しいデータを手直し!G369</f>
        <v>bp</v>
      </c>
      <c r="E357">
        <f>怪しいデータを手直し!T369</f>
        <v>3.4059157821665602</v>
      </c>
      <c r="F357">
        <f>IF(怪しいデータを手直し!U369="dead",0,怪しいデータを手直し!U369)</f>
        <v>3.5969017138768349</v>
      </c>
      <c r="G357">
        <f>怪しいデータを手直し!L369</f>
        <v>4.7</v>
      </c>
    </row>
    <row r="358" spans="1:7">
      <c r="A358">
        <f>怪しいデータを手直し!F138</f>
        <v>360</v>
      </c>
      <c r="B358">
        <f>怪しいデータを手直し!C138</f>
        <v>41.347856998834331</v>
      </c>
      <c r="C358">
        <f>怪しいデータを手直し!D138</f>
        <v>45.661803730912965</v>
      </c>
      <c r="D358" t="str">
        <f>怪しいデータを手直し!G138</f>
        <v>bp</v>
      </c>
      <c r="E358">
        <f>怪しいデータを手直し!T138</f>
        <v>1.22</v>
      </c>
      <c r="F358">
        <f>IF(怪しいデータを手直し!U138="dead",0,怪しいデータを手直し!U138)</f>
        <v>1.6870423967740906</v>
      </c>
      <c r="G358">
        <f>怪しいデータを手直し!L138</f>
        <v>2.8</v>
      </c>
    </row>
    <row r="359" spans="1:7">
      <c r="A359">
        <f>怪しいデータを手直し!F124</f>
        <v>361</v>
      </c>
      <c r="B359">
        <f>怪しいデータを手直し!C124</f>
        <v>40.403688025885337</v>
      </c>
      <c r="C359">
        <f>怪しいデータを手直し!D124</f>
        <v>48.917443383361821</v>
      </c>
      <c r="D359" t="str">
        <f>怪しいデータを手直し!G124</f>
        <v>lc</v>
      </c>
      <c r="E359">
        <f>怪しいデータを手直し!T124</f>
        <v>1.08</v>
      </c>
      <c r="F359">
        <f>IF(怪しいデータを手直し!U124="dead",0,怪しいデータを手直し!U124)</f>
        <v>1.7507043740108488</v>
      </c>
      <c r="G359">
        <f>怪しいデータを手直し!L124</f>
        <v>2.4</v>
      </c>
    </row>
    <row r="360" spans="1:7">
      <c r="A360">
        <f>怪しいデータを手直し!F359</f>
        <v>362</v>
      </c>
      <c r="B360">
        <f>怪しいデータを手直し!C359</f>
        <v>41.820429060124383</v>
      </c>
      <c r="C360">
        <f>怪しいデータを手直し!D359</f>
        <v>49.212872474941911</v>
      </c>
      <c r="D360" t="str">
        <f>怪しいデータを手直し!G359</f>
        <v>bp</v>
      </c>
      <c r="E360">
        <f>怪しいデータを手直し!T359</f>
        <v>3.2785918276930444</v>
      </c>
      <c r="F360">
        <f>IF(怪しいデータを手直し!U359="dead",0,怪しいデータを手直し!U359)</f>
        <v>0</v>
      </c>
      <c r="G360">
        <f>怪しいデータを手直し!L359</f>
        <v>3.8</v>
      </c>
    </row>
    <row r="361" spans="1:7">
      <c r="A361">
        <f>怪しいデータを手直し!F405</f>
        <v>363</v>
      </c>
      <c r="B361">
        <f>怪しいデータを手直し!C405</f>
        <v>41.6247498349016</v>
      </c>
      <c r="C361">
        <f>怪しいデータを手直し!D405</f>
        <v>49.400174714973076</v>
      </c>
      <c r="D361" t="str">
        <f>怪しいデータを手直し!G405</f>
        <v>bp</v>
      </c>
      <c r="E361">
        <f>怪しいデータを手直し!T405</f>
        <v>4.0425355545341413</v>
      </c>
      <c r="F361">
        <f>IF(怪しいデータを手直し!U405="dead",0,怪しいデータを手直し!U405)</f>
        <v>4.2016904976260365</v>
      </c>
      <c r="G361">
        <f>怪しいデータを手直し!L405</f>
        <v>4.7</v>
      </c>
    </row>
    <row r="362" spans="1:7">
      <c r="A362">
        <f>怪しいデータを手直し!F515</f>
        <v>364</v>
      </c>
      <c r="B362">
        <f>怪しいデータを手直し!C515</f>
        <v>41.733447275510564</v>
      </c>
      <c r="C362">
        <f>怪しいデータを手直し!D515</f>
        <v>49.442807106641339</v>
      </c>
      <c r="D362" t="str">
        <f>怪しいデータを手直し!G515</f>
        <v>bp</v>
      </c>
      <c r="E362">
        <f>怪しいデータを手直し!T515</f>
        <v>6.9391555188066372</v>
      </c>
      <c r="F362">
        <f>IF(怪しいデータを手直し!U515="dead",0,怪しいデータを手直し!U515)</f>
        <v>7.1619724391352904</v>
      </c>
      <c r="G362">
        <f>怪しいデータを手直し!L515</f>
        <v>6.9</v>
      </c>
    </row>
    <row r="363" spans="1:7">
      <c r="A363">
        <f>怪しいデータを手直し!F340</f>
        <v>365</v>
      </c>
      <c r="B363">
        <f>怪しいデータを手直し!C340</f>
        <v>41.85837927428328</v>
      </c>
      <c r="C363">
        <f>怪しいデータを手直し!D340</f>
        <v>49.432158393420885</v>
      </c>
      <c r="D363" t="str">
        <f>怪しいデータを手直し!G340</f>
        <v>bp</v>
      </c>
      <c r="E363">
        <f>怪しいデータを手直し!T340</f>
        <v>2.9921129301276324</v>
      </c>
      <c r="F363">
        <f>IF(怪しいデータを手直し!U340="dead",0,怪しいデータを手直し!U340)</f>
        <v>3.1194368846011491</v>
      </c>
      <c r="G363">
        <f>怪しいデータを手直し!L340</f>
        <v>4.2</v>
      </c>
    </row>
    <row r="364" spans="1:7">
      <c r="A364">
        <f>怪しいデータを手直し!F372</f>
        <v>366</v>
      </c>
      <c r="B364">
        <f>怪しいデータを手直し!C372</f>
        <v>41.910792172547048</v>
      </c>
      <c r="C364">
        <f>怪しいデータを手直し!D372</f>
        <v>49.305569124146778</v>
      </c>
      <c r="D364" t="str">
        <f>怪しいデータを手直し!G372</f>
        <v>bp</v>
      </c>
      <c r="E364">
        <f>怪しいデータを手直し!T372</f>
        <v>3.4377467707849396</v>
      </c>
      <c r="F364">
        <f>IF(怪しいデータを手直し!U372="dead",0,怪しいデータを手直し!U372)</f>
        <v>3.4377467707849396</v>
      </c>
      <c r="G364">
        <f>怪しいデータを手直し!L372</f>
        <v>4.5</v>
      </c>
    </row>
    <row r="365" spans="1:7">
      <c r="A365">
        <f>怪しいデータを手直し!F232</f>
        <v>367</v>
      </c>
      <c r="B365">
        <f>怪しいデータを手直し!C232</f>
        <v>41.956430674594081</v>
      </c>
      <c r="C365">
        <f>怪しいデータを手直し!D232</f>
        <v>49.384593358659124</v>
      </c>
      <c r="D365" t="str">
        <f>怪しいデータを手直し!G232</f>
        <v>bp</v>
      </c>
      <c r="E365">
        <f>怪しいデータを手直し!T232</f>
        <v>1.88</v>
      </c>
      <c r="F365">
        <f>IF(怪しいデータを手直し!U232="dead",0,怪しいデータを手直し!U232)</f>
        <v>2.1645072260497766</v>
      </c>
      <c r="G365">
        <f>怪しいデータを手直し!L232</f>
        <v>4</v>
      </c>
    </row>
    <row r="366" spans="1:7">
      <c r="A366">
        <f>怪しいデータを手直し!F31</f>
        <v>368</v>
      </c>
      <c r="B366">
        <f>怪しいデータを手直し!C31</f>
        <v>41.896156810321528</v>
      </c>
      <c r="C366">
        <f>怪しいデータを手直し!D31</f>
        <v>49.159728465249501</v>
      </c>
      <c r="D366" t="str">
        <f>怪しいデータを手直し!G31</f>
        <v>bp</v>
      </c>
      <c r="E366">
        <f>怪しいデータを手直し!T31</f>
        <v>0.49</v>
      </c>
      <c r="F366">
        <f>IF(怪しいデータを手直し!U31="dead",0,怪しいデータを手直し!U31)</f>
        <v>0.64</v>
      </c>
      <c r="G366">
        <f>怪しいデータを手直し!L31</f>
        <v>2.1</v>
      </c>
    </row>
    <row r="367" spans="1:7">
      <c r="A367">
        <f>怪しいデータを手直し!F11</f>
        <v>401</v>
      </c>
      <c r="B367">
        <f>怪しいデータを手直し!C11</f>
        <v>0.35800174195920847</v>
      </c>
      <c r="C367">
        <f>怪しいデータを手直し!D11</f>
        <v>-3.3896872424404778</v>
      </c>
      <c r="D367" t="str">
        <f>怪しいデータを手直し!G11</f>
        <v>lc</v>
      </c>
      <c r="E367">
        <f>怪しいデータを手直し!T11</f>
        <v>0.24</v>
      </c>
      <c r="F367">
        <f>IF(怪しいデータを手直し!U11="dead",0,怪しいデータを手直し!U11)</f>
        <v>0.99</v>
      </c>
      <c r="G367">
        <f>怪しいデータを手直し!L11</f>
        <v>1.6</v>
      </c>
    </row>
    <row r="368" spans="1:7">
      <c r="A368">
        <f>怪しいデータを手直し!F8</f>
        <v>402</v>
      </c>
      <c r="B368">
        <f>怪しいデータを手直し!C8</f>
        <v>0.99993594683058107</v>
      </c>
      <c r="C368">
        <f>怪しいデータを手直し!D8</f>
        <v>-1.9720346225063956</v>
      </c>
      <c r="D368" t="str">
        <f>怪しいデータを手直し!G8</f>
        <v>lc</v>
      </c>
      <c r="E368">
        <f>怪しいデータを手直し!T8</f>
        <v>0.19</v>
      </c>
      <c r="F368">
        <f>IF(怪しいデータを手直し!U8="dead",0,怪しいデータを手直し!U8)</f>
        <v>0.80999999999999994</v>
      </c>
      <c r="G368">
        <f>怪しいデータを手直し!L8</f>
        <v>1.5</v>
      </c>
    </row>
    <row r="369" spans="1:7">
      <c r="A369">
        <f>怪しいデータを手直し!F77</f>
        <v>403</v>
      </c>
      <c r="B369">
        <f>怪しいデータを手直し!C77</f>
        <v>1.7255461288273115</v>
      </c>
      <c r="C369">
        <f>怪しいデータを手直し!D77</f>
        <v>-2.0859308470743647</v>
      </c>
      <c r="D369" t="str">
        <f>怪しいデータを手直し!G77</f>
        <v>lc</v>
      </c>
      <c r="E369">
        <f>怪しいデータを手直し!T77</f>
        <v>0.75</v>
      </c>
      <c r="F369">
        <f>IF(怪しいデータを手直し!U77="dead",0,怪しいデータを手直し!U77)</f>
        <v>1.1499999999999999</v>
      </c>
      <c r="G369">
        <f>怪しいデータを手直し!L77</f>
        <v>1.8</v>
      </c>
    </row>
    <row r="370" spans="1:7">
      <c r="A370">
        <f>怪しいデータを手直し!F700</f>
        <v>404</v>
      </c>
      <c r="B370">
        <f>怪しいデータを手直し!C700</f>
        <v>2.7557223334190488</v>
      </c>
      <c r="C370">
        <f>怪しいデータを手直し!D700</f>
        <v>-4.5915903981766064</v>
      </c>
      <c r="D370" t="str">
        <f>怪しいデータを手直し!G700</f>
        <v>lc</v>
      </c>
      <c r="E370">
        <f>怪しいデータを手直し!T700</f>
        <v>40.680003454288446</v>
      </c>
      <c r="F370">
        <f>IF(怪しいデータを手直し!U700="dead",0,怪しいデータを手直し!U700)</f>
        <v>0</v>
      </c>
      <c r="G370">
        <f>怪しいデータを手直し!L700</f>
        <v>5.4</v>
      </c>
    </row>
    <row r="371" spans="1:7">
      <c r="A371">
        <f>怪しいデータを手直し!F695</f>
        <v>405</v>
      </c>
      <c r="B371">
        <f>怪しいデータを手直し!C695</f>
        <v>1.2154303413929617</v>
      </c>
      <c r="C371">
        <f>怪しいデータを手直し!D695</f>
        <v>-9.4124380158473588</v>
      </c>
      <c r="D371" t="str">
        <f>怪しいデータを手直し!G695</f>
        <v>lc</v>
      </c>
      <c r="E371">
        <f>怪しいデータを手直し!T695</f>
        <v>32.785918276930438</v>
      </c>
      <c r="F371">
        <f>IF(怪しいデータを手直し!U695="dead",0,怪しいデータを手直し!U695)</f>
        <v>0</v>
      </c>
      <c r="G371">
        <f>怪しいデータを手直し!L695</f>
        <v>14.6</v>
      </c>
    </row>
    <row r="372" spans="1:7">
      <c r="A372">
        <f>怪しいデータを手直し!F652</f>
        <v>406</v>
      </c>
      <c r="B372">
        <f>怪しいデータを手直し!C652</f>
        <v>10.990466041018198</v>
      </c>
      <c r="C372">
        <f>怪しいデータを手直し!D652</f>
        <v>-3.8857530829415468</v>
      </c>
      <c r="D372" t="str">
        <f>怪しいデータを手直し!G652</f>
        <v>lc</v>
      </c>
      <c r="E372">
        <f>怪しいデータを手直し!T652</f>
        <v>18.111832523857689</v>
      </c>
      <c r="F372">
        <f>IF(怪しいデータを手直し!U652="dead",0,怪しいデータを手直し!U652)</f>
        <v>0</v>
      </c>
      <c r="G372">
        <f>怪しいデータを手直し!L652</f>
        <v>11.4</v>
      </c>
    </row>
    <row r="373" spans="1:7">
      <c r="A373">
        <f>怪しいデータを手直し!F488</f>
        <v>407</v>
      </c>
      <c r="B373">
        <f>怪しいデータを手直し!C488</f>
        <v>12.525669415854443</v>
      </c>
      <c r="C373">
        <f>怪しいデータを手直し!D488</f>
        <v>-2.7854252820381808</v>
      </c>
      <c r="D373" t="str">
        <f>怪しいデータを手直し!G488</f>
        <v>lc</v>
      </c>
      <c r="E373">
        <f>怪しいデータを手直し!T488</f>
        <v>5.9523948716368853</v>
      </c>
      <c r="F373">
        <f>IF(怪しいデータを手直し!U488="dead",0,怪しいデータを手直し!U488)</f>
        <v>0</v>
      </c>
      <c r="G373">
        <f>怪しいデータを手直し!L488</f>
        <v>5.6</v>
      </c>
    </row>
    <row r="374" spans="1:7">
      <c r="A374">
        <f>怪しいデータを手直し!F671</f>
        <v>408</v>
      </c>
      <c r="B374">
        <f>怪しいデータを手直し!C671</f>
        <v>16.700577497173406</v>
      </c>
      <c r="C374">
        <f>怪しいデータを手直し!D671</f>
        <v>-0.72791565745859188</v>
      </c>
      <c r="D374" t="str">
        <f>怪しいデータを手直し!G671</f>
        <v>lc</v>
      </c>
      <c r="E374">
        <f>怪しいデータを手直し!T671</f>
        <v>22.027044123918316</v>
      </c>
      <c r="F374">
        <f>IF(怪しいデータを手直し!U671="dead",0,怪しいデータを手直し!U671)</f>
        <v>0</v>
      </c>
      <c r="G374">
        <f>怪しいデータを手直し!L671</f>
        <v>13.5</v>
      </c>
    </row>
    <row r="375" spans="1:7">
      <c r="A375">
        <f>怪しいデータを手直し!F604</f>
        <v>409</v>
      </c>
      <c r="B375">
        <f>怪しいデータを手直し!C604</f>
        <v>17.002655475487977</v>
      </c>
      <c r="C375">
        <f>怪しいデータを手直し!D604</f>
        <v>-10.07550079607055</v>
      </c>
      <c r="D375" t="str">
        <f>怪しいデータを手直し!G604</f>
        <v>bp</v>
      </c>
      <c r="E375">
        <f>怪しいデータを手直し!T604</f>
        <v>12.095775674984045</v>
      </c>
      <c r="F375">
        <f>IF(怪しいデータを手直し!U604="dead",0,怪しいデータを手直し!U604)</f>
        <v>0</v>
      </c>
      <c r="G375">
        <f>怪しいデータを手直し!L604</f>
        <v>2.8</v>
      </c>
    </row>
    <row r="376" spans="1:7">
      <c r="A376">
        <f>怪しいデータを手直し!F306</f>
        <v>410</v>
      </c>
      <c r="B376">
        <f>怪しいデータを手直し!C306</f>
        <v>21.74400471974932</v>
      </c>
      <c r="C376">
        <f>怪しいデータを手直し!D306</f>
        <v>-9.6175914129299045</v>
      </c>
      <c r="D376" t="str">
        <f>怪しいデータを手直し!G306</f>
        <v>bp</v>
      </c>
      <c r="E376">
        <f>怪しいデータを手直し!T306</f>
        <v>2.59</v>
      </c>
      <c r="F376">
        <f>IF(怪しいデータを手直し!U306="dead",0,怪しいデータを手直し!U306)</f>
        <v>2.85</v>
      </c>
      <c r="G376">
        <f>怪しいデータを手直し!L306</f>
        <v>2.7</v>
      </c>
    </row>
    <row r="377" spans="1:7">
      <c r="A377">
        <f>怪しいデータを手直し!F554</f>
        <v>411</v>
      </c>
      <c r="B377">
        <f>怪しいデータを手直し!C554</f>
        <v>21.766250392445837</v>
      </c>
      <c r="C377">
        <f>怪しいデータを手直し!D554</f>
        <v>-9.5225324628643904</v>
      </c>
      <c r="D377" t="str">
        <f>怪しいデータを手直し!G554</f>
        <v>bp</v>
      </c>
      <c r="E377">
        <f>怪しいデータを手直し!T554</f>
        <v>9.0081697790012765</v>
      </c>
      <c r="F377">
        <f>IF(怪しいデータを手直し!U554="dead",0,怪しいデータを手直し!U554)</f>
        <v>0</v>
      </c>
      <c r="G377">
        <f>怪しいデータを手直し!L554</f>
        <v>4.4000000000000004</v>
      </c>
    </row>
    <row r="378" spans="1:7">
      <c r="A378">
        <f>怪しいデータを手直し!F349</f>
        <v>412</v>
      </c>
      <c r="B378">
        <f>怪しいデータを手直し!C349</f>
        <v>21.573591821388145</v>
      </c>
      <c r="C378">
        <f>怪しいデータを手直し!D349</f>
        <v>-9.2921288004261342</v>
      </c>
      <c r="D378" t="str">
        <f>怪しいデータを手直し!G349</f>
        <v>bp</v>
      </c>
      <c r="E378">
        <f>怪しいデータを手直し!T349</f>
        <v>3.1512678732195281</v>
      </c>
      <c r="F378">
        <f>IF(怪しいデータを手直し!U349="dead",0,怪しいデータを手直し!U349)</f>
        <v>3.246760839074665</v>
      </c>
      <c r="G378">
        <f>怪しいデータを手直し!L349</f>
        <v>2.6</v>
      </c>
    </row>
    <row r="379" spans="1:7">
      <c r="A379">
        <f>怪しいデータを手直し!F451</f>
        <v>413</v>
      </c>
      <c r="B379">
        <f>怪しいデータを手直し!C451</f>
        <v>21.622350838410512</v>
      </c>
      <c r="C379">
        <f>怪しいデータを手直し!D451</f>
        <v>-9.3261221968864305</v>
      </c>
      <c r="D379" t="str">
        <f>怪しいデータを手直し!G451</f>
        <v>bp</v>
      </c>
      <c r="E379">
        <f>怪しいデータを手直し!T451</f>
        <v>5.0292962017038931</v>
      </c>
      <c r="F379">
        <f>IF(怪しいデータを手直し!U451="dead",0,怪しいデータを手直し!U451)</f>
        <v>5.156620156177409</v>
      </c>
      <c r="G379">
        <f>怪しいデータを手直し!L451</f>
        <v>5.7</v>
      </c>
    </row>
    <row r="380" spans="1:7">
      <c r="A380">
        <f>怪しいデータを手直し!F310</f>
        <v>414</v>
      </c>
      <c r="B380">
        <f>怪しいデータを手直し!C310</f>
        <v>22.085349303121198</v>
      </c>
      <c r="C380">
        <f>怪しいデータを手直し!D310</f>
        <v>-9.5621753675044623</v>
      </c>
      <c r="D380" t="str">
        <f>怪しいデータを手直し!G310</f>
        <v>bp</v>
      </c>
      <c r="E380">
        <f>怪しいデータを手直し!T310</f>
        <v>2.62</v>
      </c>
      <c r="F380">
        <f>IF(怪しいデータを手直し!U310="dead",0,怪しいデータを手直し!U310)</f>
        <v>2.94</v>
      </c>
      <c r="G380">
        <f>怪しいデータを手直し!L310</f>
        <v>3</v>
      </c>
    </row>
    <row r="381" spans="1:7">
      <c r="A381">
        <f>怪しいデータを手直し!F381</f>
        <v>415</v>
      </c>
      <c r="B381">
        <f>怪しいデータを手直し!C381</f>
        <v>22.256082481683858</v>
      </c>
      <c r="C381">
        <f>怪しいデータを手直し!D381</f>
        <v>-9.5353591675352476</v>
      </c>
      <c r="D381" t="str">
        <f>怪しいデータを手直し!G381</f>
        <v>bp</v>
      </c>
      <c r="E381">
        <f>怪しいデータを手直し!T381</f>
        <v>3.5650707252584555</v>
      </c>
      <c r="F381">
        <f>IF(怪しいデータを手直し!U381="dead",0,怪しいデータを手直し!U381)</f>
        <v>3.851549622823867</v>
      </c>
      <c r="G381">
        <f>怪しいデータを手直し!L381</f>
        <v>3.4</v>
      </c>
    </row>
    <row r="382" spans="1:7">
      <c r="A382">
        <f>怪しいデータを手直し!F25</f>
        <v>416</v>
      </c>
      <c r="B382">
        <f>怪しいデータを手直し!C25</f>
        <v>21.464943970627026</v>
      </c>
      <c r="C382">
        <f>怪しいデータを手直し!D25</f>
        <v>-9.2555552485210217</v>
      </c>
      <c r="D382" t="str">
        <f>怪しいデータを手直し!G25</f>
        <v>bp</v>
      </c>
      <c r="E382">
        <f>怪しいデータを手直し!T25</f>
        <v>0.43</v>
      </c>
      <c r="F382">
        <f>IF(怪しいデータを手直し!U25="dead",0,怪しいデータを手直し!U25)</f>
        <v>0.5</v>
      </c>
      <c r="G382">
        <f>怪しいデータを手直し!L25</f>
        <v>1.4</v>
      </c>
    </row>
    <row r="383" spans="1:7">
      <c r="A383">
        <f>怪しいデータを手直し!F36</f>
        <v>417</v>
      </c>
      <c r="B383">
        <f>怪しいデータを手直し!C36</f>
        <v>21.487636454088175</v>
      </c>
      <c r="C383">
        <f>怪しいデータを手直し!D36</f>
        <v>-9.1917327521203234</v>
      </c>
      <c r="D383" t="str">
        <f>怪しいデータを手直し!G36</f>
        <v>bp</v>
      </c>
      <c r="E383">
        <f>怪しいデータを手直し!T36</f>
        <v>0.5</v>
      </c>
      <c r="F383">
        <f>IF(怪しいデータを手直し!U36="dead",0,怪しいデータを手直し!U36)</f>
        <v>0.64</v>
      </c>
      <c r="G383">
        <f>怪しいデータを手直し!L36</f>
        <v>1.7</v>
      </c>
    </row>
    <row r="384" spans="1:7">
      <c r="A384">
        <f>怪しいデータを手直し!F571</f>
        <v>418</v>
      </c>
      <c r="B384">
        <f>怪しいデータを手直し!C571</f>
        <v>28.096502686916914</v>
      </c>
      <c r="C384">
        <f>怪しいデータを手直し!D571</f>
        <v>-4.7002215407223211</v>
      </c>
      <c r="D384" t="str">
        <f>怪しいデータを手直し!G571</f>
        <v>bp</v>
      </c>
      <c r="E384">
        <f>怪しいデータを手直し!T571</f>
        <v>10.313240312354818</v>
      </c>
      <c r="F384">
        <f>IF(怪しいデータを手直し!U571="dead",0,怪しいデータを手直し!U571)</f>
        <v>9.6766205399872369</v>
      </c>
      <c r="G384">
        <f>怪しいデータを手直し!L571</f>
        <v>6.1</v>
      </c>
    </row>
    <row r="385" spans="1:7">
      <c r="A385">
        <f>怪しいデータを手直し!F424</f>
        <v>419</v>
      </c>
      <c r="B385">
        <f>怪しいデータを手直し!C424</f>
        <v>28.216300026749987</v>
      </c>
      <c r="C385">
        <f>怪しいデータを手直し!D424</f>
        <v>-4.6050009323052059</v>
      </c>
      <c r="D385" t="str">
        <f>怪しいデータを手直し!G424</f>
        <v>bp</v>
      </c>
      <c r="E385">
        <f>怪しいデータを手直し!T424</f>
        <v>4.3608454407179318</v>
      </c>
      <c r="F385">
        <f>IF(怪しいデータを手直し!U424="dead",0,怪しいデータを手直し!U424)</f>
        <v>4.9656342244671343</v>
      </c>
      <c r="G385">
        <f>怪しいデータを手直し!L424</f>
        <v>4.7</v>
      </c>
    </row>
    <row r="386" spans="1:7">
      <c r="A386">
        <f>怪しいデータを手直し!F580</f>
        <v>420</v>
      </c>
      <c r="B386">
        <f>怪しいデータを手直し!C580</f>
        <v>27.496033648053988</v>
      </c>
      <c r="C386">
        <f>怪しいデータを手直し!D580</f>
        <v>-9.3665763902395547</v>
      </c>
      <c r="D386" t="str">
        <f>怪しいデータを手直し!G580</f>
        <v>lc</v>
      </c>
      <c r="E386">
        <f>怪しいデータを手直し!T580</f>
        <v>10.631550198538608</v>
      </c>
      <c r="F386">
        <f>IF(怪しいデータを手直し!U580="dead",0,怪しいデータを手直し!U580)</f>
        <v>0</v>
      </c>
      <c r="G386">
        <f>怪しいデータを手直し!L580</f>
        <v>7.7</v>
      </c>
    </row>
    <row r="387" spans="1:7">
      <c r="A387">
        <f>怪しいデータを手直し!F516</f>
        <v>421</v>
      </c>
      <c r="B387">
        <f>怪しいデータを手直し!C516</f>
        <v>31.683064910093709</v>
      </c>
      <c r="C387">
        <f>怪しいデータを手直し!D516</f>
        <v>-7.3137031604296894</v>
      </c>
      <c r="D387" t="str">
        <f>怪しいデータを手直し!G516</f>
        <v>pt</v>
      </c>
      <c r="E387">
        <f>怪しいデータを手直し!T516</f>
        <v>6.9391555188066372</v>
      </c>
      <c r="F387">
        <f>IF(怪しいデータを手直し!U516="dead",0,怪しいデータを手直し!U516)</f>
        <v>7.0028174960433951</v>
      </c>
      <c r="G387">
        <f>怪しいデータを手直し!L516</f>
        <v>7.6</v>
      </c>
    </row>
    <row r="388" spans="1:7">
      <c r="A388">
        <f>怪しいデータを手直し!F366</f>
        <v>422</v>
      </c>
      <c r="B388">
        <f>怪しいデータを手直し!C366</f>
        <v>32.579202742904585</v>
      </c>
      <c r="C388">
        <f>怪しいデータを手直し!D366</f>
        <v>-4.1813516974227438</v>
      </c>
      <c r="D388" t="str">
        <f>怪しいデータを手直し!G366</f>
        <v>bp</v>
      </c>
      <c r="E388">
        <f>怪しいデータを手直し!T366</f>
        <v>3.3422538049298023</v>
      </c>
      <c r="F388">
        <f>IF(怪しいデータを手直し!U366="dead",0,怪しいデータを手直し!U366)</f>
        <v>3.7878876455871091</v>
      </c>
      <c r="G388">
        <f>怪しいデータを手直し!L366</f>
        <v>4.0999999999999996</v>
      </c>
    </row>
    <row r="389" spans="1:7">
      <c r="A389">
        <f>怪しいデータを手直し!F595</f>
        <v>423</v>
      </c>
      <c r="B389">
        <f>怪しいデータを手直し!C595</f>
        <v>32.700022916406624</v>
      </c>
      <c r="C389">
        <f>怪しいデータを手直し!D595</f>
        <v>-4.0462839688971055</v>
      </c>
      <c r="D389" t="str">
        <f>怪しいデータを手直し!G595</f>
        <v>bp</v>
      </c>
      <c r="E389">
        <f>怪しいデータを手直し!T595</f>
        <v>11.618310845708359</v>
      </c>
      <c r="F389">
        <f>IF(怪しいデータを手直し!U595="dead",0,怪しいデータを手直し!U595)</f>
        <v>11.777465788800255</v>
      </c>
      <c r="G389">
        <f>怪しいデータを手直し!L595</f>
        <v>8.1</v>
      </c>
    </row>
    <row r="390" spans="1:7">
      <c r="A390">
        <f>怪しいデータを手直し!F288</f>
        <v>424</v>
      </c>
      <c r="B390">
        <f>怪しいデータを手直し!C288</f>
        <v>32.809033307619565</v>
      </c>
      <c r="C390">
        <f>怪しいデータを手直し!D288</f>
        <v>-4.19762134732012</v>
      </c>
      <c r="D390" t="str">
        <f>怪しいデータを手直し!G288</f>
        <v>bp</v>
      </c>
      <c r="E390">
        <f>怪しいデータを手直し!T288</f>
        <v>2.36</v>
      </c>
      <c r="F390">
        <f>IF(怪しいデータを手直し!U288="dead",0,怪しいデータを手直し!U288)</f>
        <v>2.65</v>
      </c>
      <c r="G390">
        <f>怪しいデータを手直し!L288</f>
        <v>4.8</v>
      </c>
    </row>
    <row r="391" spans="1:7">
      <c r="A391">
        <f>怪しいデータを手直し!F512</f>
        <v>425</v>
      </c>
      <c r="B391">
        <f>怪しいデータを手直し!C512</f>
        <v>32.773001461476369</v>
      </c>
      <c r="C391">
        <f>怪しいデータを手直し!D512</f>
        <v>-3.8493421389108899</v>
      </c>
      <c r="D391" t="str">
        <f>怪しいデータを手直し!G512</f>
        <v>bp</v>
      </c>
      <c r="E391">
        <f>怪しいデータを手直し!T512</f>
        <v>6.8118315643331204</v>
      </c>
      <c r="F391">
        <f>IF(怪しいデータを手直し!U512="dead",0,怪しいデータを手直し!U512)</f>
        <v>7.0028174960433951</v>
      </c>
      <c r="G391">
        <f>怪しいデータを手直し!L512</f>
        <v>6.9</v>
      </c>
    </row>
    <row r="392" spans="1:7">
      <c r="A392">
        <f>怪しいデータを手直し!F398</f>
        <v>426</v>
      </c>
      <c r="B392">
        <f>怪しいデータを手直し!C398</f>
        <v>33.758862366994734</v>
      </c>
      <c r="C392">
        <f>怪しいデータを手直し!D398</f>
        <v>-1.9829056980795468</v>
      </c>
      <c r="D392" t="str">
        <f>怪しいデータを手直し!G398</f>
        <v>bp</v>
      </c>
      <c r="E392">
        <f>怪しいデータを手直し!T398</f>
        <v>3.883380611442246</v>
      </c>
      <c r="F392">
        <f>IF(怪しいデータを手直し!U398="dead",0,怪しいデータを手直し!U398)</f>
        <v>4.0743665431525207</v>
      </c>
      <c r="G392">
        <f>怪しいデータを手直し!L398</f>
        <v>4.7</v>
      </c>
    </row>
    <row r="393" spans="1:7">
      <c r="A393">
        <f>怪しいデータを手直し!F464</f>
        <v>427</v>
      </c>
      <c r="B393">
        <f>怪しいデータを手直し!C464</f>
        <v>33.65070084480169</v>
      </c>
      <c r="C393">
        <f>怪しいデータを手直し!D464</f>
        <v>-1.9024386240178419</v>
      </c>
      <c r="D393" t="str">
        <f>怪しいデータを手直し!G464</f>
        <v>bp</v>
      </c>
      <c r="E393">
        <f>怪しいデータを手直し!T464</f>
        <v>5.3476060878876837</v>
      </c>
      <c r="F393">
        <f>IF(怪しいデータを手直し!U464="dead",0,怪しいデータを手直し!U464)</f>
        <v>5.6659159740714742</v>
      </c>
      <c r="G393">
        <f>怪しいデータを手直し!L464</f>
        <v>5.7</v>
      </c>
    </row>
    <row r="394" spans="1:7">
      <c r="A394">
        <f>怪しいデータを手直し!F517</f>
        <v>428</v>
      </c>
      <c r="B394">
        <f>怪しいデータを手直し!C517</f>
        <v>33.019969865726083</v>
      </c>
      <c r="C394">
        <f>怪しいデータを手直し!D517</f>
        <v>-9.3524821819996067</v>
      </c>
      <c r="D394" t="str">
        <f>怪しいデータを手直し!G517</f>
        <v>pt</v>
      </c>
      <c r="E394">
        <f>怪しいデータを手直し!T517</f>
        <v>7.0346484846617745</v>
      </c>
      <c r="F394">
        <f>IF(怪しいデータを手直し!U517="dead",0,怪しいデータを手直し!U517)</f>
        <v>7.6076062797925967</v>
      </c>
      <c r="G394">
        <f>怪しいデータを手直し!L517</f>
        <v>8.9</v>
      </c>
    </row>
    <row r="395" spans="1:7">
      <c r="A395">
        <f>怪しいデータを手直し!F406</f>
        <v>429</v>
      </c>
      <c r="B395">
        <f>怪しいデータを手直し!C406</f>
        <v>33.766064591840596</v>
      </c>
      <c r="C395">
        <f>怪しいデータを手直し!D406</f>
        <v>-6.9729636066118257</v>
      </c>
      <c r="D395" t="str">
        <f>怪しいデータを手直し!G406</f>
        <v>bp</v>
      </c>
      <c r="E395">
        <f>怪しいデータを手直し!T406</f>
        <v>4.0743665431525207</v>
      </c>
      <c r="F395">
        <f>IF(怪しいデータを手直し!U406="dead",0,怪しいデータを手直し!U406)</f>
        <v>4.2653524748627953</v>
      </c>
      <c r="G395">
        <f>怪しいデータを手直し!L406</f>
        <v>4.7</v>
      </c>
    </row>
    <row r="396" spans="1:7">
      <c r="A396">
        <f>怪しいデータを手直し!F561</f>
        <v>430</v>
      </c>
      <c r="B396">
        <f>怪しいデータを手直し!C561</f>
        <v>34.217457461745369</v>
      </c>
      <c r="C396">
        <f>怪しいデータを手直し!D561</f>
        <v>-7.32809023481785</v>
      </c>
      <c r="D396" t="str">
        <f>怪しいデータを手直し!G561</f>
        <v>bp</v>
      </c>
      <c r="E396">
        <f>怪しいデータを手直し!T561</f>
        <v>9.3901416424218258</v>
      </c>
      <c r="F396">
        <f>IF(怪しいデータを手直し!U561="dead",0,怪しいデータを手直し!U561)</f>
        <v>9.4538036196585828</v>
      </c>
      <c r="G396">
        <f>怪しいデータを手直し!L561</f>
        <v>8.6</v>
      </c>
    </row>
    <row r="397" spans="1:7">
      <c r="A397">
        <f>怪しいデータを手直し!F566</f>
        <v>431</v>
      </c>
      <c r="B397">
        <f>怪しいデータを手直し!C566</f>
        <v>34.096027688842931</v>
      </c>
      <c r="C397">
        <f>怪しいデータを手直し!D566</f>
        <v>-6.9396714311873886</v>
      </c>
      <c r="D397" t="str">
        <f>怪しいデータを手直し!G566</f>
        <v>bp</v>
      </c>
      <c r="E397">
        <f>怪しいデータを手直し!T566</f>
        <v>9.9312684489342686</v>
      </c>
      <c r="F397">
        <f>IF(怪しいデータを手直し!U566="dead",0,怪しいデータを手直し!U566)</f>
        <v>0</v>
      </c>
      <c r="G397">
        <f>怪しいデータを手直し!L566</f>
        <v>3.4</v>
      </c>
    </row>
    <row r="398" spans="1:7">
      <c r="A398">
        <f>怪しいデータを手直し!F540</f>
        <v>432</v>
      </c>
      <c r="B398">
        <f>怪しいデータを手直し!C540</f>
        <v>35.335404450103319</v>
      </c>
      <c r="C398">
        <f>怪しいデータを手直し!D540</f>
        <v>-8.6005542683319032</v>
      </c>
      <c r="D398" t="str">
        <f>怪しいデータを手直し!G540</f>
        <v>pt</v>
      </c>
      <c r="E398">
        <f>怪しいデータを手直し!T540</f>
        <v>7.9259161659763873</v>
      </c>
      <c r="F398">
        <f>IF(怪しいデータを手直し!U540="dead",0,怪しいデータを手直し!U540)</f>
        <v>8.3715500066336954</v>
      </c>
      <c r="G398">
        <f>怪しいデータを手直し!L540</f>
        <v>8.1</v>
      </c>
    </row>
    <row r="399" spans="1:7">
      <c r="A399">
        <f>怪しいデータを手直し!F573</f>
        <v>433</v>
      </c>
      <c r="B399">
        <f>怪しいデータを手直し!C573</f>
        <v>35.122213435174388</v>
      </c>
      <c r="C399">
        <f>怪しいデータを手直し!D573</f>
        <v>-6.1890554677341747</v>
      </c>
      <c r="D399" t="str">
        <f>怪しいデータを手直し!G573</f>
        <v>pt</v>
      </c>
      <c r="E399">
        <f>怪しいデータを手直し!T573</f>
        <v>10.345071300973197</v>
      </c>
      <c r="F399">
        <f>IF(怪しいデータを手直し!U573="dead",0,怪しいデータを手直し!U573)</f>
        <v>10.822536130248883</v>
      </c>
      <c r="G399">
        <f>怪しいデータを手直し!L573</f>
        <v>9.1999999999999993</v>
      </c>
    </row>
    <row r="400" spans="1:7">
      <c r="A400">
        <f>怪しいデータを手直し!F130</f>
        <v>434</v>
      </c>
      <c r="B400">
        <f>怪しいデータを手直し!C130</f>
        <v>36.140434147170858</v>
      </c>
      <c r="C400">
        <f>怪しいデータを手直し!D130</f>
        <v>-1.9804145102333841</v>
      </c>
      <c r="D400" t="str">
        <f>怪しいデータを手直し!G130</f>
        <v>bp</v>
      </c>
      <c r="E400">
        <f>怪しいデータを手直し!T130</f>
        <v>1.1299999999999999</v>
      </c>
      <c r="F400">
        <f>IF(怪しいデータを手直し!U130="dead",0,怪しいデータを手直し!U130)</f>
        <v>1.55</v>
      </c>
      <c r="G400">
        <f>怪しいデータを手直し!L130</f>
        <v>2.7</v>
      </c>
    </row>
    <row r="401" spans="1:7">
      <c r="A401">
        <f>怪しいデータを手直し!F524</f>
        <v>435</v>
      </c>
      <c r="B401">
        <f>怪しいデータを手直し!C524</f>
        <v>36.224931257984402</v>
      </c>
      <c r="C401">
        <f>怪しいデータを手直し!D524</f>
        <v>-1.8300026932038236</v>
      </c>
      <c r="D401" t="str">
        <f>怪しいデータを手直し!G524</f>
        <v>bp</v>
      </c>
      <c r="E401">
        <f>怪しいデータを手直し!T524</f>
        <v>7.3211273822271856</v>
      </c>
      <c r="F401">
        <f>IF(怪しいデータを手直し!U524="dead",0,怪しいデータを手直し!U524)</f>
        <v>7.5439443025558388</v>
      </c>
      <c r="G401">
        <f>怪しいデータを手直し!L524</f>
        <v>6.4</v>
      </c>
    </row>
    <row r="402" spans="1:7">
      <c r="A402">
        <f>怪しいデータを手直し!F135</f>
        <v>436</v>
      </c>
      <c r="B402">
        <f>怪しいデータを手直し!C135</f>
        <v>36.376280380840498</v>
      </c>
      <c r="C402">
        <f>怪しいデータを手直し!D135</f>
        <v>-1.9368581730371055</v>
      </c>
      <c r="D402" t="str">
        <f>怪しいデータを手直し!G135</f>
        <v>bp</v>
      </c>
      <c r="E402">
        <f>怪しいデータを手直し!T135</f>
        <v>1.18</v>
      </c>
      <c r="F402">
        <f>IF(怪しいデータを手直し!U135="dead",0,怪しいデータを手直し!U135)</f>
        <v>2.31</v>
      </c>
      <c r="G402">
        <f>怪しいデータを手直し!L135</f>
        <v>3.2</v>
      </c>
    </row>
    <row r="403" spans="1:7">
      <c r="A403">
        <f>怪しいデータを手直し!F139</f>
        <v>437</v>
      </c>
      <c r="B403">
        <f>怪しいデータを手直し!C139</f>
        <v>36.357692293398046</v>
      </c>
      <c r="C403">
        <f>怪しいデータを手直し!D139</f>
        <v>-1.8575191390812584</v>
      </c>
      <c r="D403" t="str">
        <f>怪しいデータを手直し!G139</f>
        <v>bp</v>
      </c>
      <c r="E403">
        <f>怪しいデータを手直し!T139</f>
        <v>1.22</v>
      </c>
      <c r="F403">
        <f>IF(怪しいデータを手直し!U139="dead",0,怪しいデータを手直し!U139)</f>
        <v>1.61</v>
      </c>
      <c r="G403">
        <f>怪しいデータを手直し!L139</f>
        <v>3.1</v>
      </c>
    </row>
    <row r="404" spans="1:7">
      <c r="A404">
        <f>怪しいデータを手直し!F242</f>
        <v>438</v>
      </c>
      <c r="B404">
        <f>怪しいデータを手直し!C242</f>
        <v>36.443441690078132</v>
      </c>
      <c r="C404">
        <f>怪しいデータを手直し!D242</f>
        <v>-2.0492143163001968</v>
      </c>
      <c r="D404" t="str">
        <f>怪しいデータを手直し!G242</f>
        <v>bp</v>
      </c>
      <c r="E404">
        <f>怪しいデータを手直し!T242</f>
        <v>1.99</v>
      </c>
      <c r="F404">
        <f>IF(怪しいデータを手直し!U242="dead",0,怪しいデータを手直し!U242)</f>
        <v>2.08</v>
      </c>
      <c r="G404">
        <f>怪しいデータを手直し!L242</f>
        <v>2.4</v>
      </c>
    </row>
    <row r="405" spans="1:7">
      <c r="A405">
        <f>怪しいデータを手直し!F525</f>
        <v>439</v>
      </c>
      <c r="B405">
        <f>怪しいデータを手直し!C525</f>
        <v>38.599978655638978</v>
      </c>
      <c r="C405">
        <f>怪しいデータを手直し!D525</f>
        <v>-2.2961801529803694</v>
      </c>
      <c r="D405" t="str">
        <f>怪しいデータを手直し!G525</f>
        <v>lc</v>
      </c>
      <c r="E405">
        <f>怪しいデータを手直し!T525</f>
        <v>7.352958370845565</v>
      </c>
      <c r="F405">
        <f>IF(怪しいデータを手直し!U525="dead",0,怪しいデータを手直し!U525)</f>
        <v>0</v>
      </c>
      <c r="G405">
        <f>怪しいデータを手直し!L525</f>
        <v>7.9</v>
      </c>
    </row>
    <row r="406" spans="1:7">
      <c r="A406">
        <f>怪しいデータを手直し!F214</f>
        <v>440</v>
      </c>
      <c r="B406">
        <f>怪しいデータを手直し!C214</f>
        <v>38.84947872844365</v>
      </c>
      <c r="C406">
        <f>怪しいデータを手直し!D214</f>
        <v>-3.9687562805258523</v>
      </c>
      <c r="D406" t="str">
        <f>怪しいデータを手直し!G214</f>
        <v>bp</v>
      </c>
      <c r="E406">
        <f>怪しいデータを手直し!T214</f>
        <v>1.73</v>
      </c>
      <c r="F406">
        <f>IF(怪しいデータを手直し!U214="dead",0,怪しいデータを手直し!U214)</f>
        <v>1.9300000000000002</v>
      </c>
      <c r="G406">
        <f>怪しいデータを手直し!L214</f>
        <v>3</v>
      </c>
    </row>
    <row r="407" spans="1:7">
      <c r="A407">
        <f>怪しいデータを手直し!F208</f>
        <v>441</v>
      </c>
      <c r="B407">
        <f>怪しいデータを手直し!C208</f>
        <v>38.887856973840393</v>
      </c>
      <c r="C407">
        <f>怪しいデータを手直し!D208</f>
        <v>-4.1141493487037444</v>
      </c>
      <c r="D407" t="str">
        <f>怪しいデータを手直し!G208</f>
        <v>bp</v>
      </c>
      <c r="E407">
        <f>怪しいデータを手直し!T208</f>
        <v>1.68</v>
      </c>
      <c r="F407">
        <f>IF(怪しいデータを手直し!U208="dead",0,怪しいデータを手直し!U208)</f>
        <v>0</v>
      </c>
      <c r="G407">
        <f>怪しいデータを手直し!L208</f>
        <v>1.6</v>
      </c>
    </row>
    <row r="408" spans="1:7">
      <c r="A408">
        <f>怪しいデータを手直し!F68</f>
        <v>442</v>
      </c>
      <c r="B408">
        <f>怪しいデータを手直し!C68</f>
        <v>38.88133355192322</v>
      </c>
      <c r="C408">
        <f>怪しいデータを手直し!D68</f>
        <v>-4.1357451131497296</v>
      </c>
      <c r="D408" t="str">
        <f>怪しいデータを手直し!G68</f>
        <v>bp</v>
      </c>
      <c r="E408">
        <f>怪しいデータを手直し!T68</f>
        <v>0.69</v>
      </c>
      <c r="F408">
        <f>IF(怪しいデータを手直し!U68="dead",0,怪しいデータを手直し!U68)</f>
        <v>0</v>
      </c>
      <c r="G408">
        <f>怪しいデータを手直し!L68</f>
        <v>1.4</v>
      </c>
    </row>
    <row r="409" spans="1:7">
      <c r="A409">
        <f>怪しいデータを手直し!F307</f>
        <v>443</v>
      </c>
      <c r="B409">
        <f>怪しいデータを手直し!C307</f>
        <v>38.935523972621638</v>
      </c>
      <c r="C409">
        <f>怪しいデータを手直し!D307</f>
        <v>-4.0240656975551694</v>
      </c>
      <c r="D409" t="str">
        <f>怪しいデータを手直し!G307</f>
        <v>bp</v>
      </c>
      <c r="E409">
        <f>怪しいデータを手直し!T307</f>
        <v>2.59</v>
      </c>
      <c r="F409">
        <f>IF(怪しいデータを手直し!U307="dead",0,怪しいデータを手直し!U307)</f>
        <v>3.1194368846011491</v>
      </c>
      <c r="G409">
        <f>怪しいデータを手直し!L307</f>
        <v>3.4</v>
      </c>
    </row>
    <row r="410" spans="1:7">
      <c r="A410">
        <f>怪しいデータを手直し!F12</f>
        <v>444</v>
      </c>
      <c r="B410">
        <f>怪しいデータを手直し!C12</f>
        <v>38.977269466040433</v>
      </c>
      <c r="C410">
        <f>怪しいデータを手直し!D12</f>
        <v>-4.0167799426306585</v>
      </c>
      <c r="D410" t="str">
        <f>怪しいデータを手直し!G12</f>
        <v>bp</v>
      </c>
      <c r="E410">
        <f>怪しいデータを手直し!T12</f>
        <v>0.26</v>
      </c>
      <c r="F410">
        <f>IF(怪しいデータを手直し!U12="dead",0,怪しいデータを手直し!U12)</f>
        <v>0</v>
      </c>
      <c r="G410">
        <f>怪しいデータを手直し!L12</f>
        <v>1</v>
      </c>
    </row>
    <row r="411" spans="1:7">
      <c r="A411">
        <f>怪しいデータを手直し!F284</f>
        <v>445</v>
      </c>
      <c r="B411">
        <f>怪しいデータを手直し!C284</f>
        <v>39.40833443356302</v>
      </c>
      <c r="C411">
        <f>怪しいデータを手直し!D284</f>
        <v>-8.7311690981486905</v>
      </c>
      <c r="D411" t="str">
        <f>怪しいデータを手直し!G284</f>
        <v>pt</v>
      </c>
      <c r="E411">
        <f>怪しいデータを手直し!T284</f>
        <v>2.34</v>
      </c>
      <c r="F411">
        <f>IF(怪しいデータを手直し!U284="dead",0,怪しいデータを手直し!U284)</f>
        <v>2.8647889756541161</v>
      </c>
      <c r="G411">
        <f>怪しいデータを手直し!L284</f>
        <v>4.3</v>
      </c>
    </row>
    <row r="412" spans="1:7">
      <c r="A412">
        <f>怪しいデータを手直し!F127</f>
        <v>446</v>
      </c>
      <c r="B412">
        <f>怪しいデータを手直し!C127</f>
        <v>39.01488078418457</v>
      </c>
      <c r="C412">
        <f>怪しいデータを手直し!D127</f>
        <v>-2.2019784476682034</v>
      </c>
      <c r="D412" t="str">
        <f>怪しいデータを手直し!G127</f>
        <v>bp</v>
      </c>
      <c r="E412">
        <f>怪しいデータを手直し!T127</f>
        <v>1.0900000000000001</v>
      </c>
      <c r="F412">
        <f>IF(怪しいデータを手直し!U127="dead",0,怪しいデータを手直し!U127)</f>
        <v>1.33</v>
      </c>
      <c r="G412">
        <f>怪しいデータを手直し!L127</f>
        <v>2</v>
      </c>
    </row>
    <row r="413" spans="1:7">
      <c r="A413">
        <f>怪しいデータを手直し!F161</f>
        <v>447</v>
      </c>
      <c r="B413">
        <f>怪しいデータを手直し!C161</f>
        <v>43.411546288263949</v>
      </c>
      <c r="C413">
        <f>怪しいデータを手直し!D161</f>
        <v>-9.4229801363622858</v>
      </c>
      <c r="D413" t="str">
        <f>怪しいデータを手直し!G161</f>
        <v>bp</v>
      </c>
      <c r="E413">
        <f>怪しいデータを手直し!T161</f>
        <v>1.33</v>
      </c>
      <c r="F413">
        <f>IF(怪しいデータを手直し!U161="dead",0,怪しいデータを手直し!U161)</f>
        <v>1.59</v>
      </c>
      <c r="G413">
        <f>怪しいデータを手直し!L161</f>
        <v>1.8</v>
      </c>
    </row>
    <row r="414" spans="1:7">
      <c r="A414">
        <f>怪しいデータを手直し!F104</f>
        <v>448</v>
      </c>
      <c r="B414">
        <f>怪しいデータを手直し!C104</f>
        <v>43.598885535307346</v>
      </c>
      <c r="C414">
        <f>怪しいデータを手直し!D104</f>
        <v>-9.3912940744862272</v>
      </c>
      <c r="D414" t="str">
        <f>怪しいデータを手直し!G104</f>
        <v>bp</v>
      </c>
      <c r="E414">
        <f>怪しいデータを手直し!T104</f>
        <v>0.95</v>
      </c>
      <c r="F414">
        <f>IF(怪しいデータを手直し!U104="dead",0,怪しいデータを手直し!U104)</f>
        <v>1.04</v>
      </c>
      <c r="G414">
        <f>怪しいデータを手直し!L104</f>
        <v>2</v>
      </c>
    </row>
    <row r="415" spans="1:7">
      <c r="A415">
        <f>怪しいデータを手直し!F140</f>
        <v>449</v>
      </c>
      <c r="B415">
        <f>怪しいデータを手直し!C140</f>
        <v>43.511176741472546</v>
      </c>
      <c r="C415">
        <f>怪しいデータを手直し!D140</f>
        <v>-9.4124305231359866</v>
      </c>
      <c r="D415" t="str">
        <f>怪しいデータを手直し!G140</f>
        <v>bp</v>
      </c>
      <c r="E415">
        <f>怪しいデータを手直し!T140</f>
        <v>1.22</v>
      </c>
      <c r="F415">
        <f>IF(怪しいデータを手直し!U140="dead",0,怪しいデータを手直し!U140)</f>
        <v>1.21</v>
      </c>
      <c r="G415">
        <f>怪しいデータを手直し!L140</f>
        <v>1.8</v>
      </c>
    </row>
    <row r="416" spans="1:7">
      <c r="A416">
        <f>怪しいデータを手直し!F507</f>
        <v>450</v>
      </c>
      <c r="B416">
        <f>怪しいデータを手直し!C507</f>
        <v>43.452236059635894</v>
      </c>
      <c r="C416">
        <f>怪しいデータを手直し!D507</f>
        <v>-9.6493346487751737</v>
      </c>
      <c r="D416" t="str">
        <f>怪しいデータを手直し!G507</f>
        <v>bp</v>
      </c>
      <c r="E416">
        <f>怪しいデータを手直し!T507</f>
        <v>6.5253526667677093</v>
      </c>
      <c r="F416">
        <f>IF(怪しいデータを手直し!U507="dead",0,怪しいデータを手直し!U507)</f>
        <v>7.3847893594639435</v>
      </c>
      <c r="G416">
        <f>怪しいデータを手直し!L507</f>
        <v>6.2</v>
      </c>
    </row>
    <row r="417" spans="1:7">
      <c r="A417">
        <f>怪しいデータを手直し!F373</f>
        <v>451</v>
      </c>
      <c r="B417">
        <f>怪しいデータを手直し!C373</f>
        <v>43.455869235201362</v>
      </c>
      <c r="C417">
        <f>怪しいデータを手直し!D373</f>
        <v>-9.8309797965071795</v>
      </c>
      <c r="D417" t="str">
        <f>怪しいデータを手直し!G373</f>
        <v>bp</v>
      </c>
      <c r="E417">
        <f>怪しいデータを手直し!T373</f>
        <v>3.4377467707849396</v>
      </c>
      <c r="F417">
        <f>IF(怪しいデータを手直し!U373="dead",0,怪しいデータを手直し!U373)</f>
        <v>3.7560566569687301</v>
      </c>
      <c r="G417">
        <f>怪しいデータを手直し!L373</f>
        <v>3.9</v>
      </c>
    </row>
    <row r="418" spans="1:7">
      <c r="A418">
        <f>怪しいデータを手直し!F532</f>
        <v>452</v>
      </c>
      <c r="B418">
        <f>怪しいデータを手直し!C532</f>
        <v>43.482322601613816</v>
      </c>
      <c r="C418">
        <f>怪しいデータを手直し!D532</f>
        <v>-9.5600803501892919</v>
      </c>
      <c r="D418" t="str">
        <f>怪しいデータを手直し!G532</f>
        <v>bp</v>
      </c>
      <c r="E418">
        <f>怪しいデータを手直し!T532</f>
        <v>7.4802823253190809</v>
      </c>
      <c r="F418">
        <f>IF(怪しいデータを手直し!U532="dead",0,怪しいデータを手直し!U532)</f>
        <v>8.3715500066336954</v>
      </c>
      <c r="G418">
        <f>怪しいデータを手直し!L532</f>
        <v>5.3</v>
      </c>
    </row>
    <row r="419" spans="1:7">
      <c r="A419">
        <f>怪しいデータを手直し!F629</f>
        <v>453</v>
      </c>
      <c r="B419">
        <f>怪しいデータを手直し!C629</f>
        <v>43.624437901391879</v>
      </c>
      <c r="C419">
        <f>怪しいデータを手直し!D629</f>
        <v>-9.6637710616945149</v>
      </c>
      <c r="D419" t="str">
        <f>怪しいデータを手直し!G629</f>
        <v>bp</v>
      </c>
      <c r="E419">
        <f>怪しいデータを手直し!T629</f>
        <v>13.846480048994895</v>
      </c>
      <c r="F419">
        <f>IF(怪しいデータを手直し!U629="dead",0,怪しいデータを手直し!U629)</f>
        <v>0</v>
      </c>
      <c r="G419">
        <f>怪しいデータを手直し!L629</f>
        <v>3.9</v>
      </c>
    </row>
    <row r="420" spans="1:7">
      <c r="A420">
        <f>怪しいデータを手直し!F314</f>
        <v>454</v>
      </c>
      <c r="B420">
        <f>怪しいデータを手直し!C314</f>
        <v>43.779331656060187</v>
      </c>
      <c r="C420">
        <f>怪しいデータを手直し!D314</f>
        <v>-9.7158306253282198</v>
      </c>
      <c r="D420" t="str">
        <f>怪しいデータを手直し!G314</f>
        <v>bp</v>
      </c>
      <c r="E420">
        <f>怪しいデータを手直し!T314</f>
        <v>2.69</v>
      </c>
      <c r="F420">
        <f>IF(怪しいデータを手直し!U314="dead",0,怪しいデータを手直し!U314)</f>
        <v>3.0557749073643903</v>
      </c>
      <c r="G420">
        <f>怪しいデータを手直し!L314</f>
        <v>2.2999999999999998</v>
      </c>
    </row>
    <row r="421" spans="1:7">
      <c r="A421">
        <f>怪しいデータを手直し!F265</f>
        <v>455</v>
      </c>
      <c r="B421">
        <f>怪しいデータを手直し!C265</f>
        <v>43.818712041029102</v>
      </c>
      <c r="C421">
        <f>怪しいデータを手直し!D265</f>
        <v>-9.7061661222742828</v>
      </c>
      <c r="D421" t="str">
        <f>怪しいデータを手直し!G265</f>
        <v>bp</v>
      </c>
      <c r="E421">
        <f>怪しいデータを手直し!T265</f>
        <v>2.2200000000000002</v>
      </c>
      <c r="F421">
        <f>IF(怪しいデータを手直し!U265="dead",0,怪しいデータを手直し!U265)</f>
        <v>2.33</v>
      </c>
      <c r="G421">
        <f>怪しいデータを手直し!L265</f>
        <v>2.2999999999999998</v>
      </c>
    </row>
    <row r="422" spans="1:7">
      <c r="A422">
        <f>怪しいデータを手直し!F466</f>
        <v>456</v>
      </c>
      <c r="B422">
        <f>怪しいデータを手直し!C466</f>
        <v>47.207444046148773</v>
      </c>
      <c r="C422">
        <f>怪しいデータを手直し!D466</f>
        <v>-0.39246814470738367</v>
      </c>
      <c r="D422" t="str">
        <f>怪しいデータを手直し!G466</f>
        <v>lc</v>
      </c>
      <c r="E422">
        <f>怪しいデータを手直し!T466</f>
        <v>5.4749300423611995</v>
      </c>
      <c r="F422">
        <f>IF(怪しいデータを手直し!U466="dead",0,怪しいデータを手直し!U466)</f>
        <v>0</v>
      </c>
      <c r="G422">
        <f>怪しいデータを手直し!L466</f>
        <v>5.01</v>
      </c>
    </row>
    <row r="423" spans="1:7">
      <c r="A423">
        <f>怪しいデータを手直し!F471</f>
        <v>457</v>
      </c>
      <c r="B423">
        <f>怪しいデータを手直し!C471</f>
        <v>46.774147756904384</v>
      </c>
      <c r="C423">
        <f>怪しいデータを手直し!D471</f>
        <v>-3.4593030086586767</v>
      </c>
      <c r="D423" t="str">
        <f>怪しいデータを手直し!G471</f>
        <v>bp</v>
      </c>
      <c r="E423">
        <f>怪しいデータを手直し!T471</f>
        <v>5.5385920195979574</v>
      </c>
      <c r="F423">
        <f>IF(怪しいデータを手直し!U471="dead",0,怪しいデータを手直し!U471)</f>
        <v>5.6340849854530948</v>
      </c>
      <c r="G423">
        <f>怪しいデータを手直し!L471</f>
        <v>4.2</v>
      </c>
    </row>
    <row r="424" spans="1:7">
      <c r="A424">
        <f>怪しいデータを手直し!F492</f>
        <v>458</v>
      </c>
      <c r="B424">
        <f>怪しいデータを手直し!C492</f>
        <v>47.831262169247523</v>
      </c>
      <c r="C424">
        <f>怪しいデータを手直し!D492</f>
        <v>-2.5663546562123978</v>
      </c>
      <c r="D424" t="str">
        <f>怪しいデータを手直し!G492</f>
        <v>bp</v>
      </c>
      <c r="E424">
        <f>怪しいデータを手直し!T492</f>
        <v>6.0160568488736432</v>
      </c>
      <c r="F424">
        <f>IF(怪しいデータを手直し!U492="dead",0,怪しいデータを手直し!U492)</f>
        <v>6.3343667350574338</v>
      </c>
      <c r="G424">
        <f>怪しいデータを手直し!L492</f>
        <v>5.4</v>
      </c>
    </row>
    <row r="425" spans="1:7">
      <c r="A425">
        <f>怪しいデータを手直し!F352</f>
        <v>459</v>
      </c>
      <c r="B425">
        <f>怪しいデータを手直し!C352</f>
        <v>47.761100883618937</v>
      </c>
      <c r="C425">
        <f>怪しいデータを手直し!D352</f>
        <v>-2.7549647450862382</v>
      </c>
      <c r="D425" t="str">
        <f>怪しいデータを手直し!G352</f>
        <v>bp</v>
      </c>
      <c r="E425">
        <f>怪しいデータを手直し!T352</f>
        <v>3.183098861837907</v>
      </c>
      <c r="F425">
        <f>IF(怪しいデータを手直し!U352="dead",0,怪しいデータを手直し!U352)</f>
        <v>3.246760839074665</v>
      </c>
      <c r="G425">
        <f>怪しいデータを手直し!L352</f>
        <v>2.9</v>
      </c>
    </row>
    <row r="426" spans="1:7">
      <c r="A426">
        <f>怪しいデータを手直し!F543</f>
        <v>460</v>
      </c>
      <c r="B426">
        <f>怪しいデータを手直し!C543</f>
        <v>47.995502870026861</v>
      </c>
      <c r="C426">
        <f>怪しいデータを手直し!D543</f>
        <v>-2.519998265064773</v>
      </c>
      <c r="D426" t="str">
        <f>怪しいデータを手直し!G543</f>
        <v>bp</v>
      </c>
      <c r="E426">
        <f>怪しいデータを手直し!T543</f>
        <v>8.1169020976866619</v>
      </c>
      <c r="F426">
        <f>IF(怪しいデータを手直し!U543="dead",0,怪しいデータを手直し!U543)</f>
        <v>9.2309866993299305</v>
      </c>
      <c r="G426">
        <f>怪しいデータを手直し!L543</f>
        <v>6.6</v>
      </c>
    </row>
    <row r="427" spans="1:7">
      <c r="A427">
        <f>怪しいデータを手直し!F417</f>
        <v>461</v>
      </c>
      <c r="B427">
        <f>怪しいデータを手直し!C417</f>
        <v>47.95645499176517</v>
      </c>
      <c r="C427">
        <f>怪しいデータを手直し!D417</f>
        <v>-2.6922711229217842</v>
      </c>
      <c r="D427" t="str">
        <f>怪しいデータを手直し!G417</f>
        <v>bp</v>
      </c>
      <c r="E427">
        <f>怪しいデータを手直し!T417</f>
        <v>4.2016904976260365</v>
      </c>
      <c r="F427">
        <f>IF(怪しいデータを手直し!U417="dead",0,怪しいデータを手直し!U417)</f>
        <v>0</v>
      </c>
      <c r="G427">
        <f>怪しいデータを手直し!L417</f>
        <v>4.7</v>
      </c>
    </row>
    <row r="428" spans="1:7">
      <c r="A428">
        <f>怪しいデータを手直し!F10</f>
        <v>462</v>
      </c>
      <c r="B428">
        <f>怪しいデータを手直し!C10</f>
        <v>47.838459784886211</v>
      </c>
      <c r="C428">
        <f>怪しいデータを手直し!D10</f>
        <v>-2.6503101513682941</v>
      </c>
      <c r="D428" t="str">
        <f>怪しいデータを手直し!G10</f>
        <v>bp</v>
      </c>
      <c r="E428">
        <f>怪しいデータを手直し!T10</f>
        <v>0.22</v>
      </c>
      <c r="F428">
        <f>IF(怪しいデータを手直し!U10="dead",0,怪しいデータを手直し!U10)</f>
        <v>0.72</v>
      </c>
      <c r="G428">
        <f>怪しいデータを手直し!L10</f>
        <v>1.4</v>
      </c>
    </row>
    <row r="429" spans="1:7">
      <c r="A429">
        <f>怪しいデータを手直し!F479</f>
        <v>463</v>
      </c>
      <c r="B429">
        <f>怪しいデータを手直し!C479</f>
        <v>48.186840600406832</v>
      </c>
      <c r="C429">
        <f>怪しいデータを手直し!D479</f>
        <v>-2.4773681582814722</v>
      </c>
      <c r="D429" t="str">
        <f>怪しいデータを手直し!G479</f>
        <v>bp</v>
      </c>
      <c r="E429">
        <f>怪しいデータを手直し!T479</f>
        <v>5.6977469626898527</v>
      </c>
      <c r="F429">
        <f>IF(怪しいデータを手直し!U479="dead",0,怪しいデータを手直し!U479)</f>
        <v>5.9842258602552647</v>
      </c>
      <c r="G429">
        <f>怪しいデータを手直し!L479</f>
        <v>5.3</v>
      </c>
    </row>
    <row r="430" spans="1:7">
      <c r="A430">
        <f>怪しいデータを手直し!F454</f>
        <v>464</v>
      </c>
      <c r="B430">
        <f>怪しいデータを手直し!C454</f>
        <v>48.415466708767497</v>
      </c>
      <c r="C430">
        <f>怪しいデータを手直し!D454</f>
        <v>-2.6060994319050623</v>
      </c>
      <c r="D430" t="str">
        <f>怪しいデータを手直し!G454</f>
        <v>bp</v>
      </c>
      <c r="E430">
        <f>怪しいデータを手直し!T454</f>
        <v>5.0929581789406511</v>
      </c>
      <c r="F430">
        <f>IF(怪しいデータを手直し!U454="dead",0,怪しいデータを手直し!U454)</f>
        <v>5.6022539968347163</v>
      </c>
      <c r="G430">
        <f>怪しいデータを手直し!L454</f>
        <v>5.0999999999999996</v>
      </c>
    </row>
    <row r="431" spans="1:7">
      <c r="A431">
        <f>怪しいデータを手直し!F396</f>
        <v>465</v>
      </c>
      <c r="B431">
        <f>怪しいデータを手直し!C396</f>
        <v>48.14</v>
      </c>
      <c r="C431">
        <f>怪しいデータを手直し!D396</f>
        <v>-3.2216145020781122</v>
      </c>
      <c r="D431" t="str">
        <f>怪しいデータを手直し!G396</f>
        <v>bp</v>
      </c>
      <c r="E431">
        <f>怪しいデータを手直し!T396</f>
        <v>3.7878876455871091</v>
      </c>
      <c r="F431">
        <f>IF(怪しいデータを手直し!U396="dead",0,怪しいデータを手直し!U396)</f>
        <v>3.7242256683503507</v>
      </c>
      <c r="G431">
        <f>怪しいデータを手直し!L396</f>
        <v>4.3</v>
      </c>
    </row>
    <row r="432" spans="1:7">
      <c r="A432">
        <f>怪しいデータを手直し!F441</f>
        <v>466</v>
      </c>
      <c r="B432">
        <f>怪しいデータを手直し!C441</f>
        <v>48.209032601146284</v>
      </c>
      <c r="C432">
        <f>怪しいデータを手直し!D441</f>
        <v>-3.3401400833263204</v>
      </c>
      <c r="D432" t="str">
        <f>怪しいデータを手直し!G441</f>
        <v>bp</v>
      </c>
      <c r="E432">
        <f>怪しいデータを手直し!T441</f>
        <v>4.7109863155201026</v>
      </c>
      <c r="F432">
        <f>IF(怪しいデータを手直し!U441="dead",0,怪しいデータを手直し!U441)</f>
        <v>4.9974652130855137</v>
      </c>
      <c r="G432">
        <f>怪しいデータを手直し!L441</f>
        <v>4.0999999999999996</v>
      </c>
    </row>
    <row r="433" spans="1:7">
      <c r="A433">
        <f>怪しいデータを手直し!F442</f>
        <v>467</v>
      </c>
      <c r="B433">
        <f>怪しいデータを手直し!C442</f>
        <v>48.343280774778137</v>
      </c>
      <c r="C433">
        <f>怪しいデータを手直し!D442</f>
        <v>-3.1961353864910453</v>
      </c>
      <c r="D433" t="str">
        <f>怪しいデータを手直し!G442</f>
        <v>bp</v>
      </c>
      <c r="E433">
        <f>怪しいデータを手直し!T442</f>
        <v>4.8383102699936185</v>
      </c>
      <c r="F433">
        <f>IF(怪しいデータを手直し!U442="dead",0,怪しいデータを手直し!U442)</f>
        <v>5.0611271903222717</v>
      </c>
      <c r="G433">
        <f>怪しいデータを手直し!L442</f>
        <v>5</v>
      </c>
    </row>
    <row r="434" spans="1:7">
      <c r="A434">
        <f>怪しいデータを手直し!F336</f>
        <v>468</v>
      </c>
      <c r="B434">
        <f>怪しいデータを手直し!C336</f>
        <v>48.306777815709822</v>
      </c>
      <c r="C434">
        <f>怪しいデータを手直し!D336</f>
        <v>-3.1315489194051551</v>
      </c>
      <c r="D434" t="str">
        <f>怪しいデータを手直し!G336</f>
        <v>bp</v>
      </c>
      <c r="E434">
        <f>怪しいデータを手直し!T336</f>
        <v>2.9602819415092534</v>
      </c>
      <c r="F434">
        <f>IF(怪しいデータを手直し!U336="dead",0,怪しいデータを手直し!U336)</f>
        <v>3.246760839074665</v>
      </c>
      <c r="G434">
        <f>怪しいデータを手直し!L336</f>
        <v>4</v>
      </c>
    </row>
    <row r="435" spans="1:7">
      <c r="A435">
        <f>怪しいデータを手直し!F337</f>
        <v>469</v>
      </c>
      <c r="B435">
        <f>怪しいデータを手直し!C337</f>
        <v>48.401628678836474</v>
      </c>
      <c r="C435">
        <f>怪しいデータを手直し!D337</f>
        <v>-3.0574023483476909</v>
      </c>
      <c r="D435" t="str">
        <f>怪しいデータを手直し!G337</f>
        <v>bp</v>
      </c>
      <c r="E435">
        <f>怪しいデータを手直し!T337</f>
        <v>2.9602819415092534</v>
      </c>
      <c r="F435">
        <f>IF(怪しいデータを手直し!U337="dead",0,怪しいデータを手直し!U337)</f>
        <v>2.928450952890874</v>
      </c>
      <c r="G435">
        <f>怪しいデータを手直し!L337</f>
        <v>2.8</v>
      </c>
    </row>
    <row r="436" spans="1:7">
      <c r="A436">
        <f>怪しいデータを手直し!F165</f>
        <v>470</v>
      </c>
      <c r="B436">
        <f>怪しいデータを手直し!C165</f>
        <v>48.499274544622907</v>
      </c>
      <c r="C436">
        <f>怪しいデータを手直し!D165</f>
        <v>-2.9838604370149775</v>
      </c>
      <c r="D436" t="str">
        <f>怪しいデータを手直し!G165</f>
        <v>bp</v>
      </c>
      <c r="E436">
        <f>怪しいデータを手直し!T165</f>
        <v>1.34</v>
      </c>
      <c r="F436">
        <f>IF(怪しいデータを手直し!U165="dead",0,怪しいデータを手直し!U165)</f>
        <v>0</v>
      </c>
      <c r="G436">
        <f>怪しいデータを手直し!L165</f>
        <v>2</v>
      </c>
    </row>
    <row r="437" spans="1:7">
      <c r="A437">
        <f>怪しいデータを手直し!F429</f>
        <v>471</v>
      </c>
      <c r="B437">
        <f>怪しいデータを手直し!C429</f>
        <v>48.531267151121057</v>
      </c>
      <c r="C437">
        <f>怪しいデータを手直し!D429</f>
        <v>-2.6387921135671051</v>
      </c>
      <c r="D437" t="str">
        <f>怪しいデータを手直し!G429</f>
        <v>bp</v>
      </c>
      <c r="E437">
        <f>怪しいデータを手直し!T429</f>
        <v>4.45633840657307</v>
      </c>
      <c r="F437">
        <f>IF(怪しいデータを手直し!U429="dead",0,怪しいデータを手直し!U429)</f>
        <v>4.4881693951914485</v>
      </c>
      <c r="G437">
        <f>怪しいデータを手直し!L429</f>
        <v>3.8</v>
      </c>
    </row>
    <row r="438" spans="1:7">
      <c r="A438">
        <f>怪しいデータを手直し!F37</f>
        <v>472</v>
      </c>
      <c r="B438">
        <f>怪しいデータを手直し!C37</f>
        <v>29.127893214767482</v>
      </c>
      <c r="C438">
        <f>怪しいデータを手直し!D37</f>
        <v>-30.172685474109159</v>
      </c>
      <c r="D438" t="str">
        <f>怪しいデータを手直し!G37</f>
        <v>pt</v>
      </c>
      <c r="E438">
        <f>怪しいデータを手直し!T37</f>
        <v>0.5</v>
      </c>
      <c r="F438">
        <f>IF(怪しいデータを手直し!U37="dead",0,怪しいデータを手直し!U37)</f>
        <v>0.89</v>
      </c>
      <c r="G438">
        <f>怪しいデータを手直し!L37</f>
        <v>2</v>
      </c>
    </row>
    <row r="439" spans="1:7">
      <c r="A439">
        <f>怪しいデータを手直し!F536</f>
        <v>501</v>
      </c>
      <c r="B439">
        <f>怪しいデータを手直し!C536</f>
        <v>47.835224083829708</v>
      </c>
      <c r="C439">
        <f>怪しいデータを手直し!D536</f>
        <v>-10.273612054147605</v>
      </c>
      <c r="D439" t="str">
        <f>怪しいデータを手直し!G536</f>
        <v>bp</v>
      </c>
      <c r="E439">
        <f>怪しいデータを手直し!T536</f>
        <v>7.7030992456477341</v>
      </c>
      <c r="F439">
        <f>IF(怪しいデータを手直し!U536="dead",0,怪しいデータを手直し!U536)</f>
        <v>8.2760570407785572</v>
      </c>
      <c r="G439">
        <f>怪しいデータを手直し!L536</f>
        <v>7.6</v>
      </c>
    </row>
    <row r="440" spans="1:7">
      <c r="A440">
        <f>怪しいデータを手直し!F331</f>
        <v>502</v>
      </c>
      <c r="B440">
        <f>怪しいデータを手直し!C331</f>
        <v>47.913619609306409</v>
      </c>
      <c r="C440">
        <f>怪しいデータを手直し!D331</f>
        <v>-10.317843796857876</v>
      </c>
      <c r="D440" t="str">
        <f>怪しいデータを手直し!G331</f>
        <v>bp</v>
      </c>
      <c r="E440">
        <f>怪しいデータを手直し!T331</f>
        <v>2.928450952890874</v>
      </c>
      <c r="F440">
        <f>IF(怪しいデータを手直し!U331="dead",0,怪しいデータを手直し!U331)</f>
        <v>2.9921129301276324</v>
      </c>
      <c r="G440">
        <f>怪しいデータを手直し!L331</f>
        <v>2.7</v>
      </c>
    </row>
    <row r="441" spans="1:7">
      <c r="A441">
        <f>怪しいデータを手直し!F220</f>
        <v>503</v>
      </c>
      <c r="B441">
        <f>怪しいデータを手直し!C220</f>
        <v>49.439942488289539</v>
      </c>
      <c r="C441">
        <f>怪しいデータを手直し!D220</f>
        <v>-10.032951749359711</v>
      </c>
      <c r="D441" t="str">
        <f>怪しいデータを手直し!G220</f>
        <v>bp</v>
      </c>
      <c r="E441">
        <f>怪しいデータを手直し!T220</f>
        <v>1.8</v>
      </c>
      <c r="F441">
        <f>IF(怪しいデータを手直し!U220="dead",0,怪しいデータを手直し!U220)</f>
        <v>2.4</v>
      </c>
      <c r="G441">
        <f>怪しいデータを手直し!L220</f>
        <v>3.7</v>
      </c>
    </row>
    <row r="442" spans="1:7">
      <c r="A442">
        <f>怪しいデータを手直し!F312</f>
        <v>504</v>
      </c>
      <c r="B442">
        <f>怪しいデータを手直し!C312</f>
        <v>49.449481850504085</v>
      </c>
      <c r="C442">
        <f>怪しいデータを手直し!D312</f>
        <v>-10.098958359898518</v>
      </c>
      <c r="D442" t="str">
        <f>怪しいデータを手直し!G312</f>
        <v>bp</v>
      </c>
      <c r="E442">
        <f>怪しいデータを手直し!T312</f>
        <v>2.65</v>
      </c>
      <c r="F442">
        <f>IF(怪しいデータを手直し!U312="dead",0,怪しいデータを手直し!U312)</f>
        <v>2.5300000000000002</v>
      </c>
      <c r="G442">
        <f>怪しいデータを手直し!L312</f>
        <v>3.2</v>
      </c>
    </row>
    <row r="443" spans="1:7">
      <c r="A443">
        <f>怪しいデータを手直し!F461</f>
        <v>505</v>
      </c>
      <c r="B443">
        <f>怪しいデータを手直し!C461</f>
        <v>48.78592455891193</v>
      </c>
      <c r="C443">
        <f>怪しいデータを手直し!D461</f>
        <v>-16.38334783989626</v>
      </c>
      <c r="D443" t="str">
        <f>怪しいデータを手直し!G461</f>
        <v>bp</v>
      </c>
      <c r="E443">
        <f>怪しいデータを手直し!T461</f>
        <v>5.2521131220325463</v>
      </c>
      <c r="F443">
        <f>IF(怪しいデータを手直し!U461="dead",0,怪しいデータを手直し!U461)</f>
        <v>5.5704230082163368</v>
      </c>
      <c r="G443">
        <f>怪しいデータを手直し!L461</f>
        <v>5.6</v>
      </c>
    </row>
    <row r="444" spans="1:7">
      <c r="A444">
        <f>怪しいデータを手直し!F132</f>
        <v>506</v>
      </c>
      <c r="B444">
        <f>怪しいデータを手直し!C132</f>
        <v>48.947736636769655</v>
      </c>
      <c r="C444">
        <f>怪しいデータを手直し!D132</f>
        <v>-16.311933862059238</v>
      </c>
      <c r="D444" t="str">
        <f>怪しいデータを手直し!G132</f>
        <v>bp</v>
      </c>
      <c r="E444">
        <f>怪しいデータを手直し!T132</f>
        <v>1.1499999999999999</v>
      </c>
      <c r="F444">
        <f>IF(怪しいデータを手直し!U132="dead",0,怪しいデータを手直し!U132)</f>
        <v>1.7100000000000002</v>
      </c>
      <c r="G444">
        <f>怪しいデータを手直し!L132</f>
        <v>2.8</v>
      </c>
    </row>
    <row r="445" spans="1:7">
      <c r="A445">
        <f>怪しいデータを手直し!F606</f>
        <v>507</v>
      </c>
      <c r="B445">
        <f>怪しいデータを手直し!C606</f>
        <v>49.112968455015206</v>
      </c>
      <c r="C445">
        <f>怪しいデータを手直し!D606</f>
        <v>-16.596689013277626</v>
      </c>
      <c r="D445" t="str">
        <f>怪しいデータを手直し!G606</f>
        <v>bp</v>
      </c>
      <c r="E445">
        <f>怪しいデータを手直し!T606</f>
        <v>12.159437652220806</v>
      </c>
      <c r="F445">
        <f>IF(怪しいデータを手直し!U606="dead",0,怪しいデータを手直し!U606)</f>
        <v>0</v>
      </c>
      <c r="G445">
        <f>怪しいデータを手直し!L606</f>
        <v>7.8</v>
      </c>
    </row>
    <row r="446" spans="1:7">
      <c r="A446">
        <f>怪しいデータを手直し!F325</f>
        <v>508</v>
      </c>
      <c r="B446">
        <f>怪しいデータを手直し!C325</f>
        <v>49.102832546654355</v>
      </c>
      <c r="C446">
        <f>怪しいデータを手直し!D325</f>
        <v>-16.139938080108806</v>
      </c>
      <c r="D446" t="str">
        <f>怪しいデータを手直し!G325</f>
        <v>bp</v>
      </c>
      <c r="E446">
        <f>怪しいデータを手直し!T325</f>
        <v>2.89</v>
      </c>
      <c r="F446">
        <f>IF(怪しいデータを手直し!U325="dead",0,怪しいデータを手直し!U325)</f>
        <v>3.3104228163114233</v>
      </c>
      <c r="G446">
        <f>怪しいデータを手直し!L325</f>
        <v>3.7</v>
      </c>
    </row>
    <row r="447" spans="1:7">
      <c r="A447">
        <f>怪しいデータを手直し!F282</f>
        <v>509</v>
      </c>
      <c r="B447">
        <f>怪しいデータを手直し!C282</f>
        <v>49.246140094845508</v>
      </c>
      <c r="C447">
        <f>怪しいデータを手直し!D282</f>
        <v>-16.426234772126698</v>
      </c>
      <c r="D447" t="str">
        <f>怪しいデータを手直し!G282</f>
        <v>bp</v>
      </c>
      <c r="E447">
        <f>怪しいデータを手直し!T282</f>
        <v>2.33</v>
      </c>
      <c r="F447">
        <f>IF(怪しいデータを手直し!U282="dead",0,怪しいデータを手直し!U282)</f>
        <v>2.48</v>
      </c>
      <c r="G447">
        <f>怪しいデータを手直し!L282</f>
        <v>3.6</v>
      </c>
    </row>
    <row r="448" spans="1:7">
      <c r="A448">
        <f>怪しいデータを手直し!F113</f>
        <v>510</v>
      </c>
      <c r="B448">
        <f>怪しいデータを手直し!C113</f>
        <v>44.622154275334118</v>
      </c>
      <c r="C448">
        <f>怪しいデータを手直し!D113</f>
        <v>-19.561385352291296</v>
      </c>
      <c r="D448" t="str">
        <f>怪しいデータを手直し!G113</f>
        <v>pt</v>
      </c>
      <c r="E448">
        <f>怪しいデータを手直し!T113</f>
        <v>1</v>
      </c>
      <c r="F448">
        <f>IF(怪しいデータを手直し!U113="dead",0,怪しいデータを手直し!U113)</f>
        <v>1.53</v>
      </c>
      <c r="G448">
        <f>怪しいデータを手直し!L113</f>
        <v>2.5</v>
      </c>
    </row>
    <row r="449" spans="1:7">
      <c r="A449">
        <f>怪しいデータを手直し!F60</f>
        <v>511</v>
      </c>
      <c r="B449">
        <f>怪しいデータを手直し!C60</f>
        <v>42.104570371554374</v>
      </c>
      <c r="C449">
        <f>怪しいデータを手直し!D60</f>
        <v>-19.816943697056402</v>
      </c>
      <c r="D449" t="str">
        <f>怪しいデータを手直し!G60</f>
        <v>lc</v>
      </c>
      <c r="E449">
        <f>怪しいデータを手直し!T60</f>
        <v>0.64</v>
      </c>
      <c r="F449">
        <f>IF(怪しいデータを手直し!U60="dead",0,怪しいデータを手直し!U60)</f>
        <v>0</v>
      </c>
      <c r="G449">
        <f>怪しいデータを手直し!L60</f>
        <v>1.9</v>
      </c>
    </row>
    <row r="450" spans="1:7">
      <c r="A450">
        <f>怪しいデータを手直し!F684</f>
        <v>512</v>
      </c>
      <c r="B450">
        <f>怪しいデータを手直し!C684</f>
        <v>40.793988816431167</v>
      </c>
      <c r="C450">
        <f>怪しいデータを手直し!D684</f>
        <v>-19.0753336996158</v>
      </c>
      <c r="D450" t="str">
        <f>怪しいデータを手直し!G684</f>
        <v>lc</v>
      </c>
      <c r="E450">
        <f>怪しいデータを手直し!T684</f>
        <v>27.374650211805999</v>
      </c>
      <c r="F450">
        <f>IF(怪しいデータを手直し!U684="dead",0,怪しいデータを手直し!U684)</f>
        <v>0</v>
      </c>
      <c r="G450">
        <f>怪しいデータを手直し!L684</f>
        <v>16.5</v>
      </c>
    </row>
    <row r="451" spans="1:7">
      <c r="A451">
        <f>怪しいデータを手直し!F183</f>
        <v>513</v>
      </c>
      <c r="B451">
        <f>怪しいデータを手直し!C183</f>
        <v>41.077045145116749</v>
      </c>
      <c r="C451">
        <f>怪しいデータを手直し!D183</f>
        <v>-13.612876105733552</v>
      </c>
      <c r="D451" t="str">
        <f>怪しいデータを手直し!G183</f>
        <v>pt</v>
      </c>
      <c r="E451">
        <f>怪しいデータを手直し!T183</f>
        <v>1.47</v>
      </c>
      <c r="F451">
        <f>IF(怪しいデータを手直し!U183="dead",0,怪しいデータを手直し!U183)</f>
        <v>1.75</v>
      </c>
      <c r="G451">
        <f>怪しいデータを手直し!L183</f>
        <v>3</v>
      </c>
    </row>
    <row r="452" spans="1:7">
      <c r="A452">
        <f>怪しいデータを手直し!F527</f>
        <v>514</v>
      </c>
      <c r="B452">
        <f>怪しいデータを手直し!C527</f>
        <v>39.721062829151542</v>
      </c>
      <c r="C452">
        <f>怪しいデータを手直し!D527</f>
        <v>-19.98610504925314</v>
      </c>
      <c r="D452" t="str">
        <f>怪しいデータを手直し!G527</f>
        <v>pt</v>
      </c>
      <c r="E452">
        <f>怪しいデータを手直し!T527</f>
        <v>7.416620348082323</v>
      </c>
      <c r="F452">
        <f>IF(怪しいデータを手直し!U527="dead",0,怪しいデータを手直し!U527)</f>
        <v>7.7030992456477341</v>
      </c>
      <c r="G452">
        <f>怪しいデータを手直し!L527</f>
        <v>7</v>
      </c>
    </row>
    <row r="453" spans="1:7">
      <c r="A453">
        <f>怪しいデータを手直し!F13</f>
        <v>515</v>
      </c>
      <c r="B453">
        <f>怪しいデータを手直し!C13</f>
        <v>38.237587459751978</v>
      </c>
      <c r="C453">
        <f>怪しいデータを手直し!D13</f>
        <v>-18.662534388848133</v>
      </c>
      <c r="D453" t="str">
        <f>怪しいデータを手直し!G13</f>
        <v>pt</v>
      </c>
      <c r="E453">
        <f>怪しいデータを手直し!T13</f>
        <v>0.28000000000000003</v>
      </c>
      <c r="F453">
        <f>IF(怪しいデータを手直し!U13="dead",0,怪しいデータを手直し!U13)</f>
        <v>0.45</v>
      </c>
      <c r="G453">
        <f>怪しいデータを手直し!L13</f>
        <v>1.4</v>
      </c>
    </row>
    <row r="454" spans="1:7">
      <c r="A454">
        <f>怪しいデータを手直し!F244</f>
        <v>516</v>
      </c>
      <c r="B454">
        <f>怪しいデータを手直し!C244</f>
        <v>38.614147537104941</v>
      </c>
      <c r="C454">
        <f>怪しいデータを手直し!D244</f>
        <v>-15.817199751692192</v>
      </c>
      <c r="D454" t="str">
        <f>怪しいデータを手直し!G244</f>
        <v>pt</v>
      </c>
      <c r="E454">
        <f>怪しいデータを手直し!T244</f>
        <v>2.0299999999999998</v>
      </c>
      <c r="F454">
        <f>IF(怪しいデータを手直し!U244="dead",0,怪しいデータを手直し!U244)</f>
        <v>2.4699999999999998</v>
      </c>
      <c r="G454">
        <f>怪しいデータを手直し!L244</f>
        <v>3.7</v>
      </c>
    </row>
    <row r="455" spans="1:7">
      <c r="A455">
        <f>怪しいデータを手直し!F28</f>
        <v>517</v>
      </c>
      <c r="B455">
        <f>怪しいデータを手直し!C28</f>
        <v>38.533061832444758</v>
      </c>
      <c r="C455">
        <f>怪しいデータを手直し!D28</f>
        <v>-15.79728319237293</v>
      </c>
      <c r="D455" t="str">
        <f>怪しいデータを手直し!G28</f>
        <v>pt</v>
      </c>
      <c r="E455">
        <f>怪しいデータを手直し!T28</f>
        <v>0.45</v>
      </c>
      <c r="F455">
        <f>IF(怪しいデータを手直し!U28="dead",0,怪しいデータを手直し!U28)</f>
        <v>0.69000000000000006</v>
      </c>
      <c r="G455">
        <f>怪しいデータを手直し!L28</f>
        <v>1.6</v>
      </c>
    </row>
    <row r="456" spans="1:7">
      <c r="A456">
        <f>怪しいデータを手直し!F21</f>
        <v>518</v>
      </c>
      <c r="B456">
        <f>怪しいデータを手直し!C21</f>
        <v>38.593859788306851</v>
      </c>
      <c r="C456">
        <f>怪しいデータを手直し!D21</f>
        <v>-14.808624512795685</v>
      </c>
      <c r="D456" t="str">
        <f>怪しいデータを手直し!G21</f>
        <v>lc</v>
      </c>
      <c r="E456">
        <f>怪しいデータを手直し!T21</f>
        <v>0.39</v>
      </c>
      <c r="F456">
        <f>IF(怪しいデータを手直し!U21="dead",0,怪しいデータを手直し!U21)</f>
        <v>0.93</v>
      </c>
      <c r="G456">
        <f>怪しいデータを手直し!L21</f>
        <v>1.5</v>
      </c>
    </row>
    <row r="457" spans="1:7">
      <c r="A457">
        <f>怪しいデータを手直し!F65</f>
        <v>519</v>
      </c>
      <c r="B457">
        <f>怪しいデータを手直し!C65</f>
        <v>36.71062998926508</v>
      </c>
      <c r="C457">
        <f>怪しいデータを手直し!D65</f>
        <v>-14.445328439213212</v>
      </c>
      <c r="D457" t="str">
        <f>怪しいデータを手直し!G65</f>
        <v>lc</v>
      </c>
      <c r="E457">
        <f>怪しいデータを手直し!T65</f>
        <v>0.67</v>
      </c>
      <c r="F457">
        <f>IF(怪しいデータを手直し!U65="dead",0,怪しいデータを手直し!U65)</f>
        <v>1.1300000000000001</v>
      </c>
      <c r="G457">
        <f>怪しいデータを手直し!L65</f>
        <v>1.7</v>
      </c>
    </row>
    <row r="458" spans="1:7">
      <c r="A458">
        <f>怪しいデータを手直し!F187</f>
        <v>520</v>
      </c>
      <c r="B458">
        <f>怪しいデータを手直し!C187</f>
        <v>36.093682459167503</v>
      </c>
      <c r="C458">
        <f>怪しいデータを手直し!D187</f>
        <v>-15.517090108941883</v>
      </c>
      <c r="D458" t="str">
        <f>怪しいデータを手直し!G187</f>
        <v>lc</v>
      </c>
      <c r="E458">
        <f>怪しいデータを手直し!T187</f>
        <v>1.51</v>
      </c>
      <c r="F458">
        <f>IF(怪しいデータを手直し!U187="dead",0,怪しいデータを手直し!U187)</f>
        <v>0</v>
      </c>
      <c r="G458">
        <f>怪しいデータを手直し!L187</f>
        <v>2.2000000000000002</v>
      </c>
    </row>
    <row r="459" spans="1:7">
      <c r="A459">
        <f>怪しいデータを手直し!F292</f>
        <v>521</v>
      </c>
      <c r="B459">
        <f>怪しいデータを手直し!C292</f>
        <v>36.298987754977233</v>
      </c>
      <c r="C459">
        <f>怪しいデータを手直し!D292</f>
        <v>-16.649406617299888</v>
      </c>
      <c r="D459" t="str">
        <f>怪しいデータを手直し!G292</f>
        <v>lc</v>
      </c>
      <c r="E459">
        <f>怪しいデータを手直し!T292</f>
        <v>2.41</v>
      </c>
      <c r="F459">
        <f>IF(怪しいデータを手直し!U292="dead",0,怪しいデータを手直し!U292)</f>
        <v>0</v>
      </c>
      <c r="G459">
        <f>怪しいデータを手直し!L292</f>
        <v>3</v>
      </c>
    </row>
    <row r="460" spans="1:7">
      <c r="A460">
        <f>怪しいデータを手直し!F262</f>
        <v>522</v>
      </c>
      <c r="B460">
        <f>怪しいデータを手直し!C262</f>
        <v>35.588236187970651</v>
      </c>
      <c r="C460">
        <f>怪しいデータを手直し!D262</f>
        <v>-16.565397175104358</v>
      </c>
      <c r="D460" t="str">
        <f>怪しいデータを手直し!G262</f>
        <v>lc</v>
      </c>
      <c r="E460">
        <f>怪しいデータを手直し!T262</f>
        <v>2.2000000000000002</v>
      </c>
      <c r="F460">
        <f>IF(怪しいデータを手直し!U262="dead",0,怪しいデータを手直し!U262)</f>
        <v>3.3740847935481812</v>
      </c>
      <c r="G460">
        <f>怪しいデータを手直し!L262</f>
        <v>3.3</v>
      </c>
    </row>
    <row r="461" spans="1:7">
      <c r="A461">
        <f>怪しいデータを手直し!F149</f>
        <v>523</v>
      </c>
      <c r="B461">
        <f>怪しいデータを手直し!C149</f>
        <v>35.246860320498655</v>
      </c>
      <c r="C461">
        <f>怪しいデータを手直し!D149</f>
        <v>-17.046819366717855</v>
      </c>
      <c r="D461" t="str">
        <f>怪しいデータを手直し!G149</f>
        <v>pt</v>
      </c>
      <c r="E461">
        <f>怪しいデータを手直し!T149</f>
        <v>1.27</v>
      </c>
      <c r="F461">
        <f>IF(怪しいデータを手直し!U149="dead",0,怪しいデータを手直し!U149)</f>
        <v>1.92</v>
      </c>
      <c r="G461">
        <f>怪しいデータを手直し!L149</f>
        <v>3.1</v>
      </c>
    </row>
    <row r="462" spans="1:7">
      <c r="A462">
        <f>怪しいデータを手直し!F32</f>
        <v>524</v>
      </c>
      <c r="B462">
        <f>怪しいデータを手直し!C32</f>
        <v>34.564016467039586</v>
      </c>
      <c r="C462">
        <f>怪しいデータを手直し!D32</f>
        <v>-16.165912992362379</v>
      </c>
      <c r="D462" t="str">
        <f>怪しいデータを手直し!G32</f>
        <v>lc</v>
      </c>
      <c r="E462">
        <f>怪しいデータを手直し!T32</f>
        <v>0.49</v>
      </c>
      <c r="F462">
        <f>IF(怪しいデータを手直し!U32="dead",0,怪しいデータを手直し!U32)</f>
        <v>0.13300000000000001</v>
      </c>
      <c r="G462">
        <f>怪しいデータを手直し!L32</f>
        <v>1.7</v>
      </c>
    </row>
    <row r="463" spans="1:7">
      <c r="A463">
        <f>怪しいデータを手直し!F324</f>
        <v>525</v>
      </c>
      <c r="B463">
        <f>怪しいデータを手直し!C324</f>
        <v>34.082172203010693</v>
      </c>
      <c r="C463">
        <f>怪しいデータを手直し!D324</f>
        <v>-14.205581311207848</v>
      </c>
      <c r="D463" t="str">
        <f>怪しいデータを手直し!G324</f>
        <v>lc</v>
      </c>
      <c r="E463">
        <f>怪しいデータを手直し!T324</f>
        <v>2.85</v>
      </c>
      <c r="F463">
        <f>IF(怪しいデータを手直し!U324="dead",0,怪しいデータを手直し!U324)</f>
        <v>0</v>
      </c>
      <c r="G463">
        <f>怪しいデータを手直し!L324</f>
        <v>3.7</v>
      </c>
    </row>
    <row r="464" spans="1:7">
      <c r="A464">
        <f>怪しいデータを手直し!F637</f>
        <v>526</v>
      </c>
      <c r="B464">
        <f>怪しいデータを手直し!C637</f>
        <v>31.451980341886681</v>
      </c>
      <c r="C464">
        <f>怪しいデータを手直し!D637</f>
        <v>-13.401670166919232</v>
      </c>
      <c r="D464" t="str">
        <f>怪しいデータを手直し!G637</f>
        <v>pt</v>
      </c>
      <c r="E464">
        <f>怪しいデータを手直し!T637</f>
        <v>14.928733662019782</v>
      </c>
      <c r="F464">
        <f>IF(怪しいデータを手直し!U637="dead",0,怪しいデータを手直し!U637)</f>
        <v>16.01098727504467</v>
      </c>
      <c r="G464">
        <f>怪しいデータを手直し!L637</f>
        <v>12.6</v>
      </c>
    </row>
    <row r="465" spans="1:7">
      <c r="A465">
        <f>怪しいデータを手直し!F658</f>
        <v>527</v>
      </c>
      <c r="B465">
        <f>怪しいデータを手直し!C658</f>
        <v>30.348473496172943</v>
      </c>
      <c r="C465">
        <f>怪しいデータを手直し!D658</f>
        <v>-13.361017129668324</v>
      </c>
      <c r="D465" t="str">
        <f>怪しいデータを手直し!G658</f>
        <v>bp</v>
      </c>
      <c r="E465">
        <f>怪しいデータを手直し!T658</f>
        <v>19.034931193790683</v>
      </c>
      <c r="F465">
        <f>IF(怪しいデータを手直し!U658="dead",0,怪しいデータを手直し!U658)</f>
        <v>19.416903057211233</v>
      </c>
      <c r="G465">
        <f>怪しいデータを手直し!L658</f>
        <v>11.3</v>
      </c>
    </row>
    <row r="466" spans="1:7">
      <c r="A466">
        <f>怪しいデータを手直し!F52</f>
        <v>528</v>
      </c>
      <c r="B466">
        <f>怪しいデータを手直し!C52</f>
        <v>30.241353318909049</v>
      </c>
      <c r="C466">
        <f>怪しいデータを手直し!D52</f>
        <v>-13.002151720621825</v>
      </c>
      <c r="D466" t="str">
        <f>怪しいデータを手直し!G52</f>
        <v>bp</v>
      </c>
      <c r="E466">
        <f>怪しいデータを手直し!T52</f>
        <v>0.61</v>
      </c>
      <c r="F466">
        <f>IF(怪しいデータを手直し!U52="dead",0,怪しいデータを手直し!U52)</f>
        <v>0.72</v>
      </c>
      <c r="G466">
        <f>怪しいデータを手直し!L52</f>
        <v>1.3</v>
      </c>
    </row>
    <row r="467" spans="1:7">
      <c r="A467">
        <f>怪しいデータを手直し!F285</f>
        <v>529</v>
      </c>
      <c r="B467">
        <f>怪しいデータを手直し!C285</f>
        <v>30.102245775782585</v>
      </c>
      <c r="C467">
        <f>怪しいデータを手直し!D285</f>
        <v>-13.026047143880325</v>
      </c>
      <c r="D467" t="str">
        <f>怪しいデータを手直し!G285</f>
        <v>bp</v>
      </c>
      <c r="E467">
        <f>怪しいデータを手直し!T285</f>
        <v>2.34</v>
      </c>
      <c r="F467">
        <f>IF(怪しいデータを手直し!U285="dead",0,怪しいデータを手直し!U285)</f>
        <v>2.57</v>
      </c>
      <c r="G467">
        <f>怪しいデータを手直し!L285</f>
        <v>2.8</v>
      </c>
    </row>
    <row r="468" spans="1:7">
      <c r="A468">
        <f>怪しいデータを手直し!F14</f>
        <v>530</v>
      </c>
      <c r="B468">
        <f>怪しいデータを手直し!C14</f>
        <v>30.072596810592465</v>
      </c>
      <c r="C468">
        <f>怪しいデータを手直し!D14</f>
        <v>-12.997259734314172</v>
      </c>
      <c r="D468" t="str">
        <f>怪しいデータを手直し!G14</f>
        <v>bp</v>
      </c>
      <c r="E468">
        <f>怪しいデータを手直し!T14</f>
        <v>0.28000000000000003</v>
      </c>
      <c r="F468">
        <f>IF(怪しいデータを手直し!U14="dead",0,怪しいデータを手直し!U14)</f>
        <v>0.7</v>
      </c>
      <c r="G468">
        <f>怪しいデータを手直し!L14</f>
        <v>1.4</v>
      </c>
    </row>
    <row r="469" spans="1:7">
      <c r="A469">
        <f>怪しいデータを手直し!F154</f>
        <v>531</v>
      </c>
      <c r="B469">
        <f>怪しいデータを手直し!C154</f>
        <v>30.272031637104213</v>
      </c>
      <c r="C469">
        <f>怪しいデータを手直し!D154</f>
        <v>-12.789450040868029</v>
      </c>
      <c r="D469" t="str">
        <f>怪しいデータを手直し!G154</f>
        <v>bp</v>
      </c>
      <c r="E469">
        <f>怪しいデータを手直し!T154</f>
        <v>1.3</v>
      </c>
      <c r="F469">
        <f>IF(怪しいデータを手直し!U154="dead",0,怪しいデータを手直し!U154)</f>
        <v>1.48</v>
      </c>
      <c r="G469">
        <f>怪しいデータを手直し!L154</f>
        <v>2.7</v>
      </c>
    </row>
    <row r="470" spans="1:7">
      <c r="A470">
        <f>怪しいデータを手直し!F298</f>
        <v>532</v>
      </c>
      <c r="B470">
        <f>怪しいデータを手直し!C298</f>
        <v>30.209660419134117</v>
      </c>
      <c r="C470">
        <f>怪しいデータを手直し!D298</f>
        <v>-12.825836317151232</v>
      </c>
      <c r="D470" t="str">
        <f>怪しいデータを手直し!G298</f>
        <v>bp</v>
      </c>
      <c r="E470">
        <f>怪しいデータを手直し!T298</f>
        <v>2.4900000000000002</v>
      </c>
      <c r="F470">
        <f>IF(怪しいデータを手直し!U298="dead",0,怪しいデータを手直し!U298)</f>
        <v>2.67</v>
      </c>
      <c r="G470">
        <f>怪しいデータを手直し!L298</f>
        <v>2.6</v>
      </c>
    </row>
    <row r="471" spans="1:7">
      <c r="A471">
        <f>怪しいデータを手直し!F473</f>
        <v>533</v>
      </c>
      <c r="B471">
        <f>怪しいデータを手直し!C473</f>
        <v>30.138860708753782</v>
      </c>
      <c r="C471">
        <f>怪しいデータを手直し!D473</f>
        <v>-12.93973330059718</v>
      </c>
      <c r="D471" t="str">
        <f>怪しいデータを手直し!G473</f>
        <v>bp</v>
      </c>
      <c r="E471">
        <f>怪しいデータを手直し!T473</f>
        <v>5.6022539968347163</v>
      </c>
      <c r="F471">
        <f>IF(怪しいデータを手直し!U473="dead",0,怪しいデータを手直し!U473)</f>
        <v>5.6977469626898527</v>
      </c>
      <c r="G471">
        <f>怪しいデータを手直し!L473</f>
        <v>5.2</v>
      </c>
    </row>
    <row r="472" spans="1:7">
      <c r="A472">
        <f>怪しいデータを手直し!F275</f>
        <v>534</v>
      </c>
      <c r="B472">
        <f>怪しいデータを手直し!C275</f>
        <v>30.008426910538304</v>
      </c>
      <c r="C472">
        <f>怪しいデータを手直し!D275</f>
        <v>-12.921740439865401</v>
      </c>
      <c r="D472" t="str">
        <f>怪しいデータを手直し!G275</f>
        <v>bp</v>
      </c>
      <c r="E472">
        <f>怪しいデータを手直し!T275</f>
        <v>2.2799999999999998</v>
      </c>
      <c r="F472">
        <f>IF(怪しいデータを手直し!U275="dead",0,怪しいデータを手直し!U275)</f>
        <v>2.57</v>
      </c>
      <c r="G472">
        <f>怪しいデータを手直し!L275</f>
        <v>4</v>
      </c>
    </row>
    <row r="473" spans="1:7">
      <c r="A473">
        <f>怪しいデータを手直し!F354</f>
        <v>535</v>
      </c>
      <c r="B473">
        <f>怪しいデータを手直し!C354</f>
        <v>29.844011771160329</v>
      </c>
      <c r="C473">
        <f>怪しいデータを手直し!D354</f>
        <v>-12.893009349392088</v>
      </c>
      <c r="D473" t="str">
        <f>怪しいデータを手直し!G354</f>
        <v>bp</v>
      </c>
      <c r="E473">
        <f>怪しいデータを手直し!T354</f>
        <v>3.19</v>
      </c>
      <c r="F473">
        <f>IF(怪しいデータを手直し!U354="dead",0,怪しいデータを手直し!U354)</f>
        <v>3.0876058959827692</v>
      </c>
      <c r="G473">
        <f>怪しいデータを手直し!L354</f>
        <v>4.2</v>
      </c>
    </row>
    <row r="474" spans="1:7">
      <c r="A474">
        <f>怪しいデータを手直し!F318</f>
        <v>536</v>
      </c>
      <c r="B474">
        <f>怪しいデータを手直し!C318</f>
        <v>29.713889649171939</v>
      </c>
      <c r="C474">
        <f>怪しいデータを手直し!D318</f>
        <v>-12.910675840863741</v>
      </c>
      <c r="D474" t="str">
        <f>怪しいデータを手直し!G318</f>
        <v>bp</v>
      </c>
      <c r="E474">
        <f>怪しいデータを手直し!T318</f>
        <v>2.77</v>
      </c>
      <c r="F474">
        <f>IF(怪しいデータを手直し!U318="dead",0,怪しいデータを手直し!U318)</f>
        <v>2.8647889756541161</v>
      </c>
      <c r="G474">
        <f>怪しいデータを手直し!L318</f>
        <v>2.4</v>
      </c>
    </row>
    <row r="475" spans="1:7">
      <c r="A475">
        <f>怪しいデータを手直し!F344</f>
        <v>537</v>
      </c>
      <c r="B475">
        <f>怪しいデータを手直し!C344</f>
        <v>29.705651689543171</v>
      </c>
      <c r="C475">
        <f>怪しいデータを手直し!D344</f>
        <v>-12.990784656740539</v>
      </c>
      <c r="D475" t="str">
        <f>怪しいデータを手直し!G344</f>
        <v>bp</v>
      </c>
      <c r="E475">
        <f>怪しいデータを手直し!T344</f>
        <v>3.08</v>
      </c>
      <c r="F475">
        <f>IF(怪しいデータを手直し!U344="dead",0,怪しいデータを手直し!U344)</f>
        <v>3.4059157821665602</v>
      </c>
      <c r="G475">
        <f>怪しいデータを手直し!L344</f>
        <v>4.8</v>
      </c>
    </row>
    <row r="476" spans="1:7">
      <c r="A476">
        <f>怪しいデータを手直し!F94</f>
        <v>538</v>
      </c>
      <c r="B476">
        <f>怪しいデータを手直し!C94</f>
        <v>29.893250275501281</v>
      </c>
      <c r="C476">
        <f>怪しいデータを手直し!D94</f>
        <v>-12.955420444935895</v>
      </c>
      <c r="D476" t="str">
        <f>怪しいデータを手直し!G94</f>
        <v>bp</v>
      </c>
      <c r="E476">
        <f>怪しいデータを手直し!T94</f>
        <v>0.86</v>
      </c>
      <c r="F476">
        <f>IF(怪しいデータを手直し!U94="dead",0,怪しいデータを手直し!U94)</f>
        <v>0.88000000000000012</v>
      </c>
      <c r="G476">
        <f>怪しいデータを手直し!L94</f>
        <v>1.7</v>
      </c>
    </row>
    <row r="477" spans="1:7">
      <c r="A477">
        <f>怪しいデータを手直し!F145</f>
        <v>539</v>
      </c>
      <c r="B477">
        <f>怪しいデータを手直し!C145</f>
        <v>29.815354348993672</v>
      </c>
      <c r="C477">
        <f>怪しいデータを手直し!D145</f>
        <v>-13.113758655297145</v>
      </c>
      <c r="D477" t="str">
        <f>怪しいデータを手直し!G145</f>
        <v>bp</v>
      </c>
      <c r="E477">
        <f>怪しいデータを手直し!T145</f>
        <v>1.25</v>
      </c>
      <c r="F477">
        <f>IF(怪しいデータを手直し!U145="dead",0,怪しいデータを手直し!U145)</f>
        <v>1.34</v>
      </c>
      <c r="G477">
        <f>怪しいデータを手直し!L145</f>
        <v>2.2999999999999998</v>
      </c>
    </row>
    <row r="478" spans="1:7">
      <c r="A478">
        <f>怪しいデータを手直し!F188</f>
        <v>540</v>
      </c>
      <c r="B478">
        <f>怪しいデータを手直し!C188</f>
        <v>27.573886755230106</v>
      </c>
      <c r="C478">
        <f>怪しいデータを手直し!D188</f>
        <v>-13.029159888179269</v>
      </c>
      <c r="D478" t="str">
        <f>怪しいデータを手直し!G188</f>
        <v>bp</v>
      </c>
      <c r="E478">
        <f>怪しいデータを手直し!T188</f>
        <v>1.51</v>
      </c>
      <c r="F478">
        <f>IF(怪しいデータを手直し!U188="dead",0,怪しいデータを手直し!U188)</f>
        <v>1.73</v>
      </c>
      <c r="G478">
        <f>怪しいデータを手直し!L188</f>
        <v>3.3</v>
      </c>
    </row>
    <row r="479" spans="1:7">
      <c r="A479">
        <f>怪しいデータを手直し!F508</f>
        <v>541</v>
      </c>
      <c r="B479">
        <f>怪しいデータを手直し!C508</f>
        <v>27.40438838957202</v>
      </c>
      <c r="C479">
        <f>怪しいデータを手直し!D508</f>
        <v>-13.093778944794197</v>
      </c>
      <c r="D479" t="str">
        <f>怪しいデータを手直し!G508</f>
        <v>bp</v>
      </c>
      <c r="E479">
        <f>怪しいデータを手直し!T508</f>
        <v>6.5571836553860887</v>
      </c>
      <c r="F479">
        <f>IF(怪しいデータを手直し!U508="dead",0,怪しいデータを手直し!U508)</f>
        <v>6.716338598477984</v>
      </c>
      <c r="G479">
        <f>怪しいデータを手直し!L508</f>
        <v>5.9</v>
      </c>
    </row>
    <row r="480" spans="1:7">
      <c r="A480">
        <f>怪しいデータを手直し!F227</f>
        <v>542</v>
      </c>
      <c r="B480">
        <f>怪しいデータを手直し!C227</f>
        <v>27.296469722438403</v>
      </c>
      <c r="C480">
        <f>怪しいデータを手直し!D227</f>
        <v>-13.073307418250858</v>
      </c>
      <c r="D480" t="str">
        <f>怪しいデータを手直し!G227</f>
        <v>bp</v>
      </c>
      <c r="E480">
        <f>怪しいデータを手直し!T227</f>
        <v>1.84</v>
      </c>
      <c r="F480">
        <f>IF(怪しいデータを手直し!U227="dead",0,怪しいデータを手直し!U227)</f>
        <v>0</v>
      </c>
      <c r="G480">
        <f>怪しいデータを手直し!L227</f>
        <v>2.5</v>
      </c>
    </row>
    <row r="481" spans="1:7">
      <c r="A481">
        <f>怪しいデータを手直し!F115</f>
        <v>543</v>
      </c>
      <c r="B481">
        <f>怪しいデータを手直し!C115</f>
        <v>27.258718247585577</v>
      </c>
      <c r="C481">
        <f>怪しいデータを手直し!D115</f>
        <v>-13.129558963430984</v>
      </c>
      <c r="D481" t="str">
        <f>怪しいデータを手直し!G115</f>
        <v>bp</v>
      </c>
      <c r="E481">
        <f>怪しいデータを手直し!T115</f>
        <v>1.02</v>
      </c>
      <c r="F481">
        <f>IF(怪しいデータを手直し!U115="dead",0,怪しいデータを手直し!U115)</f>
        <v>0</v>
      </c>
      <c r="G481">
        <f>怪しいデータを手直し!L115</f>
        <v>2.1</v>
      </c>
    </row>
    <row r="482" spans="1:7">
      <c r="A482">
        <f>怪しいデータを手直し!F89</f>
        <v>544</v>
      </c>
      <c r="B482">
        <f>怪しいデータを手直し!C89</f>
        <v>27.200450190790999</v>
      </c>
      <c r="C482">
        <f>怪しいデータを手直し!D89</f>
        <v>-13.143870970885699</v>
      </c>
      <c r="D482" t="str">
        <f>怪しいデータを手直し!G89</f>
        <v>bp</v>
      </c>
      <c r="E482">
        <f>怪しいデータを手直し!T89</f>
        <v>0.84</v>
      </c>
      <c r="F482">
        <f>IF(怪しいデータを手直し!U89="dead",0,怪しいデータを手直し!U89)</f>
        <v>0.95</v>
      </c>
      <c r="G482">
        <f>怪しいデータを手直し!L89</f>
        <v>2.6</v>
      </c>
    </row>
    <row r="483" spans="1:7">
      <c r="A483">
        <f>怪しいデータを手直し!F64</f>
        <v>545</v>
      </c>
      <c r="B483">
        <f>怪しいデータを手直し!C64</f>
        <v>27.340618084048792</v>
      </c>
      <c r="C483">
        <f>怪しいデータを手直し!D64</f>
        <v>-13.250376825244652</v>
      </c>
      <c r="D483" t="str">
        <f>怪しいデータを手直し!G64</f>
        <v>bp</v>
      </c>
      <c r="E483">
        <f>怪しいデータを手直し!T64</f>
        <v>0.65</v>
      </c>
      <c r="F483">
        <f>IF(怪しいデータを手直し!U64="dead",0,怪しいデータを手直し!U64)</f>
        <v>1.1800000000000002</v>
      </c>
      <c r="G483">
        <f>怪しいデータを手直し!L64</f>
        <v>2.1</v>
      </c>
    </row>
    <row r="484" spans="1:7">
      <c r="A484">
        <f>怪しいデータを手直し!F638</f>
        <v>546</v>
      </c>
      <c r="B484">
        <f>怪しいデータを手直し!C638</f>
        <v>27.094591953759824</v>
      </c>
      <c r="C484">
        <f>怪しいデータを手直し!D638</f>
        <v>-13.337565454045706</v>
      </c>
      <c r="D484" t="str">
        <f>怪しいデータを手直し!G638</f>
        <v>bp</v>
      </c>
      <c r="E484">
        <f>怪しいデータを手直し!T638</f>
        <v>15.278874536821952</v>
      </c>
      <c r="F484">
        <f>IF(怪しいデータを手直し!U638="dead",0,怪しいデータを手直し!U638)</f>
        <v>0</v>
      </c>
      <c r="G484">
        <f>怪しいデータを手直し!L638</f>
        <v>4.3</v>
      </c>
    </row>
    <row r="485" spans="1:7">
      <c r="A485">
        <f>怪しいデータを手直し!F518</f>
        <v>547</v>
      </c>
      <c r="B485">
        <f>怪しいデータを手直し!C518</f>
        <v>27.385008708664767</v>
      </c>
      <c r="C485">
        <f>怪しいデータを手直し!D518</f>
        <v>-13.380176729038922</v>
      </c>
      <c r="D485" t="str">
        <f>怪しいデータを手直し!G518</f>
        <v>bp</v>
      </c>
      <c r="E485">
        <f>怪しいデータを手直し!T518</f>
        <v>7.0346484846617745</v>
      </c>
      <c r="F485">
        <f>IF(怪しいデータを手直し!U518="dead",0,怪しいデータを手直し!U518)</f>
        <v>7.0346484846617745</v>
      </c>
      <c r="G485">
        <f>怪しいデータを手直し!L518</f>
        <v>7.1</v>
      </c>
    </row>
    <row r="486" spans="1:7">
      <c r="A486">
        <f>怪しいデータを手直し!F360</f>
        <v>548</v>
      </c>
      <c r="B486">
        <f>怪しいデータを手直し!C360</f>
        <v>27.449991754626517</v>
      </c>
      <c r="C486">
        <f>怪しいデータを手直し!D360</f>
        <v>-13.504025262616915</v>
      </c>
      <c r="D486" t="str">
        <f>怪しいデータを手直し!G360</f>
        <v>bp</v>
      </c>
      <c r="E486">
        <f>怪しいデータを手直し!T360</f>
        <v>3.2785918276930444</v>
      </c>
      <c r="F486">
        <f>IF(怪しいデータを手直し!U360="dead",0,怪しいデータを手直し!U360)</f>
        <v>3.5969017138768349</v>
      </c>
      <c r="G486">
        <f>怪しいデータを手直し!L360</f>
        <v>4</v>
      </c>
    </row>
    <row r="487" spans="1:7">
      <c r="A487">
        <f>怪しいデータを手直し!F389</f>
        <v>549</v>
      </c>
      <c r="B487">
        <f>怪しいデータを手直し!C389</f>
        <v>27.221745045931094</v>
      </c>
      <c r="C487">
        <f>怪しいデータを手直し!D389</f>
        <v>-13.615881680698827</v>
      </c>
      <c r="D487" t="str">
        <f>怪しいデータを手直し!G389</f>
        <v>bp</v>
      </c>
      <c r="E487">
        <f>怪しいデータを手直し!T389</f>
        <v>3.7242256683503507</v>
      </c>
      <c r="F487">
        <f>IF(怪しいデータを手直し!U389="dead",0,怪しいデータを手直し!U389)</f>
        <v>3.7242256683503507</v>
      </c>
      <c r="G487">
        <f>怪しいデータを手直し!L389</f>
        <v>4.2</v>
      </c>
    </row>
    <row r="488" spans="1:7">
      <c r="A488">
        <f>怪しいデータを手直し!F407</f>
        <v>550</v>
      </c>
      <c r="B488">
        <f>怪しいデータを手直し!C407</f>
        <v>26.978042096895663</v>
      </c>
      <c r="C488">
        <f>怪しいデータを手直し!D407</f>
        <v>-13.635795974718397</v>
      </c>
      <c r="D488" t="str">
        <f>怪しいデータを手直し!G407</f>
        <v>bp</v>
      </c>
      <c r="E488">
        <f>怪しいデータを手直し!T407</f>
        <v>4.0743665431525207</v>
      </c>
      <c r="F488">
        <f>IF(怪しいデータを手直し!U407="dead",0,怪しいデータを手直し!U407)</f>
        <v>4.2335214862444159</v>
      </c>
      <c r="G488">
        <f>怪しいデータを手直し!L407</f>
        <v>4.2</v>
      </c>
    </row>
    <row r="489" spans="1:7">
      <c r="A489">
        <f>怪しいデータを手直し!F121</f>
        <v>551</v>
      </c>
      <c r="B489">
        <f>怪しいデータを手直し!C121</f>
        <v>27.245017801982723</v>
      </c>
      <c r="C489">
        <f>怪しいデータを手直し!D121</f>
        <v>-13.513307434350482</v>
      </c>
      <c r="D489" t="str">
        <f>怪しいデータを手直し!G121</f>
        <v>bp</v>
      </c>
      <c r="E489">
        <f>怪しいデータを手直し!T121</f>
        <v>1.06</v>
      </c>
      <c r="F489">
        <f>IF(怪しいデータを手直し!U121="dead",0,怪しいデータを手直し!U121)</f>
        <v>1.1000000000000001</v>
      </c>
      <c r="G489">
        <f>怪しいデータを手直し!L121</f>
        <v>2</v>
      </c>
    </row>
    <row r="490" spans="1:7">
      <c r="A490">
        <f>怪しいデータを手直し!F494</f>
        <v>552</v>
      </c>
      <c r="B490">
        <f>怪しいデータを手直し!C494</f>
        <v>26.95918370245057</v>
      </c>
      <c r="C490">
        <f>怪しいデータを手直し!D494</f>
        <v>-13.567563635531844</v>
      </c>
      <c r="D490" t="str">
        <f>怪しいデータを手直し!G494</f>
        <v>bp</v>
      </c>
      <c r="E490">
        <f>怪しいデータを手直し!T494</f>
        <v>6.1433808033471609</v>
      </c>
      <c r="F490">
        <f>IF(怪しいデータを手直し!U494="dead",0,怪しいデータを手直し!U494)</f>
        <v>6.5890146440044672</v>
      </c>
      <c r="G490">
        <f>怪しいデータを手直し!L494</f>
        <v>6.6</v>
      </c>
    </row>
    <row r="491" spans="1:7">
      <c r="A491">
        <f>怪しいデータを手直し!F109</f>
        <v>553</v>
      </c>
      <c r="B491">
        <f>怪しいデータを手直し!C109</f>
        <v>26.875698166707046</v>
      </c>
      <c r="C491">
        <f>怪しいデータを手直し!D109</f>
        <v>-13.369747971083783</v>
      </c>
      <c r="D491" t="str">
        <f>怪しいデータを手直し!G109</f>
        <v>bp</v>
      </c>
      <c r="E491">
        <f>怪しいデータを手直し!T109</f>
        <v>0.99</v>
      </c>
      <c r="F491">
        <f>IF(怪しいデータを手直し!U109="dead",0,怪しいデータを手直し!U109)</f>
        <v>1.1400000000000001</v>
      </c>
      <c r="G491">
        <f>怪しいデータを手直し!L109</f>
        <v>3.4</v>
      </c>
    </row>
    <row r="492" spans="1:7">
      <c r="A492">
        <f>怪しいデータを手直し!F319</f>
        <v>554</v>
      </c>
      <c r="B492">
        <f>怪しいデータを手直し!C319</f>
        <v>26.831865447207264</v>
      </c>
      <c r="C492">
        <f>怪しいデータを手直し!D319</f>
        <v>-13.479171223085471</v>
      </c>
      <c r="D492" t="str">
        <f>怪しいデータを手直し!G319</f>
        <v>bp</v>
      </c>
      <c r="E492">
        <f>怪しいデータを手直し!T319</f>
        <v>2.8</v>
      </c>
      <c r="F492">
        <f>IF(怪しいデータを手直し!U319="dead",0,怪しいデータを手直し!U319)</f>
        <v>3.183098861837907</v>
      </c>
      <c r="G492">
        <f>怪しいデータを手直し!L319</f>
        <v>4.2</v>
      </c>
    </row>
    <row r="493" spans="1:7">
      <c r="A493">
        <f>怪しいデータを手直し!F385</f>
        <v>555</v>
      </c>
      <c r="B493">
        <f>怪しいデータを手直し!C385</f>
        <v>26.880206616637487</v>
      </c>
      <c r="C493">
        <f>怪しいデータを手直し!D385</f>
        <v>-13.466398935188682</v>
      </c>
      <c r="D493" t="str">
        <f>怪しいデータを手直し!G385</f>
        <v>bp</v>
      </c>
      <c r="E493">
        <f>怪しいデータを手直し!T385</f>
        <v>3.6</v>
      </c>
      <c r="F493">
        <f>IF(怪しいデータを手直し!U385="dead",0,怪しいデータを手直し!U385)</f>
        <v>3.851549622823867</v>
      </c>
      <c r="G493">
        <f>怪しいデータを手直し!L385</f>
        <v>2.2000000000000002</v>
      </c>
    </row>
    <row r="494" spans="1:7">
      <c r="A494">
        <f>怪しいデータを手直し!F120</f>
        <v>556</v>
      </c>
      <c r="B494">
        <f>怪しいデータを手直し!C120</f>
        <v>27.354652244018268</v>
      </c>
      <c r="C494">
        <f>怪しいデータを手直し!D120</f>
        <v>-13.459375685046041</v>
      </c>
      <c r="D494" t="str">
        <f>怪しいデータを手直し!G120</f>
        <v>bp</v>
      </c>
      <c r="E494">
        <f>怪しいデータを手直し!T120</f>
        <v>1.05</v>
      </c>
      <c r="F494">
        <f>IF(怪しいデータを手直し!U120="dead",0,怪しいデータを手直し!U120)</f>
        <v>0</v>
      </c>
      <c r="G494">
        <f>怪しいデータを手直し!L120</f>
        <v>1</v>
      </c>
    </row>
    <row r="495" spans="1:7">
      <c r="A495">
        <f>怪しいデータを手直し!F202</f>
        <v>557</v>
      </c>
      <c r="B495">
        <f>怪しいデータを手直し!C202</f>
        <v>26.865716922766467</v>
      </c>
      <c r="C495">
        <f>怪しいデータを手直し!D202</f>
        <v>-13.642459065946641</v>
      </c>
      <c r="D495" t="str">
        <f>怪しいデータを手直し!G202</f>
        <v>bp</v>
      </c>
      <c r="E495">
        <f>怪しいデータを手直し!T202</f>
        <v>1.61</v>
      </c>
      <c r="F495">
        <f>IF(怪しいデータを手直し!U202="dead",0,怪しいデータを手直し!U202)</f>
        <v>1.1199999999999999</v>
      </c>
      <c r="G495">
        <f>怪しいデータを手直し!L202</f>
        <v>0.9</v>
      </c>
    </row>
    <row r="496" spans="1:7">
      <c r="A496">
        <f>怪しいデータを手直し!F9</f>
        <v>558</v>
      </c>
      <c r="B496">
        <f>怪しいデータを手直し!C9</f>
        <v>26.14893076961571</v>
      </c>
      <c r="C496">
        <f>怪しいデータを手直し!D9</f>
        <v>-15.041376912620358</v>
      </c>
      <c r="D496" t="str">
        <f>怪しいデータを手直し!G9</f>
        <v>pt</v>
      </c>
      <c r="E496">
        <f>怪しいデータを手直し!T9</f>
        <v>0.21</v>
      </c>
      <c r="F496">
        <f>IF(怪しいデータを手直し!U9="dead",0,怪しいデータを手直し!U9)</f>
        <v>0.62</v>
      </c>
      <c r="G496">
        <f>怪しいデータを手直し!L9</f>
        <v>1.6</v>
      </c>
    </row>
    <row r="497" spans="1:7">
      <c r="A497">
        <f>怪しいデータを手直し!F675</f>
        <v>559</v>
      </c>
      <c r="B497">
        <f>怪しいデータを手直し!C675</f>
        <v>28.465129140768692</v>
      </c>
      <c r="C497">
        <f>怪しいデータを手直し!D675</f>
        <v>-16.499565697864465</v>
      </c>
      <c r="D497" t="str">
        <f>怪しいデータを手直し!G675</f>
        <v>lc</v>
      </c>
      <c r="E497">
        <f>怪しいデータを手直し!T675</f>
        <v>23.236621691416719</v>
      </c>
      <c r="F497">
        <f>IF(怪しいデータを手直し!U675="dead",0,怪しいデータを手直し!U675)</f>
        <v>0</v>
      </c>
      <c r="G497">
        <f>怪しいデータを手直し!L675</f>
        <v>3</v>
      </c>
    </row>
    <row r="498" spans="1:7">
      <c r="A498">
        <f>怪しいデータを手直し!F460</f>
        <v>560</v>
      </c>
      <c r="B498">
        <f>怪しいデータを手直し!C460</f>
        <v>27.802826060536908</v>
      </c>
      <c r="C498">
        <f>怪しいデータを手直し!D460</f>
        <v>-18.540553137267075</v>
      </c>
      <c r="D498" t="str">
        <f>怪しいデータを手直し!G460</f>
        <v>bp</v>
      </c>
      <c r="E498">
        <f>怪しいデータを手直し!T460</f>
        <v>5.2202821334141669</v>
      </c>
      <c r="F498">
        <f>IF(怪しいデータを手直し!U460="dead",0,怪しいデータを手直し!U460)</f>
        <v>5.6659159740714742</v>
      </c>
      <c r="G498">
        <f>怪しいデータを手直し!L460</f>
        <v>6</v>
      </c>
    </row>
    <row r="499" spans="1:7">
      <c r="A499">
        <f>怪しいデータを手直し!F413</f>
        <v>561</v>
      </c>
      <c r="B499">
        <f>怪しいデータを手直し!C413</f>
        <v>27.731279138370269</v>
      </c>
      <c r="C499">
        <f>怪しいデータを手直し!D413</f>
        <v>-18.751193542563861</v>
      </c>
      <c r="D499" t="str">
        <f>怪しいデータを手直し!G413</f>
        <v>bp</v>
      </c>
      <c r="E499">
        <f>怪しいデータを手直し!T413</f>
        <v>4.1061975317709001</v>
      </c>
      <c r="F499">
        <f>IF(怪しいデータを手直し!U413="dead",0,怪しいデータを手直し!U413)</f>
        <v>4.1380285203892786</v>
      </c>
      <c r="G499">
        <f>怪しいデータを手直し!L413</f>
        <v>4.4000000000000004</v>
      </c>
    </row>
    <row r="500" spans="1:7">
      <c r="A500">
        <f>怪しいデータを手直し!F593</f>
        <v>562</v>
      </c>
      <c r="B500">
        <f>怪しいデータを手直し!C593</f>
        <v>27.816973727695228</v>
      </c>
      <c r="C500">
        <f>怪しいデータを手直し!D593</f>
        <v>-18.819040245306269</v>
      </c>
      <c r="D500" t="str">
        <f>怪しいデータを手直し!G593</f>
        <v>bp</v>
      </c>
      <c r="E500">
        <f>怪しいデータを手直し!T593</f>
        <v>11.459155902616464</v>
      </c>
      <c r="F500">
        <f>IF(怪しいデータを手直し!U593="dead",0,怪しいデータを手直し!U593)</f>
        <v>11.650141834326739</v>
      </c>
      <c r="G500">
        <f>怪しいデータを手直し!L593</f>
        <v>9.1999999999999993</v>
      </c>
    </row>
    <row r="501" spans="1:7">
      <c r="A501">
        <f>怪しいデータを手直し!F379</f>
        <v>563</v>
      </c>
      <c r="B501">
        <f>怪しいデータを手直し!C379</f>
        <v>27.646310495894554</v>
      </c>
      <c r="C501">
        <f>怪しいデータを手直し!D379</f>
        <v>-18.975480802506063</v>
      </c>
      <c r="D501" t="str">
        <f>怪しいデータを手直し!G379</f>
        <v>bp</v>
      </c>
      <c r="E501">
        <f>怪しいデータを手直し!T379</f>
        <v>3.5014087480216975</v>
      </c>
      <c r="F501">
        <f>IF(怪しいデータを手直し!U379="dead",0,怪しいデータを手直し!U379)</f>
        <v>3.5969017138768349</v>
      </c>
      <c r="G501">
        <f>怪しいデータを手直し!L379</f>
        <v>3.8</v>
      </c>
    </row>
    <row r="502" spans="1:7">
      <c r="A502">
        <f>怪しいデータを手直し!F90</f>
        <v>564</v>
      </c>
      <c r="B502">
        <f>怪しいデータを手直し!C90</f>
        <v>27.711031855444549</v>
      </c>
      <c r="C502">
        <f>怪しいデータを手直し!D90</f>
        <v>-18.928457982322666</v>
      </c>
      <c r="D502" t="str">
        <f>怪しいデータを手直し!G90</f>
        <v>bp</v>
      </c>
      <c r="E502">
        <f>怪しいデータを手直し!T90</f>
        <v>0.84</v>
      </c>
      <c r="F502">
        <f>IF(怪しいデータを手直し!U90="dead",0,怪しいデータを手直し!U90)</f>
        <v>1.25</v>
      </c>
      <c r="G502">
        <f>怪しいデータを手直し!L90</f>
        <v>2.2000000000000002</v>
      </c>
    </row>
    <row r="503" spans="1:7">
      <c r="A503">
        <f>怪しいデータを手直し!F98</f>
        <v>565</v>
      </c>
      <c r="B503">
        <f>怪しいデータを手直し!C98</f>
        <v>28.085472499046794</v>
      </c>
      <c r="C503">
        <f>怪しいデータを手直し!D98</f>
        <v>-18.593028245562195</v>
      </c>
      <c r="D503" t="str">
        <f>怪しいデータを手直し!G98</f>
        <v>bp</v>
      </c>
      <c r="E503">
        <f>怪しいデータを手直し!T98</f>
        <v>0.9</v>
      </c>
      <c r="F503">
        <f>IF(怪しいデータを手直し!U98="dead",0,怪しいデータを手直し!U98)</f>
        <v>1.65</v>
      </c>
      <c r="G503">
        <f>怪しいデータを手直し!L98</f>
        <v>1.8</v>
      </c>
    </row>
    <row r="504" spans="1:7">
      <c r="A504">
        <f>怪しいデータを手直し!F58</f>
        <v>566</v>
      </c>
      <c r="B504">
        <f>怪しいデータを手直し!C58</f>
        <v>27.136801048343358</v>
      </c>
      <c r="C504">
        <f>怪しいデータを手直し!D58</f>
        <v>-19.380006009065209</v>
      </c>
      <c r="D504" t="str">
        <f>怪しいデータを手直し!G58</f>
        <v>sb</v>
      </c>
      <c r="E504">
        <f>怪しいデータを手直し!T58</f>
        <v>0.63</v>
      </c>
      <c r="F504">
        <f>IF(怪しいデータを手直し!U58="dead",0,怪しいデータを手直し!U58)</f>
        <v>0.78</v>
      </c>
      <c r="G504">
        <f>怪しいデータを手直し!L58</f>
        <v>1.8</v>
      </c>
    </row>
    <row r="505" spans="1:7">
      <c r="A505">
        <f>怪しいデータを手直し!F96</f>
        <v>567</v>
      </c>
      <c r="B505">
        <f>怪しいデータを手直し!C96</f>
        <v>26.855187291478849</v>
      </c>
      <c r="C505">
        <f>怪しいデータを手直し!D96</f>
        <v>-19.034179478951081</v>
      </c>
      <c r="D505" t="str">
        <f>怪しいデータを手直し!G96</f>
        <v>sb</v>
      </c>
      <c r="E505">
        <f>怪しいデータを手直し!T96</f>
        <v>0.89</v>
      </c>
      <c r="F505">
        <f>IF(怪しいデータを手直し!U96="dead",0,怪しいデータを手直し!U96)</f>
        <v>0</v>
      </c>
      <c r="G505">
        <f>怪しいデータを手直し!L96</f>
        <v>1.8</v>
      </c>
    </row>
    <row r="506" spans="1:7">
      <c r="A506">
        <f>怪しいデータを手直し!F24</f>
        <v>568</v>
      </c>
      <c r="B506">
        <f>怪しいデータを手直し!C24</f>
        <v>23.673803585367654</v>
      </c>
      <c r="C506">
        <f>怪しいデータを手直し!D24</f>
        <v>-16.862901036066745</v>
      </c>
      <c r="D506" t="str">
        <f>怪しいデータを手直し!G24</f>
        <v>pt</v>
      </c>
      <c r="E506">
        <f>怪しいデータを手直し!T24</f>
        <v>0.41</v>
      </c>
      <c r="F506">
        <f>IF(怪しいデータを手直し!U24="dead",0,怪しいデータを手直し!U24)</f>
        <v>0.83000000000000007</v>
      </c>
      <c r="G506">
        <f>怪しいデータを手直し!L24</f>
        <v>1.7</v>
      </c>
    </row>
    <row r="507" spans="1:7">
      <c r="A507">
        <f>怪しいデータを手直し!F235</f>
        <v>569</v>
      </c>
      <c r="B507">
        <f>怪しいデータを手直し!C235</f>
        <v>22.928535532501993</v>
      </c>
      <c r="C507">
        <f>怪しいデータを手直し!D235</f>
        <v>-15.546855049030304</v>
      </c>
      <c r="D507" t="str">
        <f>怪しいデータを手直し!G235</f>
        <v>pt</v>
      </c>
      <c r="E507">
        <f>怪しいデータを手直し!T235</f>
        <v>1.94</v>
      </c>
      <c r="F507">
        <f>IF(怪しいデータを手直し!U235="dead",0,怪しいデータを手直し!U235)</f>
        <v>2.71</v>
      </c>
      <c r="G507">
        <f>怪しいデータを手直し!L235</f>
        <v>3.9</v>
      </c>
    </row>
    <row r="508" spans="1:7">
      <c r="A508">
        <f>怪しいデータを手直し!F363</f>
        <v>570</v>
      </c>
      <c r="B508">
        <f>怪しいデータを手直し!C363</f>
        <v>18.687857860928503</v>
      </c>
      <c r="C508">
        <f>怪しいデータを手直し!D363</f>
        <v>-16.25311022221458</v>
      </c>
      <c r="D508" t="str">
        <f>怪しいデータを手直し!G363</f>
        <v>lc</v>
      </c>
      <c r="E508">
        <f>怪しいデータを手直し!T363</f>
        <v>3.34</v>
      </c>
      <c r="F508">
        <f>IF(怪しいデータを手直し!U363="dead",0,怪しいデータを手直し!U363)</f>
        <v>0</v>
      </c>
      <c r="G508">
        <f>怪しいデータを手直し!L363</f>
        <v>3.7</v>
      </c>
    </row>
    <row r="509" spans="1:7">
      <c r="A509">
        <f>怪しいデータを手直し!F691</f>
        <v>571</v>
      </c>
      <c r="B509">
        <f>怪しいデータを手直し!C691</f>
        <v>17.437640230641318</v>
      </c>
      <c r="C509">
        <f>怪しいデータを手直し!D691</f>
        <v>-18.478582104623413</v>
      </c>
      <c r="D509" t="str">
        <f>怪しいデータを手直し!G691</f>
        <v>lc</v>
      </c>
      <c r="E509">
        <f>怪しいデータを手直し!T691</f>
        <v>30.939720937064454</v>
      </c>
      <c r="F509">
        <f>IF(怪しいデータを手直し!U691="dead",0,怪しいデータを手直し!U691)</f>
        <v>0</v>
      </c>
      <c r="G509">
        <f>怪しいデータを手直し!L691</f>
        <v>16.3</v>
      </c>
    </row>
    <row r="510" spans="1:7">
      <c r="A510">
        <f>怪しいデータを手直し!F106</f>
        <v>572</v>
      </c>
      <c r="B510">
        <f>怪しいデータを手直し!C106</f>
        <v>16.17530308633452</v>
      </c>
      <c r="C510">
        <f>怪しいデータを手直し!D106</f>
        <v>-17.610064118308244</v>
      </c>
      <c r="D510" t="str">
        <f>怪しいデータを手直し!G106</f>
        <v>pt</v>
      </c>
      <c r="E510">
        <f>怪しいデータを手直し!T106</f>
        <v>0.96</v>
      </c>
      <c r="F510">
        <f>IF(怪しいデータを手直し!U106="dead",0,怪しいデータを手直し!U106)</f>
        <v>1.35</v>
      </c>
      <c r="G510">
        <f>怪しいデータを手直し!L106</f>
        <v>2.5</v>
      </c>
    </row>
    <row r="511" spans="1:7">
      <c r="A511">
        <f>怪しいデータを手直し!F408</f>
        <v>573</v>
      </c>
      <c r="B511">
        <f>怪しいデータを手直し!C408</f>
        <v>16.298395004410601</v>
      </c>
      <c r="C511">
        <f>怪しいデータを手直し!D408</f>
        <v>-11.763555350964374</v>
      </c>
      <c r="D511" t="str">
        <f>怪しいデータを手直し!G408</f>
        <v>bp</v>
      </c>
      <c r="E511">
        <f>怪しいデータを手直し!T408</f>
        <v>4.0743665431525207</v>
      </c>
      <c r="F511">
        <f>IF(怪しいデータを手直し!U408="dead",0,怪しいデータを手直し!U408)</f>
        <v>4.1380285203892786</v>
      </c>
      <c r="G511">
        <f>怪しいデータを手直し!L408</f>
        <v>2.9</v>
      </c>
    </row>
    <row r="512" spans="1:7">
      <c r="A512">
        <f>怪しいデータを手直し!F631</f>
        <v>574</v>
      </c>
      <c r="B512">
        <f>怪しいデータを手直し!C631</f>
        <v>16.067810813301975</v>
      </c>
      <c r="C512">
        <f>怪しいデータを手直し!D631</f>
        <v>-11.937817404696471</v>
      </c>
      <c r="D512" t="str">
        <f>怪しいデータを手直し!G631</f>
        <v>bp</v>
      </c>
      <c r="E512">
        <f>怪しいデータを手直し!T631</f>
        <v>14.228451912415444</v>
      </c>
      <c r="F512">
        <f>IF(怪しいデータを手直し!U631="dead",0,怪しいデータを手直し!U631)</f>
        <v>14.642254764454371</v>
      </c>
      <c r="G512">
        <f>怪しいデータを手直し!L631</f>
        <v>10.199999999999999</v>
      </c>
    </row>
    <row r="513" spans="1:7">
      <c r="A513">
        <f>怪しいデータを手直し!F590</f>
        <v>575</v>
      </c>
      <c r="B513">
        <f>怪しいデータを手直し!C590</f>
        <v>16.117883851958656</v>
      </c>
      <c r="C513">
        <f>怪しいデータを手直し!D590</f>
        <v>-12.281271204847481</v>
      </c>
      <c r="D513" t="str">
        <f>怪しいデータを手直し!G590</f>
        <v>bp</v>
      </c>
      <c r="E513">
        <f>怪しいデータを手直し!T590</f>
        <v>11.204507993669433</v>
      </c>
      <c r="F513">
        <f>IF(怪しいデータを手直し!U590="dead",0,怪しいデータを手直し!U590)</f>
        <v>11.490986891234844</v>
      </c>
      <c r="G513">
        <f>怪しいデータを手直し!L590</f>
        <v>7.3</v>
      </c>
    </row>
    <row r="514" spans="1:7">
      <c r="A514">
        <f>怪しいデータを手直し!F438</f>
        <v>576</v>
      </c>
      <c r="B514">
        <f>怪しいデータを手直し!C438</f>
        <v>14.058492422108468</v>
      </c>
      <c r="C514">
        <f>怪しいデータを手直し!D438</f>
        <v>-19.417430088437879</v>
      </c>
      <c r="D514" t="str">
        <f>怪しいデータを手直し!G438</f>
        <v>lc</v>
      </c>
      <c r="E514">
        <f>怪しいデータを手直し!T438</f>
        <v>4.6791553269017232</v>
      </c>
      <c r="F514">
        <f>IF(怪しいデータを手直し!U438="dead",0,怪しいデータを手直し!U438)</f>
        <v>5.7295779513082321</v>
      </c>
      <c r="G514">
        <f>怪しいデータを手直し!L438</f>
        <v>4.9000000000000004</v>
      </c>
    </row>
    <row r="515" spans="1:7">
      <c r="A515">
        <f>怪しいデータを手直し!F29</f>
        <v>577</v>
      </c>
      <c r="B515">
        <f>怪しいデータを手直し!C29</f>
        <v>12.642308249250132</v>
      </c>
      <c r="C515">
        <f>怪しいデータを手直し!D29</f>
        <v>-18.965943859866712</v>
      </c>
      <c r="D515" t="str">
        <f>怪しいデータを手直し!G29</f>
        <v>lc</v>
      </c>
      <c r="E515">
        <f>怪しいデータを手直し!T29</f>
        <v>0.45</v>
      </c>
      <c r="F515">
        <f>IF(怪しいデータを手直し!U29="dead",0,怪しいデータを手直し!U29)</f>
        <v>0</v>
      </c>
      <c r="G515">
        <f>怪しいデータを手直し!L29</f>
        <v>1.6</v>
      </c>
    </row>
    <row r="516" spans="1:7">
      <c r="A516">
        <f>怪しいデータを手直し!F614</f>
        <v>578</v>
      </c>
      <c r="B516">
        <f>怪しいデータを手直し!C614</f>
        <v>11.930988836250952</v>
      </c>
      <c r="C516">
        <f>怪しいデータを手直し!D614</f>
        <v>-17.142613284958919</v>
      </c>
      <c r="D516" t="str">
        <f>怪しいデータを手直し!G614</f>
        <v>lc</v>
      </c>
      <c r="E516">
        <f>怪しいデータを手直し!T614</f>
        <v>12.732395447351628</v>
      </c>
      <c r="F516">
        <f>IF(怪しいデータを手直し!U614="dead",0,怪しいデータを手直し!U614)</f>
        <v>0</v>
      </c>
      <c r="G516">
        <f>怪しいデータを手直し!L614</f>
        <v>6.4</v>
      </c>
    </row>
    <row r="517" spans="1:7">
      <c r="A517">
        <f>怪しいデータを手直し!F361</f>
        <v>579</v>
      </c>
      <c r="B517">
        <f>怪しいデータを手直し!C361</f>
        <v>11.343016541337331</v>
      </c>
      <c r="C517">
        <f>怪しいデータを手直し!D361</f>
        <v>-19.135918177230341</v>
      </c>
      <c r="D517" t="str">
        <f>怪しいデータを手直し!G361</f>
        <v>lc</v>
      </c>
      <c r="E517">
        <f>怪しいデータを手直し!T361</f>
        <v>3.2785918276930444</v>
      </c>
      <c r="F517">
        <f>IF(怪しいデータを手直し!U361="dead",0,怪しいデータを手直し!U361)</f>
        <v>4.0743665431525207</v>
      </c>
      <c r="G517">
        <f>怪しいデータを手直し!L361</f>
        <v>4</v>
      </c>
    </row>
    <row r="518" spans="1:7">
      <c r="A518">
        <f>怪しいデータを手直し!F23</f>
        <v>580</v>
      </c>
      <c r="B518">
        <f>怪しいデータを手直し!C23</f>
        <v>8.3512926746389606</v>
      </c>
      <c r="C518">
        <f>怪しいデータを手直し!D23</f>
        <v>-18.76972124200773</v>
      </c>
      <c r="D518" t="str">
        <f>怪しいデータを手直し!G23</f>
        <v>lc</v>
      </c>
      <c r="E518">
        <f>怪しいデータを手直し!T23</f>
        <v>0.4</v>
      </c>
      <c r="F518">
        <f>IF(怪しいデータを手直し!U23="dead",0,怪しいデータを手直し!U23)</f>
        <v>0.63</v>
      </c>
      <c r="G518">
        <f>怪しいデータを手直し!L23</f>
        <v>1.4</v>
      </c>
    </row>
    <row r="519" spans="1:7">
      <c r="A519">
        <f>怪しいデータを手直し!F521</f>
        <v>581</v>
      </c>
      <c r="B519">
        <f>怪しいデータを手直し!C521</f>
        <v>7.8356849124416224</v>
      </c>
      <c r="C519">
        <f>怪しいデータを手直し!D521</f>
        <v>-16.883817396832569</v>
      </c>
      <c r="D519" t="str">
        <f>怪しいデータを手直し!G521</f>
        <v>bp</v>
      </c>
      <c r="E519">
        <f>怪しいデータを手直し!T521</f>
        <v>7.0983104618985324</v>
      </c>
      <c r="F519">
        <f>IF(怪しいデータを手直し!U521="dead",0,怪しいデータを手直し!U521)</f>
        <v>7.7349302342661135</v>
      </c>
      <c r="G519">
        <f>怪しいデータを手直し!L521</f>
        <v>6.3</v>
      </c>
    </row>
    <row r="520" spans="1:7">
      <c r="A520">
        <f>怪しいデータを手直し!F650</f>
        <v>582</v>
      </c>
      <c r="B520">
        <f>怪しいデータを手直し!C650</f>
        <v>6.4666413112328369</v>
      </c>
      <c r="C520">
        <f>怪しいデータを手直し!D650</f>
        <v>-17.283553401455698</v>
      </c>
      <c r="D520" t="str">
        <f>怪しいデータを手直し!G650</f>
        <v>lc</v>
      </c>
      <c r="E520">
        <f>怪しいデータを手直し!T650</f>
        <v>17.443381762871727</v>
      </c>
      <c r="F520">
        <f>IF(怪しいデータを手直し!U650="dead",0,怪しいデータを手直し!U650)</f>
        <v>0</v>
      </c>
      <c r="G520">
        <f>怪しいデータを手直し!L650</f>
        <v>3.7</v>
      </c>
    </row>
    <row r="521" spans="1:7">
      <c r="A521">
        <f>怪しいデータを手直し!F141</f>
        <v>583</v>
      </c>
      <c r="B521">
        <f>怪しいデータを手直し!C141</f>
        <v>4.283786838883505</v>
      </c>
      <c r="C521">
        <f>怪しいデータを手直し!D141</f>
        <v>-18.299684952997218</v>
      </c>
      <c r="D521" t="str">
        <f>怪しいデータを手直し!G141</f>
        <v>lc</v>
      </c>
      <c r="E521">
        <f>怪しいデータを手直し!T141</f>
        <v>1.22</v>
      </c>
      <c r="F521">
        <f>IF(怪しいデータを手直し!U141="dead",0,怪しいデータを手直し!U141)</f>
        <v>0</v>
      </c>
      <c r="G521">
        <f>怪しいデータを手直し!L141</f>
        <v>2.2000000000000002</v>
      </c>
    </row>
    <row r="522" spans="1:7">
      <c r="A522">
        <f>怪しいデータを手直し!F300</f>
        <v>584</v>
      </c>
      <c r="B522">
        <f>怪しいデータを手直し!C300</f>
        <v>3.7242049453762323</v>
      </c>
      <c r="C522">
        <f>怪しいデータを手直し!D300</f>
        <v>-18.248199653550781</v>
      </c>
      <c r="D522" t="str">
        <f>怪しいデータを手直し!G300</f>
        <v>lc</v>
      </c>
      <c r="E522">
        <f>怪しいデータを手直し!T300</f>
        <v>2.5</v>
      </c>
      <c r="F522">
        <f>IF(怪しいデータを手直し!U300="dead",0,怪しいデータを手直し!U300)</f>
        <v>3.5014087480216975</v>
      </c>
      <c r="G522">
        <f>怪しいデータを手直し!L300</f>
        <v>3.5</v>
      </c>
    </row>
    <row r="523" spans="1:7">
      <c r="A523">
        <f>怪しいデータを手直し!F6</f>
        <v>585</v>
      </c>
      <c r="B523">
        <f>怪しいデータを手直し!C6</f>
        <v>3.7860272796370453</v>
      </c>
      <c r="C523">
        <f>怪しいデータを手直し!D6</f>
        <v>-19.006602991019648</v>
      </c>
      <c r="D523" t="str">
        <f>怪しいデータを手直し!G6</f>
        <v>lc</v>
      </c>
      <c r="E523">
        <f>怪しいデータを手直し!T6</f>
        <v>0.17</v>
      </c>
      <c r="F523">
        <f>IF(怪しいデータを手直し!U6="dead",0,怪しいデータを手直し!U6)</f>
        <v>0.78</v>
      </c>
      <c r="G523">
        <f>怪しいデータを手直し!L6</f>
        <v>1.4</v>
      </c>
    </row>
    <row r="524" spans="1:7">
      <c r="A524">
        <f>怪しいデータを手直し!F73</f>
        <v>586</v>
      </c>
      <c r="B524">
        <f>怪しいデータを手直し!C73</f>
        <v>3.4091697728968855</v>
      </c>
      <c r="C524">
        <f>怪しいデータを手直し!D73</f>
        <v>-18.835069974797381</v>
      </c>
      <c r="D524" t="str">
        <f>怪しいデータを手直し!G73</f>
        <v>lc</v>
      </c>
      <c r="E524">
        <f>怪しいデータを手直し!T73</f>
        <v>0.73</v>
      </c>
      <c r="F524">
        <f>IF(怪しいデータを手直し!U73="dead",0,怪しいデータを手直し!U73)</f>
        <v>1.31</v>
      </c>
      <c r="G524">
        <f>怪しいデータを手直し!L73</f>
        <v>1.6</v>
      </c>
    </row>
    <row r="525" spans="1:7">
      <c r="A525">
        <f>怪しいデータを手直し!F343</f>
        <v>587</v>
      </c>
      <c r="B525">
        <f>怪しいデータを手直し!C343</f>
        <v>1.5226557831048269</v>
      </c>
      <c r="C525">
        <f>怪しいデータを手直し!D343</f>
        <v>-17.833384923912359</v>
      </c>
      <c r="D525" t="str">
        <f>怪しいデータを手直し!G343</f>
        <v>lc</v>
      </c>
      <c r="E525">
        <f>怪しいデータを手直し!T343</f>
        <v>3.04</v>
      </c>
      <c r="F525">
        <f>IF(怪しいデータを手直し!U343="dead",0,怪しいデータを手直し!U343)</f>
        <v>3.9470425886790048</v>
      </c>
      <c r="G525">
        <f>怪しいデータを手直し!L343</f>
        <v>3.9</v>
      </c>
    </row>
    <row r="526" spans="1:7">
      <c r="A526">
        <f>怪しいデータを手直し!F689</f>
        <v>588</v>
      </c>
      <c r="B526">
        <f>怪しいデータを手直し!C689</f>
        <v>1.8407745955404609</v>
      </c>
      <c r="C526">
        <f>怪しいデータを手直し!D689</f>
        <v>-14.422176939971177</v>
      </c>
      <c r="D526" t="str">
        <f>怪しいデータを手直し!G689</f>
        <v>lc</v>
      </c>
      <c r="E526">
        <f>怪しいデータを手直し!T689</f>
        <v>29.284509528908742</v>
      </c>
      <c r="F526">
        <f>IF(怪しいデータを手直し!U689="dead",0,怪しいデータを手直し!U689)</f>
        <v>0</v>
      </c>
      <c r="G526">
        <f>怪しいデータを手直し!L689</f>
        <v>13.5</v>
      </c>
    </row>
    <row r="527" spans="1:7">
      <c r="A527">
        <f>怪しいデータを手直し!F155</f>
        <v>589</v>
      </c>
      <c r="B527">
        <f>怪しいデータを手直し!C155</f>
        <v>0.82101434437614929</v>
      </c>
      <c r="C527">
        <f>怪しいデータを手直し!D155</f>
        <v>-14.108775419310309</v>
      </c>
      <c r="D527" t="str">
        <f>怪しいデータを手直し!G155</f>
        <v>lc</v>
      </c>
      <c r="E527">
        <f>怪しいデータを手直し!T155</f>
        <v>1.3</v>
      </c>
      <c r="F527">
        <f>IF(怪しいデータを手直し!U155="dead",0,怪しいデータを手直し!U155)</f>
        <v>2.0499999999999998</v>
      </c>
      <c r="G527">
        <f>怪しいデータを手直し!L155</f>
        <v>1.9</v>
      </c>
    </row>
    <row r="528" spans="1:7">
      <c r="A528">
        <f>怪しいデータを手直し!F686</f>
        <v>590</v>
      </c>
      <c r="B528">
        <f>怪しいデータを手直し!C686</f>
        <v>8.5366685337559378</v>
      </c>
      <c r="C528">
        <f>怪しいデータを手直し!D686</f>
        <v>-10.477273867691553</v>
      </c>
      <c r="D528" t="str">
        <f>怪しいデータを手直し!G686</f>
        <v>lc</v>
      </c>
      <c r="E528">
        <f>怪しいデータを手直し!T686</f>
        <v>28.170424927265476</v>
      </c>
      <c r="F528">
        <f>IF(怪しいデータを手直し!U686="dead",0,怪しいデータを手直し!U686)</f>
        <v>0</v>
      </c>
      <c r="G528">
        <f>怪しいデータを手直し!L686</f>
        <v>8.4</v>
      </c>
    </row>
    <row r="529" spans="1:7">
      <c r="A529">
        <f>怪しいデータを手直し!F255</f>
        <v>601</v>
      </c>
      <c r="B529">
        <f>怪しいデータを手直し!C255</f>
        <v>3.6767165407509381</v>
      </c>
      <c r="C529">
        <f>怪しいデータを手直し!D255</f>
        <v>-20.101695673448518</v>
      </c>
      <c r="D529" t="str">
        <f>怪しいデータを手直し!G255</f>
        <v>lc</v>
      </c>
      <c r="E529">
        <f>怪しいデータを手直し!T255</f>
        <v>2.12</v>
      </c>
      <c r="F529">
        <f>IF(怪しいデータを手直し!U255="dead",0,怪しいデータを手直し!U255)</f>
        <v>3.183098861837907</v>
      </c>
      <c r="G529">
        <f>怪しいデータを手直し!L255</f>
        <v>3.2</v>
      </c>
    </row>
    <row r="530" spans="1:7">
      <c r="A530">
        <f>怪しいデータを手直し!F61</f>
        <v>602</v>
      </c>
      <c r="B530">
        <f>怪しいデータを手直し!C61</f>
        <v>4.6665728265819304</v>
      </c>
      <c r="C530">
        <f>怪しいデータを手直し!D61</f>
        <v>-20.335313157045952</v>
      </c>
      <c r="D530" t="str">
        <f>怪しいデータを手直し!G61</f>
        <v>lc</v>
      </c>
      <c r="E530">
        <f>怪しいデータを手直し!T61</f>
        <v>0.64</v>
      </c>
      <c r="F530">
        <f>IF(怪しいデータを手直し!U61="dead",0,怪しいデータを手直し!U61)</f>
        <v>1</v>
      </c>
      <c r="G530">
        <f>怪しいデータを手直し!L61</f>
        <v>1.7</v>
      </c>
    </row>
    <row r="531" spans="1:7">
      <c r="A531">
        <f>怪しいデータを手直し!F184</f>
        <v>603</v>
      </c>
      <c r="B531">
        <f>怪しいデータを手直し!C184</f>
        <v>3.8441714100243498</v>
      </c>
      <c r="C531">
        <f>怪しいデータを手直し!D184</f>
        <v>-21.83114306271171</v>
      </c>
      <c r="D531" t="str">
        <f>怪しいデータを手直し!G184</f>
        <v>lc</v>
      </c>
      <c r="E531">
        <f>怪しいデータを手直し!T184</f>
        <v>1.48</v>
      </c>
      <c r="F531">
        <f>IF(怪しいデータを手直し!U184="dead",0,怪しいデータを手直し!U184)</f>
        <v>2.08</v>
      </c>
      <c r="G531">
        <f>怪しいデータを手直し!L184</f>
        <v>2.2999999999999998</v>
      </c>
    </row>
    <row r="532" spans="1:7">
      <c r="A532">
        <f>怪しいデータを手直し!F391</f>
        <v>604</v>
      </c>
      <c r="B532">
        <f>怪しいデータを手直し!C391</f>
        <v>5.2992375060011847</v>
      </c>
      <c r="C532">
        <f>怪しいデータを手直し!D391</f>
        <v>-21.210623615793651</v>
      </c>
      <c r="D532" t="str">
        <f>怪しいデータを手直し!G391</f>
        <v>lc</v>
      </c>
      <c r="E532">
        <f>怪しいデータを手直し!T391</f>
        <v>3.7560566569687301</v>
      </c>
      <c r="F532">
        <f>IF(怪しいデータを手直し!U391="dead",0,怪しいデータを手直し!U391)</f>
        <v>4.8701412586119979</v>
      </c>
      <c r="G532">
        <f>怪しいデータを手直し!L391</f>
        <v>4.4000000000000004</v>
      </c>
    </row>
    <row r="533" spans="1:7">
      <c r="A533">
        <f>怪しいデータを手直し!F322</f>
        <v>605</v>
      </c>
      <c r="B533">
        <f>怪しいデータを手直し!C322</f>
        <v>4.2577377029180168</v>
      </c>
      <c r="C533">
        <f>怪しいデータを手直し!D322</f>
        <v>-22.874209476824216</v>
      </c>
      <c r="D533" t="str">
        <f>怪しいデータを手直し!G322</f>
        <v>lc</v>
      </c>
      <c r="E533">
        <f>怪しいデータを手直し!T322</f>
        <v>2.8329579870357371</v>
      </c>
      <c r="F533">
        <f>IF(怪しいデータを手直し!U322="dead",0,怪しいデータを手直し!U322)</f>
        <v>3.4059157821665602</v>
      </c>
      <c r="G533">
        <f>怪しいデータを手直し!L322</f>
        <v>3.1</v>
      </c>
    </row>
    <row r="534" spans="1:7">
      <c r="A534">
        <f>怪しいデータを手直し!F690</f>
        <v>606</v>
      </c>
      <c r="B534">
        <f>怪しいデータを手直し!C690</f>
        <v>3.7272304886527081</v>
      </c>
      <c r="C534">
        <f>怪しいデータを手直し!D690</f>
        <v>-27.998115259228051</v>
      </c>
      <c r="D534" t="str">
        <f>怪しいデータを手直し!G690</f>
        <v>lc</v>
      </c>
      <c r="E534">
        <f>怪しいデータを手直し!T690</f>
        <v>29.793805346802806</v>
      </c>
      <c r="F534">
        <f>IF(怪しいデータを手直し!U690="dead",0,怪しいデータを手直し!U690)</f>
        <v>0</v>
      </c>
      <c r="G534">
        <f>怪しいデータを手直し!L690</f>
        <v>18.399999999999999</v>
      </c>
    </row>
    <row r="535" spans="1:7">
      <c r="A535">
        <f>怪しいデータを手直し!F615</f>
        <v>607</v>
      </c>
      <c r="B535">
        <f>怪しいデータを手直し!C615</f>
        <v>9.3207208494274312</v>
      </c>
      <c r="C535">
        <f>怪しいデータを手直し!D615</f>
        <v>-23.663665790959932</v>
      </c>
      <c r="D535" t="str">
        <f>怪しいデータを手直し!G615</f>
        <v>lc</v>
      </c>
      <c r="E535">
        <f>怪しいデータを手直し!T615</f>
        <v>12.732395447351628</v>
      </c>
      <c r="F535">
        <f>IF(怪しいデータを手直し!U615="dead",0,怪しいデータを手直し!U615)</f>
        <v>0</v>
      </c>
      <c r="G535">
        <f>怪しいデータを手直し!L615</f>
        <v>10.5</v>
      </c>
    </row>
    <row r="536" spans="1:7">
      <c r="A536">
        <f>怪しいデータを手直し!F646</f>
        <v>608</v>
      </c>
      <c r="B536">
        <f>怪しいデータを手直し!C646</f>
        <v>9.0173586714432492</v>
      </c>
      <c r="C536">
        <f>怪しいデータを手直し!D646</f>
        <v>-23.071405532326935</v>
      </c>
      <c r="D536" t="str">
        <f>怪しいデータを手直し!G646</f>
        <v>bp</v>
      </c>
      <c r="E536">
        <f>怪しいデータを手直し!T646</f>
        <v>16.456621115701978</v>
      </c>
      <c r="F536">
        <f>IF(怪しいデータを手直し!U646="dead",0,怪しいデータを手直し!U646)</f>
        <v>0</v>
      </c>
      <c r="G536">
        <f>怪しいデータを手直し!L646</f>
        <v>6.6</v>
      </c>
    </row>
    <row r="537" spans="1:7">
      <c r="A537">
        <f>怪しいデータを手直し!F150</f>
        <v>609</v>
      </c>
      <c r="B537">
        <f>怪しいデータを手直し!C150</f>
        <v>9.309286328818267</v>
      </c>
      <c r="C537">
        <f>怪しいデータを手直し!D150</f>
        <v>-23.147976576191382</v>
      </c>
      <c r="D537" t="str">
        <f>怪しいデータを手直し!G150</f>
        <v>bp</v>
      </c>
      <c r="E537">
        <f>怪しいデータを手直し!T150</f>
        <v>1.27</v>
      </c>
      <c r="F537">
        <f>IF(怪しいデータを手直し!U150="dead",0,怪しいデータを手直し!U150)</f>
        <v>1.6300000000000001</v>
      </c>
      <c r="G537">
        <f>怪しいデータを手直し!L150</f>
        <v>2.2999999999999998</v>
      </c>
    </row>
    <row r="538" spans="1:7">
      <c r="A538">
        <f>怪しいデータを手直し!F388</f>
        <v>610</v>
      </c>
      <c r="B538">
        <f>怪しいデータを手直し!C388</f>
        <v>9.2331769958039427</v>
      </c>
      <c r="C538">
        <f>怪しいデータを手直し!D388</f>
        <v>-22.944436741865474</v>
      </c>
      <c r="D538" t="str">
        <f>怪しいデータを手直し!G388</f>
        <v>bp</v>
      </c>
      <c r="E538">
        <f>怪しいデータを手直し!T388</f>
        <v>3.6923946797319718</v>
      </c>
      <c r="F538">
        <f>IF(怪しいデータを手直し!U388="dead",0,怪しいデータを手直し!U388)</f>
        <v>4.2335214862444159</v>
      </c>
      <c r="G538">
        <f>怪しいデータを手直し!L388</f>
        <v>4.7</v>
      </c>
    </row>
    <row r="539" spans="1:7">
      <c r="A539">
        <f>怪しいデータを手直し!F409</f>
        <v>611</v>
      </c>
      <c r="B539">
        <f>怪しいデータを手直し!C409</f>
        <v>9.3944202602946802</v>
      </c>
      <c r="C539">
        <f>怪しいデータを手直し!D409</f>
        <v>-23.025684932968588</v>
      </c>
      <c r="D539" t="str">
        <f>怪しいデータを手直し!G409</f>
        <v>bp</v>
      </c>
      <c r="E539">
        <f>怪しいデータを手直し!T409</f>
        <v>4.0743665431525207</v>
      </c>
      <c r="F539">
        <f>IF(怪しいデータを手直し!U409="dead",0,怪しいデータを手直し!U409)</f>
        <v>4.2971834634811739</v>
      </c>
      <c r="G539">
        <f>怪しいデータを手直し!L409</f>
        <v>4.8</v>
      </c>
    </row>
    <row r="540" spans="1:7">
      <c r="A540">
        <f>怪しいデータを手直し!F206</f>
        <v>612</v>
      </c>
      <c r="B540">
        <f>怪しいデータを手直し!C206</f>
        <v>9.9566634226198119</v>
      </c>
      <c r="C540">
        <f>怪しいデータを手直し!D206</f>
        <v>-21.057995003103628</v>
      </c>
      <c r="D540" t="str">
        <f>怪しいデータを手直し!G206</f>
        <v>lc</v>
      </c>
      <c r="E540">
        <f>怪しいデータを手直し!T206</f>
        <v>1.64</v>
      </c>
      <c r="F540">
        <f>IF(怪しいデータを手直し!U206="dead",0,怪しいデータを手直し!U206)</f>
        <v>2.2199999999999998</v>
      </c>
      <c r="G540">
        <f>怪しいデータを手直し!L206</f>
        <v>3</v>
      </c>
    </row>
    <row r="541" spans="1:7">
      <c r="A541">
        <f>怪しいデータを手直し!F5</f>
        <v>613</v>
      </c>
      <c r="B541">
        <f>怪しいデータを手直し!C5</f>
        <v>9.7795352861637976</v>
      </c>
      <c r="C541">
        <f>怪しいデータを手直し!D5</f>
        <v>-21.779507187767965</v>
      </c>
      <c r="D541" t="str">
        <f>怪しいデータを手直し!G5</f>
        <v>lc</v>
      </c>
      <c r="E541">
        <f>怪しいデータを手直し!T5</f>
        <v>0.15</v>
      </c>
      <c r="F541">
        <f>IF(怪しいデータを手直し!U5="dead",0,怪しいデータを手直し!U5)</f>
        <v>0.53</v>
      </c>
      <c r="G541">
        <f>怪しいデータを手直し!L5</f>
        <v>1.4</v>
      </c>
    </row>
    <row r="542" spans="1:7">
      <c r="A542">
        <f>怪しいデータを手直し!F199</f>
        <v>614</v>
      </c>
      <c r="B542">
        <f>怪しいデータを手直し!C199</f>
        <v>10.075594505370871</v>
      </c>
      <c r="C542">
        <f>怪しいデータを手直し!D199</f>
        <v>-21.922856006986763</v>
      </c>
      <c r="D542" t="str">
        <f>怪しいデータを手直し!G199</f>
        <v>lc</v>
      </c>
      <c r="E542">
        <f>怪しいデータを手直し!T199</f>
        <v>1.59</v>
      </c>
      <c r="F542">
        <f>IF(怪しいデータを手直し!U199="dead",0,怪しいデータを手直し!U199)</f>
        <v>0</v>
      </c>
      <c r="G542">
        <f>怪しいデータを手直し!L199</f>
        <v>2.2999999999999998</v>
      </c>
    </row>
    <row r="543" spans="1:7">
      <c r="A543">
        <f>怪しいデータを手直し!F476</f>
        <v>615</v>
      </c>
      <c r="B543">
        <f>怪しいデータを手直し!C476</f>
        <v>10.053751892067991</v>
      </c>
      <c r="C543">
        <f>怪しいデータを手直し!D476</f>
        <v>-22.868215606397772</v>
      </c>
      <c r="D543" t="str">
        <f>怪しいデータを手直し!G476</f>
        <v>lc</v>
      </c>
      <c r="E543">
        <f>怪しいデータを手直し!T476</f>
        <v>5.6340849854530948</v>
      </c>
      <c r="F543">
        <f>IF(怪しいデータを手直し!U476="dead",0,怪しいデータを手直し!U476)</f>
        <v>0</v>
      </c>
      <c r="G543">
        <f>怪しいデータを手直し!L476</f>
        <v>5.6</v>
      </c>
    </row>
    <row r="544" spans="1:7">
      <c r="A544">
        <f>怪しいデータを手直し!F74</f>
        <v>616</v>
      </c>
      <c r="B544">
        <f>怪しいデータを手直し!C74</f>
        <v>11.494315595062826</v>
      </c>
      <c r="C544">
        <f>怪しいデータを手直し!D74</f>
        <v>-22.19747141833485</v>
      </c>
      <c r="D544" t="str">
        <f>怪しいデータを手直し!G74</f>
        <v>lc</v>
      </c>
      <c r="E544">
        <f>怪しいデータを手直し!T74</f>
        <v>0.74</v>
      </c>
      <c r="F544">
        <f>IF(怪しいデータを手直し!U74="dead",0,怪しいデータを手直し!U74)</f>
        <v>1.1400000000000001</v>
      </c>
      <c r="G544">
        <f>怪しいデータを手直し!L74</f>
        <v>1.8</v>
      </c>
    </row>
    <row r="545" spans="1:7">
      <c r="A545">
        <f>怪しいデータを手直し!F676</f>
        <v>617</v>
      </c>
      <c r="B545">
        <f>怪しいデータを手直し!C676</f>
        <v>10.670995073625223</v>
      </c>
      <c r="C545">
        <f>怪しいデータを手直し!D676</f>
        <v>-20.197424387494433</v>
      </c>
      <c r="D545" t="str">
        <f>怪しいデータを手直し!G676</f>
        <v>lc</v>
      </c>
      <c r="E545">
        <f>怪しいデータを手直し!T676</f>
        <v>23.236621691416719</v>
      </c>
      <c r="F545">
        <f>IF(怪しいデータを手直し!U676="dead",0,怪しいデータを手直し!U676)</f>
        <v>0</v>
      </c>
      <c r="G545">
        <f>怪しいデータを手直し!L676</f>
        <v>13.7</v>
      </c>
    </row>
    <row r="546" spans="1:7">
      <c r="A546">
        <f>怪しいデータを手直し!F117</f>
        <v>618</v>
      </c>
      <c r="B546">
        <f>怪しいデータを手直し!C117</f>
        <v>11.346698213507807</v>
      </c>
      <c r="C546">
        <f>怪しいデータを手直し!D117</f>
        <v>-20.397333295205016</v>
      </c>
      <c r="D546" t="str">
        <f>怪しいデータを手直し!G117</f>
        <v>lc</v>
      </c>
      <c r="E546">
        <f>怪しいデータを手直し!T117</f>
        <v>1.03</v>
      </c>
      <c r="F546">
        <f>IF(怪しいデータを手直し!U117="dead",0,怪しいデータを手直し!U117)</f>
        <v>1.58</v>
      </c>
      <c r="G546">
        <f>怪しいデータを手直し!L117</f>
        <v>2.1</v>
      </c>
    </row>
    <row r="547" spans="1:7">
      <c r="A547">
        <f>怪しいデータを手直し!F308</f>
        <v>619</v>
      </c>
      <c r="B547">
        <f>怪しいデータを手直し!C308</f>
        <v>12.35821974330851</v>
      </c>
      <c r="C547">
        <f>怪しいデータを手直し!D308</f>
        <v>-20.44350538737352</v>
      </c>
      <c r="D547" t="str">
        <f>怪しいデータを手直し!G308</f>
        <v>lc</v>
      </c>
      <c r="E547">
        <f>怪しいデータを手直し!T308</f>
        <v>2.6</v>
      </c>
      <c r="F547">
        <f>IF(怪しいデータを手直し!U308="dead",0,怪しいデータを手直し!U308)</f>
        <v>3.5014087480216975</v>
      </c>
      <c r="G547">
        <f>怪しいデータを手直し!L308</f>
        <v>3.7</v>
      </c>
    </row>
    <row r="548" spans="1:7">
      <c r="A548">
        <f>怪しいデータを手直し!F102</f>
        <v>620</v>
      </c>
      <c r="B548">
        <f>怪しいデータを手直し!C102</f>
        <v>13.891661250622271</v>
      </c>
      <c r="C548">
        <f>怪しいデータを手直し!D102</f>
        <v>-21.129319282775551</v>
      </c>
      <c r="D548" t="str">
        <f>怪しいデータを手直し!G102</f>
        <v>lc</v>
      </c>
      <c r="E548">
        <f>怪しいデータを手直し!T102</f>
        <v>0.92</v>
      </c>
      <c r="F548">
        <f>IF(怪しいデータを手直し!U102="dead",0,怪しいデータを手直し!U102)</f>
        <v>1.27</v>
      </c>
      <c r="G548">
        <f>怪しいデータを手直し!L102</f>
        <v>1.7</v>
      </c>
    </row>
    <row r="549" spans="1:7">
      <c r="A549">
        <f>怪しいデータを手直し!F228</f>
        <v>621</v>
      </c>
      <c r="B549">
        <f>怪しいデータを手直し!C228</f>
        <v>15.238000848139492</v>
      </c>
      <c r="C549">
        <f>怪しいデータを手直し!D228</f>
        <v>-22.295516668774031</v>
      </c>
      <c r="D549" t="str">
        <f>怪しいデータを手直し!G228</f>
        <v>lc</v>
      </c>
      <c r="E549">
        <f>怪しいデータを手直し!T228</f>
        <v>1.84</v>
      </c>
      <c r="F549">
        <f>IF(怪しいデータを手直し!U228="dead",0,怪しいデータを手直し!U228)</f>
        <v>3.0239439187460113</v>
      </c>
      <c r="G549">
        <f>怪しいデータを手直し!L228</f>
        <v>2.8</v>
      </c>
    </row>
    <row r="550" spans="1:7">
      <c r="A550">
        <f>怪しいデータを手直し!F281</f>
        <v>622</v>
      </c>
      <c r="B550">
        <f>怪しいデータを手直し!C281</f>
        <v>16.213479815213489</v>
      </c>
      <c r="C550">
        <f>怪しいデータを手直し!D281</f>
        <v>-22.804634796887598</v>
      </c>
      <c r="D550" t="str">
        <f>怪しいデータを手直し!G281</f>
        <v>lc</v>
      </c>
      <c r="E550">
        <f>怪しいデータを手直し!T281</f>
        <v>2.3199999999999998</v>
      </c>
      <c r="F550">
        <f>IF(怪しいデータを手直し!U281="dead",0,怪しいデータを手直し!U281)</f>
        <v>0</v>
      </c>
      <c r="G550">
        <f>怪しいデータを手直し!L281</f>
        <v>3.3</v>
      </c>
    </row>
    <row r="551" spans="1:7">
      <c r="A551">
        <f>怪しいデータを手直し!F178</f>
        <v>623</v>
      </c>
      <c r="B551">
        <f>怪しいデータを手直し!C178</f>
        <v>17.181672912791875</v>
      </c>
      <c r="C551">
        <f>怪しいデータを手直し!D178</f>
        <v>-22.458583419269921</v>
      </c>
      <c r="D551" t="str">
        <f>怪しいデータを手直し!G178</f>
        <v>lc</v>
      </c>
      <c r="E551">
        <f>怪しいデータを手直し!T178</f>
        <v>1.44</v>
      </c>
      <c r="F551">
        <f>IF(怪しいデータを手直し!U178="dead",0,怪しいデータを手直し!U178)</f>
        <v>2.1</v>
      </c>
      <c r="G551">
        <f>怪しいデータを手直し!L178</f>
        <v>2.2000000000000002</v>
      </c>
    </row>
    <row r="552" spans="1:7">
      <c r="A552">
        <f>怪しいデータを手直し!F2</f>
        <v>624</v>
      </c>
      <c r="B552">
        <f>怪しいデータを手直し!C2</f>
        <v>16.756079684882891</v>
      </c>
      <c r="C552">
        <f>怪しいデータを手直し!D2</f>
        <v>-23.565021877796898</v>
      </c>
      <c r="D552" t="str">
        <f>怪しいデータを手直し!G2</f>
        <v>lc</v>
      </c>
      <c r="E552">
        <f>怪しいデータを手直し!T2</f>
        <v>0.1</v>
      </c>
      <c r="F552">
        <f>IF(怪しいデータを手直し!U2="dead",0,怪しいデータを手直し!U2)</f>
        <v>0.69000000000000006</v>
      </c>
      <c r="G552">
        <f>怪しいデータを手直し!L2</f>
        <v>1.4</v>
      </c>
    </row>
    <row r="553" spans="1:7">
      <c r="A553">
        <f>怪しいデータを手直し!F550</f>
        <v>625</v>
      </c>
      <c r="B553">
        <f>怪しいデータを手直し!C550</f>
        <v>18.162512928283768</v>
      </c>
      <c r="C553">
        <f>怪しいデータを手直し!D550</f>
        <v>-24.107753797548693</v>
      </c>
      <c r="D553" t="str">
        <f>怪しいデータを手直し!G550</f>
        <v>lc</v>
      </c>
      <c r="E553">
        <f>怪しいデータを手直し!T550</f>
        <v>8.753521870054243</v>
      </c>
      <c r="F553">
        <f>IF(怪しいデータを手直し!U550="dead",0,怪しいデータを手直し!U550)</f>
        <v>0</v>
      </c>
      <c r="G553">
        <f>怪しいデータを手直し!L550</f>
        <v>7.2</v>
      </c>
    </row>
    <row r="554" spans="1:7">
      <c r="A554">
        <f>怪しいデータを手直し!F701</f>
        <v>626</v>
      </c>
      <c r="B554">
        <f>怪しいデータを手直し!C701</f>
        <v>12.339531167012069</v>
      </c>
      <c r="C554">
        <f>怪しいデータを手直し!D701</f>
        <v>-29.699835939788905</v>
      </c>
      <c r="D554" t="str">
        <f>怪しいデータを手直し!G701</f>
        <v>lc</v>
      </c>
      <c r="E554">
        <f>怪しいデータを手直し!T701</f>
        <v>42.971834634811742</v>
      </c>
      <c r="F554">
        <f>IF(怪しいデータを手直し!U701="dead",0,怪しいデータを手直し!U701)</f>
        <v>0</v>
      </c>
      <c r="G554">
        <f>怪しいデータを手直し!L701</f>
        <v>3.2</v>
      </c>
    </row>
    <row r="555" spans="1:7">
      <c r="A555">
        <f>怪しいデータを手直し!F200</f>
        <v>627</v>
      </c>
      <c r="B555">
        <f>怪しいデータを手直し!C200</f>
        <v>20.370058669255478</v>
      </c>
      <c r="C555">
        <f>怪しいデータを手直し!D200</f>
        <v>-20.100000000000001</v>
      </c>
      <c r="D555" t="str">
        <f>怪しいデータを手直し!G200</f>
        <v>lc</v>
      </c>
      <c r="E555">
        <f>怪しいデータを手直し!T200</f>
        <v>1.59</v>
      </c>
      <c r="F555">
        <f>IF(怪しいデータを手直し!U200="dead",0,怪しいデータを手直し!U200)</f>
        <v>2.2399999999999998</v>
      </c>
      <c r="G555">
        <f>怪しいデータを手直し!L200</f>
        <v>2.5</v>
      </c>
    </row>
    <row r="556" spans="1:7">
      <c r="A556">
        <f>怪しいデータを手直し!F169</f>
        <v>628</v>
      </c>
      <c r="B556">
        <f>怪しいデータを手直し!C169</f>
        <v>19.934757230768518</v>
      </c>
      <c r="C556">
        <f>怪しいデータを手直し!D169</f>
        <v>-22.323744391372124</v>
      </c>
      <c r="D556" t="str">
        <f>怪しいデータを手直し!G169</f>
        <v>lc</v>
      </c>
      <c r="E556">
        <f>怪しいデータを手直し!T169</f>
        <v>1.35</v>
      </c>
      <c r="F556">
        <f>IF(怪しいデータを手直し!U169="dead",0,怪しいデータを手直し!U169)</f>
        <v>1.9</v>
      </c>
      <c r="G556">
        <f>怪しいデータを手直し!L169</f>
        <v>2.6</v>
      </c>
    </row>
    <row r="557" spans="1:7">
      <c r="A557">
        <f>怪しいデータを手直し!F118</f>
        <v>629</v>
      </c>
      <c r="B557">
        <f>怪しいデータを手直し!C118</f>
        <v>19.847311696024597</v>
      </c>
      <c r="C557">
        <f>怪しいデータを手直し!D118</f>
        <v>-22.474958626385718</v>
      </c>
      <c r="D557" t="str">
        <f>怪しいデータを手直し!G118</f>
        <v>lc</v>
      </c>
      <c r="E557">
        <f>怪しいデータを手直し!T118</f>
        <v>1.04</v>
      </c>
      <c r="F557">
        <f>IF(怪しいデータを手直し!U118="dead",0,怪しいデータを手直し!U118)</f>
        <v>1.34</v>
      </c>
      <c r="G557">
        <f>怪しいデータを手直し!L118</f>
        <v>2.4</v>
      </c>
    </row>
    <row r="558" spans="1:7">
      <c r="A558">
        <f>怪しいデータを手直し!F259</f>
        <v>630</v>
      </c>
      <c r="B558">
        <f>怪しいデータを手直し!C259</f>
        <v>20.068510563484196</v>
      </c>
      <c r="C558">
        <f>怪しいデータを手直し!D259</f>
        <v>-22.494617720688876</v>
      </c>
      <c r="D558" t="str">
        <f>怪しいデータを手直し!G259</f>
        <v>lc</v>
      </c>
      <c r="E558">
        <f>怪しいデータを手直し!T259</f>
        <v>2.14</v>
      </c>
      <c r="F558">
        <f>IF(怪しいデータを手直し!U259="dead",0,怪しいデータを手直し!U259)</f>
        <v>2.82</v>
      </c>
      <c r="G558">
        <f>怪しいデータを手直し!L259</f>
        <v>3.6</v>
      </c>
    </row>
    <row r="559" spans="1:7">
      <c r="A559">
        <f>怪しいデータを手直し!F290</f>
        <v>631</v>
      </c>
      <c r="B559">
        <f>怪しいデータを手直し!C290</f>
        <v>20.134595844127755</v>
      </c>
      <c r="C559">
        <f>怪しいデータを手直し!D290</f>
        <v>-22.386692447991294</v>
      </c>
      <c r="D559" t="str">
        <f>怪しいデータを手直し!G290</f>
        <v>lc</v>
      </c>
      <c r="E559">
        <f>怪しいデータを手直し!T290</f>
        <v>2.39</v>
      </c>
      <c r="F559">
        <f>IF(怪しいデータを手直し!U290="dead",0,怪しいデータを手直し!U290)</f>
        <v>3.246760839074665</v>
      </c>
      <c r="G559">
        <f>怪しいデータを手直し!L290</f>
        <v>3.6</v>
      </c>
    </row>
    <row r="560" spans="1:7">
      <c r="A560">
        <f>怪しいデータを手直し!F129</f>
        <v>632</v>
      </c>
      <c r="B560">
        <f>怪しいデータを手直し!C129</f>
        <v>20.689156705470445</v>
      </c>
      <c r="C560">
        <f>怪しいデータを手直し!D129</f>
        <v>-23.025276374930733</v>
      </c>
      <c r="D560" t="str">
        <f>怪しいデータを手直し!G129</f>
        <v>lc</v>
      </c>
      <c r="E560">
        <f>怪しいデータを手直し!T129</f>
        <v>1.1000000000000001</v>
      </c>
      <c r="F560">
        <f>IF(怪しいデータを手直し!U129="dead",0,怪しいデータを手直し!U129)</f>
        <v>1.51</v>
      </c>
      <c r="G560">
        <f>怪しいデータを手直し!L129</f>
        <v>2.2999999999999998</v>
      </c>
    </row>
    <row r="561" spans="1:7">
      <c r="A561">
        <f>怪しいデータを手直し!F261</f>
        <v>633</v>
      </c>
      <c r="B561">
        <f>怪しいデータを手直し!C261</f>
        <v>20.777557086264643</v>
      </c>
      <c r="C561">
        <f>怪しいデータを手直し!D261</f>
        <v>-22.907825081206319</v>
      </c>
      <c r="D561" t="str">
        <f>怪しいデータを手直し!G261</f>
        <v>lc</v>
      </c>
      <c r="E561">
        <f>怪しいデータを手直し!T261</f>
        <v>2.1800000000000002</v>
      </c>
      <c r="F561">
        <f>IF(怪しいデータを手直し!U261="dead",0,怪しいデータを手直し!U261)</f>
        <v>0</v>
      </c>
      <c r="G561">
        <f>怪しいデータを手直し!L261</f>
        <v>3.8</v>
      </c>
    </row>
    <row r="562" spans="1:7">
      <c r="A562">
        <f>怪しいデータを手直し!F334</f>
        <v>634</v>
      </c>
      <c r="B562">
        <f>怪しいデータを手直し!C334</f>
        <v>21.358357107595999</v>
      </c>
      <c r="C562">
        <f>怪しいデータを手直し!D334</f>
        <v>-22.250979369111008</v>
      </c>
      <c r="D562" t="str">
        <f>怪しいデータを手直し!G334</f>
        <v>lc</v>
      </c>
      <c r="E562">
        <f>怪しいデータを手直し!T334</f>
        <v>2.94</v>
      </c>
      <c r="F562">
        <f>IF(怪しいデータを手直し!U334="dead",0,怪しいデータを手直し!U334)</f>
        <v>0</v>
      </c>
      <c r="G562">
        <f>怪しいデータを手直し!L334</f>
        <v>4.0999999999999996</v>
      </c>
    </row>
    <row r="563" spans="1:7">
      <c r="A563">
        <f>怪しいデータを手直し!F533</f>
        <v>635</v>
      </c>
      <c r="B563">
        <f>怪しいデータを手直し!C533</f>
        <v>25.627680224719889</v>
      </c>
      <c r="C563">
        <f>怪しいデータを手直し!D533</f>
        <v>-20.929365257955382</v>
      </c>
      <c r="D563" t="str">
        <f>怪しいデータを手直し!G533</f>
        <v>lc</v>
      </c>
      <c r="E563">
        <f>怪しいデータを手直し!T533</f>
        <v>7.4802823253190809</v>
      </c>
      <c r="F563">
        <f>IF(怪しいデータを手直し!U533="dead",0,怪しいデータを手直し!U533)</f>
        <v>0</v>
      </c>
      <c r="G563">
        <f>怪しいデータを手直し!L533</f>
        <v>7.4</v>
      </c>
    </row>
    <row r="564" spans="1:7">
      <c r="A564">
        <f>怪しいデータを手直し!F211</f>
        <v>636</v>
      </c>
      <c r="B564">
        <f>怪しいデータを手直し!C211</f>
        <v>25.63549269867908</v>
      </c>
      <c r="C564">
        <f>怪しいデータを手直し!D211</f>
        <v>-22.899771718035126</v>
      </c>
      <c r="D564" t="str">
        <f>怪しいデータを手直し!G211</f>
        <v>pt</v>
      </c>
      <c r="E564">
        <f>怪しいデータを手直し!T211</f>
        <v>1.69</v>
      </c>
      <c r="F564">
        <f>IF(怪しいデータを手直し!U211="dead",0,怪しいデータを手直し!U211)</f>
        <v>2.35</v>
      </c>
      <c r="G564">
        <f>怪しいデータを手直し!L211</f>
        <v>3.7</v>
      </c>
    </row>
    <row r="565" spans="1:7">
      <c r="A565">
        <f>怪しいデータを手直し!F212</f>
        <v>637</v>
      </c>
      <c r="B565">
        <f>怪しいデータを手直し!C212</f>
        <v>25.63549269867908</v>
      </c>
      <c r="C565">
        <f>怪しいデータを手直し!D212</f>
        <v>-22.899771718035126</v>
      </c>
      <c r="D565" t="str">
        <f>怪しいデータを手直し!G212</f>
        <v>pt</v>
      </c>
      <c r="E565">
        <f>怪しいデータを手直し!T212</f>
        <v>1.69</v>
      </c>
      <c r="F565">
        <f>IF(怪しいデータを手直し!U212="dead",0,怪しいデータを手直し!U212)</f>
        <v>2.19</v>
      </c>
      <c r="G565">
        <f>怪しいデータを手直し!L212</f>
        <v>3.4</v>
      </c>
    </row>
    <row r="566" spans="1:7">
      <c r="A566">
        <f>怪しいデータを手直し!F672</f>
        <v>638</v>
      </c>
      <c r="B566">
        <f>怪しいデータを手直し!C672</f>
        <v>25.194452297598396</v>
      </c>
      <c r="C566">
        <f>怪しいデータを手直し!D672</f>
        <v>-23.933295219017086</v>
      </c>
      <c r="D566" t="str">
        <f>怪しいデータを手直し!G672</f>
        <v>lc</v>
      </c>
      <c r="E566">
        <f>怪しいデータを手直し!T672</f>
        <v>22.218030055628589</v>
      </c>
      <c r="F566">
        <f>IF(怪しいデータを手直し!U672="dead",0,怪しいデータを手直し!U672)</f>
        <v>0</v>
      </c>
      <c r="G566">
        <f>怪しいデータを手直し!L672</f>
        <v>14.6</v>
      </c>
    </row>
    <row r="567" spans="1:7">
      <c r="A567">
        <f>怪しいデータを手直し!F657</f>
        <v>639</v>
      </c>
      <c r="B567">
        <f>怪しいデータを手直し!C657</f>
        <v>24.64606832553627</v>
      </c>
      <c r="C567">
        <f>怪しいデータを手直し!D657</f>
        <v>-24.540464252163428</v>
      </c>
      <c r="D567" t="str">
        <f>怪しいデータを手直し!G657</f>
        <v>lc</v>
      </c>
      <c r="E567">
        <f>怪しいデータを手直し!T657</f>
        <v>18.780283284843652</v>
      </c>
      <c r="F567">
        <f>IF(怪しいデータを手直し!U657="dead",0,怪しいデータを手直し!U657)</f>
        <v>0</v>
      </c>
      <c r="G567">
        <f>怪しいデータを手直し!L657</f>
        <v>8.6999999999999993</v>
      </c>
    </row>
    <row r="568" spans="1:7">
      <c r="A568">
        <f>怪しいデータを手直し!F680</f>
        <v>640</v>
      </c>
      <c r="B568">
        <f>怪しいデータを手直し!C680</f>
        <v>23.287444262669794</v>
      </c>
      <c r="C568">
        <f>怪しいデータを手直し!D680</f>
        <v>-25.263316014950586</v>
      </c>
      <c r="D568" t="str">
        <f>怪しいデータを手直し!G680</f>
        <v>lc</v>
      </c>
      <c r="E568">
        <f>怪しいデータを手直し!T680</f>
        <v>24.98732606542757</v>
      </c>
      <c r="F568">
        <f>IF(怪しいデータを手直し!U680="dead",0,怪しいデータを手直し!U680)</f>
        <v>0</v>
      </c>
      <c r="G568">
        <f>怪しいデータを手直し!L680</f>
        <v>15.7</v>
      </c>
    </row>
    <row r="569" spans="1:7">
      <c r="A569">
        <f>怪しいデータを手直し!F457</f>
        <v>641</v>
      </c>
      <c r="B569">
        <f>怪しいデータを手直し!C457</f>
        <v>24.934351111620828</v>
      </c>
      <c r="C569">
        <f>怪しいデータを手直し!D457</f>
        <v>-25.745850793369321</v>
      </c>
      <c r="D569" t="str">
        <f>怪しいデータを手直し!G457</f>
        <v>bp</v>
      </c>
      <c r="E569">
        <f>怪しいデータを手直し!T457</f>
        <v>5.156620156177409</v>
      </c>
      <c r="F569">
        <f>IF(怪しいデータを手直し!U457="dead",0,怪しいデータを手直し!U457)</f>
        <v>5.1884511447957884</v>
      </c>
      <c r="G569">
        <f>怪しいデータを手直し!L457</f>
        <v>6.4</v>
      </c>
    </row>
    <row r="570" spans="1:7">
      <c r="A570">
        <f>怪しいデータを手直し!F251</f>
        <v>642</v>
      </c>
      <c r="B570">
        <f>怪しいデータを手直し!C251</f>
        <v>24.625619283291407</v>
      </c>
      <c r="C570">
        <f>怪しいデータを手直し!D251</f>
        <v>-25.803803228217753</v>
      </c>
      <c r="D570" t="str">
        <f>怪しいデータを手直し!G251</f>
        <v>bp</v>
      </c>
      <c r="E570">
        <f>怪しいデータを手直し!T251</f>
        <v>2.09</v>
      </c>
      <c r="F570">
        <f>IF(怪しいデータを手直し!U251="dead",0,怪しいデータを手直し!U251)</f>
        <v>2.2999999999999998</v>
      </c>
      <c r="G570">
        <f>怪しいデータを手直し!L251</f>
        <v>3.9</v>
      </c>
    </row>
    <row r="571" spans="1:7">
      <c r="A571">
        <f>怪しいデータを手直し!F502</f>
        <v>643</v>
      </c>
      <c r="B571">
        <f>怪しいデータを手直し!C502</f>
        <v>24.491891167551483</v>
      </c>
      <c r="C571">
        <f>怪しいデータを手直し!D502</f>
        <v>-26.074597689551354</v>
      </c>
      <c r="D571" t="str">
        <f>怪しいデータを手直し!G502</f>
        <v>bp</v>
      </c>
      <c r="E571">
        <f>怪しいデータを手直し!T502</f>
        <v>6.3980287122941935</v>
      </c>
      <c r="F571">
        <f>IF(怪しいデータを手直し!U502="dead",0,怪しいデータを手直し!U502)</f>
        <v>7.0028174960433951</v>
      </c>
      <c r="G571">
        <f>怪しいデータを手直し!L502</f>
        <v>6.4</v>
      </c>
    </row>
    <row r="572" spans="1:7">
      <c r="A572">
        <f>怪しいデータを手直し!F570</f>
        <v>644</v>
      </c>
      <c r="B572">
        <f>怪しいデータを手直し!C570</f>
        <v>24.426142049030712</v>
      </c>
      <c r="C572">
        <f>怪しいデータを手直し!D570</f>
        <v>-26.190396396226696</v>
      </c>
      <c r="D572" t="str">
        <f>怪しいデータを手直し!G570</f>
        <v>bp</v>
      </c>
      <c r="E572">
        <f>怪しいデータを手直し!T570</f>
        <v>10.281409323736439</v>
      </c>
      <c r="F572">
        <f>IF(怪しいデータを手直し!U570="dead",0,怪しいデータを手直し!U570)</f>
        <v>10.567888221301851</v>
      </c>
      <c r="G572">
        <f>怪しいデータを手直し!L570</f>
        <v>7.9</v>
      </c>
    </row>
    <row r="573" spans="1:7">
      <c r="A573">
        <f>怪しいデータを手直し!F335</f>
        <v>645</v>
      </c>
      <c r="B573">
        <f>怪しいデータを手直し!C335</f>
        <v>24.416937663290781</v>
      </c>
      <c r="C573">
        <f>怪しいデータを手直し!D335</f>
        <v>-26.422578527695791</v>
      </c>
      <c r="D573" t="str">
        <f>怪しいデータを手直し!G335</f>
        <v>bp</v>
      </c>
      <c r="E573">
        <f>怪しいデータを手直し!T335</f>
        <v>2.94</v>
      </c>
      <c r="F573">
        <f>IF(怪しいデータを手直し!U335="dead",0,怪しいデータを手直し!U335)</f>
        <v>3.3104228163114233</v>
      </c>
      <c r="G573">
        <f>怪しいデータを手直し!L335</f>
        <v>5.4</v>
      </c>
    </row>
    <row r="574" spans="1:7">
      <c r="A574">
        <f>怪しいデータを手直し!F647</f>
        <v>646</v>
      </c>
      <c r="B574">
        <f>怪しいデータを手直し!C647</f>
        <v>24.631125327517815</v>
      </c>
      <c r="C574">
        <f>怪しいデータを手直し!D647</f>
        <v>-26.197998447174644</v>
      </c>
      <c r="D574" t="str">
        <f>怪しいデータを手直し!G647</f>
        <v>bp</v>
      </c>
      <c r="E574">
        <f>怪しいデータを手直し!T647</f>
        <v>16.615776058793873</v>
      </c>
      <c r="F574">
        <f>IF(怪しいデータを手直し!U647="dead",0,怪しいデータを手直し!U647)</f>
        <v>16.552114081557114</v>
      </c>
      <c r="G574">
        <f>怪しいデータを手直し!L647</f>
        <v>11.9</v>
      </c>
    </row>
    <row r="575" spans="1:7">
      <c r="A575">
        <f>怪しいデータを手直し!F563</f>
        <v>647</v>
      </c>
      <c r="B575">
        <f>怪しいデータを手直し!C563</f>
        <v>24.978339189507665</v>
      </c>
      <c r="C575">
        <f>怪しいデータを手直し!D563</f>
        <v>-25.942333102777518</v>
      </c>
      <c r="D575" t="str">
        <f>怪しいデータを手直し!G563</f>
        <v>bp</v>
      </c>
      <c r="E575">
        <f>怪しいデータを手直し!T563</f>
        <v>9.5492965855137211</v>
      </c>
      <c r="F575">
        <f>IF(怪しいデータを手直し!U563="dead",0,怪しいデータを手直し!U563)</f>
        <v>9.9312684489342686</v>
      </c>
      <c r="G575">
        <f>怪しいデータを手直し!L563</f>
        <v>7.9</v>
      </c>
    </row>
    <row r="576" spans="1:7">
      <c r="A576">
        <f>怪しいデータを手直し!F348</f>
        <v>648</v>
      </c>
      <c r="B576">
        <f>怪しいデータを手直し!C348</f>
        <v>24.931124992627893</v>
      </c>
      <c r="C576">
        <f>怪しいデータを手直し!D348</f>
        <v>-26.215054799407518</v>
      </c>
      <c r="D576" t="str">
        <f>怪しいデータを手直し!G348</f>
        <v>bp</v>
      </c>
      <c r="E576">
        <f>怪しいデータを手直し!T348</f>
        <v>3.13</v>
      </c>
      <c r="F576">
        <f>IF(怪しいデータを手直し!U348="dead",0,怪しいデータを手直し!U348)</f>
        <v>3.2785918276930444</v>
      </c>
      <c r="G576">
        <f>怪しいデータを手直し!L348</f>
        <v>4.8</v>
      </c>
    </row>
    <row r="577" spans="1:7">
      <c r="A577">
        <f>怪しいデータを手直し!F351</f>
        <v>649</v>
      </c>
      <c r="B577">
        <f>怪しいデータを手直し!C351</f>
        <v>28.195766850388548</v>
      </c>
      <c r="C577">
        <f>怪しいデータを手直し!D351</f>
        <v>-22.557663531788954</v>
      </c>
      <c r="D577" t="str">
        <f>怪しいデータを手直し!G351</f>
        <v>sb</v>
      </c>
      <c r="E577">
        <f>怪しいデータを手直し!T351</f>
        <v>3.17</v>
      </c>
      <c r="F577">
        <f>IF(怪しいデータを手直し!U351="dead",0,怪しいデータを手直し!U351)</f>
        <v>3.246760839074665</v>
      </c>
      <c r="G577">
        <f>怪しいデータを手直し!L351</f>
        <v>4</v>
      </c>
    </row>
    <row r="578" spans="1:7">
      <c r="A578">
        <f>怪しいデータを手直し!F397</f>
        <v>650</v>
      </c>
      <c r="B578">
        <f>怪しいデータを手直し!C397</f>
        <v>25.2559620379226</v>
      </c>
      <c r="C578">
        <f>怪しいデータを手直し!D397</f>
        <v>-26.725102513298108</v>
      </c>
      <c r="D578" t="str">
        <f>怪しいデータを手直し!G397</f>
        <v>sb</v>
      </c>
      <c r="E578">
        <f>怪しいデータを手直し!T397</f>
        <v>3.88</v>
      </c>
      <c r="F578">
        <f>IF(怪しいデータを手直し!U397="dead",0,怪しいデータを手直し!U397)</f>
        <v>4.2971834634811739</v>
      </c>
      <c r="G578">
        <f>怪しいデータを手直し!L397</f>
        <v>4.7</v>
      </c>
    </row>
    <row r="579" spans="1:7">
      <c r="A579">
        <f>怪しいデータを手直し!F301</f>
        <v>651</v>
      </c>
      <c r="B579">
        <f>怪しいデータを手直し!C301</f>
        <v>25.897818770092492</v>
      </c>
      <c r="C579">
        <f>怪しいデータを手直し!D301</f>
        <v>-29.806579890919899</v>
      </c>
      <c r="D579" t="str">
        <f>怪しいデータを手直し!G301</f>
        <v>pt</v>
      </c>
      <c r="E579">
        <f>怪しいデータを手直し!T301</f>
        <v>2.5</v>
      </c>
      <c r="F579">
        <f>IF(怪しいデータを手直し!U301="dead",0,怪しいデータを手直し!U301)</f>
        <v>3.1512678732195281</v>
      </c>
      <c r="G579">
        <f>怪しいデータを手直し!L301</f>
        <v>4</v>
      </c>
    </row>
    <row r="580" spans="1:7">
      <c r="A580">
        <f>怪しいデータを手直し!F410</f>
        <v>652</v>
      </c>
      <c r="B580">
        <f>怪しいデータを手直し!C410</f>
        <v>27.351125010598636</v>
      </c>
      <c r="C580">
        <f>怪しいデータを手直し!D410</f>
        <v>-29.237724897967244</v>
      </c>
      <c r="D580" t="str">
        <f>怪しいデータを手直し!G410</f>
        <v>lc</v>
      </c>
      <c r="E580">
        <f>怪しいデータを手直し!T410</f>
        <v>4.0743665431525207</v>
      </c>
      <c r="F580">
        <f>IF(怪しいデータを手直し!U410="dead",0,怪しいデータを手直し!U410)</f>
        <v>0</v>
      </c>
      <c r="G580">
        <f>怪しいデータを手直し!L410</f>
        <v>4.5</v>
      </c>
    </row>
    <row r="581" spans="1:7">
      <c r="A581">
        <f>怪しいデータを手直し!F47</f>
        <v>653</v>
      </c>
      <c r="B581">
        <f>怪しいデータを手直し!C47</f>
        <v>27.649205185971031</v>
      </c>
      <c r="C581">
        <f>怪しいデータを手直し!D47</f>
        <v>-29.791765098404603</v>
      </c>
      <c r="D581" t="str">
        <f>怪しいデータを手直し!G47</f>
        <v>lc</v>
      </c>
      <c r="E581">
        <f>怪しいデータを手直し!T47</f>
        <v>0.56999999999999995</v>
      </c>
      <c r="F581">
        <f>IF(怪しいデータを手直し!U47="dead",0,怪しいデータを手直し!U47)</f>
        <v>1.3699999999999999</v>
      </c>
      <c r="G581">
        <f>怪しいデータを手直し!L47</f>
        <v>1.8</v>
      </c>
    </row>
    <row r="582" spans="1:7">
      <c r="A582">
        <f>怪しいデータを手直し!F48</f>
        <v>654</v>
      </c>
      <c r="B582">
        <f>怪しいデータを手直し!C48</f>
        <v>27.530935199189845</v>
      </c>
      <c r="C582">
        <f>怪しいデータを手直し!D48</f>
        <v>-29.411515234509281</v>
      </c>
      <c r="D582" t="str">
        <f>怪しいデータを手直し!G48</f>
        <v>pt</v>
      </c>
      <c r="E582">
        <f>怪しいデータを手直し!T48</f>
        <v>0.56999999999999995</v>
      </c>
      <c r="F582">
        <f>IF(怪しいデータを手直し!U48="dead",0,怪しいデータを手直し!U48)</f>
        <v>0.78</v>
      </c>
      <c r="G582">
        <f>怪しいデータを手直し!L48</f>
        <v>1.9</v>
      </c>
    </row>
    <row r="583" spans="1:7">
      <c r="A583">
        <f>怪しいデータを手直し!F3</f>
        <v>655</v>
      </c>
      <c r="B583">
        <f>怪しいデータを手直し!C3</f>
        <v>28.040213204678953</v>
      </c>
      <c r="C583">
        <f>怪しいデータを手直し!D3</f>
        <v>-29.632659846422754</v>
      </c>
      <c r="D583" t="str">
        <f>怪しいデータを手直し!G3</f>
        <v>pt</v>
      </c>
      <c r="E583">
        <f>怪しいデータを手直し!T3</f>
        <v>0.12</v>
      </c>
      <c r="F583">
        <f>IF(怪しいデータを手直し!U3="dead",0,怪しいデータを手直し!U3)</f>
        <v>0.32999999999999996</v>
      </c>
      <c r="G583">
        <f>怪しいデータを手直し!L3</f>
        <v>1.4</v>
      </c>
    </row>
    <row r="584" spans="1:7">
      <c r="A584">
        <f>怪しいデータを手直し!F358</f>
        <v>656</v>
      </c>
      <c r="B584">
        <f>怪しいデータを手直し!C358</f>
        <v>27.398101817478246</v>
      </c>
      <c r="C584">
        <f>怪しいデータを手直し!D358</f>
        <v>-27.776253972690835</v>
      </c>
      <c r="D584" t="str">
        <f>怪しいデータを手直し!G358</f>
        <v>lc</v>
      </c>
      <c r="E584">
        <f>怪しいデータを手直し!T358</f>
        <v>3.246760839074665</v>
      </c>
      <c r="F584">
        <f>IF(怪しいデータを手直し!U358="dead",0,怪しいデータを手直し!U358)</f>
        <v>0</v>
      </c>
      <c r="G584">
        <f>怪しいデータを手直し!L358</f>
        <v>5.0999999999999996</v>
      </c>
    </row>
    <row r="585" spans="1:7">
      <c r="A585">
        <f>怪しいデータを手直し!F462</f>
        <v>657</v>
      </c>
      <c r="B585">
        <f>怪しいデータを手直し!C462</f>
        <v>28.221146721837993</v>
      </c>
      <c r="C585">
        <f>怪しいデータを手直し!D462</f>
        <v>-27.58417965338192</v>
      </c>
      <c r="D585" t="str">
        <f>怪しいデータを手直し!G462</f>
        <v>lc</v>
      </c>
      <c r="E585">
        <f>怪しいデータを手直し!T462</f>
        <v>5.2521131220325463</v>
      </c>
      <c r="F585">
        <f>IF(怪しいデータを手直し!U462="dead",0,怪しいデータを手直し!U462)</f>
        <v>6.9073245301882578</v>
      </c>
      <c r="G585">
        <f>怪しいデータを手直し!L462</f>
        <v>6.5</v>
      </c>
    </row>
    <row r="586" spans="1:7">
      <c r="A586">
        <f>怪しいデータを手直し!F522</f>
        <v>658</v>
      </c>
      <c r="B586">
        <f>怪しいデータを手直し!C522</f>
        <v>29.747392448829025</v>
      </c>
      <c r="C586">
        <f>怪しいデータを手直し!D522</f>
        <v>-29.646693186014126</v>
      </c>
      <c r="D586" t="str">
        <f>怪しいデータを手直し!G522</f>
        <v>lc</v>
      </c>
      <c r="E586">
        <f>怪しいデータを手直し!T522</f>
        <v>7.1619724391352904</v>
      </c>
      <c r="F586">
        <f>IF(怪しいデータを手直し!U522="dead",0,怪しいデータを手直し!U522)</f>
        <v>0</v>
      </c>
      <c r="G586">
        <f>怪しいデータを手直し!L522</f>
        <v>7.1</v>
      </c>
    </row>
    <row r="587" spans="1:7">
      <c r="A587">
        <f>怪しいデータを手直し!F338</f>
        <v>659</v>
      </c>
      <c r="B587">
        <f>怪しいデータを手直し!C338</f>
        <v>29.843176006222272</v>
      </c>
      <c r="C587">
        <f>怪しいデータを手直し!D338</f>
        <v>-24.727399521404511</v>
      </c>
      <c r="D587" t="str">
        <f>怪しいデータを手直し!G338</f>
        <v>lc</v>
      </c>
      <c r="E587">
        <f>怪しいデータを手直し!T338</f>
        <v>2.9602819415092534</v>
      </c>
      <c r="F587">
        <f>IF(怪しいデータを手直し!U338="dead",0,怪しいデータを手直し!U338)</f>
        <v>0</v>
      </c>
      <c r="G587">
        <f>怪しいデータを手直し!L338</f>
        <v>3.3</v>
      </c>
    </row>
    <row r="588" spans="1:7">
      <c r="A588">
        <f>怪しいデータを手直し!F499</f>
        <v>660</v>
      </c>
      <c r="B588">
        <f>怪しいデータを手直し!C499</f>
        <v>31.465226941117038</v>
      </c>
      <c r="C588">
        <f>怪しいデータを手直し!D499</f>
        <v>-21.375939682916666</v>
      </c>
      <c r="D588" t="str">
        <f>怪しいデータを手直し!G499</f>
        <v>pt</v>
      </c>
      <c r="E588">
        <f>怪しいデータを手直し!T499</f>
        <v>6.2707047578206758</v>
      </c>
      <c r="F588">
        <f>IF(怪しいデータを手直し!U499="dead",0,怪しいデータを手直し!U499)</f>
        <v>6.6845076098596046</v>
      </c>
      <c r="G588">
        <f>怪しいデータを手直し!L499</f>
        <v>7.1</v>
      </c>
    </row>
    <row r="589" spans="1:7">
      <c r="A589">
        <f>怪しいデータを手直し!F278</f>
        <v>661</v>
      </c>
      <c r="B589">
        <f>怪しいデータを手直し!C278</f>
        <v>33.740755386689855</v>
      </c>
      <c r="C589">
        <f>怪しいデータを手直し!D278</f>
        <v>-22.590221831610339</v>
      </c>
      <c r="D589" t="str">
        <f>怪しいデータを手直し!G278</f>
        <v>pt</v>
      </c>
      <c r="E589">
        <f>怪しいデータを手直し!T278</f>
        <v>2.2999999999999998</v>
      </c>
      <c r="F589">
        <f>IF(怪しいデータを手直し!U278="dead",0,怪しいデータを手直し!U278)</f>
        <v>3.5014087480216975</v>
      </c>
      <c r="G589">
        <f>怪しいデータを手直し!L278</f>
        <v>4.0999999999999996</v>
      </c>
    </row>
    <row r="590" spans="1:7">
      <c r="A590">
        <f>怪しいデータを手直し!F196</f>
        <v>662</v>
      </c>
      <c r="B590">
        <f>怪しいデータを手直し!C196</f>
        <v>33.53647369957767</v>
      </c>
      <c r="C590">
        <f>怪しいデータを手直し!D196</f>
        <v>-24.559194421407735</v>
      </c>
      <c r="D590" t="str">
        <f>怪しいデータを手直し!G196</f>
        <v>lc</v>
      </c>
      <c r="E590">
        <f>怪しいデータを手直し!T196</f>
        <v>1.57</v>
      </c>
      <c r="F590">
        <f>IF(怪しいデータを手直し!U196="dead",0,怪しいデータを手直し!U196)</f>
        <v>0</v>
      </c>
      <c r="G590">
        <f>怪しいデータを手直し!L196</f>
        <v>5</v>
      </c>
    </row>
    <row r="591" spans="1:7">
      <c r="A591">
        <f>怪しいデータを手直し!F384</f>
        <v>663</v>
      </c>
      <c r="B591">
        <f>怪しいデータを手直し!C384</f>
        <v>32.358209900513103</v>
      </c>
      <c r="C591">
        <f>怪しいデータを手直し!D384</f>
        <v>-25.057197451664507</v>
      </c>
      <c r="D591" t="str">
        <f>怪しいデータを手直し!G384</f>
        <v>lc</v>
      </c>
      <c r="E591">
        <f>怪しいデータを手直し!T384</f>
        <v>3.5969017138768349</v>
      </c>
      <c r="F591">
        <f>IF(怪しいデータを手直し!U384="dead",0,怪しいデータを手直し!U384)</f>
        <v>0</v>
      </c>
      <c r="G591">
        <f>怪しいデータを手直し!L384</f>
        <v>4.5999999999999996</v>
      </c>
    </row>
    <row r="592" spans="1:7">
      <c r="A592">
        <f>怪しいデータを手直し!F177</f>
        <v>664</v>
      </c>
      <c r="B592">
        <f>怪しいデータを手直し!C177</f>
        <v>31.654135647274799</v>
      </c>
      <c r="C592">
        <f>怪しいデータを手直し!D177</f>
        <v>-25.548687706153121</v>
      </c>
      <c r="D592" t="str">
        <f>怪しいデータを手直し!G177</f>
        <v>lc</v>
      </c>
      <c r="E592">
        <f>怪しいデータを手直し!T177</f>
        <v>1.42</v>
      </c>
      <c r="F592">
        <f>IF(怪しいデータを手直し!U177="dead",0,怪しいデータを手直し!U177)</f>
        <v>0</v>
      </c>
      <c r="G592">
        <f>怪しいデータを手直し!L177</f>
        <v>2.2999999999999998</v>
      </c>
    </row>
    <row r="593" spans="1:7">
      <c r="A593">
        <f>怪しいデータを手直し!F237</f>
        <v>665</v>
      </c>
      <c r="B593">
        <f>怪しいデータを手直し!C237</f>
        <v>30.694094957487589</v>
      </c>
      <c r="C593">
        <f>怪しいデータを手直し!D237</f>
        <v>-25.002072789353459</v>
      </c>
      <c r="D593" t="str">
        <f>怪しいデータを手直し!G237</f>
        <v>lc</v>
      </c>
      <c r="E593">
        <f>怪しいデータを手直し!T237</f>
        <v>1.96</v>
      </c>
      <c r="F593">
        <f>IF(怪しいデータを手直し!U237="dead",0,怪しいデータを手直し!U237)</f>
        <v>0</v>
      </c>
      <c r="G593">
        <f>怪しいデータを手直し!L237</f>
        <v>3.2</v>
      </c>
    </row>
    <row r="594" spans="1:7">
      <c r="A594">
        <f>怪しいデータを手直し!F239</f>
        <v>666</v>
      </c>
      <c r="B594">
        <f>怪しいデータを手直し!C239</f>
        <v>30.382963040855245</v>
      </c>
      <c r="C594">
        <f>怪しいデータを手直し!D239</f>
        <v>-25.476626635926436</v>
      </c>
      <c r="D594" t="str">
        <f>怪しいデータを手直し!G239</f>
        <v>lc</v>
      </c>
      <c r="E594">
        <f>怪しいデータを手直し!T239</f>
        <v>1.97</v>
      </c>
      <c r="F594">
        <f>IF(怪しいデータを手直し!U239="dead",0,怪しいデータを手直し!U239)</f>
        <v>2.8647889756541161</v>
      </c>
      <c r="G594">
        <f>怪しいデータを手直し!L239</f>
        <v>2.8</v>
      </c>
    </row>
    <row r="595" spans="1:7">
      <c r="A595">
        <f>怪しいデータを手直し!F71</f>
        <v>667</v>
      </c>
      <c r="B595">
        <f>怪しいデータを手直し!C71</f>
        <v>30.913785784552751</v>
      </c>
      <c r="C595">
        <f>怪しいデータを手直し!D71</f>
        <v>-26.758505422055183</v>
      </c>
      <c r="D595" t="str">
        <f>怪しいデータを手直し!G71</f>
        <v>lc</v>
      </c>
      <c r="E595">
        <f>怪しいデータを手直し!T71</f>
        <v>0.7</v>
      </c>
      <c r="F595">
        <f>IF(怪しいデータを手直し!U71="dead",0,怪しいデータを手直し!U71)</f>
        <v>0</v>
      </c>
      <c r="G595">
        <f>怪しいデータを手直し!L71</f>
        <v>2</v>
      </c>
    </row>
    <row r="596" spans="1:7">
      <c r="A596">
        <f>怪しいデータを手直し!F133</f>
        <v>668</v>
      </c>
      <c r="B596">
        <f>怪しいデータを手直し!C133</f>
        <v>30.787315303096907</v>
      </c>
      <c r="C596">
        <f>怪しいデータを手直し!D133</f>
        <v>-27.247360527358179</v>
      </c>
      <c r="D596" t="str">
        <f>怪しいデータを手直し!G133</f>
        <v>pt</v>
      </c>
      <c r="E596">
        <f>怪しいデータを手直し!T133</f>
        <v>1.1499999999999999</v>
      </c>
      <c r="F596">
        <f>IF(怪しいデータを手直し!U133="dead",0,怪しいデータを手直し!U133)</f>
        <v>1.3599999999999999</v>
      </c>
      <c r="G596">
        <f>怪しいデータを手直し!L133</f>
        <v>2.9</v>
      </c>
    </row>
    <row r="597" spans="1:7">
      <c r="A597">
        <f>怪しいデータを手直し!F179</f>
        <v>669</v>
      </c>
      <c r="B597">
        <f>怪しいデータを手直し!C179</f>
        <v>32.218880714326836</v>
      </c>
      <c r="C597">
        <f>怪しいデータを手直し!D179</f>
        <v>-27.73815665230347</v>
      </c>
      <c r="D597" t="str">
        <f>怪しいデータを手直し!G179</f>
        <v>lc</v>
      </c>
      <c r="E597">
        <f>怪しいデータを手直し!T179</f>
        <v>1.45</v>
      </c>
      <c r="F597">
        <f>IF(怪しいデータを手直し!U179="dead",0,怪しいデータを手直し!U179)</f>
        <v>0</v>
      </c>
      <c r="G597">
        <f>怪しいデータを手直し!L179</f>
        <v>2.5</v>
      </c>
    </row>
    <row r="598" spans="1:7">
      <c r="A598">
        <f>怪しいデータを手直し!F147</f>
        <v>670</v>
      </c>
      <c r="B598">
        <f>怪しいデータを手直し!C147</f>
        <v>32.172249041042093</v>
      </c>
      <c r="C598">
        <f>怪しいデータを手直し!D147</f>
        <v>-27.886300406635019</v>
      </c>
      <c r="D598" t="str">
        <f>怪しいデータを手直し!G147</f>
        <v>lc</v>
      </c>
      <c r="E598">
        <f>怪しいデータを手直し!T147</f>
        <v>1.26</v>
      </c>
      <c r="F598">
        <f>IF(怪しいデータを手直し!U147="dead",0,怪しいデータを手直し!U147)</f>
        <v>0</v>
      </c>
      <c r="G598">
        <f>怪しいデータを手直し!L147</f>
        <v>2.5</v>
      </c>
    </row>
    <row r="599" spans="1:7">
      <c r="A599">
        <f>怪しいデータを手直し!F236</f>
        <v>671</v>
      </c>
      <c r="B599">
        <f>怪しいデータを手直し!C236</f>
        <v>32.394255554027595</v>
      </c>
      <c r="C599">
        <f>怪しいデータを手直し!D236</f>
        <v>-28.134982504099689</v>
      </c>
      <c r="D599" t="str">
        <f>怪しいデータを手直し!G236</f>
        <v>lc</v>
      </c>
      <c r="E599">
        <f>怪しいデータを手直し!T236</f>
        <v>1.94</v>
      </c>
      <c r="F599">
        <f>IF(怪しいデータを手直し!U236="dead",0,怪しいデータを手直し!U236)</f>
        <v>2.5300000000000002</v>
      </c>
      <c r="G599">
        <f>怪しいデータを手直し!L236</f>
        <v>2.9</v>
      </c>
    </row>
    <row r="600" spans="1:7">
      <c r="A600">
        <f>怪しいデータを手直し!F357</f>
        <v>672</v>
      </c>
      <c r="B600">
        <f>怪しいデータを手直し!C357</f>
        <v>33.239457199893131</v>
      </c>
      <c r="C600">
        <f>怪しいデータを手直し!D357</f>
        <v>-29.354994230359555</v>
      </c>
      <c r="D600" t="str">
        <f>怪しいデータを手直し!G357</f>
        <v>lc</v>
      </c>
      <c r="E600">
        <f>怪しいデータを手直し!T357</f>
        <v>3.214929850456286</v>
      </c>
      <c r="F600">
        <f>IF(怪しいデータを手直し!U357="dead",0,怪しいデータを手直し!U357)</f>
        <v>4.45633840657307</v>
      </c>
      <c r="G600">
        <f>怪しいデータを手直し!L357</f>
        <v>3.8</v>
      </c>
    </row>
    <row r="601" spans="1:7">
      <c r="A601">
        <f>怪しいデータを手直し!F400</f>
        <v>673</v>
      </c>
      <c r="B601">
        <f>怪しいデータを手直し!C400</f>
        <v>34.480309169145954</v>
      </c>
      <c r="C601">
        <f>怪しいデータを手直し!D400</f>
        <v>-28.149652124407929</v>
      </c>
      <c r="D601" t="str">
        <f>怪しいデータを手直し!G400</f>
        <v>pt</v>
      </c>
      <c r="E601">
        <f>怪しいデータを手直し!T400</f>
        <v>3.9152116000606259</v>
      </c>
      <c r="F601">
        <f>IF(怪しいデータを手直し!U400="dead",0,怪しいデータを手直し!U400)</f>
        <v>4.3608454407179318</v>
      </c>
      <c r="G601">
        <f>怪しいデータを手直し!L400</f>
        <v>5.4</v>
      </c>
    </row>
    <row r="602" spans="1:7">
      <c r="A602">
        <f>怪しいデータを手直し!F197</f>
        <v>674</v>
      </c>
      <c r="B602">
        <f>怪しいデータを手直し!C197</f>
        <v>35.356399276918161</v>
      </c>
      <c r="C602">
        <f>怪しいデータを手直し!D197</f>
        <v>-28.844466450059642</v>
      </c>
      <c r="D602" t="str">
        <f>怪しいデータを手直し!G197</f>
        <v>lc</v>
      </c>
      <c r="E602">
        <f>怪しいデータを手直し!T197</f>
        <v>1.57</v>
      </c>
      <c r="F602">
        <f>IF(怪しいデータを手直し!U197="dead",0,怪しいデータを手直し!U197)</f>
        <v>2.9</v>
      </c>
      <c r="G602">
        <f>怪しいデータを手直し!L197</f>
        <v>2.7</v>
      </c>
    </row>
    <row r="603" spans="1:7">
      <c r="A603">
        <f>怪しいデータを手直し!F697</f>
        <v>675</v>
      </c>
      <c r="B603">
        <f>怪しいデータを手直し!C697</f>
        <v>36.146983389485356</v>
      </c>
      <c r="C603">
        <f>怪しいデータを手直し!D697</f>
        <v>-27.645305435977761</v>
      </c>
      <c r="D603" t="str">
        <f>怪しいデータを手直し!G697</f>
        <v>lc</v>
      </c>
      <c r="E603">
        <f>怪しいデータを手直し!T697</f>
        <v>33.104228163114229</v>
      </c>
      <c r="F603">
        <f>IF(怪しいデータを手直し!U697="dead",0,怪しいデータを手直し!U697)</f>
        <v>0</v>
      </c>
      <c r="G603">
        <f>怪しいデータを手直し!L697</f>
        <v>2.5</v>
      </c>
    </row>
    <row r="604" spans="1:7">
      <c r="A604">
        <f>怪しいデータを手直し!F452</f>
        <v>676</v>
      </c>
      <c r="B604">
        <f>怪しいデータを手直し!C452</f>
        <v>42.086746232082206</v>
      </c>
      <c r="C604">
        <f>怪しいデータを手直し!D452</f>
        <v>-25.305710651858675</v>
      </c>
      <c r="D604" t="str">
        <f>怪しいデータを手直し!G452</f>
        <v>bp</v>
      </c>
      <c r="E604">
        <f>怪しいデータを手直し!T452</f>
        <v>5.0292962017038931</v>
      </c>
      <c r="F604">
        <f>IF(怪しいデータを手直し!U452="dead",0,怪しいデータを手直し!U452)</f>
        <v>5.4749300423611995</v>
      </c>
      <c r="G604">
        <f>怪しいデータを手直し!L452</f>
        <v>5.8</v>
      </c>
    </row>
    <row r="605" spans="1:7">
      <c r="A605">
        <f>怪しいデータを手直し!F519</f>
        <v>677</v>
      </c>
      <c r="B605">
        <f>怪しいデータを手直し!C519</f>
        <v>42.268491342012091</v>
      </c>
      <c r="C605">
        <f>怪しいデータを手直し!D519</f>
        <v>-25.487961387525822</v>
      </c>
      <c r="D605" t="str">
        <f>怪しいデータを手直し!G519</f>
        <v>bp</v>
      </c>
      <c r="E605">
        <f>怪しいデータを手直し!T519</f>
        <v>7.0346484846617745</v>
      </c>
      <c r="F605">
        <f>IF(怪しいデータを手直し!U519="dead",0,怪しいデータを手直し!U519)</f>
        <v>0</v>
      </c>
      <c r="G605">
        <f>怪しいデータを手直し!L519</f>
        <v>5.2</v>
      </c>
    </row>
    <row r="606" spans="1:7">
      <c r="A606">
        <f>怪しいデータを手直し!F625</f>
        <v>678</v>
      </c>
      <c r="B606">
        <f>怪しいデータを手直し!C625</f>
        <v>42.374703444130603</v>
      </c>
      <c r="C606">
        <f>怪しいデータを手直し!D625</f>
        <v>-25.665581582664061</v>
      </c>
      <c r="D606" t="str">
        <f>怪しいデータを手直し!G625</f>
        <v>bp</v>
      </c>
      <c r="E606">
        <f>怪しいデータを手直し!T625</f>
        <v>13.209860276627314</v>
      </c>
      <c r="F606">
        <f>IF(怪しいデータを手直し!U625="dead",0,怪しいデータを手直し!U625)</f>
        <v>0</v>
      </c>
      <c r="G606">
        <f>怪しいデータを手直し!L625</f>
        <v>4.3</v>
      </c>
    </row>
    <row r="607" spans="1:7">
      <c r="A607">
        <f>怪しいデータを手直し!F272</f>
        <v>679</v>
      </c>
      <c r="B607">
        <f>怪しいデータを手直し!C272</f>
        <v>42.600771010641061</v>
      </c>
      <c r="C607">
        <f>怪しいデータを手直し!D272</f>
        <v>-25.452840538415533</v>
      </c>
      <c r="D607" t="str">
        <f>怪しいデータを手直し!G272</f>
        <v>bp</v>
      </c>
      <c r="E607">
        <f>怪しいデータを手直し!T272</f>
        <v>2.2599999999999998</v>
      </c>
      <c r="F607">
        <f>IF(怪しいデータを手直し!U272="dead",0,怪しいデータを手直し!U272)</f>
        <v>0</v>
      </c>
      <c r="G607">
        <f>怪しいデータを手直し!L272</f>
        <v>1.5</v>
      </c>
    </row>
    <row r="608" spans="1:7">
      <c r="A608">
        <f>怪しいデータを手直し!F193</f>
        <v>680</v>
      </c>
      <c r="B608">
        <f>怪しいデータを手直し!C193</f>
        <v>42.781270294175009</v>
      </c>
      <c r="C608">
        <f>怪しいデータを手直し!D193</f>
        <v>-25.663879383182479</v>
      </c>
      <c r="D608" t="str">
        <f>怪しいデータを手直し!G193</f>
        <v>bp</v>
      </c>
      <c r="E608">
        <f>怪しいデータを手直し!T193</f>
        <v>1.54</v>
      </c>
      <c r="F608">
        <f>IF(怪しいデータを手直し!U193="dead",0,怪しいデータを手直し!U193)</f>
        <v>1.75</v>
      </c>
      <c r="G608">
        <f>怪しいデータを手直し!L193</f>
        <v>2.8</v>
      </c>
    </row>
    <row r="609" spans="1:7">
      <c r="A609">
        <f>怪しいデータを手直し!F495</f>
        <v>681</v>
      </c>
      <c r="B609">
        <f>怪しいデータを手直し!C495</f>
        <v>42.713143904854235</v>
      </c>
      <c r="C609">
        <f>怪しいデータを手直し!D495</f>
        <v>-25.766937840350597</v>
      </c>
      <c r="D609" t="str">
        <f>怪しいデータを手直し!G495</f>
        <v>bp</v>
      </c>
      <c r="E609">
        <f>怪しいデータを手直し!T495</f>
        <v>6.1752117919655385</v>
      </c>
      <c r="F609">
        <f>IF(怪しいデータを手直し!U495="dead",0,怪しいデータを手直し!U495)</f>
        <v>6.4616906895309514</v>
      </c>
      <c r="G609">
        <f>怪しいデータを手直し!L495</f>
        <v>5.0999999999999996</v>
      </c>
    </row>
    <row r="610" spans="1:7">
      <c r="A610">
        <f>怪しいデータを手直し!F172</f>
        <v>682</v>
      </c>
      <c r="B610">
        <f>怪しいデータを手直し!C172</f>
        <v>42.673689076497766</v>
      </c>
      <c r="C610">
        <f>怪しいデータを手直し!D172</f>
        <v>-25.82924567952502</v>
      </c>
      <c r="D610" t="str">
        <f>怪しいデータを手直し!G172</f>
        <v>bp</v>
      </c>
      <c r="E610">
        <f>怪しいデータを手直し!T172</f>
        <v>1.38</v>
      </c>
      <c r="F610">
        <f>IF(怪しいデータを手直し!U172="dead",0,怪しいデータを手直し!U172)</f>
        <v>1.6800000000000002</v>
      </c>
      <c r="G610">
        <f>怪しいデータを手直し!L172</f>
        <v>1.8</v>
      </c>
    </row>
    <row r="611" spans="1:7">
      <c r="A611">
        <f>怪しいデータを手直し!F649</f>
        <v>683</v>
      </c>
      <c r="B611">
        <f>怪しいデータを手直し!C649</f>
        <v>43.168294263952326</v>
      </c>
      <c r="C611">
        <f>怪しいデータを手直し!D649</f>
        <v>-26.62296203959831</v>
      </c>
      <c r="D611" t="str">
        <f>怪しいデータを手直し!G649</f>
        <v>lc</v>
      </c>
      <c r="E611">
        <f>怪しいデータを手直し!T649</f>
        <v>17.061409899451181</v>
      </c>
      <c r="F611">
        <f>IF(怪しいデータを手直し!U649="dead",0,怪しいデータを手直し!U649)</f>
        <v>0</v>
      </c>
      <c r="G611">
        <f>怪しいデータを手直し!L649</f>
        <v>12</v>
      </c>
    </row>
    <row r="612" spans="1:7">
      <c r="A612">
        <f>怪しいデータを手直し!F175</f>
        <v>684</v>
      </c>
      <c r="B612">
        <f>怪しいデータを手直し!C175</f>
        <v>42.331454315224569</v>
      </c>
      <c r="C612">
        <f>怪しいデータを手直し!D175</f>
        <v>-26.014452133946147</v>
      </c>
      <c r="D612" t="str">
        <f>怪しいデータを手直し!G175</f>
        <v>bp</v>
      </c>
      <c r="E612">
        <f>怪しいデータを手直し!T175</f>
        <v>1.4</v>
      </c>
      <c r="F612">
        <f>IF(怪しいデータを手直し!U175="dead",0,怪しいデータを手直し!U175)</f>
        <v>1.6199999999999999</v>
      </c>
      <c r="G612">
        <f>怪しいデータを手直し!L175</f>
        <v>1.7</v>
      </c>
    </row>
    <row r="613" spans="1:7">
      <c r="A613">
        <f>怪しいデータを手直し!F370</f>
        <v>685</v>
      </c>
      <c r="B613">
        <f>怪しいデータを手直し!C370</f>
        <v>42.307079585689536</v>
      </c>
      <c r="C613">
        <f>怪しいデータを手直し!D370</f>
        <v>-26.109287362000902</v>
      </c>
      <c r="D613" t="str">
        <f>怪しいデータを手直し!G370</f>
        <v>bp</v>
      </c>
      <c r="E613">
        <f>怪しいデータを手直し!T370</f>
        <v>3.41</v>
      </c>
      <c r="F613">
        <f>IF(怪しいデータを手直し!U370="dead",0,怪しいデータを手直し!U370)</f>
        <v>3.4377467707849396</v>
      </c>
      <c r="G613">
        <f>怪しいデータを手直し!L370</f>
        <v>1.7</v>
      </c>
    </row>
    <row r="614" spans="1:7">
      <c r="A614">
        <f>怪しいデータを手直し!F526</f>
        <v>686</v>
      </c>
      <c r="B614">
        <f>怪しいデータを手直し!C526</f>
        <v>42.242981371580008</v>
      </c>
      <c r="C614">
        <f>怪しいデータを手直し!D526</f>
        <v>-25.944872339684423</v>
      </c>
      <c r="D614" t="str">
        <f>怪しいデータを手直し!G526</f>
        <v>bp</v>
      </c>
      <c r="E614">
        <f>怪しいデータを手直し!T526</f>
        <v>7.352958370845565</v>
      </c>
      <c r="F614">
        <f>IF(怪しいデータを手直し!U526="dead",0,怪しいデータを手直し!U526)</f>
        <v>8.0214091318315255</v>
      </c>
      <c r="G614">
        <f>怪しいデータを手直し!L526</f>
        <v>5.9</v>
      </c>
    </row>
    <row r="615" spans="1:7">
      <c r="A615">
        <f>怪しいデータを手直し!F496</f>
        <v>687</v>
      </c>
      <c r="B615">
        <f>怪しいデータを手直し!C496</f>
        <v>42.241277722406934</v>
      </c>
      <c r="C615">
        <f>怪しいデータを手直し!D496</f>
        <v>-25.786425470262586</v>
      </c>
      <c r="D615" t="str">
        <f>怪しいデータを手直し!G496</f>
        <v>bp</v>
      </c>
      <c r="E615">
        <f>怪しいデータを手直し!T496</f>
        <v>6.1752117919655385</v>
      </c>
      <c r="F615">
        <f>IF(怪しいデータを手直し!U496="dead",0,怪しいデータを手直し!U496)</f>
        <v>0</v>
      </c>
      <c r="G615">
        <f>怪しいデータを手直し!L496</f>
        <v>2.8</v>
      </c>
    </row>
    <row r="616" spans="1:7">
      <c r="A616">
        <f>怪しいデータを手直し!F504</f>
        <v>688</v>
      </c>
      <c r="B616">
        <f>怪しいデータを手直し!C504</f>
        <v>42.059526159725067</v>
      </c>
      <c r="C616">
        <f>怪しいデータを手直し!D504</f>
        <v>-25.726284030932</v>
      </c>
      <c r="D616" t="str">
        <f>怪しいデータを手直し!G504</f>
        <v>bp</v>
      </c>
      <c r="E616">
        <f>怪しいデータを手直し!T504</f>
        <v>6.4616906895309514</v>
      </c>
      <c r="F616">
        <f>IF(怪しいデータを手直し!U504="dead",0,怪しいデータを手直し!U504)</f>
        <v>6.3025357464390561</v>
      </c>
      <c r="G616">
        <f>怪しいデータを手直し!L504</f>
        <v>5.0999999999999996</v>
      </c>
    </row>
    <row r="617" spans="1:7">
      <c r="A617">
        <f>怪しいデータを手直し!F401</f>
        <v>689</v>
      </c>
      <c r="B617">
        <f>怪しいデータを手直し!C401</f>
        <v>41.913207673811556</v>
      </c>
      <c r="C617">
        <f>怪しいデータを手直し!D401</f>
        <v>-25.707852741674184</v>
      </c>
      <c r="D617" t="str">
        <f>怪しいデータを手直し!G401</f>
        <v>bp</v>
      </c>
      <c r="E617">
        <f>怪しいデータを手直し!T401</f>
        <v>3.9470425886790048</v>
      </c>
      <c r="F617">
        <f>IF(怪しいデータを手直し!U401="dead",0,怪しいデータを手直し!U401)</f>
        <v>0</v>
      </c>
      <c r="G617">
        <f>怪しいデータを手直し!L401</f>
        <v>0</v>
      </c>
    </row>
    <row r="618" spans="1:7">
      <c r="A618">
        <f>怪しいデータを手直し!F341</f>
        <v>690</v>
      </c>
      <c r="B618">
        <f>怪しいデータを手直し!C341</f>
        <v>41.859970636357168</v>
      </c>
      <c r="C618">
        <f>怪しいデータを手直し!D341</f>
        <v>-25.656915812060998</v>
      </c>
      <c r="D618" t="str">
        <f>怪しいデータを手直し!G341</f>
        <v>bp</v>
      </c>
      <c r="E618">
        <f>怪しいデータを手直し!T341</f>
        <v>3.0239439187460113</v>
      </c>
      <c r="F618">
        <f>IF(怪しいデータを手直し!U341="dead",0,怪しいデータを手直し!U341)</f>
        <v>0</v>
      </c>
      <c r="G618">
        <f>怪しいデータを手直し!L341</f>
        <v>5</v>
      </c>
    </row>
    <row r="619" spans="1:7">
      <c r="A619">
        <f>怪しいデータを手直し!F497</f>
        <v>691</v>
      </c>
      <c r="B619">
        <f>怪しいデータを手直し!C497</f>
        <v>41.972325866754147</v>
      </c>
      <c r="C619">
        <f>怪しいデータを手直し!D497</f>
        <v>-25.582787237594637</v>
      </c>
      <c r="D619" t="str">
        <f>怪しいデータを手直し!G497</f>
        <v>bp</v>
      </c>
      <c r="E619">
        <f>怪しいデータを手直し!T497</f>
        <v>6.1752117919655385</v>
      </c>
      <c r="F619">
        <f>IF(怪しいデータを手直し!U497="dead",0,怪しいデータを手直し!U497)</f>
        <v>0</v>
      </c>
      <c r="G619">
        <f>怪しいデータを手直し!L497</f>
        <v>5</v>
      </c>
    </row>
    <row r="620" spans="1:7">
      <c r="A620">
        <f>怪しいデータを手直し!F374</f>
        <v>692</v>
      </c>
      <c r="B620">
        <f>怪しいデータを手直し!C374</f>
        <v>42.046818434004329</v>
      </c>
      <c r="C620">
        <f>怪しいデータを手直し!D374</f>
        <v>-25.540917398602279</v>
      </c>
      <c r="D620" t="str">
        <f>怪しいデータを手直し!G374</f>
        <v>bp</v>
      </c>
      <c r="E620">
        <f>怪しいデータを手直し!T374</f>
        <v>3.4377467707849396</v>
      </c>
      <c r="F620">
        <f>IF(怪しいデータを手直し!U374="dead",0,怪しいデータを手直し!U374)</f>
        <v>0</v>
      </c>
      <c r="G620">
        <f>怪しいデータを手直し!L374</f>
        <v>3</v>
      </c>
    </row>
    <row r="621" spans="1:7">
      <c r="A621">
        <f>怪しいデータを手直し!F678</f>
        <v>693</v>
      </c>
      <c r="B621">
        <f>怪しいデータを手直し!C678</f>
        <v>41.448771966454686</v>
      </c>
      <c r="C621">
        <f>怪しいデータを手直し!D678</f>
        <v>-26.34615792902456</v>
      </c>
      <c r="D621" t="str">
        <f>怪しいデータを手直し!G678</f>
        <v>lc</v>
      </c>
      <c r="E621">
        <f>怪しいデータを手直し!T678</f>
        <v>24.032396406876195</v>
      </c>
      <c r="F621">
        <f>IF(怪しいデータを手直し!U678="dead",0,怪しいデータを手直し!U678)</f>
        <v>0</v>
      </c>
      <c r="G621">
        <f>怪しいデータを手直し!L678</f>
        <v>14.5</v>
      </c>
    </row>
    <row r="622" spans="1:7">
      <c r="A622">
        <f>怪しいデータを手直し!F69</f>
        <v>694</v>
      </c>
      <c r="B622">
        <f>怪しいデータを手直し!C69</f>
        <v>42.444352749424425</v>
      </c>
      <c r="C622">
        <f>怪しいデータを手直し!D69</f>
        <v>-21.066857369985712</v>
      </c>
      <c r="D622" t="str">
        <f>怪しいデータを手直し!G69</f>
        <v>lc</v>
      </c>
      <c r="E622">
        <f>怪しいデータを手直し!T69</f>
        <v>0.69</v>
      </c>
      <c r="F622">
        <f>IF(怪しいデータを手直し!U69="dead",0,怪しいデータを手直し!U69)</f>
        <v>1.42</v>
      </c>
      <c r="G622">
        <f>怪しいデータを手直し!L69</f>
        <v>2</v>
      </c>
    </row>
    <row r="623" spans="1:7">
      <c r="A623">
        <f>怪しいデータを手直し!F99</f>
        <v>695</v>
      </c>
      <c r="B623">
        <f>怪しいデータを手直し!C99</f>
        <v>44.623379133287443</v>
      </c>
      <c r="C623">
        <f>怪しいデータを手直し!D99</f>
        <v>-27.132298558258295</v>
      </c>
      <c r="D623" t="str">
        <f>怪しいデータを手直し!G99</f>
        <v>pt</v>
      </c>
      <c r="E623">
        <f>怪しいデータを手直し!T99</f>
        <v>0.9</v>
      </c>
      <c r="F623">
        <f>IF(怪しいデータを手直し!U99="dead",0,怪しいデータを手直し!U99)</f>
        <v>1.42</v>
      </c>
      <c r="G623">
        <f>怪しいデータを手直し!L99</f>
        <v>2.4</v>
      </c>
    </row>
    <row r="624" spans="1:7">
      <c r="A624">
        <f>怪しいデータを手直し!F645</f>
        <v>696</v>
      </c>
      <c r="B624">
        <f>怪しいデータを手直し!C645</f>
        <v>48.043097408521334</v>
      </c>
      <c r="C624">
        <f>怪しいデータを手直し!D645</f>
        <v>-23.901055742566481</v>
      </c>
      <c r="D624" t="str">
        <f>怪しいデータを手直し!G645</f>
        <v>bp</v>
      </c>
      <c r="E624">
        <f>怪しいデータを手直し!T645</f>
        <v>16.233804195373324</v>
      </c>
      <c r="F624">
        <f>IF(怪しいデータを手直し!U645="dead",0,怪しいデータを手直し!U645)</f>
        <v>15.915494309189533</v>
      </c>
      <c r="G624">
        <f>怪しいデータを手直し!L645</f>
        <v>9.5</v>
      </c>
    </row>
    <row r="625" spans="1:7">
      <c r="A625">
        <f>怪しいデータを手直し!F467</f>
        <v>697</v>
      </c>
      <c r="B625">
        <f>怪しいデータを手直し!C467</f>
        <v>47.825175149350287</v>
      </c>
      <c r="C625">
        <f>怪しいデータを手直し!D467</f>
        <v>-23.723873104039001</v>
      </c>
      <c r="D625" t="str">
        <f>怪しいデータを手直し!G467</f>
        <v>bp</v>
      </c>
      <c r="E625">
        <f>怪しいデータを手直し!T467</f>
        <v>5.4749300423611995</v>
      </c>
      <c r="F625">
        <f>IF(怪しいデータを手直し!U467="dead",0,怪しいデータを手直し!U467)</f>
        <v>5.7295779513082321</v>
      </c>
      <c r="G625">
        <f>怪しいデータを手直し!L467</f>
        <v>5.5</v>
      </c>
    </row>
    <row r="626" spans="1:7">
      <c r="A626">
        <f>怪しいデータを手直し!F597</f>
        <v>698</v>
      </c>
      <c r="B626">
        <f>怪しいデータを手直し!C597</f>
        <v>48.053490775127813</v>
      </c>
      <c r="C626">
        <f>怪しいデータを手直し!D597</f>
        <v>-23.804467220567812</v>
      </c>
      <c r="D626" t="str">
        <f>怪しいデータを手直し!G597</f>
        <v>bp</v>
      </c>
      <c r="E626">
        <f>怪しいデータを手直し!T597</f>
        <v>11.681972822945118</v>
      </c>
      <c r="F626">
        <f>IF(怪しいデータを手直し!U597="dead",0,怪しいデータを手直し!U597)</f>
        <v>0</v>
      </c>
      <c r="G626">
        <f>怪しいデータを手直し!L597</f>
        <v>6.4</v>
      </c>
    </row>
    <row r="627" spans="1:7">
      <c r="A627">
        <f>怪しいデータを手直し!F498</f>
        <v>699</v>
      </c>
      <c r="B627">
        <f>怪しいデータを手直し!C498</f>
        <v>48.14767037396004</v>
      </c>
      <c r="C627">
        <f>怪しいデータを手直し!D498</f>
        <v>-23.593335497569491</v>
      </c>
      <c r="D627" t="str">
        <f>怪しいデータを手直し!G498</f>
        <v>bp</v>
      </c>
      <c r="E627">
        <f>怪しいデータを手直し!T498</f>
        <v>6.2070427805839179</v>
      </c>
      <c r="F627">
        <f>IF(怪しいデータを手直し!U498="dead",0,怪しいデータを手直し!U498)</f>
        <v>6.5253526667677093</v>
      </c>
      <c r="G627">
        <f>怪しいデータを手直し!L498</f>
        <v>6.2</v>
      </c>
    </row>
    <row r="628" spans="1:7">
      <c r="A628">
        <f>怪しいデータを手直し!F81</f>
        <v>700</v>
      </c>
      <c r="B628">
        <f>怪しいデータを手直し!C81</f>
        <v>48.268851088723402</v>
      </c>
      <c r="C628">
        <f>怪しいデータを手直し!D81</f>
        <v>-23.650476667238095</v>
      </c>
      <c r="D628" t="str">
        <f>怪しいデータを手直し!G81</f>
        <v>bp</v>
      </c>
      <c r="E628">
        <f>怪しいデータを手直し!T81</f>
        <v>0.79</v>
      </c>
      <c r="F628">
        <f>IF(怪しいデータを手直し!U81="dead",0,怪しいデータを手直し!U81)</f>
        <v>1.1000000000000001</v>
      </c>
      <c r="G628">
        <f>怪しいデータを手直し!L81</f>
        <v>2.4</v>
      </c>
    </row>
    <row r="629" spans="1:7">
      <c r="A629">
        <f>怪しいデータを手直し!F386</f>
        <v>701</v>
      </c>
      <c r="B629">
        <f>怪しいデータを手直し!C386</f>
        <v>50.215139710240834</v>
      </c>
      <c r="C629">
        <f>怪しいデータを手直し!D386</f>
        <v>-27.437723206428444</v>
      </c>
      <c r="D629" t="str">
        <f>怪しいデータを手直し!G386</f>
        <v>bp</v>
      </c>
      <c r="E629">
        <f>怪しいデータを手直し!T386</f>
        <v>3.61</v>
      </c>
      <c r="F629">
        <f>IF(怪しいデータを手直し!U386="dead",0,怪しいデータを手直し!U386)</f>
        <v>4.1061975317709001</v>
      </c>
      <c r="G629">
        <f>怪しいデータを手直し!L386</f>
        <v>5.2</v>
      </c>
    </row>
    <row r="630" spans="1:7">
      <c r="A630">
        <f>怪しいデータを手直し!F562</f>
        <v>702</v>
      </c>
      <c r="B630">
        <f>怪しいデータを手直し!C562</f>
        <v>50.122764376874976</v>
      </c>
      <c r="C630">
        <f>怪しいデータを手直し!D562</f>
        <v>-27.684136505344721</v>
      </c>
      <c r="D630" t="str">
        <f>怪しいデータを手直し!G562</f>
        <v>bp</v>
      </c>
      <c r="E630">
        <f>怪しいデータを手直し!T562</f>
        <v>9.4538036196585828</v>
      </c>
      <c r="F630">
        <f>IF(怪しいデータを手直し!U562="dead",0,怪しいデータを手直し!U562)</f>
        <v>9.6447895513688575</v>
      </c>
      <c r="G630">
        <f>怪しいデータを手直し!L562</f>
        <v>11</v>
      </c>
    </row>
    <row r="631" spans="1:7">
      <c r="A631">
        <f>怪しいデータを手直し!F484</f>
        <v>703</v>
      </c>
      <c r="B631">
        <f>怪しいデータを手直し!C484</f>
        <v>50.277366863519219</v>
      </c>
      <c r="C631">
        <f>怪しいデータを手直し!D484</f>
        <v>-27.783751864123932</v>
      </c>
      <c r="D631" t="str">
        <f>怪しいデータを手直し!G484</f>
        <v>bp</v>
      </c>
      <c r="E631">
        <f>怪しいデータを手直し!T484</f>
        <v>5.79323992854499</v>
      </c>
      <c r="F631">
        <f>IF(怪しいデータを手直し!U484="dead",0,怪しいデータを手直し!U484)</f>
        <v>6.1115498147287806</v>
      </c>
      <c r="G631">
        <f>怪しいデータを手直し!L484</f>
        <v>6.6</v>
      </c>
    </row>
    <row r="632" spans="1:7">
      <c r="A632">
        <f>怪しいデータを手直し!F553</f>
        <v>704</v>
      </c>
      <c r="B632">
        <f>怪しいデータを手直し!C553</f>
        <v>50.189114493623592</v>
      </c>
      <c r="C632">
        <f>怪しいデータを手直し!D553</f>
        <v>-27.790330927717896</v>
      </c>
      <c r="D632" t="str">
        <f>怪しいデータを手直し!G553</f>
        <v>bp</v>
      </c>
      <c r="E632">
        <f>怪しいデータを手直し!T553</f>
        <v>8.8490148359093812</v>
      </c>
      <c r="F632">
        <f>IF(怪しいデータを手直し!U553="dead",0,怪しいデータを手直し!U553)</f>
        <v>9.0718317562380353</v>
      </c>
      <c r="G632">
        <f>怪しいデータを手直し!L553</f>
        <v>6.9</v>
      </c>
    </row>
    <row r="633" spans="1:7">
      <c r="A633">
        <f>怪しいデータを手直し!F449</f>
        <v>705</v>
      </c>
      <c r="B633">
        <f>怪しいデータを手直し!C449</f>
        <v>42.983024702777627</v>
      </c>
      <c r="C633">
        <f>怪しいデータを手直し!D449</f>
        <v>-35.691965224998938</v>
      </c>
      <c r="D633" t="str">
        <f>怪しいデータを手直し!G449</f>
        <v>ss</v>
      </c>
      <c r="E633">
        <f>怪しいデータを手直し!T449</f>
        <v>4.9656342244671343</v>
      </c>
      <c r="F633">
        <f>IF(怪しいデータを手直し!U449="dead",0,怪しいデータを手直し!U449)</f>
        <v>0</v>
      </c>
      <c r="G633">
        <f>怪しいデータを手直し!L449</f>
        <v>0</v>
      </c>
    </row>
    <row r="634" spans="1:7">
      <c r="A634">
        <f>怪しいデータを手直し!F435</f>
        <v>706</v>
      </c>
      <c r="B634">
        <f>怪しいデータを手直し!C435</f>
        <v>49.938192270330752</v>
      </c>
      <c r="C634">
        <f>怪しいデータを手直し!D435</f>
        <v>-27.773576332121721</v>
      </c>
      <c r="D634" t="str">
        <f>怪しいデータを手直し!G435</f>
        <v>bp</v>
      </c>
      <c r="E634">
        <f>怪しいデータを手直し!T435</f>
        <v>4.6473243382833438</v>
      </c>
      <c r="F634">
        <f>IF(怪しいデータを手直し!U435="dead",0,怪しいデータを手直し!U435)</f>
        <v>5.1884511447957884</v>
      </c>
      <c r="G634">
        <f>怪しいデータを手直し!L435</f>
        <v>5.2</v>
      </c>
    </row>
    <row r="635" spans="1:7">
      <c r="A635">
        <f>怪しいデータを手直し!F309</f>
        <v>707</v>
      </c>
      <c r="B635">
        <f>怪しいデータを手直し!C309</f>
        <v>42.997273962603202</v>
      </c>
      <c r="C635">
        <f>怪しいデータを手直し!D309</f>
        <v>-35.556358611104976</v>
      </c>
      <c r="D635" t="str">
        <f>怪しいデータを手直し!G309</f>
        <v>ss</v>
      </c>
      <c r="E635">
        <f>怪しいデータを手直し!T309</f>
        <v>2.61</v>
      </c>
      <c r="F635">
        <f>IF(怪しいデータを手直し!U309="dead",0,怪しいデータを手直し!U309)</f>
        <v>0</v>
      </c>
      <c r="G635">
        <f>怪しいデータを手直し!L309</f>
        <v>2</v>
      </c>
    </row>
    <row r="636" spans="1:7">
      <c r="A636">
        <f>怪しいデータを手直し!F116</f>
        <v>708</v>
      </c>
      <c r="B636">
        <f>怪しいデータを手直し!C116</f>
        <v>43.072423340402423</v>
      </c>
      <c r="C636">
        <f>怪しいデータを手直し!D116</f>
        <v>-35.595784426557842</v>
      </c>
      <c r="D636" t="str">
        <f>怪しいデータを手直し!G116</f>
        <v>ss</v>
      </c>
      <c r="E636">
        <f>怪しいデータを手直し!T116</f>
        <v>1.02</v>
      </c>
      <c r="F636">
        <f>IF(怪しいデータを手直し!U116="dead",0,怪しいデータを手直し!U116)</f>
        <v>0</v>
      </c>
      <c r="G636">
        <f>怪しいデータを手直し!L116</f>
        <v>2.2000000000000002</v>
      </c>
    </row>
    <row r="637" spans="1:7">
      <c r="A637">
        <f>怪しいデータを手直し!F40</f>
        <v>709</v>
      </c>
      <c r="B637">
        <f>怪しいデータを手直し!C40</f>
        <v>43.057162405751079</v>
      </c>
      <c r="C637">
        <f>怪しいデータを手直し!D40</f>
        <v>-35.633919603939674</v>
      </c>
      <c r="D637" t="str">
        <f>怪しいデータを手直し!G40</f>
        <v>ss</v>
      </c>
      <c r="E637">
        <f>怪しいデータを手直し!T40</f>
        <v>0.51</v>
      </c>
      <c r="F637">
        <f>IF(怪しいデータを手直し!U40="dead",0,怪しいデータを手直し!U40)</f>
        <v>0.71</v>
      </c>
      <c r="G637">
        <f>怪しいデータを手直し!L40</f>
        <v>1.9</v>
      </c>
    </row>
    <row r="638" spans="1:7">
      <c r="A638">
        <f>怪しいデータを手直し!F38</f>
        <v>710</v>
      </c>
      <c r="B638">
        <f>怪しいデータを手直し!C38</f>
        <v>43.030489044404334</v>
      </c>
      <c r="C638">
        <f>怪しいデータを手直し!D38</f>
        <v>-35.639697699500033</v>
      </c>
      <c r="D638" t="str">
        <f>怪しいデータを手直し!G38</f>
        <v>ss</v>
      </c>
      <c r="E638">
        <f>怪しいデータを手直し!T38</f>
        <v>0.5</v>
      </c>
      <c r="F638">
        <f>IF(怪しいデータを手直し!U38="dead",0,怪しいデータを手直し!U38)</f>
        <v>0.55999999999999994</v>
      </c>
      <c r="G638">
        <f>怪しいデータを手直し!L38</f>
        <v>1.2</v>
      </c>
    </row>
    <row r="639" spans="1:7">
      <c r="A639">
        <f>怪しいデータを手直し!F33</f>
        <v>711</v>
      </c>
      <c r="B639">
        <f>怪しいデータを手直し!C33</f>
        <v>42.934938877920068</v>
      </c>
      <c r="C639">
        <f>怪しいデータを手直し!D33</f>
        <v>-35.514943279859963</v>
      </c>
      <c r="D639" t="str">
        <f>怪しいデータを手直し!G33</f>
        <v>ss</v>
      </c>
      <c r="E639">
        <f>怪しいデータを手直し!T33</f>
        <v>0.49</v>
      </c>
      <c r="F639">
        <f>IF(怪しいデータを手直し!U33="dead",0,怪しいデータを手直し!U33)</f>
        <v>0.57999999999999996</v>
      </c>
      <c r="G639">
        <f>怪しいデータを手直し!L33</f>
        <v>1.7</v>
      </c>
    </row>
    <row r="640" spans="1:7">
      <c r="A640">
        <f>怪しいデータを手直し!F448</f>
        <v>712</v>
      </c>
      <c r="B640">
        <f>怪しいデータを手直し!C448</f>
        <v>31.979589225403007</v>
      </c>
      <c r="C640">
        <f>怪しいデータを手直し!D448</f>
        <v>-31.226808384339172</v>
      </c>
      <c r="D640" t="str">
        <f>怪しいデータを手直し!G448</f>
        <v>lc</v>
      </c>
      <c r="E640">
        <f>怪しいデータを手直し!T448</f>
        <v>4.9019722472303764</v>
      </c>
      <c r="F640">
        <f>IF(怪しいデータを手直し!U448="dead",0,怪しいデータを手直し!U448)</f>
        <v>5.9523948716368853</v>
      </c>
      <c r="G640">
        <f>怪しいデータを手直し!L448</f>
        <v>4.9000000000000004</v>
      </c>
    </row>
    <row r="641" spans="1:7">
      <c r="A641">
        <f>怪しいデータを手直し!F688</f>
        <v>713</v>
      </c>
      <c r="B641">
        <f>怪しいデータを手直し!C688</f>
        <v>30.741420526021269</v>
      </c>
      <c r="C641">
        <f>怪しいデータを手直し!D688</f>
        <v>-33.689937750172362</v>
      </c>
      <c r="D641" t="str">
        <f>怪しいデータを手直し!G688</f>
        <v>lc</v>
      </c>
      <c r="E641">
        <f>怪しいデータを手直し!T688</f>
        <v>29.09352359719847</v>
      </c>
      <c r="F641">
        <f>IF(怪しいデータを手直し!U688="dead",0,怪しいデータを手直し!U688)</f>
        <v>0</v>
      </c>
      <c r="G641">
        <f>怪しいデータを手直し!L688</f>
        <v>16.100000000000001</v>
      </c>
    </row>
    <row r="642" spans="1:7">
      <c r="A642">
        <f>怪しいデータを手直し!F173</f>
        <v>714</v>
      </c>
      <c r="B642">
        <f>怪しいデータを手直し!C173</f>
        <v>28.615447336791203</v>
      </c>
      <c r="C642">
        <f>怪しいデータを手直し!D173</f>
        <v>-30.660464995618224</v>
      </c>
      <c r="D642" t="str">
        <f>怪しいデータを手直し!G173</f>
        <v>pt</v>
      </c>
      <c r="E642">
        <f>怪しいデータを手直し!T173</f>
        <v>1.38</v>
      </c>
      <c r="F642">
        <f>IF(怪しいデータを手直し!U173="dead",0,怪しいデータを手直し!U173)</f>
        <v>1.8800000000000001</v>
      </c>
      <c r="G642">
        <f>怪しいデータを手直し!L173</f>
        <v>3.4</v>
      </c>
    </row>
    <row r="643" spans="1:7">
      <c r="A643">
        <f>怪しいデータを手直し!F305</f>
        <v>715</v>
      </c>
      <c r="B643">
        <f>怪しいデータを手直し!C305</f>
        <v>28.354822578651021</v>
      </c>
      <c r="C643">
        <f>怪しいデータを手直し!D305</f>
        <v>-30.157632167601044</v>
      </c>
      <c r="D643" t="str">
        <f>怪しいデータを手直し!G305</f>
        <v>lc</v>
      </c>
      <c r="E643">
        <f>怪しいデータを手直し!T305</f>
        <v>2.5499999999999998</v>
      </c>
      <c r="F643">
        <f>IF(怪しいデータを手直し!U305="dead",0,怪しいデータを手直し!U305)</f>
        <v>0</v>
      </c>
      <c r="G643">
        <f>怪しいデータを手直し!L305</f>
        <v>3.4</v>
      </c>
    </row>
    <row r="644" spans="1:7">
      <c r="A644">
        <f>怪しいデータを手直し!F180</f>
        <v>716</v>
      </c>
      <c r="B644">
        <f>怪しいデータを手直し!C180</f>
        <v>27.708774059127435</v>
      </c>
      <c r="C644">
        <f>怪しいデータを手直し!D180</f>
        <v>-30.421093209825571</v>
      </c>
      <c r="D644" t="str">
        <f>怪しいデータを手直し!G180</f>
        <v>pt</v>
      </c>
      <c r="E644">
        <f>怪しいデータを手直し!T180</f>
        <v>1.46</v>
      </c>
      <c r="F644">
        <f>IF(怪しいデータを手直し!U180="dead",0,怪しいデータを手直し!U180)</f>
        <v>0.57000000000000006</v>
      </c>
      <c r="G644">
        <f>怪しいデータを手直し!L180</f>
        <v>3</v>
      </c>
    </row>
    <row r="645" spans="1:7">
      <c r="A645">
        <f>怪しいデータを手直し!F687</f>
        <v>717</v>
      </c>
      <c r="B645">
        <f>怪しいデータを手直し!C687</f>
        <v>27.300589115830448</v>
      </c>
      <c r="C645">
        <f>怪しいデータを手直し!D687</f>
        <v>-39.453605858000387</v>
      </c>
      <c r="D645" t="str">
        <f>怪しいデータを手直し!G687</f>
        <v>lc</v>
      </c>
      <c r="E645">
        <f>怪しいデータを手直し!T687</f>
        <v>28.71155173377792</v>
      </c>
      <c r="F645">
        <f>IF(怪しいデータを手直し!U687="dead",0,怪しいデータを手直し!U687)</f>
        <v>0</v>
      </c>
      <c r="G645">
        <f>怪しいデータを手直し!L687</f>
        <v>19.399999999999999</v>
      </c>
    </row>
    <row r="646" spans="1:7">
      <c r="A646">
        <f>怪しいデータを手直し!F263</f>
        <v>718</v>
      </c>
      <c r="B646">
        <f>怪しいデータを手直し!C263</f>
        <v>24.662897967014203</v>
      </c>
      <c r="C646">
        <f>怪しいデータを手直し!D263</f>
        <v>-31.711201556181109</v>
      </c>
      <c r="D646" t="str">
        <f>怪しいデータを手直し!G263</f>
        <v>pt</v>
      </c>
      <c r="E646">
        <f>怪しいデータを手直し!T263</f>
        <v>2.21</v>
      </c>
      <c r="F646">
        <f>IF(怪しいデータを手直し!U263="dead",0,怪しいデータを手直し!U263)</f>
        <v>0.96</v>
      </c>
      <c r="G646">
        <f>怪しいデータを手直し!L263</f>
        <v>2.2999999999999998</v>
      </c>
    </row>
    <row r="647" spans="1:7">
      <c r="A647">
        <f>怪しいデータを手直し!F101</f>
        <v>719</v>
      </c>
      <c r="B647">
        <f>怪しいデータを手直し!C101</f>
        <v>22.699862220695191</v>
      </c>
      <c r="C647">
        <f>怪しいデータを手直し!D101</f>
        <v>-35.871637861391832</v>
      </c>
      <c r="D647" t="str">
        <f>怪しいデータを手直し!G101</f>
        <v>lc</v>
      </c>
      <c r="E647">
        <f>怪しいデータを手直し!T101</f>
        <v>0.91</v>
      </c>
      <c r="F647">
        <f>IF(怪しいデータを手直し!U101="dead",0,怪しいデータを手直し!U101)</f>
        <v>1.58</v>
      </c>
      <c r="G647">
        <f>怪しいデータを手直し!L101</f>
        <v>2</v>
      </c>
    </row>
    <row r="648" spans="1:7">
      <c r="A648">
        <f>怪しいデータを手直し!F85</f>
        <v>720</v>
      </c>
      <c r="B648">
        <f>怪しいデータを手直し!C85</f>
        <v>21.722359954660718</v>
      </c>
      <c r="C648">
        <f>怪しいデータを手直し!D85</f>
        <v>-34.630679248749715</v>
      </c>
      <c r="D648" t="str">
        <f>怪しいデータを手直し!G85</f>
        <v>pt</v>
      </c>
      <c r="E648">
        <f>怪しいデータを手直し!T85</f>
        <v>0.81</v>
      </c>
      <c r="F648">
        <f>IF(怪しいデータを手直し!U85="dead",0,怪しいデータを手直し!U85)</f>
        <v>1.2</v>
      </c>
      <c r="G648">
        <f>怪しいデータを手直し!L85</f>
        <v>2.2999999999999998</v>
      </c>
    </row>
    <row r="649" spans="1:7">
      <c r="A649">
        <f>怪しいデータを手直し!F26</f>
        <v>721</v>
      </c>
      <c r="B649">
        <f>怪しいデータを手直し!C26</f>
        <v>19.350085857963784</v>
      </c>
      <c r="C649">
        <f>怪しいデータを手直し!D26</f>
        <v>-30.682495267041411</v>
      </c>
      <c r="D649" t="str">
        <f>怪しいデータを手直し!G26</f>
        <v>lc</v>
      </c>
      <c r="E649">
        <f>怪しいデータを手直し!T26</f>
        <v>0.43</v>
      </c>
      <c r="F649">
        <f>IF(怪しいデータを手直し!U26="dead",0,怪しいデータを手直し!U26)</f>
        <v>1.1199999999999999</v>
      </c>
      <c r="G649">
        <f>怪しいデータを手直し!L26</f>
        <v>1.6</v>
      </c>
    </row>
    <row r="650" spans="1:7">
      <c r="A650">
        <f>怪しいデータを手直し!F694</f>
        <v>722</v>
      </c>
      <c r="B650">
        <f>怪しいデータを手直し!C694</f>
        <v>18.077169041346473</v>
      </c>
      <c r="C650">
        <f>怪しいデータを手直し!D694</f>
        <v>-34.59280661733704</v>
      </c>
      <c r="D650" t="str">
        <f>怪しいデータを手直し!G694</f>
        <v>lc</v>
      </c>
      <c r="E650">
        <f>怪しいデータを手直し!T694</f>
        <v>32.181129493181238</v>
      </c>
      <c r="F650">
        <f>IF(怪しいデータを手直し!U694="dead",0,怪しいデータを手直し!U694)</f>
        <v>0</v>
      </c>
      <c r="G650">
        <f>怪しいデータを手直し!L694</f>
        <v>21.4</v>
      </c>
    </row>
    <row r="651" spans="1:7">
      <c r="A651">
        <f>怪しいデータを手直し!F304</f>
        <v>723</v>
      </c>
      <c r="B651">
        <f>怪しいデータを手直し!C304</f>
        <v>16.03191023543113</v>
      </c>
      <c r="C651">
        <f>怪しいデータを手直し!D304</f>
        <v>-32.98725739017172</v>
      </c>
      <c r="D651" t="str">
        <f>怪しいデータを手直し!G304</f>
        <v>lc</v>
      </c>
      <c r="E651">
        <f>怪しいデータを手直し!T304</f>
        <v>2.54</v>
      </c>
      <c r="F651">
        <f>IF(怪しいデータを手直し!U304="dead",0,怪しいデータを手直し!U304)</f>
        <v>0</v>
      </c>
      <c r="G651">
        <f>怪しいデータを手直し!L304</f>
        <v>2.9</v>
      </c>
    </row>
    <row r="652" spans="1:7">
      <c r="A652">
        <f>怪しいデータを手直し!F668</f>
        <v>724</v>
      </c>
      <c r="B652">
        <f>怪しいデータを手直し!C668</f>
        <v>15.458956323973755</v>
      </c>
      <c r="C652">
        <f>怪しいデータを手直し!D668</f>
        <v>-30.151782097610404</v>
      </c>
      <c r="D652" t="str">
        <f>怪しいデータを手直し!G668</f>
        <v>lc</v>
      </c>
      <c r="E652">
        <f>怪しいデータを手直し!T668</f>
        <v>21.294931385695598</v>
      </c>
      <c r="F652">
        <f>IF(怪しいデータを手直し!U668="dead",0,怪しいデータを手直し!U668)</f>
        <v>0</v>
      </c>
      <c r="G652">
        <f>怪しいデータを手直し!L668</f>
        <v>15.7</v>
      </c>
    </row>
    <row r="653" spans="1:7">
      <c r="A653">
        <f>怪しいデータを手直し!F681</f>
        <v>725</v>
      </c>
      <c r="B653">
        <f>怪しいデータを手直し!C681</f>
        <v>15.09772605013295</v>
      </c>
      <c r="C653">
        <f>怪しいデータを手直し!D681</f>
        <v>-34.417277624868319</v>
      </c>
      <c r="D653" t="str">
        <f>怪しいデータを手直し!G681</f>
        <v>lc</v>
      </c>
      <c r="E653">
        <f>怪しいデータを手直し!T681</f>
        <v>25.305635951611361</v>
      </c>
      <c r="F653">
        <f>IF(怪しいデータを手直し!U681="dead",0,怪しいデータを手直し!U681)</f>
        <v>0</v>
      </c>
      <c r="G653">
        <f>怪しいデータを手直し!L681</f>
        <v>15.3</v>
      </c>
    </row>
    <row r="654" spans="1:7">
      <c r="A654">
        <f>怪しいデータを手直し!F611</f>
        <v>726</v>
      </c>
      <c r="B654">
        <f>怪しいデータを手直し!C611</f>
        <v>8.2807998791533848</v>
      </c>
      <c r="C654">
        <f>怪しいデータを手直し!D611</f>
        <v>-36.859816733933989</v>
      </c>
      <c r="D654" t="str">
        <f>怪しいデータを手直し!G611</f>
        <v>lc</v>
      </c>
      <c r="E654">
        <f>怪しいデータを手直し!T611</f>
        <v>12.573240504259733</v>
      </c>
      <c r="F654">
        <f>IF(怪しいデータを手直し!U611="dead",0,怪しいデータを手直し!U611)</f>
        <v>0</v>
      </c>
      <c r="G654">
        <f>怪しいデータを手直し!L611</f>
        <v>9</v>
      </c>
    </row>
    <row r="655" spans="1:7">
      <c r="A655">
        <f>怪しいデータを手直し!F698</f>
        <v>727</v>
      </c>
      <c r="B655">
        <f>怪しいデータを手直し!C698</f>
        <v>6.0081109655701512</v>
      </c>
      <c r="C655">
        <f>怪しいデータを手直し!D698</f>
        <v>-33.485829144334737</v>
      </c>
      <c r="D655" t="str">
        <f>怪しいデータを手直し!G698</f>
        <v>lc</v>
      </c>
      <c r="E655">
        <f>怪しいデータを手直し!T698</f>
        <v>37.242256683503513</v>
      </c>
      <c r="F655">
        <f>IF(怪しいデータを手直し!U698="dead",0,怪しいデータを手直し!U698)</f>
        <v>0</v>
      </c>
      <c r="G655">
        <f>怪しいデータを手直し!L698</f>
        <v>21</v>
      </c>
    </row>
    <row r="656" spans="1:7">
      <c r="A656">
        <f>怪しいデータを手直し!F651</f>
        <v>728</v>
      </c>
      <c r="B656">
        <f>怪しいデータを手直し!C651</f>
        <v>4.8140191056457162</v>
      </c>
      <c r="C656">
        <f>怪しいデータを手直し!D651</f>
        <v>-37.96763631123946</v>
      </c>
      <c r="D656" t="str">
        <f>怪しいデータを手直し!G651</f>
        <v>lc</v>
      </c>
      <c r="E656">
        <f>怪しいデータを手直し!T651</f>
        <v>17.443381762871727</v>
      </c>
      <c r="F656">
        <f>IF(怪しいデータを手直し!U651="dead",0,怪しいデータを手直し!U651)</f>
        <v>17.761691649055518</v>
      </c>
      <c r="G656">
        <f>怪しいデータを手直し!L651</f>
        <v>13.1</v>
      </c>
    </row>
    <row r="657" spans="1:7">
      <c r="A657">
        <f>怪しいデータを手直し!F664</f>
        <v>729</v>
      </c>
      <c r="B657">
        <f>怪しいデータを手直し!C664</f>
        <v>3.6821489091014223</v>
      </c>
      <c r="C657">
        <f>怪しいデータを手直し!D664</f>
        <v>-38.271631522726807</v>
      </c>
      <c r="D657" t="str">
        <f>怪しいデータを手直し!G664</f>
        <v>lc</v>
      </c>
      <c r="E657">
        <f>怪しいデータを手直し!T664</f>
        <v>20.180846784052328</v>
      </c>
      <c r="F657">
        <f>IF(怪しいデータを手直し!U664="dead",0,怪しいデータを手直し!U664)</f>
        <v>20.5309876588545</v>
      </c>
      <c r="G657">
        <f>怪しいデータを手直し!L664</f>
        <v>16.2</v>
      </c>
    </row>
    <row r="658" spans="1:7">
      <c r="A658">
        <f>怪しいデータを手直し!F660</f>
        <v>730</v>
      </c>
      <c r="B658">
        <f>怪しいデータを手直し!C660</f>
        <v>2.0996441669634551</v>
      </c>
      <c r="C658">
        <f>怪しいデータを手直し!D660</f>
        <v>-32.60697776877376</v>
      </c>
      <c r="D658" t="str">
        <f>怪しいデータを手直し!G660</f>
        <v>lc</v>
      </c>
      <c r="E658">
        <f>怪しいデータを手直し!T660</f>
        <v>19.512396023066369</v>
      </c>
      <c r="F658">
        <f>IF(怪しいデータを手直し!U660="dead",0,怪しいデータを手直し!U660)</f>
        <v>0</v>
      </c>
      <c r="G658">
        <f>怪しいデータを手直し!L660</f>
        <v>13.2</v>
      </c>
    </row>
    <row r="659" spans="1:7">
      <c r="A659">
        <f>怪しいデータを手直し!F699</f>
        <v>731</v>
      </c>
      <c r="B659">
        <f>怪しいデータを手直し!C699</f>
        <v>0.80116598442242903</v>
      </c>
      <c r="C659">
        <f>怪しいデータを手直し!D699</f>
        <v>-32.577476658584828</v>
      </c>
      <c r="D659" t="str">
        <f>怪しいデータを手直し!G699</f>
        <v>lc</v>
      </c>
      <c r="E659">
        <f>怪しいデータを手直し!T699</f>
        <v>37.719721512779195</v>
      </c>
      <c r="F659">
        <f>IF(怪しいデータを手直し!U699="dead",0,怪しいデータを手直し!U699)</f>
        <v>0</v>
      </c>
      <c r="G659">
        <f>怪しいデータを手直し!L699</f>
        <v>14.6</v>
      </c>
    </row>
    <row r="660" spans="1:7">
      <c r="A660">
        <f>怪しいデータを手直し!F618</f>
        <v>801</v>
      </c>
      <c r="B660">
        <f>怪しいデータを手直し!C618</f>
        <v>1.3122807443575066</v>
      </c>
      <c r="C660">
        <f>怪しいデータを手直し!D618</f>
        <v>-43.563093337977357</v>
      </c>
      <c r="D660" t="str">
        <f>怪しいデータを手直し!G618</f>
        <v>lc</v>
      </c>
      <c r="E660">
        <f>怪しいデータを手直し!T618</f>
        <v>12.891550390443523</v>
      </c>
      <c r="F660">
        <f>IF(怪しいデータを手直し!U618="dead",0,怪しいデータを手直し!U618)</f>
        <v>13.623663128666241</v>
      </c>
      <c r="G660">
        <f>怪しいデータを手直し!L618</f>
        <v>12.3</v>
      </c>
    </row>
    <row r="661" spans="1:7">
      <c r="A661">
        <f>怪しいデータを手直し!F662</f>
        <v>802</v>
      </c>
      <c r="B661">
        <f>怪しいデータを手直し!C662</f>
        <v>1.8060621866094895</v>
      </c>
      <c r="C661">
        <f>怪しいデータを手直し!D662</f>
        <v>-44.139055823528977</v>
      </c>
      <c r="D661" t="str">
        <f>怪しいデータを手直し!G662</f>
        <v>lc</v>
      </c>
      <c r="E661">
        <f>怪しいデータを手直し!T662</f>
        <v>19.607888988921506</v>
      </c>
      <c r="F661">
        <f>IF(怪しいデータを手直し!U662="dead",0,怪しいデータを手直し!U662)</f>
        <v>19.735212943395023</v>
      </c>
      <c r="G661">
        <f>怪しいデータを手直し!L662</f>
        <v>15.2</v>
      </c>
    </row>
    <row r="662" spans="1:7">
      <c r="A662">
        <f>怪しいデータを手直し!F601</f>
        <v>803</v>
      </c>
      <c r="B662">
        <f>怪しいデータを手直し!C601</f>
        <v>2.6202140931912341</v>
      </c>
      <c r="C662">
        <f>怪しいデータを手直し!D601</f>
        <v>-43.363162197942096</v>
      </c>
      <c r="D662" t="str">
        <f>怪しいデータを手直し!G601</f>
        <v>lc</v>
      </c>
      <c r="E662">
        <f>怪しいデータを手直し!T601</f>
        <v>12.000282709128909</v>
      </c>
      <c r="F662">
        <f>IF(怪しいデータを手直し!U601="dead",0,怪しいデータを手直し!U601)</f>
        <v>12.382254572549456</v>
      </c>
      <c r="G662">
        <f>怪しいデータを手直し!L601</f>
        <v>11.4</v>
      </c>
    </row>
    <row r="663" spans="1:7">
      <c r="A663">
        <f>怪しいデータを手直し!F612</f>
        <v>804</v>
      </c>
      <c r="B663">
        <f>怪しいデータを手直し!C612</f>
        <v>3.6412415325252461</v>
      </c>
      <c r="C663">
        <f>怪しいデータを手直し!D612</f>
        <v>-45.488733073516883</v>
      </c>
      <c r="D663" t="str">
        <f>怪しいデータを手直し!G612</f>
        <v>lc</v>
      </c>
      <c r="E663">
        <f>怪しいデータを手直し!T612</f>
        <v>12.573240504259733</v>
      </c>
      <c r="F663">
        <f>IF(怪しいデータを手直し!U612="dead",0,怪しいデータを手直し!U612)</f>
        <v>12.700564458733249</v>
      </c>
      <c r="G663">
        <f>怪しいデータを手直し!L612</f>
        <v>12.6</v>
      </c>
    </row>
    <row r="664" spans="1:7">
      <c r="A664">
        <f>怪しいデータを手直し!F628</f>
        <v>805</v>
      </c>
      <c r="B664">
        <f>怪しいデータを手直し!C628</f>
        <v>4.3793029065855924</v>
      </c>
      <c r="C664">
        <f>怪しいデータを手直し!D628</f>
        <v>-46.242416534010111</v>
      </c>
      <c r="D664" t="str">
        <f>怪しいデータを手直し!G628</f>
        <v>lc</v>
      </c>
      <c r="E664">
        <f>怪しいデータを手直し!T628</f>
        <v>13.814649060376516</v>
      </c>
      <c r="F664">
        <f>IF(怪しいデータを手直し!U628="dead",0,怪しいデータを手直し!U628)</f>
        <v>14.292113889652201</v>
      </c>
      <c r="G664">
        <f>怪しいデータを手直し!L628</f>
        <v>11.5</v>
      </c>
    </row>
    <row r="665" spans="1:7">
      <c r="A665">
        <f>怪しいデータを手直し!F696</f>
        <v>806</v>
      </c>
      <c r="B665">
        <f>怪しいデータを手直し!C696</f>
        <v>3.5447906807329383</v>
      </c>
      <c r="C665">
        <f>怪しいデータを手直し!D696</f>
        <v>-47.858700442468063</v>
      </c>
      <c r="D665" t="str">
        <f>怪しいデータを手直し!G696</f>
        <v>lc</v>
      </c>
      <c r="E665">
        <f>怪しいデータを手直し!T696</f>
        <v>32.849580254167201</v>
      </c>
      <c r="F665">
        <f>IF(怪しいデータを手直し!U696="dead",0,怪しいデータを手直し!U696)</f>
        <v>33.518031015153156</v>
      </c>
      <c r="G665">
        <f>怪しいデータを手直し!L696</f>
        <v>18.5</v>
      </c>
    </row>
    <row r="666" spans="1:7">
      <c r="A666">
        <f>怪しいデータを手直し!F599</f>
        <v>807</v>
      </c>
      <c r="B666">
        <f>怪しいデータを手直し!C599</f>
        <v>7.1191281745700135</v>
      </c>
      <c r="C666">
        <f>怪しいデータを手直し!D599</f>
        <v>-48.272737003280334</v>
      </c>
      <c r="D666" t="str">
        <f>怪しいデータを手直し!G599</f>
        <v>lc</v>
      </c>
      <c r="E666">
        <f>怪しいデータを手直し!T599</f>
        <v>11.904789743273771</v>
      </c>
      <c r="F666">
        <f>IF(怪しいデータを手直し!U599="dead",0,怪しいデータを手直し!U599)</f>
        <v>12.223099629457561</v>
      </c>
      <c r="G666">
        <f>怪しいデータを手直し!L599</f>
        <v>11.2</v>
      </c>
    </row>
    <row r="667" spans="1:7">
      <c r="A667">
        <f>怪しいデータを手直し!F538</f>
        <v>808</v>
      </c>
      <c r="B667">
        <f>怪しいデータを手直し!C538</f>
        <v>6.1188161453040522</v>
      </c>
      <c r="C667">
        <f>怪しいデータを手直し!D538</f>
        <v>-45.461356231381316</v>
      </c>
      <c r="D667" t="str">
        <f>怪しいデータを手直し!G538</f>
        <v>lc</v>
      </c>
      <c r="E667">
        <f>怪しいデータを手直し!T538</f>
        <v>7.7985922115028714</v>
      </c>
      <c r="F667">
        <f>IF(怪しいデータを手直し!U538="dead",0,怪しいデータを手直し!U538)</f>
        <v>8.1805640749234207</v>
      </c>
      <c r="G667">
        <f>怪しいデータを手直し!L538</f>
        <v>7.3</v>
      </c>
    </row>
    <row r="668" spans="1:7">
      <c r="A668">
        <f>怪しいデータを手直し!F594</f>
        <v>809</v>
      </c>
      <c r="B668">
        <f>怪しいデータを手直し!C594</f>
        <v>8.2400703001238895</v>
      </c>
      <c r="C668">
        <f>怪しいデータを手直し!D594</f>
        <v>-43.791443979738325</v>
      </c>
      <c r="D668" t="str">
        <f>怪しいデータを手直し!G594</f>
        <v>lc</v>
      </c>
      <c r="E668">
        <f>怪しいデータを手直し!T594</f>
        <v>11.522817879853223</v>
      </c>
      <c r="F668">
        <f>IF(怪しいデータを手直し!U594="dead",0,怪しいデータを手直し!U594)</f>
        <v>11.650141834326739</v>
      </c>
      <c r="G668">
        <f>怪しいデータを手直し!L594</f>
        <v>9.3000000000000007</v>
      </c>
    </row>
    <row r="669" spans="1:7">
      <c r="A669">
        <f>怪しいデータを手直し!F656</f>
        <v>810</v>
      </c>
      <c r="B669">
        <f>怪しいデータを手直し!C656</f>
        <v>8.970067549236866</v>
      </c>
      <c r="C669">
        <f>怪しいデータを手直し!D656</f>
        <v>-42.178838944682475</v>
      </c>
      <c r="D669" t="str">
        <f>怪しいデータを手直し!G656</f>
        <v>lc</v>
      </c>
      <c r="E669">
        <f>怪しいデータを手直し!T656</f>
        <v>18.621128341751756</v>
      </c>
      <c r="F669">
        <f>IF(怪しいデータを手直し!U656="dead",0,怪しいデータを手直し!U656)</f>
        <v>18.939438227935547</v>
      </c>
      <c r="G669">
        <f>怪しいデータを手直し!L656</f>
        <v>14</v>
      </c>
    </row>
    <row r="670" spans="1:7">
      <c r="A670">
        <f>怪しいデータを手直し!F603</f>
        <v>811</v>
      </c>
      <c r="B670">
        <f>怪しいデータを手直し!C603</f>
        <v>11.166274455480494</v>
      </c>
      <c r="C670">
        <f>怪しいデータを手直し!D603</f>
        <v>-48.442375846327636</v>
      </c>
      <c r="D670" t="str">
        <f>怪しいデータを手直し!G603</f>
        <v>lc</v>
      </c>
      <c r="E670">
        <f>怪しいデータを手直し!T603</f>
        <v>12.063944686365666</v>
      </c>
      <c r="F670">
        <f>IF(怪しいデータを手直し!U603="dead",0,怪しいデータを手直し!U603)</f>
        <v>11.904789743273771</v>
      </c>
      <c r="G670">
        <f>怪しいデータを手直し!L603</f>
        <v>10.6</v>
      </c>
    </row>
    <row r="671" spans="1:7">
      <c r="A671">
        <f>怪しいデータを手直し!F679</f>
        <v>812</v>
      </c>
      <c r="B671">
        <f>怪しいデータを手直し!C679</f>
        <v>11.451037265159524</v>
      </c>
      <c r="C671">
        <f>怪しいデータを手直し!D679</f>
        <v>-46.139995316284079</v>
      </c>
      <c r="D671" t="str">
        <f>怪しいデータを手直し!G679</f>
        <v>lc</v>
      </c>
      <c r="E671">
        <f>怪しいデータを手直し!T679</f>
        <v>24.350706293059986</v>
      </c>
      <c r="F671">
        <f>IF(怪しいデータを手直し!U679="dead",0,怪しいデータを手直し!U679)</f>
        <v>24.891833099572434</v>
      </c>
      <c r="G671">
        <f>怪しいデータを手直し!L679</f>
        <v>16</v>
      </c>
    </row>
    <row r="672" spans="1:7">
      <c r="A672">
        <f>怪しいデータを手直し!F568</f>
        <v>813</v>
      </c>
      <c r="B672">
        <f>怪しいデータを手直し!C568</f>
        <v>13.313416888113256</v>
      </c>
      <c r="C672">
        <f>怪しいデータを手直し!D568</f>
        <v>-46.262995010997308</v>
      </c>
      <c r="D672" t="str">
        <f>怪しいデータを手直し!G568</f>
        <v>lc</v>
      </c>
      <c r="E672">
        <f>怪しいデータを手直し!T568</f>
        <v>10.058592403407786</v>
      </c>
      <c r="F672">
        <f>IF(怪しいデータを手直し!U568="dead",0,怪しいデータを手直し!U568)</f>
        <v>10.281409323736439</v>
      </c>
      <c r="G672">
        <f>怪しいデータを手直し!L568</f>
        <v>7.9</v>
      </c>
    </row>
    <row r="673" spans="1:7">
      <c r="A673">
        <f>怪しいデータを手直し!F663</f>
        <v>814</v>
      </c>
      <c r="B673">
        <f>怪しいデータを手直し!C663</f>
        <v>13.668225905124411</v>
      </c>
      <c r="C673">
        <f>怪しいデータを手直し!D663</f>
        <v>-49.401471127294251</v>
      </c>
      <c r="D673" t="str">
        <f>怪しいデータを手直し!G663</f>
        <v>lc</v>
      </c>
      <c r="E673">
        <f>怪しいデータを手直し!T663</f>
        <v>19.989860852342055</v>
      </c>
      <c r="F673">
        <f>IF(怪しいデータを手直し!U663="dead",0,怪しいデータを手直し!U663)</f>
        <v>20.180846784052328</v>
      </c>
      <c r="G673">
        <f>怪しいデータを手直し!L663</f>
        <v>16.7</v>
      </c>
    </row>
    <row r="674" spans="1:7">
      <c r="A674">
        <f>怪しいデータを手直し!F558</f>
        <v>815</v>
      </c>
      <c r="B674">
        <f>怪しいデータを手直し!C558</f>
        <v>14.848486988509565</v>
      </c>
      <c r="C674">
        <f>怪しいデータを手直し!D558</f>
        <v>-47.855632099558299</v>
      </c>
      <c r="D674" t="str">
        <f>怪しいデータを手直し!G558</f>
        <v>lc</v>
      </c>
      <c r="E674">
        <f>怪しいデータを手直し!T558</f>
        <v>9.326479665185067</v>
      </c>
      <c r="F674">
        <f>IF(怪しいデータを手直し!U558="dead",0,怪しいデータを手直し!U558)</f>
        <v>9.6766205399872369</v>
      </c>
      <c r="G674">
        <f>怪しいデータを手直し!L558</f>
        <v>8.5</v>
      </c>
    </row>
    <row r="675" spans="1:7">
      <c r="A675">
        <f>怪しいデータを手直し!F555</f>
        <v>816</v>
      </c>
      <c r="B675">
        <f>怪しいデータを手直し!C555</f>
        <v>16.681584647994701</v>
      </c>
      <c r="C675">
        <f>怪しいデータを手直し!D555</f>
        <v>-45.752622038059769</v>
      </c>
      <c r="D675" t="str">
        <f>怪しいデータを手直し!G555</f>
        <v>lc</v>
      </c>
      <c r="E675">
        <f>怪しいデータを手直し!T555</f>
        <v>9.0081697790012765</v>
      </c>
      <c r="F675">
        <f>IF(怪しいデータを手直し!U555="dead",0,怪しいデータを手直し!U555)</f>
        <v>8.753521870054243</v>
      </c>
      <c r="G675">
        <f>怪しいデータを手直し!L555</f>
        <v>5.2</v>
      </c>
    </row>
    <row r="676" spans="1:7">
      <c r="A676">
        <f>怪しいデータを手直し!F641</f>
        <v>817</v>
      </c>
      <c r="B676">
        <f>怪しいデータを手直し!C641</f>
        <v>17.164256873551739</v>
      </c>
      <c r="C676">
        <f>怪しいデータを手直し!D641</f>
        <v>-46.13960352802961</v>
      </c>
      <c r="D676" t="str">
        <f>怪しいデータを手直し!G641</f>
        <v>lc</v>
      </c>
      <c r="E676">
        <f>怪しいデータを手直し!T641</f>
        <v>15.724508377479259</v>
      </c>
      <c r="F676">
        <f>IF(怪しいデータを手直し!U641="dead",0,怪しいデータを手直し!U641)</f>
        <v>16.074649252281429</v>
      </c>
      <c r="G676">
        <f>怪しいデータを手直し!L641</f>
        <v>11.7</v>
      </c>
    </row>
    <row r="677" spans="1:7">
      <c r="A677">
        <f>怪しいデータを手直し!F665</f>
        <v>818</v>
      </c>
      <c r="B677">
        <f>怪しいデータを手直し!C665</f>
        <v>19.293620727485088</v>
      </c>
      <c r="C677">
        <f>怪しいデータを手直し!D665</f>
        <v>-47.435506224737267</v>
      </c>
      <c r="D677" t="str">
        <f>怪しいデータを手直し!G665</f>
        <v>lc</v>
      </c>
      <c r="E677">
        <f>怪しいデータを手直し!T665</f>
        <v>20.308170738525845</v>
      </c>
      <c r="F677">
        <f>IF(怪しいデータを手直し!U665="dead",0,怪しいデータを手直し!U665)</f>
        <v>20.626480624709636</v>
      </c>
      <c r="G677">
        <f>怪しいデータを手直し!L665</f>
        <v>14.4</v>
      </c>
    </row>
    <row r="678" spans="1:7">
      <c r="A678">
        <f>怪しいデータを手直し!F685</f>
        <v>819</v>
      </c>
      <c r="B678">
        <f>怪しいデータを手直し!C685</f>
        <v>23.607320227562639</v>
      </c>
      <c r="C678">
        <f>怪しいデータを手直し!D685</f>
        <v>-43.356142628275542</v>
      </c>
      <c r="D678" t="str">
        <f>怪しいデータを手直し!G685</f>
        <v>lc</v>
      </c>
      <c r="E678">
        <f>怪しいデータを手直し!T685</f>
        <v>27.947608006936822</v>
      </c>
      <c r="F678">
        <f>IF(怪しいデータを手直し!U685="dead",0,怪しいデータを手直し!U685)</f>
        <v>0</v>
      </c>
      <c r="G678">
        <f>怪しいデータを手直し!L685</f>
        <v>16.899999999999999</v>
      </c>
    </row>
    <row r="679" spans="1:7">
      <c r="A679">
        <f>怪しいデータを手直し!F578</f>
        <v>820</v>
      </c>
      <c r="B679">
        <f>怪しいデータを手直し!C578</f>
        <v>26.290903973680571</v>
      </c>
      <c r="C679">
        <f>怪しいデータを手直し!D578</f>
        <v>-49.394254844072186</v>
      </c>
      <c r="D679" t="str">
        <f>怪しいデータを手直し!G578</f>
        <v>lc</v>
      </c>
      <c r="E679">
        <f>怪しいデータを手直し!T578</f>
        <v>10.504226244065093</v>
      </c>
      <c r="F679">
        <f>IF(怪しいデータを手直し!U578="dead",0,怪しいデータを手直し!U578)</f>
        <v>10.599719209920229</v>
      </c>
      <c r="G679">
        <f>怪しいデータを手直し!L578</f>
        <v>9.1999999999999993</v>
      </c>
    </row>
    <row r="680" spans="1:7">
      <c r="A680">
        <f>怪しいデータを手直し!F693</f>
        <v>821</v>
      </c>
      <c r="B680">
        <f>怪しいデータを手直し!C693</f>
        <v>33.914906133753021</v>
      </c>
      <c r="C680">
        <f>怪しいデータを手直し!D693</f>
        <v>-40.244402616523288</v>
      </c>
      <c r="D680" t="str">
        <f>怪しいデータを手直し!G693</f>
        <v>lc</v>
      </c>
      <c r="E680">
        <f>怪しいデータを手直し!T693</f>
        <v>31.671833675287171</v>
      </c>
      <c r="F680">
        <f>IF(怪しいデータを手直し!U693="dead",0,怪しいデータを手直し!U693)</f>
        <v>0</v>
      </c>
      <c r="G680">
        <f>怪しいデータを手直し!L693</f>
        <v>18.600000000000001</v>
      </c>
    </row>
    <row r="681" spans="1:7">
      <c r="A681">
        <f>怪しいデータを手直し!F545</f>
        <v>822</v>
      </c>
      <c r="B681">
        <f>怪しいデータを手直し!C545</f>
        <v>39.579541004681793</v>
      </c>
      <c r="C681">
        <f>怪しいデータを手直し!D545</f>
        <v>-40.455647048992972</v>
      </c>
      <c r="D681" t="str">
        <f>怪しいデータを手直し!G545</f>
        <v>lc</v>
      </c>
      <c r="E681">
        <f>怪しいデータを手直し!T545</f>
        <v>8.3715500066336954</v>
      </c>
      <c r="F681">
        <f>IF(怪しいデータを手直し!U545="dead",0,怪しいデータを手直し!U545)</f>
        <v>9.326479665185067</v>
      </c>
      <c r="G681">
        <f>怪しいデータを手直し!L545</f>
        <v>7.3</v>
      </c>
    </row>
    <row r="682" spans="1:7">
      <c r="A682">
        <f>怪しいデータを手直し!F520</f>
        <v>823</v>
      </c>
      <c r="B682">
        <f>怪しいデータを手直し!C520</f>
        <v>41.216872835862169</v>
      </c>
      <c r="C682">
        <f>怪しいデータを手直し!D520</f>
        <v>-41.229683089800275</v>
      </c>
      <c r="D682" t="str">
        <f>怪しいデータを手直し!G520</f>
        <v>lc</v>
      </c>
      <c r="E682">
        <f>怪しいデータを手直し!T520</f>
        <v>7.0346484846617745</v>
      </c>
      <c r="F682">
        <f>IF(怪しいデータを手直し!U520="dead",0,怪しいデータを手直し!U520)</f>
        <v>8.1487330863050413</v>
      </c>
      <c r="G682">
        <f>怪しいデータを手直し!L520</f>
        <v>7.3</v>
      </c>
    </row>
    <row r="683" spans="1:7">
      <c r="A683">
        <f>怪しいデータを手直し!F586</f>
        <v>824</v>
      </c>
      <c r="B683">
        <f>怪しいデータを手直し!C586</f>
        <v>43.173974312698384</v>
      </c>
      <c r="C683">
        <f>怪しいデータを手直し!D586</f>
        <v>-48.816052805101094</v>
      </c>
      <c r="D683" t="str">
        <f>怪しいデータを手直し!G586</f>
        <v>lc</v>
      </c>
      <c r="E683">
        <f>怪しいデータを手直し!T586</f>
        <v>11.077184039195915</v>
      </c>
      <c r="F683">
        <f>IF(怪しいデータを手直し!U586="dead",0,怪しいデータを手直し!U586)</f>
        <v>11.459155902616464</v>
      </c>
      <c r="G683">
        <f>怪しいデータを手直し!L586</f>
        <v>8.3000000000000007</v>
      </c>
    </row>
    <row r="684" spans="1:7">
      <c r="A684">
        <f>怪しいデータを手直し!F472</f>
        <v>825</v>
      </c>
      <c r="B684">
        <f>怪しいデータを手直し!C472</f>
        <v>44.836810606651362</v>
      </c>
      <c r="C684">
        <f>怪しいデータを手直し!D472</f>
        <v>-49.251965367173881</v>
      </c>
      <c r="D684" t="str">
        <f>怪しいデータを手直し!G472</f>
        <v>lc</v>
      </c>
      <c r="E684">
        <f>怪しいデータを手直し!T472</f>
        <v>5.5704230082163368</v>
      </c>
      <c r="F684">
        <f>IF(怪しいデータを手直し!U472="dead",0,怪しいデータを手直し!U472)</f>
        <v>5.6977469626898527</v>
      </c>
      <c r="G684">
        <f>怪しいデータを手直し!L472</f>
        <v>4.4000000000000004</v>
      </c>
    </row>
    <row r="685" spans="1:7">
      <c r="A685">
        <f>怪しいデータを手直し!F648</f>
        <v>826</v>
      </c>
      <c r="B685">
        <f>怪しいデータを手直し!C648</f>
        <v>45.008992517250434</v>
      </c>
      <c r="C685">
        <f>怪しいデータを手直し!D648</f>
        <v>-49.500399673810001</v>
      </c>
      <c r="D685" t="str">
        <f>怪しいデータを手直し!G648</f>
        <v>lc</v>
      </c>
      <c r="E685">
        <f>怪しいデータを手直し!T648</f>
        <v>16.934085944977664</v>
      </c>
      <c r="F685">
        <f>IF(怪しいデータを手直し!U648="dead",0,怪しいデータを手直し!U648)</f>
        <v>17.379719785634972</v>
      </c>
      <c r="G685">
        <f>怪しいデータを手直し!L648</f>
        <v>11.1</v>
      </c>
    </row>
    <row r="686" spans="1:7">
      <c r="A686">
        <f>怪しいデータを手直し!F577</f>
        <v>827</v>
      </c>
      <c r="B686">
        <f>怪しいデータを手直し!C577</f>
        <v>44.973961314677979</v>
      </c>
      <c r="C686">
        <f>怪しいデータを手直し!D577</f>
        <v>-49.889621268789163</v>
      </c>
      <c r="D686" t="str">
        <f>怪しいデータを手直し!G577</f>
        <v>lc</v>
      </c>
      <c r="E686">
        <f>怪しいデータを手直し!T577</f>
        <v>10.440564266828334</v>
      </c>
      <c r="F686">
        <f>IF(怪しいデータを手直し!U577="dead",0,怪しいデータを手直し!U577)</f>
        <v>10.790705141630504</v>
      </c>
      <c r="G686">
        <f>怪しいデータを手直し!L577</f>
        <v>8.8000000000000007</v>
      </c>
    </row>
    <row r="687" spans="1:7">
      <c r="A687">
        <f>怪しいデータを手直し!F260</f>
        <v>828</v>
      </c>
      <c r="B687">
        <f>怪しいデータを手直し!C260</f>
        <v>45.382901456243502</v>
      </c>
      <c r="C687">
        <f>怪しいデータを手直し!D260</f>
        <v>-40.852567834469262</v>
      </c>
      <c r="D687" t="str">
        <f>怪しいデータを手直し!G260</f>
        <v>bp</v>
      </c>
      <c r="E687">
        <f>怪しいデータを手直し!T260</f>
        <v>2.14</v>
      </c>
      <c r="F687">
        <f>IF(怪しいデータを手直し!U260="dead",0,怪しいデータを手直し!U260)</f>
        <v>2.7374650211805998</v>
      </c>
      <c r="G687">
        <f>怪しいデータを手直し!L260</f>
        <v>3.6</v>
      </c>
    </row>
    <row r="688" spans="1:7">
      <c r="A688">
        <f>怪しいデータを手直し!F45</f>
        <v>829</v>
      </c>
      <c r="B688">
        <f>怪しいデータを手直し!C45</f>
        <v>45.530277221602518</v>
      </c>
      <c r="C688">
        <f>怪しいデータを手直し!D45</f>
        <v>-41.054956801117626</v>
      </c>
      <c r="D688" t="str">
        <f>怪しいデータを手直し!G45</f>
        <v>lc</v>
      </c>
      <c r="E688">
        <f>怪しいデータを手直し!T45</f>
        <v>0.56000000000000005</v>
      </c>
      <c r="F688">
        <f>IF(怪しいデータを手直し!U45="dead",0,怪しいデータを手直し!U45)</f>
        <v>1</v>
      </c>
      <c r="G688">
        <f>怪しいデータを手直し!L45</f>
        <v>1.4</v>
      </c>
    </row>
    <row r="689" spans="1:7">
      <c r="A689">
        <f>怪しいデータを手直し!F565</f>
        <v>830</v>
      </c>
      <c r="B689">
        <f>怪しいデータを手直し!C565</f>
        <v>46.484910842853935</v>
      </c>
      <c r="C689">
        <f>怪しいデータを手直し!D565</f>
        <v>-41.761911280466606</v>
      </c>
      <c r="D689" t="str">
        <f>怪しいデータを手直し!G565</f>
        <v>lc</v>
      </c>
      <c r="E689">
        <f>怪しいデータを手直し!T565</f>
        <v>9.8676064716975116</v>
      </c>
      <c r="F689">
        <f>IF(怪しいデータを手直し!U565="dead",0,怪しいデータを手直し!U565)</f>
        <v>10.790705141630504</v>
      </c>
      <c r="G689">
        <f>怪しいデータを手直し!L565</f>
        <v>6.6</v>
      </c>
    </row>
    <row r="690" spans="1:7">
      <c r="A690">
        <f>怪しいデータを手直し!F583</f>
        <v>1000</v>
      </c>
      <c r="B690">
        <f>怪しいデータを手直し!C583</f>
        <v>31.896743692831674</v>
      </c>
      <c r="C690">
        <f>怪しいデータを手直し!D583</f>
        <v>17.510168004924175</v>
      </c>
      <c r="D690" t="str">
        <f>怪しいデータを手直し!G583</f>
        <v>bp</v>
      </c>
      <c r="E690">
        <f>怪しいデータを手直し!T583</f>
        <v>10.981691073340778</v>
      </c>
      <c r="F690">
        <f>IF(怪しいデータを手直し!U583="dead",0,怪しいデータを手直し!U583)</f>
        <v>10.949860084722399</v>
      </c>
      <c r="G690">
        <f>怪しいデータを手直し!L583</f>
        <v>7.6</v>
      </c>
    </row>
    <row r="691" spans="1:7">
      <c r="A691">
        <f>怪しいデータを手直し!F480</f>
        <v>1001</v>
      </c>
      <c r="B691">
        <f>怪しいデータを手直し!C480</f>
        <v>31.896743692831674</v>
      </c>
      <c r="C691">
        <f>怪しいデータを手直し!D480</f>
        <v>17.510168004924175</v>
      </c>
      <c r="D691" t="str">
        <f>怪しいデータを手直し!G480</f>
        <v>bp</v>
      </c>
      <c r="E691">
        <f>怪しいデータを手直し!T480</f>
        <v>5.6977469626898527</v>
      </c>
      <c r="F691">
        <f>IF(怪しいデータを手直し!U480="dead",0,怪しいデータを手直し!U480)</f>
        <v>5.79323992854499</v>
      </c>
      <c r="G691">
        <f>怪しいデータを手直し!L480</f>
        <v>6</v>
      </c>
    </row>
    <row r="692" spans="1:7">
      <c r="A692">
        <f>怪しいデータを手直し!F416</f>
        <v>2001</v>
      </c>
      <c r="B692">
        <f>怪しいデータを手直し!C416</f>
        <v>50.215139710240834</v>
      </c>
      <c r="C692">
        <f>怪しいデータを手直し!D416</f>
        <v>-27.437723206428444</v>
      </c>
      <c r="D692" t="str">
        <f>怪しいデータを手直し!G416</f>
        <v>bp</v>
      </c>
      <c r="E692">
        <f>怪しいデータを手直し!T416</f>
        <v>4.169859509007658</v>
      </c>
      <c r="F692">
        <f>IF(怪しいデータを手直し!U416="dead",0,怪しいデータを手直し!U416)</f>
        <v>4.169859509007658</v>
      </c>
      <c r="G692">
        <f>怪しいデータを手直し!L416</f>
        <v>0</v>
      </c>
    </row>
    <row r="693" spans="1:7">
      <c r="A693">
        <f>怪しいデータを手直し!F632</f>
        <v>2002</v>
      </c>
      <c r="B693">
        <f>怪しいデータを手直し!C632</f>
        <v>50.215139710240834</v>
      </c>
      <c r="C693">
        <f>怪しいデータを手直し!D632</f>
        <v>-27.437723206428444</v>
      </c>
      <c r="D693" t="str">
        <f>怪しいデータを手直し!G632</f>
        <v>bp</v>
      </c>
      <c r="E693">
        <f>怪しいデータを手直し!T632</f>
        <v>14.260282901033822</v>
      </c>
      <c r="F693">
        <f>IF(怪しいデータを手直し!U632="dead",0,怪しいデータを手直し!U632)</f>
        <v>14.260282901033822</v>
      </c>
      <c r="G693">
        <f>怪しいデータを手直し!L632</f>
        <v>0</v>
      </c>
    </row>
    <row r="694" spans="1:7">
      <c r="A694">
        <f>怪しいデータを手直し!F541</f>
        <v>2003</v>
      </c>
      <c r="B694">
        <f>怪しいデータを手直し!C541</f>
        <v>50.215139710240834</v>
      </c>
      <c r="C694">
        <f>怪しいデータを手直し!D541</f>
        <v>-27.437723206428444</v>
      </c>
      <c r="D694" t="str">
        <f>怪しいデータを手直し!G541</f>
        <v>bp</v>
      </c>
      <c r="E694">
        <f>怪しいデータを手直し!T541</f>
        <v>7.9577471545947667</v>
      </c>
      <c r="F694">
        <f>IF(怪しいデータを手直し!U541="dead",0,怪しいデータを手直し!U541)</f>
        <v>8.1169020976866619</v>
      </c>
      <c r="G694">
        <f>怪しいデータを手直し!L541</f>
        <v>0</v>
      </c>
    </row>
    <row r="695" spans="1:7">
      <c r="A695">
        <f>怪しいデータを手直し!F347</f>
        <v>2004</v>
      </c>
      <c r="B695">
        <f>怪しいデータを手直し!C347</f>
        <v>50.215139710240834</v>
      </c>
      <c r="C695">
        <f>怪しいデータを手直し!D347</f>
        <v>-27.437723206428444</v>
      </c>
      <c r="D695" t="str">
        <f>怪しいデータを手直し!G347</f>
        <v>bp</v>
      </c>
      <c r="E695">
        <f>怪しいデータを手直し!T347</f>
        <v>3.1194368846011491</v>
      </c>
      <c r="F695">
        <f>IF(怪しいデータを手直し!U347="dead",0,怪しいデータを手直し!U347)</f>
        <v>3.1194368846011491</v>
      </c>
      <c r="G695">
        <f>怪しいデータを手直し!L347</f>
        <v>0</v>
      </c>
    </row>
    <row r="696" spans="1:7">
      <c r="A696">
        <f>怪しいデータを手直し!F402</f>
        <v>2005</v>
      </c>
      <c r="B696">
        <f>怪しいデータを手直し!C402</f>
        <v>50.215139710240834</v>
      </c>
      <c r="C696">
        <f>怪しいデータを手直し!D402</f>
        <v>-27.437723206428444</v>
      </c>
      <c r="D696" t="str">
        <f>怪しいデータを手直し!G402</f>
        <v>bp</v>
      </c>
      <c r="E696">
        <f>怪しいデータを手直し!T402</f>
        <v>3.9470425886790048</v>
      </c>
      <c r="F696">
        <f>IF(怪しいデータを手直し!U402="dead",0,怪しいデータを手直し!U402)</f>
        <v>4.1380285203892786</v>
      </c>
      <c r="G696">
        <f>怪しいデータを手直し!L402</f>
        <v>0</v>
      </c>
    </row>
    <row r="697" spans="1:7">
      <c r="A697">
        <f>怪しいデータを手直し!F626</f>
        <v>2006</v>
      </c>
      <c r="B697">
        <f>怪しいデータを手直し!C626</f>
        <v>50.215139710240834</v>
      </c>
      <c r="C697">
        <f>怪しいデータを手直し!D626</f>
        <v>-27.437723206428444</v>
      </c>
      <c r="D697" t="str">
        <f>怪しいデータを手直し!G626</f>
        <v>bp</v>
      </c>
      <c r="E697">
        <f>怪しいデータを手直し!T626</f>
        <v>13.209860276627314</v>
      </c>
      <c r="F697">
        <f>IF(怪しいデータを手直し!U626="dead",0,怪しいデータを手直し!U626)</f>
        <v>13.369015219719209</v>
      </c>
      <c r="G697">
        <f>怪しいデータを手直し!L626</f>
        <v>0</v>
      </c>
    </row>
    <row r="698" spans="1:7">
      <c r="A698">
        <f>怪しいデータを手直し!F433</f>
        <v>2007</v>
      </c>
      <c r="B698">
        <f>怪しいデータを手直し!C433</f>
        <v>50.215139710240834</v>
      </c>
      <c r="C698">
        <f>怪しいデータを手直し!D433</f>
        <v>-27.437723206428444</v>
      </c>
      <c r="D698" t="str">
        <f>怪しいデータを手直し!G433</f>
        <v>bp</v>
      </c>
      <c r="E698">
        <f>怪しいデータを手直し!T433</f>
        <v>4.5836623610465859</v>
      </c>
      <c r="F698">
        <f>IF(怪しいデータを手直し!U433="dead",0,怪しいデータを手直し!U433)</f>
        <v>5.0929581789406511</v>
      </c>
      <c r="G698">
        <f>怪しいデータを手直し!L433</f>
        <v>0</v>
      </c>
    </row>
    <row r="699" spans="1:7">
      <c r="A699">
        <f>怪しいデータを手直し!F607</f>
        <v>2008</v>
      </c>
      <c r="B699">
        <f>怪しいデータを手直し!C607</f>
        <v>50.215139710240834</v>
      </c>
      <c r="C699">
        <f>怪しいデータを手直し!D607</f>
        <v>-27.437723206428444</v>
      </c>
      <c r="D699" t="str">
        <f>怪しいデータを手直し!G607</f>
        <v>bp</v>
      </c>
      <c r="E699">
        <f>怪しいデータを手直し!T607</f>
        <v>12.223099629457561</v>
      </c>
      <c r="F699">
        <f>IF(怪しいデータを手直し!U607="dead",0,怪しいデータを手直し!U607)</f>
        <v>12.350423583931077</v>
      </c>
      <c r="G699">
        <f>怪しいデータを手直し!L607</f>
        <v>0</v>
      </c>
    </row>
    <row r="700" spans="1:7">
      <c r="A700">
        <f>怪しいデータを手直し!F353</f>
        <v>2009</v>
      </c>
      <c r="B700">
        <f>怪しいデータを手直し!C353</f>
        <v>50.215139710240834</v>
      </c>
      <c r="C700">
        <f>怪しいデータを手直し!D353</f>
        <v>-27.437723206428444</v>
      </c>
      <c r="D700" t="str">
        <f>怪しいデータを手直し!G353</f>
        <v>bp</v>
      </c>
      <c r="E700">
        <f>怪しいデータを手直し!T353</f>
        <v>3.183098861837907</v>
      </c>
      <c r="F700">
        <f>IF(怪しいデータを手直し!U353="dead",0,怪しいデータを手直し!U353)</f>
        <v>3.3422538049298023</v>
      </c>
      <c r="G700">
        <f>怪しいデータを手直し!L353</f>
        <v>0</v>
      </c>
    </row>
    <row r="701" spans="1:7">
      <c r="A701">
        <f>怪しいデータを手直し!F198</f>
        <v>2010</v>
      </c>
      <c r="B701">
        <f>怪しいデータを手直し!C198</f>
        <v>50.215139710240834</v>
      </c>
      <c r="C701">
        <f>怪しいデータを手直し!D198</f>
        <v>-27.437723206428444</v>
      </c>
      <c r="D701" t="str">
        <f>怪しいデータを手直し!G198</f>
        <v>bp</v>
      </c>
      <c r="E701">
        <f>怪しいデータを手直し!T198</f>
        <v>1.57</v>
      </c>
      <c r="F701">
        <f>IF(怪しいデータを手直し!U198="dead",0,怪しいデータを手直し!U198)</f>
        <v>1.56</v>
      </c>
      <c r="G701">
        <f>怪しいデータを手直し!L198</f>
        <v>0</v>
      </c>
    </row>
    <row r="702" spans="1:7">
      <c r="A702">
        <f>怪しいデータを手直し!F702</f>
        <v>3581</v>
      </c>
      <c r="B702">
        <f>怪しいデータを手直し!C702</f>
        <v>17.134050908049542</v>
      </c>
      <c r="C702">
        <f>怪しいデータを手直し!D702</f>
        <v>31.254967768961702</v>
      </c>
      <c r="D702" t="str">
        <f>怪しいデータを手直し!G702</f>
        <v>lc</v>
      </c>
      <c r="E702">
        <f>怪しいデータを手直し!T702</f>
        <v>0</v>
      </c>
      <c r="F702">
        <f>IF(怪しいデータを手直し!U702="dead",0,怪しいデータを手直し!U702)</f>
        <v>0.7</v>
      </c>
      <c r="G702">
        <f>怪しいデータを手直し!L702</f>
        <v>0</v>
      </c>
    </row>
    <row r="703" spans="1:7">
      <c r="A703">
        <f>怪しいデータを手直し!F703</f>
        <v>3582</v>
      </c>
      <c r="B703">
        <f>怪しいデータを手直し!C703</f>
        <v>16.471613120300947</v>
      </c>
      <c r="C703">
        <f>怪しいデータを手直し!D703</f>
        <v>13.888537465570909</v>
      </c>
      <c r="D703" t="str">
        <f>怪しいデータを手直し!G703</f>
        <v>bp</v>
      </c>
      <c r="E703">
        <f>怪しいデータを手直し!T703</f>
        <v>0</v>
      </c>
      <c r="F703">
        <f>IF(怪しいデータを手直し!U703="dead",0,怪しいデータを手直し!U703)</f>
        <v>0.65</v>
      </c>
      <c r="G703">
        <f>怪しいデータを手直し!L703</f>
        <v>0</v>
      </c>
    </row>
    <row r="704" spans="1:7">
      <c r="A704">
        <f>怪しいデータを手直し!F704</f>
        <v>3583</v>
      </c>
      <c r="B704">
        <f>怪しいデータを手直し!C704</f>
        <v>16.471613120300947</v>
      </c>
      <c r="C704">
        <f>怪しいデータを手直し!D704</f>
        <v>13.888537465570909</v>
      </c>
      <c r="D704" t="str">
        <f>怪しいデータを手直し!G704</f>
        <v>bp</v>
      </c>
      <c r="E704">
        <f>怪しいデータを手直し!T704</f>
        <v>0</v>
      </c>
      <c r="F704">
        <f>IF(怪しいデータを手直し!U704="dead",0,怪しいデータを手直し!U704)</f>
        <v>0.65</v>
      </c>
      <c r="G704">
        <f>怪しいデータを手直し!L704</f>
        <v>0</v>
      </c>
    </row>
    <row r="705" spans="1:7">
      <c r="A705">
        <f>怪しいデータを手直し!F706</f>
        <v>3584</v>
      </c>
      <c r="B705">
        <f>怪しいデータを手直し!C706</f>
        <v>26.72</v>
      </c>
      <c r="C705">
        <f>怪しいデータを手直し!D706</f>
        <v>7.06</v>
      </c>
      <c r="D705" t="str">
        <f>怪しいデータを手直し!G706</f>
        <v>lc</v>
      </c>
      <c r="E705">
        <f>怪しいデータを手直し!T706</f>
        <v>0</v>
      </c>
      <c r="F705">
        <f>IF(怪しいデータを手直し!U706="dead",0,怪しいデータを手直し!U706)</f>
        <v>0.38400000000000001</v>
      </c>
      <c r="G705">
        <f>怪しいデータを手直し!L706</f>
        <v>0</v>
      </c>
    </row>
    <row r="706" spans="1:7">
      <c r="A706">
        <f>怪しいデータを手直し!F705</f>
        <v>3585</v>
      </c>
      <c r="B706">
        <f>怪しいデータを手直し!C705</f>
        <v>20.025377074440154</v>
      </c>
      <c r="C706">
        <f>怪しいデータを手直し!D705</f>
        <v>14.539977854319202</v>
      </c>
      <c r="D706" t="str">
        <f>怪しいデータを手直し!G705</f>
        <v>lc</v>
      </c>
      <c r="E706">
        <f>怪しいデータを手直し!T705</f>
        <v>0</v>
      </c>
      <c r="F706">
        <f>IF(怪しいデータを手直し!U705="dead",0,怪しいデータを手直し!U705)</f>
        <v>0.59000000000000008</v>
      </c>
      <c r="G706">
        <f>怪しいデータを手直し!L705</f>
        <v>0</v>
      </c>
    </row>
    <row r="707" spans="1:7">
      <c r="A707">
        <f>怪しいデータを手直し!F707</f>
        <v>3586</v>
      </c>
      <c r="B707">
        <f>怪しいデータを手直し!C707</f>
        <v>25.05</v>
      </c>
      <c r="C707">
        <f>怪しいデータを手直し!D707</f>
        <v>28.61</v>
      </c>
      <c r="D707" t="str">
        <f>怪しいデータを手直し!G707</f>
        <v>pt</v>
      </c>
      <c r="E707">
        <f>怪しいデータを手直し!T707</f>
        <v>0</v>
      </c>
      <c r="F707">
        <f>IF(怪しいデータを手直し!U707="dead",0,怪しいデータを手直し!U707)</f>
        <v>0.57999999999999996</v>
      </c>
      <c r="G707">
        <f>怪しいデータを手直し!L707</f>
        <v>0</v>
      </c>
    </row>
    <row r="708" spans="1:7">
      <c r="A708">
        <f>怪しいデータを手直し!F708</f>
        <v>3587</v>
      </c>
      <c r="B708">
        <f>怪しいデータを手直し!C708</f>
        <v>25.43</v>
      </c>
      <c r="C708">
        <f>怪しいデータを手直し!D708</f>
        <v>34.33</v>
      </c>
      <c r="D708" t="str">
        <f>怪しいデータを手直し!G708</f>
        <v>bp</v>
      </c>
      <c r="E708">
        <f>怪しいデータを手直し!T708</f>
        <v>0</v>
      </c>
      <c r="F708">
        <f>IF(怪しいデータを手直し!U708="dead",0,怪しいデータを手直し!U708)</f>
        <v>0.48</v>
      </c>
      <c r="G708">
        <f>怪しいデータを手直し!L708</f>
        <v>0</v>
      </c>
    </row>
    <row r="709" spans="1:7">
      <c r="A709">
        <f>怪しいデータを手直し!F709</f>
        <v>3588</v>
      </c>
      <c r="B709">
        <f>怪しいデータを手直し!C709</f>
        <v>23.54</v>
      </c>
      <c r="C709">
        <f>怪しいデータを手直し!D709</f>
        <v>32.4</v>
      </c>
      <c r="D709" t="str">
        <f>怪しいデータを手直し!G709</f>
        <v>pt</v>
      </c>
      <c r="E709">
        <f>怪しいデータを手直し!T709</f>
        <v>0</v>
      </c>
      <c r="F709">
        <f>IF(怪しいデータを手直し!U709="dead",0,怪しいデータを手直し!U709)</f>
        <v>0.78</v>
      </c>
      <c r="G709">
        <f>怪しいデータを手直し!L709</f>
        <v>0</v>
      </c>
    </row>
    <row r="710" spans="1:7">
      <c r="A710">
        <f>怪しいデータを手直し!F710</f>
        <v>3589</v>
      </c>
      <c r="B710">
        <f>怪しいデータを手直し!C710</f>
        <v>24.63</v>
      </c>
      <c r="C710">
        <f>怪しいデータを手直し!D710</f>
        <v>40.14</v>
      </c>
      <c r="D710" t="str">
        <f>怪しいデータを手直し!G710</f>
        <v>lc</v>
      </c>
      <c r="E710">
        <f>怪しいデータを手直し!T710</f>
        <v>0</v>
      </c>
      <c r="F710">
        <f>IF(怪しいデータを手直し!U710="dead",0,怪しいデータを手直し!U710)</f>
        <v>0.28999999999999998</v>
      </c>
      <c r="G710">
        <f>怪しいデータを手直し!L710</f>
        <v>0</v>
      </c>
    </row>
    <row r="711" spans="1:7">
      <c r="A711">
        <f>怪しいデータを手直し!F711</f>
        <v>3590</v>
      </c>
      <c r="B711">
        <f>怪しいデータを手直し!C711</f>
        <v>37.44</v>
      </c>
      <c r="C711">
        <f>怪しいデータを手直し!D711</f>
        <v>19.79</v>
      </c>
      <c r="D711" t="str">
        <f>怪しいデータを手直し!G711</f>
        <v>pt</v>
      </c>
      <c r="E711">
        <f>怪しいデータを手直し!T711</f>
        <v>0</v>
      </c>
      <c r="F711">
        <f>IF(怪しいデータを手直し!U711="dead",0,怪しいデータを手直し!U711)</f>
        <v>0.35</v>
      </c>
      <c r="G711">
        <f>怪しいデータを手直し!L711</f>
        <v>0</v>
      </c>
    </row>
    <row r="712" spans="1:7">
      <c r="A712">
        <f>怪しいデータを手直し!F712</f>
        <v>3591</v>
      </c>
      <c r="B712">
        <f>怪しいデータを手直し!C712</f>
        <v>49.19</v>
      </c>
      <c r="C712">
        <f>怪しいデータを手直し!D712</f>
        <v>2.8</v>
      </c>
      <c r="D712" t="str">
        <f>怪しいデータを手直し!G712</f>
        <v>pt</v>
      </c>
      <c r="E712">
        <f>怪しいデータを手直し!T712</f>
        <v>0</v>
      </c>
      <c r="F712">
        <f>IF(怪しいデータを手直し!U712="dead",0,怪しいデータを手直し!U712)</f>
        <v>0.55000000000000004</v>
      </c>
      <c r="G712">
        <f>怪しいデータを手直し!L712</f>
        <v>0</v>
      </c>
    </row>
    <row r="713" spans="1:7">
      <c r="A713">
        <f>怪しいデータを手直し!F713</f>
        <v>3594</v>
      </c>
      <c r="B713">
        <f>怪しいデータを手直し!C713</f>
        <v>41.89</v>
      </c>
      <c r="C713">
        <f>怪しいデータを手直し!D713</f>
        <v>29.82</v>
      </c>
      <c r="D713" t="str">
        <f>怪しいデータを手直し!G713</f>
        <v>bp</v>
      </c>
      <c r="E713">
        <f>怪しいデータを手直し!T713</f>
        <v>0</v>
      </c>
      <c r="F713">
        <f>IF(怪しいデータを手直し!U713="dead",0,怪しいデータを手直し!U713)</f>
        <v>0.71</v>
      </c>
      <c r="G713">
        <f>怪しいデータを手直し!L713</f>
        <v>0</v>
      </c>
    </row>
    <row r="714" spans="1:7">
      <c r="A714">
        <f>怪しいデータを手直し!F715</f>
        <v>3595</v>
      </c>
      <c r="B714">
        <f>怪しいデータを手直し!C715</f>
        <v>48.9</v>
      </c>
      <c r="C714">
        <f>怪しいデータを手直し!D715</f>
        <v>30.46</v>
      </c>
      <c r="D714" t="str">
        <f>怪しいデータを手直し!G715</f>
        <v>af</v>
      </c>
      <c r="E714">
        <f>怪しいデータを手直し!T715</f>
        <v>0</v>
      </c>
      <c r="F714">
        <f>IF(怪しいデータを手直し!U715="dead",0,怪しいデータを手直し!U715)</f>
        <v>0.91999999999999993</v>
      </c>
      <c r="G714">
        <f>怪しいデータを手直し!L715</f>
        <v>0</v>
      </c>
    </row>
    <row r="715" spans="1:7">
      <c r="A715">
        <f>怪しいデータを手直し!F714</f>
        <v>3596</v>
      </c>
      <c r="B715">
        <f>怪しいデータを手直し!C714</f>
        <v>48.92</v>
      </c>
      <c r="C715">
        <f>怪しいデータを手直し!D714</f>
        <v>30.4</v>
      </c>
      <c r="D715" t="str">
        <f>怪しいデータを手直し!G714</f>
        <v>af</v>
      </c>
      <c r="E715">
        <f>怪しいデータを手直し!T714</f>
        <v>0</v>
      </c>
      <c r="F715">
        <f>IF(怪しいデータを手直し!U714="dead",0,怪しいデータを手直し!U714)</f>
        <v>0.49000000000000005</v>
      </c>
      <c r="G715">
        <f>怪しいデータを手直し!L714</f>
        <v>0</v>
      </c>
    </row>
    <row r="716" spans="1:7">
      <c r="A716">
        <f>怪しいデータを手直し!F728</f>
        <v>3602</v>
      </c>
      <c r="B716">
        <f>怪しいデータを手直し!C728</f>
        <v>45.6</v>
      </c>
      <c r="C716">
        <f>怪しいデータを手直し!D728</f>
        <v>-28.6</v>
      </c>
      <c r="D716" t="str">
        <f>怪しいデータを手直し!G728</f>
        <v>pt</v>
      </c>
      <c r="E716">
        <f>怪しいデータを手直し!T728</f>
        <v>0</v>
      </c>
      <c r="F716">
        <f>IF(怪しいデータを手直し!U728="dead",0,怪しいデータを手直し!U728)</f>
        <v>0.51</v>
      </c>
      <c r="G716">
        <f>怪しいデータを手直し!L728</f>
        <v>0</v>
      </c>
    </row>
    <row r="717" spans="1:7">
      <c r="A717">
        <f>怪しいデータを手直し!F716</f>
        <v>4742</v>
      </c>
      <c r="B717">
        <f>怪しいデータを手直し!C716</f>
        <v>4.5</v>
      </c>
      <c r="C717">
        <f>怪しいデータを手直し!D716</f>
        <v>-6.5</v>
      </c>
      <c r="D717" t="str">
        <f>怪しいデータを手直し!G716</f>
        <v>lc</v>
      </c>
      <c r="E717">
        <f>怪しいデータを手直し!T716</f>
        <v>0</v>
      </c>
      <c r="F717">
        <f>IF(怪しいデータを手直し!U716="dead",0,怪しいデータを手直し!U716)</f>
        <v>0.83000000000000007</v>
      </c>
      <c r="G717">
        <f>怪しいデータを手直し!L716</f>
        <v>0</v>
      </c>
    </row>
    <row r="718" spans="1:7">
      <c r="A718">
        <f>怪しいデータを手直し!F717</f>
        <v>4743</v>
      </c>
      <c r="B718">
        <f>怪しいデータを手直し!C717</f>
        <v>38.85</v>
      </c>
      <c r="C718">
        <f>怪しいデータを手直し!D717</f>
        <v>-3.97</v>
      </c>
      <c r="D718" t="str">
        <f>怪しいデータを手直し!G717</f>
        <v>bp</v>
      </c>
      <c r="E718">
        <f>怪しいデータを手直し!T717</f>
        <v>0</v>
      </c>
      <c r="F718">
        <f>IF(怪しいデータを手直し!U717="dead",0,怪しいデータを手直し!U717)</f>
        <v>0.35</v>
      </c>
      <c r="G718">
        <f>怪しいデータを手直し!L717</f>
        <v>0</v>
      </c>
    </row>
    <row r="719" spans="1:7">
      <c r="A719">
        <f>怪しいデータを手直し!F718</f>
        <v>4745</v>
      </c>
      <c r="B719">
        <f>怪しいデータを手直し!C718</f>
        <v>47.84</v>
      </c>
      <c r="C719">
        <f>怪しいデータを手直し!D718</f>
        <v>-10.27</v>
      </c>
      <c r="D719" t="str">
        <f>怪しいデータを手直し!G718</f>
        <v>bp</v>
      </c>
      <c r="E719">
        <f>怪しいデータを手直し!T718</f>
        <v>0</v>
      </c>
      <c r="F719">
        <f>IF(怪しいデータを手直し!U718="dead",0,怪しいデータを手直し!U718)</f>
        <v>0.10700000000000001</v>
      </c>
      <c r="G719">
        <f>怪しいデータを手直し!L718</f>
        <v>0</v>
      </c>
    </row>
    <row r="720" spans="1:7">
      <c r="A720">
        <f>怪しいデータを手直し!F719</f>
        <v>4747</v>
      </c>
      <c r="B720">
        <f>怪しいデータを手直し!C719</f>
        <v>39.5</v>
      </c>
      <c r="C720">
        <f>怪しいデータを手直し!D719</f>
        <v>-16</v>
      </c>
      <c r="D720" t="str">
        <f>怪しいデータを手直し!G719</f>
        <v>bp</v>
      </c>
      <c r="E720">
        <f>怪しいデータを手直し!T719</f>
        <v>0</v>
      </c>
      <c r="F720">
        <f>IF(怪しいデータを手直し!U719="dead",0,怪しいデータを手直し!U719)</f>
        <v>0.47000000000000003</v>
      </c>
      <c r="G720">
        <f>怪しいデータを手直し!L719</f>
        <v>0</v>
      </c>
    </row>
    <row r="721" spans="1:7">
      <c r="A721">
        <f>怪しいデータを手直し!F720</f>
        <v>4748</v>
      </c>
      <c r="B721">
        <f>怪しいデータを手直し!C720</f>
        <v>39.5</v>
      </c>
      <c r="C721">
        <f>怪しいデータを手直し!D720</f>
        <v>-19</v>
      </c>
      <c r="D721" t="str">
        <f>怪しいデータを手直し!G720</f>
        <v>pt</v>
      </c>
      <c r="E721">
        <f>怪しいデータを手直し!T720</f>
        <v>0</v>
      </c>
      <c r="F721">
        <f>IF(怪しいデータを手直し!U720="dead",0,怪しいデータを手直し!U720)</f>
        <v>0.33999999999999997</v>
      </c>
      <c r="G721">
        <f>怪しいデータを手直し!L720</f>
        <v>0</v>
      </c>
    </row>
    <row r="722" spans="1:7">
      <c r="A722">
        <f>怪しいデータを手直し!F721</f>
        <v>4748</v>
      </c>
      <c r="B722">
        <f>怪しいデータを手直し!C721</f>
        <v>38.6</v>
      </c>
      <c r="C722">
        <f>怪しいデータを手直し!D721</f>
        <v>-16.7</v>
      </c>
      <c r="D722" t="str">
        <f>怪しいデータを手直し!G721</f>
        <v>lc</v>
      </c>
      <c r="E722">
        <f>怪しいデータを手直し!T721</f>
        <v>0</v>
      </c>
      <c r="F722">
        <f>IF(怪しいデータを手直し!U721="dead",0,怪しいデータを手直し!U721)</f>
        <v>0.41</v>
      </c>
      <c r="G722">
        <f>怪しいデータを手直し!L721</f>
        <v>0</v>
      </c>
    </row>
    <row r="723" spans="1:7">
      <c r="A723">
        <f>怪しいデータを手直し!F722</f>
        <v>4760</v>
      </c>
      <c r="B723">
        <f>怪しいデータを手直し!C722</f>
        <v>5.8</v>
      </c>
      <c r="C723">
        <f>怪しいデータを手直し!D722</f>
        <v>-22.2</v>
      </c>
      <c r="D723" t="str">
        <f>怪しいデータを手直し!G722</f>
        <v>lc</v>
      </c>
      <c r="E723">
        <f>怪しいデータを手直し!T722</f>
        <v>18.600000000000001</v>
      </c>
      <c r="F723">
        <f>IF(怪しいデータを手直し!U722="dead",0,怪しいデータを手直し!U722)</f>
        <v>1.86</v>
      </c>
      <c r="G723">
        <f>怪しいデータを手直し!L722</f>
        <v>2.5</v>
      </c>
    </row>
    <row r="724" spans="1:7">
      <c r="A724">
        <f>怪しいデータを手直し!F723</f>
        <v>4777</v>
      </c>
      <c r="B724">
        <f>怪しいデータを手直し!C723</f>
        <v>34.520000000000003</v>
      </c>
      <c r="C724">
        <f>怪しいデータを手直し!D723</f>
        <v>-22.2</v>
      </c>
      <c r="D724" t="str">
        <f>怪しいデータを手直し!G723</f>
        <v>pt</v>
      </c>
      <c r="E724">
        <f>怪しいデータを手直し!T723</f>
        <v>0</v>
      </c>
      <c r="F724">
        <f>IF(怪しいデータを手直し!U723="dead",0,怪しいデータを手直し!U723)</f>
        <v>0.15</v>
      </c>
      <c r="G724">
        <f>怪しいデータを手直し!L723</f>
        <v>0</v>
      </c>
    </row>
    <row r="725" spans="1:7">
      <c r="A725">
        <f>怪しいデータを手直し!F726</f>
        <v>4778</v>
      </c>
      <c r="B725">
        <f>怪しいデータを手直し!C726</f>
        <v>40.799999999999997</v>
      </c>
      <c r="C725">
        <f>怪しいデータを手直し!D726</f>
        <v>-21</v>
      </c>
      <c r="D725" t="str">
        <f>怪しいデータを手直し!G726</f>
        <v>bp</v>
      </c>
      <c r="E725">
        <f>怪しいデータを手直し!T726</f>
        <v>0</v>
      </c>
      <c r="F725">
        <f>IF(怪しいデータを手直し!U726="dead",0,怪しいデータを手直し!U726)</f>
        <v>0.4</v>
      </c>
      <c r="G725">
        <f>怪しいデータを手直し!L726</f>
        <v>0</v>
      </c>
    </row>
    <row r="726" spans="1:7">
      <c r="A726">
        <f>怪しいデータを手直し!F727</f>
        <v>4779</v>
      </c>
      <c r="B726">
        <f>怪しいデータを手直し!C727</f>
        <v>40.5</v>
      </c>
      <c r="C726">
        <f>怪しいデータを手直し!D727</f>
        <v>-21</v>
      </c>
      <c r="D726" t="str">
        <f>怪しいデータを手直し!G727</f>
        <v>bp</v>
      </c>
      <c r="E726">
        <f>怪しいデータを手直し!T727</f>
        <v>0</v>
      </c>
      <c r="F726">
        <f>IF(怪しいデータを手直し!U727="dead",0,怪しいデータを手直し!U727)</f>
        <v>0.27</v>
      </c>
      <c r="G726">
        <f>怪しいデータを手直し!L727</f>
        <v>0</v>
      </c>
    </row>
    <row r="727" spans="1:7">
      <c r="A727">
        <f>怪しいデータを手直し!F725</f>
        <v>4781</v>
      </c>
      <c r="B727">
        <f>怪しいデータを手直し!C725</f>
        <v>42.24</v>
      </c>
      <c r="C727">
        <f>怪しいデータを手直し!D725</f>
        <v>-25.94</v>
      </c>
      <c r="D727" t="str">
        <f>怪しいデータを手直し!G725</f>
        <v>bp</v>
      </c>
      <c r="E727">
        <f>怪しいデータを手直し!T725</f>
        <v>0</v>
      </c>
      <c r="F727">
        <f>IF(怪しいデータを手直し!U725="dead",0,怪しいデータを手直し!U725)</f>
        <v>0.3</v>
      </c>
      <c r="G727">
        <f>怪しいデータを手直し!L725</f>
        <v>0</v>
      </c>
    </row>
    <row r="728" spans="1:7">
      <c r="A728">
        <f>怪しいデータを手直し!F724</f>
        <v>4782</v>
      </c>
      <c r="B728">
        <f>怪しいデータを手直し!C724</f>
        <v>42.09</v>
      </c>
      <c r="C728">
        <f>怪しいデータを手直し!D724</f>
        <v>-25.31</v>
      </c>
      <c r="D728" t="str">
        <f>怪しいデータを手直し!G724</f>
        <v>bp</v>
      </c>
      <c r="E728">
        <f>怪しいデータを手直し!T724</f>
        <v>1.97</v>
      </c>
      <c r="F728">
        <f>IF(怪しいデータを手直し!U724="dead",0,怪しいデータを手直し!U724)</f>
        <v>1.97</v>
      </c>
      <c r="G728">
        <f>怪しいデータを手直し!L724</f>
        <v>2.7</v>
      </c>
    </row>
    <row r="729" spans="1:7">
      <c r="A729">
        <f>怪しいデータを手直し!F729</f>
        <v>4787</v>
      </c>
      <c r="B729">
        <f>怪しいデータを手直し!C729</f>
        <v>24.12</v>
      </c>
      <c r="C729">
        <f>怪しいデータを手直し!D729</f>
        <v>-32.29</v>
      </c>
      <c r="D729" t="str">
        <f>怪しいデータを手直し!G729</f>
        <v>lc</v>
      </c>
      <c r="E729">
        <f>怪しいデータを手直し!T729</f>
        <v>0</v>
      </c>
      <c r="F729">
        <f>IF(怪しいデータを手直し!U729="dead",0,怪しいデータを手直し!U729)</f>
        <v>0.7</v>
      </c>
      <c r="G729">
        <f>怪しいデータを手直し!L729</f>
        <v>0</v>
      </c>
    </row>
  </sheetData>
  <sortState ref="A2:G729">
    <sortCondition ref="A2"/>
  </sortState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16"/>
  <sheetViews>
    <sheetView workbookViewId="0">
      <selection activeCell="I4" sqref="I4"/>
    </sheetView>
  </sheetViews>
  <sheetFormatPr defaultRowHeight="13"/>
  <cols>
    <col min="1" max="1" width="21.08984375" bestFit="1" customWidth="1"/>
    <col min="2" max="7" width="6.08984375" bestFit="1" customWidth="1"/>
    <col min="8" max="8" width="5.26953125" bestFit="1" customWidth="1"/>
  </cols>
  <sheetData>
    <row r="3" spans="1:8">
      <c r="A3" s="38" t="s">
        <v>160</v>
      </c>
      <c r="B3" s="38" t="s">
        <v>3</v>
      </c>
      <c r="C3" s="36"/>
      <c r="D3" s="36"/>
      <c r="E3" s="36"/>
      <c r="F3" s="36"/>
      <c r="G3" s="36"/>
      <c r="H3" s="37"/>
    </row>
    <row r="4" spans="1:8">
      <c r="A4" s="38" t="s">
        <v>156</v>
      </c>
      <c r="B4" s="35" t="s">
        <v>30</v>
      </c>
      <c r="C4" s="39" t="s">
        <v>13</v>
      </c>
      <c r="D4" s="39" t="s">
        <v>11</v>
      </c>
      <c r="E4" s="39" t="s">
        <v>21</v>
      </c>
      <c r="F4" s="39" t="s">
        <v>43</v>
      </c>
      <c r="G4" s="39" t="s">
        <v>51</v>
      </c>
      <c r="H4" s="40" t="s">
        <v>159</v>
      </c>
    </row>
    <row r="5" spans="1:8">
      <c r="A5" s="35" t="s">
        <v>162</v>
      </c>
      <c r="B5" s="46">
        <v>22</v>
      </c>
      <c r="C5" s="47">
        <v>188</v>
      </c>
      <c r="D5" s="47">
        <v>140</v>
      </c>
      <c r="E5" s="47">
        <v>43</v>
      </c>
      <c r="F5" s="47">
        <v>4</v>
      </c>
      <c r="G5" s="47">
        <v>5</v>
      </c>
      <c r="H5" s="48">
        <v>402</v>
      </c>
    </row>
    <row r="6" spans="1:8">
      <c r="A6" s="41" t="s">
        <v>163</v>
      </c>
      <c r="B6" s="49">
        <v>2</v>
      </c>
      <c r="C6" s="50">
        <v>91</v>
      </c>
      <c r="D6" s="50">
        <v>36</v>
      </c>
      <c r="E6" s="50">
        <v>7</v>
      </c>
      <c r="F6" s="50"/>
      <c r="G6" s="50">
        <v>1</v>
      </c>
      <c r="H6" s="51">
        <v>137</v>
      </c>
    </row>
    <row r="7" spans="1:8">
      <c r="A7" s="41" t="s">
        <v>164</v>
      </c>
      <c r="B7" s="49"/>
      <c r="C7" s="50">
        <v>27</v>
      </c>
      <c r="D7" s="50">
        <v>24</v>
      </c>
      <c r="E7" s="50">
        <v>8</v>
      </c>
      <c r="F7" s="50"/>
      <c r="G7" s="50"/>
      <c r="H7" s="51">
        <v>59</v>
      </c>
    </row>
    <row r="8" spans="1:8">
      <c r="A8" s="41" t="s">
        <v>165</v>
      </c>
      <c r="B8" s="49"/>
      <c r="C8" s="50">
        <v>20</v>
      </c>
      <c r="D8" s="50">
        <v>22</v>
      </c>
      <c r="E8" s="50">
        <v>1</v>
      </c>
      <c r="F8" s="50"/>
      <c r="G8" s="50"/>
      <c r="H8" s="51">
        <v>43</v>
      </c>
    </row>
    <row r="9" spans="1:8">
      <c r="A9" s="41" t="s">
        <v>166</v>
      </c>
      <c r="B9" s="49"/>
      <c r="C9" s="50">
        <v>7</v>
      </c>
      <c r="D9" s="50">
        <v>12</v>
      </c>
      <c r="E9" s="50">
        <v>1</v>
      </c>
      <c r="F9" s="50"/>
      <c r="G9" s="50"/>
      <c r="H9" s="51">
        <v>20</v>
      </c>
    </row>
    <row r="10" spans="1:8">
      <c r="A10" s="41" t="s">
        <v>167</v>
      </c>
      <c r="B10" s="49"/>
      <c r="C10" s="50">
        <v>2</v>
      </c>
      <c r="D10" s="50">
        <v>13</v>
      </c>
      <c r="E10" s="50"/>
      <c r="F10" s="50"/>
      <c r="G10" s="50"/>
      <c r="H10" s="51">
        <v>15</v>
      </c>
    </row>
    <row r="11" spans="1:8">
      <c r="A11" s="41" t="s">
        <v>168</v>
      </c>
      <c r="B11" s="49"/>
      <c r="C11" s="50"/>
      <c r="D11" s="50">
        <v>7</v>
      </c>
      <c r="E11" s="50">
        <v>1</v>
      </c>
      <c r="F11" s="50"/>
      <c r="G11" s="50"/>
      <c r="H11" s="51">
        <v>8</v>
      </c>
    </row>
    <row r="12" spans="1:8">
      <c r="A12" s="41" t="s">
        <v>169</v>
      </c>
      <c r="B12" s="49"/>
      <c r="C12" s="50"/>
      <c r="D12" s="50">
        <v>8</v>
      </c>
      <c r="E12" s="50"/>
      <c r="F12" s="50"/>
      <c r="G12" s="50"/>
      <c r="H12" s="51">
        <v>8</v>
      </c>
    </row>
    <row r="13" spans="1:8">
      <c r="A13" s="41" t="s">
        <v>170</v>
      </c>
      <c r="B13" s="49"/>
      <c r="C13" s="50"/>
      <c r="D13" s="50">
        <v>4</v>
      </c>
      <c r="E13" s="50"/>
      <c r="F13" s="50"/>
      <c r="G13" s="50"/>
      <c r="H13" s="51">
        <v>4</v>
      </c>
    </row>
    <row r="14" spans="1:8">
      <c r="A14" s="41" t="s">
        <v>171</v>
      </c>
      <c r="B14" s="49"/>
      <c r="C14" s="50"/>
      <c r="D14" s="50">
        <v>2</v>
      </c>
      <c r="E14" s="50"/>
      <c r="F14" s="50"/>
      <c r="G14" s="50"/>
      <c r="H14" s="51">
        <v>2</v>
      </c>
    </row>
    <row r="15" spans="1:8">
      <c r="A15" s="41" t="s">
        <v>172</v>
      </c>
      <c r="B15" s="49"/>
      <c r="C15" s="50"/>
      <c r="D15" s="50">
        <v>2</v>
      </c>
      <c r="E15" s="50"/>
      <c r="F15" s="50"/>
      <c r="G15" s="50"/>
      <c r="H15" s="51">
        <v>2</v>
      </c>
    </row>
    <row r="16" spans="1:8">
      <c r="A16" s="42" t="s">
        <v>159</v>
      </c>
      <c r="B16" s="43">
        <v>24</v>
      </c>
      <c r="C16" s="44">
        <v>335</v>
      </c>
      <c r="D16" s="44">
        <v>270</v>
      </c>
      <c r="E16" s="44">
        <v>61</v>
      </c>
      <c r="F16" s="44">
        <v>4</v>
      </c>
      <c r="G16" s="44">
        <v>6</v>
      </c>
      <c r="H16" s="45">
        <v>700</v>
      </c>
    </row>
  </sheetData>
  <phoneticPr fontId="2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1224"/>
  <sheetViews>
    <sheetView workbookViewId="0">
      <pane ySplit="1" topLeftCell="A404" activePane="bottomLeft" state="frozen"/>
      <selection pane="bottomLeft" activeCell="T426" sqref="T426"/>
    </sheetView>
  </sheetViews>
  <sheetFormatPr defaultRowHeight="13"/>
  <cols>
    <col min="1" max="1" width="6.453125" customWidth="1"/>
    <col min="2" max="2" width="6" customWidth="1"/>
    <col min="3" max="3" width="8.08984375" customWidth="1"/>
    <col min="4" max="4" width="7.6328125" customWidth="1"/>
    <col min="5" max="5" width="4.08984375" bestFit="1" customWidth="1"/>
    <col min="6" max="6" width="5.6328125" customWidth="1"/>
    <col min="7" max="7" width="5.26953125" customWidth="1"/>
    <col min="8" max="8" width="8.90625" style="2" bestFit="1" customWidth="1"/>
    <col min="9" max="9" width="6.26953125" style="1" customWidth="1"/>
    <col min="10" max="11" width="7.7265625" style="1" customWidth="1"/>
    <col min="12" max="12" width="6.453125" style="2" customWidth="1"/>
    <col min="13" max="13" width="7.08984375" style="2" customWidth="1"/>
    <col min="14" max="15" width="7.6328125" customWidth="1"/>
    <col min="16" max="17" width="7.453125" customWidth="1"/>
    <col min="18" max="18" width="7.90625" customWidth="1"/>
    <col min="19" max="19" width="16" customWidth="1"/>
  </cols>
  <sheetData>
    <row r="1" spans="1:22">
      <c r="A1" s="3" t="s">
        <v>58</v>
      </c>
      <c r="B1" s="3" t="s">
        <v>59</v>
      </c>
      <c r="C1" s="5" t="s">
        <v>7</v>
      </c>
      <c r="D1" s="5" t="s">
        <v>8</v>
      </c>
      <c r="E1" s="4" t="s">
        <v>60</v>
      </c>
      <c r="F1" s="34" t="s">
        <v>161</v>
      </c>
      <c r="G1" s="6" t="s">
        <v>3</v>
      </c>
      <c r="H1" s="7" t="s">
        <v>93</v>
      </c>
      <c r="I1" s="8" t="s">
        <v>173</v>
      </c>
      <c r="J1" s="7" t="s">
        <v>67</v>
      </c>
      <c r="K1" s="8" t="s">
        <v>94</v>
      </c>
      <c r="L1" s="7" t="s">
        <v>62</v>
      </c>
      <c r="M1" s="7" t="s">
        <v>66</v>
      </c>
      <c r="N1" s="22" t="s">
        <v>145</v>
      </c>
      <c r="O1" s="22" t="s">
        <v>146</v>
      </c>
      <c r="P1" s="5" t="s">
        <v>68</v>
      </c>
      <c r="Q1" s="5" t="s">
        <v>69</v>
      </c>
      <c r="R1" s="5" t="s">
        <v>75</v>
      </c>
      <c r="S1" s="22" t="s">
        <v>76</v>
      </c>
      <c r="T1" s="22" t="s">
        <v>157</v>
      </c>
      <c r="U1" s="22" t="s">
        <v>158</v>
      </c>
    </row>
    <row r="2" spans="1:22">
      <c r="A2" s="12">
        <v>10</v>
      </c>
      <c r="B2" s="12">
        <v>-30</v>
      </c>
      <c r="C2" s="11">
        <v>16.756079684882891</v>
      </c>
      <c r="D2" s="11">
        <v>-23.565021877796898</v>
      </c>
      <c r="E2" s="11"/>
      <c r="F2" s="12">
        <v>624</v>
      </c>
      <c r="G2" s="12" t="s">
        <v>11</v>
      </c>
      <c r="H2" s="13"/>
      <c r="I2" s="14">
        <v>0.1</v>
      </c>
      <c r="J2" s="14"/>
      <c r="K2" s="14">
        <v>6.9</v>
      </c>
      <c r="L2" s="13">
        <v>1.4</v>
      </c>
      <c r="M2" s="13">
        <v>0</v>
      </c>
      <c r="P2" s="12" t="s">
        <v>14</v>
      </c>
      <c r="Q2" s="12"/>
      <c r="R2" s="12"/>
      <c r="T2">
        <f>H2/PI()+I2</f>
        <v>0.1</v>
      </c>
      <c r="U2">
        <f t="shared" ref="U2:U65" si="0">IF(J2="dead","dead",J2/PI()+K2/10)</f>
        <v>0.69000000000000006</v>
      </c>
      <c r="V2">
        <f t="shared" ref="V2:V65" si="1">U2-T2</f>
        <v>0.59000000000000008</v>
      </c>
    </row>
    <row r="3" spans="1:22">
      <c r="A3" s="12">
        <v>20</v>
      </c>
      <c r="B3" s="12">
        <v>-30</v>
      </c>
      <c r="C3" s="11">
        <v>28.040213204678953</v>
      </c>
      <c r="D3" s="11">
        <v>-29.632659846422754</v>
      </c>
      <c r="E3" s="11"/>
      <c r="F3" s="10">
        <v>655</v>
      </c>
      <c r="G3" s="12" t="s">
        <v>21</v>
      </c>
      <c r="H3" s="13"/>
      <c r="I3" s="14">
        <v>0.12</v>
      </c>
      <c r="J3" s="14"/>
      <c r="K3" s="14">
        <v>3.3</v>
      </c>
      <c r="L3" s="13">
        <v>1.4</v>
      </c>
      <c r="M3" s="13">
        <v>0.7</v>
      </c>
      <c r="P3" s="12" t="s">
        <v>14</v>
      </c>
      <c r="Q3" s="12"/>
      <c r="R3" s="12"/>
      <c r="T3">
        <f>H3/PI()+I3</f>
        <v>0.12</v>
      </c>
      <c r="U3">
        <f t="shared" si="0"/>
        <v>0.32999999999999996</v>
      </c>
      <c r="V3">
        <f t="shared" si="1"/>
        <v>0.20999999999999996</v>
      </c>
    </row>
    <row r="4" spans="1:22">
      <c r="A4" s="12">
        <v>10</v>
      </c>
      <c r="B4" s="12">
        <v>0</v>
      </c>
      <c r="C4" s="11">
        <v>14.368205115985283</v>
      </c>
      <c r="D4" s="11">
        <v>6.4331474710584446</v>
      </c>
      <c r="E4" s="11"/>
      <c r="F4" s="12">
        <v>114</v>
      </c>
      <c r="G4" s="12" t="s">
        <v>11</v>
      </c>
      <c r="H4" s="13"/>
      <c r="I4" s="14">
        <v>0.14000000000000001</v>
      </c>
      <c r="J4" s="14"/>
      <c r="K4" s="31">
        <v>10.199999999999999</v>
      </c>
      <c r="L4" s="13">
        <v>1.4</v>
      </c>
      <c r="M4" s="13">
        <v>0.3</v>
      </c>
      <c r="P4" s="12" t="s">
        <v>14</v>
      </c>
      <c r="Q4" s="12"/>
      <c r="R4" s="12"/>
      <c r="T4">
        <f>H4/PI()+I4</f>
        <v>0.14000000000000001</v>
      </c>
      <c r="U4">
        <f t="shared" si="0"/>
        <v>1.02</v>
      </c>
      <c r="V4">
        <f t="shared" si="1"/>
        <v>0.88</v>
      </c>
    </row>
    <row r="5" spans="1:22">
      <c r="A5" s="12">
        <v>0</v>
      </c>
      <c r="B5" s="12">
        <v>-30</v>
      </c>
      <c r="C5" s="11">
        <v>9.7795352861637976</v>
      </c>
      <c r="D5" s="11">
        <v>-21.779507187767965</v>
      </c>
      <c r="E5" s="11"/>
      <c r="F5" s="10">
        <v>613</v>
      </c>
      <c r="G5" s="12" t="s">
        <v>11</v>
      </c>
      <c r="H5" s="13"/>
      <c r="I5" s="14">
        <v>0.15</v>
      </c>
      <c r="J5" s="14"/>
      <c r="K5" s="31">
        <v>5.3</v>
      </c>
      <c r="L5" s="13">
        <v>1.4</v>
      </c>
      <c r="M5" s="13">
        <v>0.4</v>
      </c>
      <c r="P5" s="12" t="s">
        <v>14</v>
      </c>
      <c r="Q5" s="12"/>
      <c r="R5" s="12"/>
      <c r="S5" t="s">
        <v>109</v>
      </c>
      <c r="T5">
        <f t="shared" ref="T5:T68" si="2">H5/PI()+I5</f>
        <v>0.15</v>
      </c>
      <c r="U5">
        <f t="shared" si="0"/>
        <v>0.53</v>
      </c>
      <c r="V5">
        <f t="shared" si="1"/>
        <v>0.38</v>
      </c>
    </row>
    <row r="6" spans="1:22">
      <c r="A6" s="12">
        <v>0</v>
      </c>
      <c r="B6" s="12">
        <v>-20</v>
      </c>
      <c r="C6" s="11">
        <v>3.7860272796370453</v>
      </c>
      <c r="D6" s="11">
        <v>-19.006602991019648</v>
      </c>
      <c r="E6" s="11"/>
      <c r="F6" s="10">
        <v>585</v>
      </c>
      <c r="G6" s="12" t="s">
        <v>11</v>
      </c>
      <c r="H6" s="13"/>
      <c r="I6" s="14">
        <v>0.17</v>
      </c>
      <c r="J6" s="31"/>
      <c r="K6" s="14">
        <v>7.8</v>
      </c>
      <c r="L6" s="13">
        <v>1.4</v>
      </c>
      <c r="M6" s="13">
        <v>0.3</v>
      </c>
      <c r="P6" s="12" t="s">
        <v>14</v>
      </c>
      <c r="Q6" s="12"/>
      <c r="R6" s="12"/>
      <c r="T6">
        <f t="shared" si="2"/>
        <v>0.17</v>
      </c>
      <c r="U6">
        <f t="shared" si="0"/>
        <v>0.78</v>
      </c>
      <c r="V6">
        <f t="shared" si="1"/>
        <v>0.61</v>
      </c>
    </row>
    <row r="7" spans="1:22">
      <c r="A7" s="12">
        <v>10</v>
      </c>
      <c r="B7" s="12">
        <v>10</v>
      </c>
      <c r="C7" s="11">
        <v>19.512906347855239</v>
      </c>
      <c r="D7" s="11">
        <v>13.843463648447257</v>
      </c>
      <c r="E7" s="11"/>
      <c r="F7" s="10">
        <v>109</v>
      </c>
      <c r="G7" s="12" t="s">
        <v>13</v>
      </c>
      <c r="H7" s="13"/>
      <c r="I7" s="14">
        <v>0.19</v>
      </c>
      <c r="J7" s="14"/>
      <c r="K7" s="31">
        <v>3.8</v>
      </c>
      <c r="L7" s="13">
        <v>1.4</v>
      </c>
      <c r="M7" s="13">
        <v>0.4</v>
      </c>
      <c r="P7" s="12" t="s">
        <v>14</v>
      </c>
      <c r="Q7" s="12"/>
      <c r="R7" s="12"/>
      <c r="T7">
        <f t="shared" si="2"/>
        <v>0.19</v>
      </c>
      <c r="U7">
        <f t="shared" si="0"/>
        <v>0.38</v>
      </c>
      <c r="V7">
        <f t="shared" si="1"/>
        <v>0.19</v>
      </c>
    </row>
    <row r="8" spans="1:22">
      <c r="A8" s="9">
        <v>0</v>
      </c>
      <c r="B8" s="9">
        <v>-10</v>
      </c>
      <c r="C8" s="11">
        <v>0.99993594683058107</v>
      </c>
      <c r="D8" s="11">
        <v>-1.9720346225063956</v>
      </c>
      <c r="E8" s="11"/>
      <c r="F8" s="12">
        <v>402</v>
      </c>
      <c r="G8" s="12" t="s">
        <v>11</v>
      </c>
      <c r="H8" s="13"/>
      <c r="I8" s="14">
        <v>0.19</v>
      </c>
      <c r="J8" s="14"/>
      <c r="K8" s="31">
        <v>8.1</v>
      </c>
      <c r="L8" s="13">
        <v>1.5</v>
      </c>
      <c r="M8" s="13">
        <v>0</v>
      </c>
      <c r="P8" s="12" t="s">
        <v>14</v>
      </c>
      <c r="Q8" s="12"/>
      <c r="R8" s="12"/>
      <c r="T8">
        <f t="shared" si="2"/>
        <v>0.19</v>
      </c>
      <c r="U8">
        <f t="shared" si="0"/>
        <v>0.80999999999999994</v>
      </c>
      <c r="V8">
        <f t="shared" si="1"/>
        <v>0.61999999999999988</v>
      </c>
    </row>
    <row r="9" spans="1:22">
      <c r="A9" s="12">
        <v>20</v>
      </c>
      <c r="B9" s="12">
        <v>-20</v>
      </c>
      <c r="C9" s="11">
        <v>26.14893076961571</v>
      </c>
      <c r="D9" s="11">
        <v>-15.041376912620358</v>
      </c>
      <c r="E9" s="11"/>
      <c r="F9" s="12">
        <v>558</v>
      </c>
      <c r="G9" s="12" t="s">
        <v>21</v>
      </c>
      <c r="H9" s="13"/>
      <c r="I9" s="14">
        <v>0.21</v>
      </c>
      <c r="J9" s="14"/>
      <c r="K9" s="31">
        <v>6.2</v>
      </c>
      <c r="L9" s="13">
        <v>1.6</v>
      </c>
      <c r="M9" s="13">
        <v>0.3</v>
      </c>
      <c r="P9" s="12" t="s">
        <v>14</v>
      </c>
      <c r="Q9" s="12"/>
      <c r="R9" s="12"/>
      <c r="T9">
        <f t="shared" si="2"/>
        <v>0.21</v>
      </c>
      <c r="U9">
        <f t="shared" si="0"/>
        <v>0.62</v>
      </c>
      <c r="V9">
        <f t="shared" si="1"/>
        <v>0.41000000000000003</v>
      </c>
    </row>
    <row r="10" spans="1:22">
      <c r="A10" s="12">
        <v>40</v>
      </c>
      <c r="B10" s="12">
        <v>-10</v>
      </c>
      <c r="C10" s="11">
        <v>47.838459784886211</v>
      </c>
      <c r="D10" s="11">
        <v>-2.6503101513682941</v>
      </c>
      <c r="E10" s="11"/>
      <c r="F10" s="12">
        <v>462</v>
      </c>
      <c r="G10" s="12" t="s">
        <v>13</v>
      </c>
      <c r="H10" s="13"/>
      <c r="I10" s="14">
        <v>0.22</v>
      </c>
      <c r="J10" s="14"/>
      <c r="K10" s="14">
        <v>7.2</v>
      </c>
      <c r="L10" s="13">
        <v>1.4</v>
      </c>
      <c r="M10" s="13">
        <v>0.4</v>
      </c>
      <c r="P10" s="12" t="s">
        <v>14</v>
      </c>
      <c r="Q10" s="12"/>
      <c r="R10" s="12"/>
      <c r="T10">
        <f t="shared" si="2"/>
        <v>0.22</v>
      </c>
      <c r="U10">
        <f t="shared" si="0"/>
        <v>0.72</v>
      </c>
      <c r="V10">
        <f t="shared" si="1"/>
        <v>0.5</v>
      </c>
    </row>
    <row r="11" spans="1:22">
      <c r="A11" s="9">
        <v>0</v>
      </c>
      <c r="B11" s="9">
        <v>-10</v>
      </c>
      <c r="C11" s="11">
        <v>0.35800174195920847</v>
      </c>
      <c r="D11" s="11">
        <v>-3.3896872424404778</v>
      </c>
      <c r="E11" s="11"/>
      <c r="F11" s="10">
        <v>401</v>
      </c>
      <c r="G11" s="12" t="s">
        <v>11</v>
      </c>
      <c r="H11" s="13"/>
      <c r="I11" s="14">
        <v>0.24</v>
      </c>
      <c r="J11" s="14"/>
      <c r="K11" s="14">
        <v>9.9</v>
      </c>
      <c r="L11" s="13">
        <v>1.6</v>
      </c>
      <c r="M11" s="13">
        <v>0</v>
      </c>
      <c r="P11" s="12" t="s">
        <v>14</v>
      </c>
      <c r="Q11" s="12"/>
      <c r="R11" s="12"/>
      <c r="T11">
        <f t="shared" si="2"/>
        <v>0.24</v>
      </c>
      <c r="U11">
        <f t="shared" si="0"/>
        <v>0.99</v>
      </c>
      <c r="V11">
        <f t="shared" si="1"/>
        <v>0.75</v>
      </c>
    </row>
    <row r="12" spans="1:22">
      <c r="A12" s="12">
        <v>30</v>
      </c>
      <c r="B12" s="12">
        <v>-10</v>
      </c>
      <c r="C12" s="11">
        <v>38.977269466040433</v>
      </c>
      <c r="D12" s="11">
        <v>-4.0167799426306585</v>
      </c>
      <c r="E12" s="11"/>
      <c r="F12" s="12">
        <v>444</v>
      </c>
      <c r="G12" s="12" t="s">
        <v>13</v>
      </c>
      <c r="H12" s="13"/>
      <c r="I12" s="14">
        <v>0.26</v>
      </c>
      <c r="J12" s="14" t="s">
        <v>70</v>
      </c>
      <c r="K12" s="14"/>
      <c r="L12" s="13">
        <v>1</v>
      </c>
      <c r="M12" s="13"/>
      <c r="P12" s="12" t="s">
        <v>12</v>
      </c>
      <c r="Q12" s="12"/>
      <c r="R12" s="12"/>
      <c r="T12">
        <f t="shared" si="2"/>
        <v>0.26</v>
      </c>
      <c r="U12" t="str">
        <f t="shared" si="0"/>
        <v>dead</v>
      </c>
      <c r="V12" t="e">
        <f t="shared" si="1"/>
        <v>#VALUE!</v>
      </c>
    </row>
    <row r="13" spans="1:22">
      <c r="A13" s="12">
        <v>30</v>
      </c>
      <c r="B13" s="12">
        <v>-20</v>
      </c>
      <c r="C13" s="11">
        <v>38.237587459751978</v>
      </c>
      <c r="D13" s="11">
        <v>-18.662534388848133</v>
      </c>
      <c r="E13" s="11"/>
      <c r="F13" s="10">
        <v>515</v>
      </c>
      <c r="G13" s="12" t="s">
        <v>21</v>
      </c>
      <c r="H13" s="13"/>
      <c r="I13" s="14">
        <v>0.28000000000000003</v>
      </c>
      <c r="J13" s="14"/>
      <c r="K13" s="14">
        <v>4.5</v>
      </c>
      <c r="L13" s="13">
        <v>1.4</v>
      </c>
      <c r="M13" s="13">
        <v>0.2</v>
      </c>
      <c r="P13" s="12" t="s">
        <v>14</v>
      </c>
      <c r="Q13" s="12"/>
      <c r="R13" s="12"/>
      <c r="T13">
        <f t="shared" si="2"/>
        <v>0.28000000000000003</v>
      </c>
      <c r="U13">
        <f t="shared" si="0"/>
        <v>0.45</v>
      </c>
      <c r="V13">
        <f t="shared" si="1"/>
        <v>0.16999999999999998</v>
      </c>
    </row>
    <row r="14" spans="1:22">
      <c r="A14" s="12">
        <v>30</v>
      </c>
      <c r="B14" s="12">
        <v>-20</v>
      </c>
      <c r="C14" s="11">
        <v>30.072596810592465</v>
      </c>
      <c r="D14" s="11">
        <v>-12.997259734314172</v>
      </c>
      <c r="E14" s="11"/>
      <c r="F14" s="12">
        <v>530</v>
      </c>
      <c r="G14" s="12" t="s">
        <v>13</v>
      </c>
      <c r="H14" s="13"/>
      <c r="I14" s="14">
        <v>0.28000000000000003</v>
      </c>
      <c r="J14" s="14"/>
      <c r="K14" s="14">
        <v>7</v>
      </c>
      <c r="L14" s="13">
        <v>1.4</v>
      </c>
      <c r="M14" s="13">
        <v>0.3</v>
      </c>
      <c r="P14" s="12" t="s">
        <v>14</v>
      </c>
      <c r="Q14" s="12"/>
      <c r="R14" s="12"/>
      <c r="T14">
        <f t="shared" si="2"/>
        <v>0.28000000000000003</v>
      </c>
      <c r="U14">
        <f t="shared" si="0"/>
        <v>0.7</v>
      </c>
      <c r="V14">
        <f t="shared" si="1"/>
        <v>0.41999999999999993</v>
      </c>
    </row>
    <row r="15" spans="1:22">
      <c r="A15" s="12">
        <v>40</v>
      </c>
      <c r="B15" s="12">
        <v>30</v>
      </c>
      <c r="C15" s="11">
        <v>48.896603355268482</v>
      </c>
      <c r="D15" s="11">
        <v>30.463621450236197</v>
      </c>
      <c r="E15" s="11"/>
      <c r="F15" s="12">
        <v>326</v>
      </c>
      <c r="G15" s="12" t="s">
        <v>30</v>
      </c>
      <c r="H15" s="13"/>
      <c r="I15" s="14">
        <v>0.3</v>
      </c>
      <c r="J15" s="14" t="s">
        <v>194</v>
      </c>
      <c r="K15" s="14"/>
      <c r="L15" s="13">
        <v>1.3</v>
      </c>
      <c r="M15" s="13">
        <v>0.7</v>
      </c>
      <c r="P15" s="12" t="s">
        <v>14</v>
      </c>
      <c r="Q15" s="12"/>
      <c r="R15" s="12"/>
      <c r="S15" t="s">
        <v>86</v>
      </c>
      <c r="T15">
        <f t="shared" si="2"/>
        <v>0.3</v>
      </c>
      <c r="U15" t="str">
        <f t="shared" si="0"/>
        <v>dead</v>
      </c>
      <c r="V15" t="e">
        <f t="shared" si="1"/>
        <v>#VALUE!</v>
      </c>
    </row>
    <row r="16" spans="1:22">
      <c r="A16" s="12">
        <v>30</v>
      </c>
      <c r="B16" s="12">
        <v>10</v>
      </c>
      <c r="C16" s="11">
        <v>39.475523248039664</v>
      </c>
      <c r="D16" s="11">
        <v>13.752043600035297</v>
      </c>
      <c r="E16" s="11"/>
      <c r="F16" s="10">
        <v>239</v>
      </c>
      <c r="G16" s="12" t="s">
        <v>21</v>
      </c>
      <c r="H16" s="13"/>
      <c r="I16" s="14">
        <v>0.34</v>
      </c>
      <c r="J16" s="14"/>
      <c r="K16" s="14">
        <v>7</v>
      </c>
      <c r="L16" s="13">
        <v>1.8</v>
      </c>
      <c r="M16" s="13">
        <v>0.7</v>
      </c>
      <c r="P16" s="12" t="s">
        <v>14</v>
      </c>
      <c r="Q16" s="12"/>
      <c r="R16" s="12"/>
      <c r="T16">
        <f t="shared" si="2"/>
        <v>0.34</v>
      </c>
      <c r="U16">
        <f t="shared" si="0"/>
        <v>0.7</v>
      </c>
      <c r="V16">
        <f t="shared" si="1"/>
        <v>0.35999999999999993</v>
      </c>
    </row>
    <row r="17" spans="1:22">
      <c r="A17" s="12">
        <v>30</v>
      </c>
      <c r="B17" s="12">
        <v>10</v>
      </c>
      <c r="C17" s="11">
        <v>33.495831695602774</v>
      </c>
      <c r="D17" s="11">
        <v>12.926722064274653</v>
      </c>
      <c r="E17" s="11"/>
      <c r="F17" s="12">
        <v>234</v>
      </c>
      <c r="G17" s="12" t="s">
        <v>11</v>
      </c>
      <c r="H17" s="13"/>
      <c r="I17" s="14">
        <v>0.36</v>
      </c>
      <c r="J17" s="14"/>
      <c r="K17" s="14">
        <v>10.5</v>
      </c>
      <c r="L17" s="13">
        <v>1.5</v>
      </c>
      <c r="M17" s="13">
        <v>0.1</v>
      </c>
      <c r="P17" s="12" t="s">
        <v>14</v>
      </c>
      <c r="Q17" s="12"/>
      <c r="R17" s="12"/>
      <c r="T17">
        <f t="shared" si="2"/>
        <v>0.36</v>
      </c>
      <c r="U17">
        <f t="shared" si="0"/>
        <v>1.05</v>
      </c>
      <c r="V17">
        <f t="shared" si="1"/>
        <v>0.69000000000000006</v>
      </c>
    </row>
    <row r="18" spans="1:22">
      <c r="A18" s="12">
        <v>30</v>
      </c>
      <c r="B18" s="12">
        <v>0</v>
      </c>
      <c r="C18" s="11">
        <v>34.050937810882921</v>
      </c>
      <c r="D18" s="11">
        <v>9.6930927280564454</v>
      </c>
      <c r="E18" s="11"/>
      <c r="F18" s="12">
        <v>246</v>
      </c>
      <c r="G18" s="12" t="s">
        <v>13</v>
      </c>
      <c r="H18" s="13"/>
      <c r="I18" s="14">
        <v>0.36</v>
      </c>
      <c r="J18" s="14"/>
      <c r="K18" s="14">
        <v>10.3</v>
      </c>
      <c r="L18" s="13">
        <v>1.6</v>
      </c>
      <c r="M18" s="13">
        <v>0.4</v>
      </c>
      <c r="P18" s="12" t="s">
        <v>14</v>
      </c>
      <c r="Q18" s="12"/>
      <c r="R18" s="12"/>
      <c r="T18">
        <f t="shared" si="2"/>
        <v>0.36</v>
      </c>
      <c r="U18">
        <f t="shared" si="0"/>
        <v>1.03</v>
      </c>
      <c r="V18">
        <f t="shared" si="1"/>
        <v>0.67</v>
      </c>
    </row>
    <row r="19" spans="1:22">
      <c r="A19" s="12">
        <v>40</v>
      </c>
      <c r="B19" s="12">
        <v>30</v>
      </c>
      <c r="C19" s="11">
        <v>48.673566100653304</v>
      </c>
      <c r="D19" s="11">
        <v>31.017407216696064</v>
      </c>
      <c r="E19" s="11"/>
      <c r="F19" s="10">
        <v>337</v>
      </c>
      <c r="G19" s="12" t="s">
        <v>30</v>
      </c>
      <c r="H19" s="13"/>
      <c r="I19" s="14">
        <v>0.37</v>
      </c>
      <c r="J19" s="14" t="s">
        <v>70</v>
      </c>
      <c r="K19" s="14"/>
      <c r="L19" s="13">
        <v>1.3</v>
      </c>
      <c r="M19" s="13">
        <v>0.6</v>
      </c>
      <c r="P19" s="12" t="s">
        <v>14</v>
      </c>
      <c r="Q19" s="12"/>
      <c r="R19" s="12"/>
      <c r="T19">
        <f t="shared" si="2"/>
        <v>0.37</v>
      </c>
      <c r="U19" t="str">
        <f t="shared" si="0"/>
        <v>dead</v>
      </c>
      <c r="V19" t="e">
        <f t="shared" si="1"/>
        <v>#VALUE!</v>
      </c>
    </row>
    <row r="20" spans="1:22">
      <c r="A20" s="9">
        <v>0</v>
      </c>
      <c r="B20" s="9">
        <v>0</v>
      </c>
      <c r="C20" s="11">
        <v>4.9136324761842101</v>
      </c>
      <c r="D20" s="11">
        <v>8.9188592077476532</v>
      </c>
      <c r="E20" s="11"/>
      <c r="F20" s="10">
        <v>15</v>
      </c>
      <c r="G20" s="12" t="s">
        <v>13</v>
      </c>
      <c r="H20" s="13"/>
      <c r="I20" s="14">
        <v>0.39</v>
      </c>
      <c r="J20" s="14"/>
      <c r="K20" s="14">
        <v>8.5</v>
      </c>
      <c r="L20" s="13">
        <v>1.5</v>
      </c>
      <c r="M20" s="13">
        <v>0.4</v>
      </c>
      <c r="P20" s="12" t="s">
        <v>14</v>
      </c>
      <c r="Q20" s="12"/>
      <c r="R20" s="12"/>
      <c r="T20">
        <f t="shared" si="2"/>
        <v>0.39</v>
      </c>
      <c r="U20">
        <f t="shared" si="0"/>
        <v>0.85</v>
      </c>
      <c r="V20">
        <f t="shared" si="1"/>
        <v>0.45999999999999996</v>
      </c>
    </row>
    <row r="21" spans="1:22">
      <c r="A21" s="12">
        <v>30</v>
      </c>
      <c r="B21" s="12">
        <v>-20</v>
      </c>
      <c r="C21" s="11">
        <v>38.593859788306851</v>
      </c>
      <c r="D21" s="11">
        <v>-14.808624512795685</v>
      </c>
      <c r="E21" s="11"/>
      <c r="F21" s="12">
        <v>518</v>
      </c>
      <c r="G21" s="12" t="s">
        <v>11</v>
      </c>
      <c r="H21" s="13"/>
      <c r="I21" s="14">
        <v>0.39</v>
      </c>
      <c r="J21" s="14"/>
      <c r="K21" s="14">
        <v>9.3000000000000007</v>
      </c>
      <c r="L21" s="13">
        <v>1.5</v>
      </c>
      <c r="M21" s="13">
        <v>0</v>
      </c>
      <c r="P21" s="12" t="s">
        <v>14</v>
      </c>
      <c r="Q21" s="12"/>
      <c r="R21" s="12"/>
      <c r="T21">
        <f t="shared" si="2"/>
        <v>0.39</v>
      </c>
      <c r="U21">
        <f t="shared" si="0"/>
        <v>0.93</v>
      </c>
      <c r="V21">
        <f t="shared" si="1"/>
        <v>0.54</v>
      </c>
    </row>
    <row r="22" spans="1:22">
      <c r="A22" s="12">
        <v>20</v>
      </c>
      <c r="B22" s="12">
        <v>20</v>
      </c>
      <c r="C22" s="11">
        <v>24.174543443410826</v>
      </c>
      <c r="D22" s="11">
        <v>27.529531811649555</v>
      </c>
      <c r="E22" s="11"/>
      <c r="F22" s="10">
        <v>167</v>
      </c>
      <c r="G22" s="12" t="s">
        <v>21</v>
      </c>
      <c r="H22" s="13"/>
      <c r="I22" s="14">
        <v>0.4</v>
      </c>
      <c r="J22" s="14"/>
      <c r="K22" s="14">
        <v>5.4</v>
      </c>
      <c r="L22" s="13">
        <v>1.8</v>
      </c>
      <c r="M22" s="13">
        <v>0.5</v>
      </c>
      <c r="P22" s="12" t="s">
        <v>14</v>
      </c>
      <c r="Q22" s="12"/>
      <c r="R22" s="12"/>
      <c r="T22">
        <f t="shared" si="2"/>
        <v>0.4</v>
      </c>
      <c r="U22">
        <f t="shared" si="0"/>
        <v>0.54</v>
      </c>
      <c r="V22">
        <f t="shared" si="1"/>
        <v>0.14000000000000001</v>
      </c>
    </row>
    <row r="23" spans="1:22">
      <c r="A23" s="12">
        <v>0</v>
      </c>
      <c r="B23" s="12">
        <v>-20</v>
      </c>
      <c r="C23" s="11">
        <v>8.3512926746389606</v>
      </c>
      <c r="D23" s="11">
        <v>-18.76972124200773</v>
      </c>
      <c r="E23" s="11"/>
      <c r="F23" s="12">
        <v>580</v>
      </c>
      <c r="G23" s="12" t="s">
        <v>11</v>
      </c>
      <c r="H23" s="13"/>
      <c r="I23" s="14">
        <v>0.4</v>
      </c>
      <c r="J23" s="14"/>
      <c r="K23" s="14">
        <v>6.3</v>
      </c>
      <c r="L23" s="13">
        <v>1.4</v>
      </c>
      <c r="M23" s="13">
        <v>0</v>
      </c>
      <c r="P23" s="12" t="s">
        <v>14</v>
      </c>
      <c r="Q23" s="12"/>
      <c r="R23" s="12"/>
      <c r="T23">
        <f t="shared" si="2"/>
        <v>0.4</v>
      </c>
      <c r="U23">
        <f t="shared" si="0"/>
        <v>0.63</v>
      </c>
      <c r="V23">
        <f t="shared" si="1"/>
        <v>0.22999999999999998</v>
      </c>
    </row>
    <row r="24" spans="1:22">
      <c r="A24" s="12">
        <v>20</v>
      </c>
      <c r="B24" s="12">
        <v>-20</v>
      </c>
      <c r="C24" s="11">
        <v>23.673803585367654</v>
      </c>
      <c r="D24" s="11">
        <v>-16.862901036066745</v>
      </c>
      <c r="E24" s="11"/>
      <c r="F24" s="12">
        <v>568</v>
      </c>
      <c r="G24" s="12" t="s">
        <v>21</v>
      </c>
      <c r="H24" s="13"/>
      <c r="I24" s="14">
        <v>0.41</v>
      </c>
      <c r="J24" s="14"/>
      <c r="K24" s="14">
        <v>8.3000000000000007</v>
      </c>
      <c r="L24" s="13">
        <v>1.7</v>
      </c>
      <c r="M24" s="13">
        <v>0.3</v>
      </c>
      <c r="P24" s="12" t="s">
        <v>14</v>
      </c>
      <c r="Q24" s="12"/>
      <c r="R24" s="12"/>
      <c r="T24">
        <f t="shared" si="2"/>
        <v>0.41</v>
      </c>
      <c r="U24">
        <f t="shared" si="0"/>
        <v>0.83000000000000007</v>
      </c>
      <c r="V24">
        <f t="shared" si="1"/>
        <v>0.4200000000000001</v>
      </c>
    </row>
    <row r="25" spans="1:22">
      <c r="A25" s="9">
        <v>20</v>
      </c>
      <c r="B25" s="9">
        <v>-10</v>
      </c>
      <c r="C25" s="11">
        <v>21.464943970627026</v>
      </c>
      <c r="D25" s="11">
        <v>-9.2555552485210217</v>
      </c>
      <c r="E25" s="11"/>
      <c r="F25" s="12">
        <v>416</v>
      </c>
      <c r="G25" s="12" t="s">
        <v>13</v>
      </c>
      <c r="H25" s="13"/>
      <c r="I25" s="14">
        <v>0.43</v>
      </c>
      <c r="J25" s="14"/>
      <c r="K25" s="14">
        <v>5</v>
      </c>
      <c r="L25" s="13">
        <v>1.4</v>
      </c>
      <c r="M25" s="13">
        <v>0.9</v>
      </c>
      <c r="P25" s="12" t="s">
        <v>14</v>
      </c>
      <c r="Q25" s="12"/>
      <c r="R25" s="12"/>
      <c r="T25">
        <f t="shared" si="2"/>
        <v>0.43</v>
      </c>
      <c r="U25">
        <f t="shared" si="0"/>
        <v>0.5</v>
      </c>
      <c r="V25">
        <f t="shared" si="1"/>
        <v>7.0000000000000007E-2</v>
      </c>
    </row>
    <row r="26" spans="1:22">
      <c r="A26" s="12">
        <v>10</v>
      </c>
      <c r="B26" s="12">
        <v>-40</v>
      </c>
      <c r="C26" s="11">
        <v>19.350085857963784</v>
      </c>
      <c r="D26" s="11">
        <v>-30.682495267041411</v>
      </c>
      <c r="E26" s="11"/>
      <c r="F26" s="10">
        <v>721</v>
      </c>
      <c r="G26" s="12" t="s">
        <v>11</v>
      </c>
      <c r="H26" s="13"/>
      <c r="I26" s="14">
        <v>0.43</v>
      </c>
      <c r="J26" s="14"/>
      <c r="K26" s="14">
        <v>11.2</v>
      </c>
      <c r="L26" s="13">
        <v>1.6</v>
      </c>
      <c r="M26" s="13">
        <v>0</v>
      </c>
      <c r="P26" s="12" t="s">
        <v>14</v>
      </c>
      <c r="Q26" s="12"/>
      <c r="R26" s="12"/>
      <c r="S26" t="s">
        <v>133</v>
      </c>
      <c r="T26">
        <f t="shared" si="2"/>
        <v>0.43</v>
      </c>
      <c r="U26">
        <f t="shared" si="0"/>
        <v>1.1199999999999999</v>
      </c>
      <c r="V26">
        <f t="shared" si="1"/>
        <v>0.69</v>
      </c>
    </row>
    <row r="27" spans="1:22">
      <c r="A27" s="12">
        <v>10</v>
      </c>
      <c r="B27" s="12">
        <v>10</v>
      </c>
      <c r="C27" s="11">
        <v>19.674728156140318</v>
      </c>
      <c r="D27" s="11">
        <v>13.733166900204932</v>
      </c>
      <c r="E27" s="11"/>
      <c r="F27" s="12">
        <v>108</v>
      </c>
      <c r="G27" s="12" t="s">
        <v>13</v>
      </c>
      <c r="H27" s="13"/>
      <c r="I27" s="14">
        <v>0.44</v>
      </c>
      <c r="J27" s="14"/>
      <c r="K27" s="14">
        <v>8</v>
      </c>
      <c r="L27" s="13">
        <v>1.6</v>
      </c>
      <c r="M27" s="13">
        <v>0.6</v>
      </c>
      <c r="P27" s="12" t="s">
        <v>14</v>
      </c>
      <c r="Q27" s="12"/>
      <c r="R27" s="12"/>
      <c r="T27">
        <f t="shared" si="2"/>
        <v>0.44</v>
      </c>
      <c r="U27">
        <f t="shared" si="0"/>
        <v>0.8</v>
      </c>
      <c r="V27">
        <f t="shared" si="1"/>
        <v>0.36000000000000004</v>
      </c>
    </row>
    <row r="28" spans="1:22">
      <c r="A28" s="12">
        <v>30</v>
      </c>
      <c r="B28" s="12">
        <v>-20</v>
      </c>
      <c r="C28" s="11">
        <v>38.533061832444758</v>
      </c>
      <c r="D28" s="11">
        <v>-15.79728319237293</v>
      </c>
      <c r="E28" s="11"/>
      <c r="F28" s="10">
        <v>517</v>
      </c>
      <c r="G28" s="12" t="s">
        <v>21</v>
      </c>
      <c r="H28" s="13"/>
      <c r="I28" s="14">
        <v>0.45</v>
      </c>
      <c r="J28" s="31"/>
      <c r="K28" s="14">
        <v>6.9</v>
      </c>
      <c r="L28" s="13">
        <v>1.6</v>
      </c>
      <c r="M28" s="13">
        <v>0.4</v>
      </c>
      <c r="P28" s="12" t="s">
        <v>14</v>
      </c>
      <c r="Q28" s="12"/>
      <c r="R28" s="12"/>
      <c r="T28">
        <f t="shared" si="2"/>
        <v>0.45</v>
      </c>
      <c r="U28">
        <f t="shared" si="0"/>
        <v>0.69000000000000006</v>
      </c>
      <c r="V28">
        <f t="shared" si="1"/>
        <v>0.24000000000000005</v>
      </c>
    </row>
    <row r="29" spans="1:22">
      <c r="A29" s="12">
        <v>10</v>
      </c>
      <c r="B29" s="12">
        <v>-20</v>
      </c>
      <c r="C29" s="11">
        <v>12.642308249250132</v>
      </c>
      <c r="D29" s="11">
        <v>-18.965943859866712</v>
      </c>
      <c r="E29" s="11"/>
      <c r="F29" s="10">
        <v>577</v>
      </c>
      <c r="G29" s="12" t="s">
        <v>11</v>
      </c>
      <c r="H29" s="13"/>
      <c r="I29" s="14">
        <v>0.45</v>
      </c>
      <c r="J29" s="14"/>
      <c r="K29" s="14"/>
      <c r="L29" s="13">
        <v>1.6</v>
      </c>
      <c r="M29" s="13">
        <v>0</v>
      </c>
      <c r="P29" s="12" t="s">
        <v>14</v>
      </c>
      <c r="Q29" s="12"/>
      <c r="R29" s="12"/>
      <c r="T29">
        <f t="shared" si="2"/>
        <v>0.45</v>
      </c>
      <c r="U29">
        <f t="shared" si="0"/>
        <v>0</v>
      </c>
      <c r="V29">
        <f t="shared" si="1"/>
        <v>-0.45</v>
      </c>
    </row>
    <row r="30" spans="1:22">
      <c r="A30" s="12">
        <v>30</v>
      </c>
      <c r="B30" s="12">
        <v>20</v>
      </c>
      <c r="C30" s="11">
        <v>34.094149764448233</v>
      </c>
      <c r="D30" s="11">
        <v>24.037380054722185</v>
      </c>
      <c r="E30" s="11"/>
      <c r="F30" s="12">
        <v>210</v>
      </c>
      <c r="G30" s="12" t="s">
        <v>21</v>
      </c>
      <c r="H30" s="13"/>
      <c r="I30" s="14">
        <v>0.46</v>
      </c>
      <c r="J30" s="14" t="s">
        <v>70</v>
      </c>
      <c r="K30" s="14"/>
      <c r="L30" s="13">
        <v>1.8</v>
      </c>
      <c r="M30" s="13">
        <v>0.6</v>
      </c>
      <c r="P30" s="12" t="s">
        <v>14</v>
      </c>
      <c r="Q30" s="12"/>
      <c r="R30" s="12"/>
      <c r="T30">
        <f t="shared" si="2"/>
        <v>0.46</v>
      </c>
      <c r="U30" t="str">
        <f t="shared" si="0"/>
        <v>dead</v>
      </c>
      <c r="V30" t="e">
        <f t="shared" si="1"/>
        <v>#VALUE!</v>
      </c>
    </row>
    <row r="31" spans="1:22">
      <c r="A31" s="12">
        <v>40</v>
      </c>
      <c r="B31" s="12">
        <v>40</v>
      </c>
      <c r="C31" s="11">
        <v>41.896156810321528</v>
      </c>
      <c r="D31" s="11">
        <v>49.159728465249501</v>
      </c>
      <c r="E31" s="11"/>
      <c r="F31" s="12">
        <v>368</v>
      </c>
      <c r="G31" s="12" t="s">
        <v>13</v>
      </c>
      <c r="H31" s="13"/>
      <c r="I31" s="14">
        <v>0.49</v>
      </c>
      <c r="J31" s="14"/>
      <c r="K31" s="14">
        <v>6.4</v>
      </c>
      <c r="L31" s="13">
        <v>2.1</v>
      </c>
      <c r="M31" s="13">
        <v>0.7</v>
      </c>
      <c r="P31" s="12" t="s">
        <v>14</v>
      </c>
      <c r="Q31" s="12"/>
      <c r="R31" s="12"/>
      <c r="T31">
        <f t="shared" si="2"/>
        <v>0.49</v>
      </c>
      <c r="U31">
        <f t="shared" si="0"/>
        <v>0.64</v>
      </c>
      <c r="V31">
        <f t="shared" si="1"/>
        <v>0.15000000000000002</v>
      </c>
    </row>
    <row r="32" spans="1:22">
      <c r="A32" s="12">
        <v>30</v>
      </c>
      <c r="B32" s="12">
        <v>-20</v>
      </c>
      <c r="C32" s="11">
        <v>34.564016467039586</v>
      </c>
      <c r="D32" s="11">
        <v>-16.165912992362379</v>
      </c>
      <c r="E32" s="11"/>
      <c r="F32" s="12">
        <v>524</v>
      </c>
      <c r="G32" s="12" t="s">
        <v>11</v>
      </c>
      <c r="H32" s="13"/>
      <c r="I32" s="14">
        <v>0.49</v>
      </c>
      <c r="J32" s="14"/>
      <c r="K32" s="14">
        <v>1.33</v>
      </c>
      <c r="L32" s="13">
        <v>1.7</v>
      </c>
      <c r="M32" s="13">
        <v>0</v>
      </c>
      <c r="P32" s="12" t="s">
        <v>14</v>
      </c>
      <c r="Q32" s="12"/>
      <c r="R32" s="12"/>
      <c r="S32" t="s">
        <v>97</v>
      </c>
      <c r="T32">
        <f t="shared" si="2"/>
        <v>0.49</v>
      </c>
      <c r="U32">
        <f t="shared" si="0"/>
        <v>0.13300000000000001</v>
      </c>
      <c r="V32">
        <f t="shared" si="1"/>
        <v>-0.35699999999999998</v>
      </c>
    </row>
    <row r="33" spans="1:22">
      <c r="A33" s="12">
        <v>40</v>
      </c>
      <c r="B33" s="12">
        <v>-40</v>
      </c>
      <c r="C33" s="11">
        <v>42.934938877920068</v>
      </c>
      <c r="D33" s="11">
        <v>-35.514943279859963</v>
      </c>
      <c r="E33" s="11"/>
      <c r="F33" s="10">
        <v>711</v>
      </c>
      <c r="G33" s="12" t="s">
        <v>51</v>
      </c>
      <c r="H33" s="13"/>
      <c r="I33" s="14">
        <v>0.49</v>
      </c>
      <c r="J33" s="14"/>
      <c r="K33" s="14">
        <v>5.8</v>
      </c>
      <c r="L33" s="13">
        <v>1.7</v>
      </c>
      <c r="M33" s="13">
        <v>0.8</v>
      </c>
      <c r="P33" s="12" t="s">
        <v>14</v>
      </c>
      <c r="Q33" s="12"/>
      <c r="R33" s="12" t="s">
        <v>16</v>
      </c>
      <c r="T33">
        <f t="shared" si="2"/>
        <v>0.49</v>
      </c>
      <c r="U33">
        <f t="shared" si="0"/>
        <v>0.57999999999999996</v>
      </c>
      <c r="V33">
        <f t="shared" si="1"/>
        <v>8.9999999999999969E-2</v>
      </c>
    </row>
    <row r="34" spans="1:22">
      <c r="A34" s="9">
        <v>0</v>
      </c>
      <c r="B34" s="12">
        <v>20</v>
      </c>
      <c r="C34" s="11">
        <v>6.3672798251672251</v>
      </c>
      <c r="D34" s="11">
        <v>26.70971293186366</v>
      </c>
      <c r="E34" s="11"/>
      <c r="F34" s="12">
        <v>42</v>
      </c>
      <c r="G34" s="12" t="s">
        <v>11</v>
      </c>
      <c r="H34" s="13"/>
      <c r="I34" s="14">
        <v>0.5</v>
      </c>
      <c r="J34" s="14"/>
      <c r="K34" s="14">
        <v>11.6</v>
      </c>
      <c r="L34" s="13">
        <v>1.7</v>
      </c>
      <c r="M34" s="13">
        <v>0.1</v>
      </c>
      <c r="P34" s="12" t="s">
        <v>14</v>
      </c>
      <c r="Q34" s="12"/>
      <c r="R34" s="12"/>
      <c r="T34">
        <f t="shared" si="2"/>
        <v>0.5</v>
      </c>
      <c r="U34">
        <f t="shared" si="0"/>
        <v>1.1599999999999999</v>
      </c>
      <c r="V34">
        <f t="shared" si="1"/>
        <v>0.65999999999999992</v>
      </c>
    </row>
    <row r="35" spans="1:22">
      <c r="A35" s="12">
        <v>30</v>
      </c>
      <c r="B35" s="12">
        <v>10</v>
      </c>
      <c r="C35" s="11">
        <v>33.598797543972296</v>
      </c>
      <c r="D35" s="11">
        <v>14.841244700753974</v>
      </c>
      <c r="E35" s="11"/>
      <c r="F35" s="10">
        <v>231</v>
      </c>
      <c r="G35" s="12" t="s">
        <v>21</v>
      </c>
      <c r="H35" s="13"/>
      <c r="I35" s="14">
        <v>0.5</v>
      </c>
      <c r="J35" s="14"/>
      <c r="K35" s="14">
        <v>11.9</v>
      </c>
      <c r="L35" s="13">
        <v>1.8</v>
      </c>
      <c r="M35" s="13">
        <v>0.4</v>
      </c>
      <c r="P35" s="12" t="s">
        <v>14</v>
      </c>
      <c r="Q35" s="12"/>
      <c r="R35" s="12"/>
      <c r="T35">
        <f t="shared" si="2"/>
        <v>0.5</v>
      </c>
      <c r="U35">
        <f t="shared" si="0"/>
        <v>1.19</v>
      </c>
      <c r="V35">
        <f t="shared" si="1"/>
        <v>0.69</v>
      </c>
    </row>
    <row r="36" spans="1:22">
      <c r="A36" s="9">
        <v>20</v>
      </c>
      <c r="B36" s="9">
        <v>-10</v>
      </c>
      <c r="C36" s="11">
        <v>21.487636454088175</v>
      </c>
      <c r="D36" s="11">
        <v>-9.1917327521203234</v>
      </c>
      <c r="E36" s="11"/>
      <c r="F36" s="10">
        <v>417</v>
      </c>
      <c r="G36" s="12" t="s">
        <v>13</v>
      </c>
      <c r="H36" s="13"/>
      <c r="I36" s="14">
        <v>0.5</v>
      </c>
      <c r="J36" s="14"/>
      <c r="K36" s="14">
        <v>6.4</v>
      </c>
      <c r="L36" s="13">
        <v>1.7</v>
      </c>
      <c r="M36" s="13">
        <v>1.2</v>
      </c>
      <c r="P36" s="12" t="s">
        <v>14</v>
      </c>
      <c r="Q36" s="12"/>
      <c r="R36" s="12"/>
      <c r="T36">
        <f t="shared" si="2"/>
        <v>0.5</v>
      </c>
      <c r="U36">
        <f t="shared" si="0"/>
        <v>0.64</v>
      </c>
      <c r="V36">
        <f t="shared" si="1"/>
        <v>0.14000000000000001</v>
      </c>
    </row>
    <row r="37" spans="1:22">
      <c r="A37" s="12">
        <v>20</v>
      </c>
      <c r="B37" s="12">
        <v>-40</v>
      </c>
      <c r="C37" s="11">
        <v>29.127893214767482</v>
      </c>
      <c r="D37" s="11">
        <v>-30.172685474109159</v>
      </c>
      <c r="E37" s="11"/>
      <c r="F37" s="12">
        <v>472</v>
      </c>
      <c r="G37" s="12" t="s">
        <v>21</v>
      </c>
      <c r="H37" s="13"/>
      <c r="I37" s="14">
        <v>0.5</v>
      </c>
      <c r="J37" s="14"/>
      <c r="K37" s="14">
        <v>8.9</v>
      </c>
      <c r="L37" s="13">
        <v>2</v>
      </c>
      <c r="M37" s="13">
        <v>0.6</v>
      </c>
      <c r="P37" s="12" t="s">
        <v>14</v>
      </c>
      <c r="Q37" s="12"/>
      <c r="R37" s="12"/>
      <c r="T37">
        <f t="shared" si="2"/>
        <v>0.5</v>
      </c>
      <c r="U37">
        <f t="shared" si="0"/>
        <v>0.89</v>
      </c>
      <c r="V37">
        <f t="shared" si="1"/>
        <v>0.39</v>
      </c>
    </row>
    <row r="38" spans="1:22">
      <c r="A38" s="12">
        <v>40</v>
      </c>
      <c r="B38" s="12">
        <v>-40</v>
      </c>
      <c r="C38" s="11">
        <v>43.030489044404334</v>
      </c>
      <c r="D38" s="11">
        <v>-35.639697699500033</v>
      </c>
      <c r="E38" s="11"/>
      <c r="F38" s="12">
        <v>710</v>
      </c>
      <c r="G38" s="12" t="s">
        <v>51</v>
      </c>
      <c r="H38" s="13"/>
      <c r="I38" s="14">
        <v>0.5</v>
      </c>
      <c r="J38" s="14"/>
      <c r="K38" s="14">
        <v>5.6</v>
      </c>
      <c r="L38" s="13">
        <v>1.2</v>
      </c>
      <c r="M38" s="13">
        <v>0.9</v>
      </c>
      <c r="P38" s="12" t="s">
        <v>14</v>
      </c>
      <c r="Q38" s="12"/>
      <c r="R38" s="12" t="s">
        <v>53</v>
      </c>
      <c r="S38" t="s">
        <v>109</v>
      </c>
      <c r="T38">
        <f t="shared" si="2"/>
        <v>0.5</v>
      </c>
      <c r="U38">
        <f t="shared" si="0"/>
        <v>0.55999999999999994</v>
      </c>
      <c r="V38">
        <f t="shared" si="1"/>
        <v>5.9999999999999942E-2</v>
      </c>
    </row>
    <row r="39" spans="1:22">
      <c r="A39" s="12">
        <v>30</v>
      </c>
      <c r="B39" s="12">
        <v>0</v>
      </c>
      <c r="C39" s="11">
        <v>38.619257460528999</v>
      </c>
      <c r="D39" s="11">
        <v>7.5983782229193677</v>
      </c>
      <c r="E39" s="11"/>
      <c r="F39" s="10">
        <v>259</v>
      </c>
      <c r="G39" s="12" t="s">
        <v>11</v>
      </c>
      <c r="H39" s="13"/>
      <c r="I39" s="14">
        <v>0.51</v>
      </c>
      <c r="J39" s="14"/>
      <c r="K39" s="14">
        <v>13.5</v>
      </c>
      <c r="L39" s="13">
        <v>1.8</v>
      </c>
      <c r="M39" s="13">
        <v>0.2</v>
      </c>
      <c r="P39" s="12" t="s">
        <v>14</v>
      </c>
      <c r="Q39" s="12"/>
      <c r="R39" s="12"/>
      <c r="T39">
        <f t="shared" si="2"/>
        <v>0.51</v>
      </c>
      <c r="U39">
        <f t="shared" si="0"/>
        <v>1.35</v>
      </c>
      <c r="V39">
        <f t="shared" si="1"/>
        <v>0.84000000000000008</v>
      </c>
    </row>
    <row r="40" spans="1:22">
      <c r="A40" s="12">
        <v>40</v>
      </c>
      <c r="B40" s="12">
        <v>-40</v>
      </c>
      <c r="C40" s="11">
        <v>43.057162405751079</v>
      </c>
      <c r="D40" s="11">
        <v>-35.633919603939674</v>
      </c>
      <c r="E40" s="11"/>
      <c r="F40" s="10">
        <v>709</v>
      </c>
      <c r="G40" s="12" t="s">
        <v>51</v>
      </c>
      <c r="H40" s="13"/>
      <c r="I40" s="14">
        <v>0.51</v>
      </c>
      <c r="J40" s="14"/>
      <c r="K40" s="14">
        <v>7.1</v>
      </c>
      <c r="L40" s="13">
        <v>1.9</v>
      </c>
      <c r="M40" s="13">
        <v>1.6</v>
      </c>
      <c r="P40" s="12" t="s">
        <v>14</v>
      </c>
      <c r="Q40" s="12"/>
      <c r="R40" s="12"/>
      <c r="T40">
        <f t="shared" si="2"/>
        <v>0.51</v>
      </c>
      <c r="U40">
        <f t="shared" si="0"/>
        <v>0.71</v>
      </c>
      <c r="V40">
        <f t="shared" si="1"/>
        <v>0.19999999999999996</v>
      </c>
    </row>
    <row r="41" spans="1:22">
      <c r="A41" s="9">
        <v>0</v>
      </c>
      <c r="B41" s="9">
        <v>0</v>
      </c>
      <c r="C41" s="11">
        <v>4.9059474370510188</v>
      </c>
      <c r="D41" s="11">
        <v>8.7299100481017451</v>
      </c>
      <c r="E41" s="11"/>
      <c r="F41" s="10">
        <v>13</v>
      </c>
      <c r="G41" s="12" t="s">
        <v>13</v>
      </c>
      <c r="H41" s="13"/>
      <c r="I41" s="14">
        <v>0.54</v>
      </c>
      <c r="J41" s="14"/>
      <c r="K41" s="14">
        <v>5.9</v>
      </c>
      <c r="L41" s="13">
        <v>1.7</v>
      </c>
      <c r="M41" s="13">
        <v>0.6</v>
      </c>
      <c r="P41" s="12" t="s">
        <v>14</v>
      </c>
      <c r="Q41" s="12"/>
      <c r="R41" s="12"/>
      <c r="T41">
        <f t="shared" si="2"/>
        <v>0.54</v>
      </c>
      <c r="U41">
        <f t="shared" si="0"/>
        <v>0.59000000000000008</v>
      </c>
      <c r="V41">
        <f t="shared" si="1"/>
        <v>5.0000000000000044E-2</v>
      </c>
    </row>
    <row r="42" spans="1:22">
      <c r="A42" s="12">
        <v>20</v>
      </c>
      <c r="B42" s="12">
        <v>10</v>
      </c>
      <c r="C42" s="11">
        <v>23.803244960068398</v>
      </c>
      <c r="D42" s="11">
        <v>10.799899433500032</v>
      </c>
      <c r="E42" s="11"/>
      <c r="F42" s="10">
        <v>141</v>
      </c>
      <c r="G42" s="12" t="s">
        <v>13</v>
      </c>
      <c r="H42" s="13"/>
      <c r="I42" s="14">
        <v>0.55000000000000004</v>
      </c>
      <c r="J42" s="14"/>
      <c r="K42" s="14">
        <v>5.8</v>
      </c>
      <c r="L42" s="13">
        <v>1.5</v>
      </c>
      <c r="M42" s="13">
        <v>0.4</v>
      </c>
      <c r="P42" s="12" t="s">
        <v>14</v>
      </c>
      <c r="Q42" s="12"/>
      <c r="R42" s="12"/>
      <c r="T42">
        <f t="shared" si="2"/>
        <v>0.55000000000000004</v>
      </c>
      <c r="U42">
        <f t="shared" si="0"/>
        <v>0.57999999999999996</v>
      </c>
      <c r="V42">
        <f t="shared" si="1"/>
        <v>2.9999999999999916E-2</v>
      </c>
    </row>
    <row r="43" spans="1:22">
      <c r="A43" s="12">
        <v>30</v>
      </c>
      <c r="B43" s="12">
        <v>0</v>
      </c>
      <c r="C43" s="11">
        <v>37.787935082170875</v>
      </c>
      <c r="D43" s="11">
        <v>9.6982970418767067</v>
      </c>
      <c r="E43" s="11"/>
      <c r="F43" s="12">
        <v>242</v>
      </c>
      <c r="G43" s="12" t="s">
        <v>11</v>
      </c>
      <c r="H43" s="13"/>
      <c r="I43" s="14">
        <v>0.55000000000000004</v>
      </c>
      <c r="J43" s="14"/>
      <c r="K43" s="14">
        <v>11.6</v>
      </c>
      <c r="L43" s="13">
        <v>1.6</v>
      </c>
      <c r="M43" s="13">
        <v>0.1</v>
      </c>
      <c r="P43" s="12" t="s">
        <v>14</v>
      </c>
      <c r="Q43" s="12"/>
      <c r="R43" s="12"/>
      <c r="T43">
        <f t="shared" si="2"/>
        <v>0.55000000000000004</v>
      </c>
      <c r="U43">
        <f t="shared" si="0"/>
        <v>1.1599999999999999</v>
      </c>
      <c r="V43">
        <f t="shared" si="1"/>
        <v>0.60999999999999988</v>
      </c>
    </row>
    <row r="44" spans="1:22">
      <c r="A44" s="12">
        <v>40</v>
      </c>
      <c r="B44" s="12">
        <v>30</v>
      </c>
      <c r="C44" s="11">
        <v>48.923210114886899</v>
      </c>
      <c r="D44" s="11">
        <v>30.400201900908641</v>
      </c>
      <c r="E44" s="11"/>
      <c r="F44" s="10">
        <v>327</v>
      </c>
      <c r="G44" s="12" t="s">
        <v>30</v>
      </c>
      <c r="H44" s="13"/>
      <c r="I44" s="14">
        <v>0.56000000000000005</v>
      </c>
      <c r="J44" s="14"/>
      <c r="K44" s="14">
        <v>9.1</v>
      </c>
      <c r="L44" s="13">
        <v>1.7</v>
      </c>
      <c r="M44" s="13">
        <v>0.7</v>
      </c>
      <c r="P44" s="12" t="s">
        <v>14</v>
      </c>
      <c r="Q44" s="12"/>
      <c r="R44" s="12"/>
      <c r="T44">
        <f t="shared" si="2"/>
        <v>0.56000000000000005</v>
      </c>
      <c r="U44">
        <f t="shared" si="0"/>
        <v>0.90999999999999992</v>
      </c>
      <c r="V44">
        <f t="shared" si="1"/>
        <v>0.34999999999999987</v>
      </c>
    </row>
    <row r="45" spans="1:22">
      <c r="A45" s="12">
        <v>40</v>
      </c>
      <c r="B45" s="12">
        <v>-50</v>
      </c>
      <c r="C45" s="11">
        <v>45.530277221602518</v>
      </c>
      <c r="D45" s="11">
        <v>-41.054956801117626</v>
      </c>
      <c r="E45" s="11"/>
      <c r="F45" s="10">
        <v>829</v>
      </c>
      <c r="G45" s="12" t="s">
        <v>11</v>
      </c>
      <c r="H45" s="13"/>
      <c r="I45" s="14">
        <v>0.56000000000000005</v>
      </c>
      <c r="J45" s="14"/>
      <c r="K45" s="14">
        <v>10</v>
      </c>
      <c r="L45" s="13">
        <v>1.4</v>
      </c>
      <c r="M45" s="13">
        <v>0.2</v>
      </c>
      <c r="P45" s="12" t="s">
        <v>14</v>
      </c>
      <c r="Q45" s="12"/>
      <c r="R45" s="12"/>
      <c r="T45">
        <f t="shared" si="2"/>
        <v>0.56000000000000005</v>
      </c>
      <c r="U45">
        <f t="shared" si="0"/>
        <v>1</v>
      </c>
      <c r="V45">
        <f t="shared" si="1"/>
        <v>0.43999999999999995</v>
      </c>
    </row>
    <row r="46" spans="1:22">
      <c r="A46" s="9">
        <v>0</v>
      </c>
      <c r="B46" s="12">
        <v>30</v>
      </c>
      <c r="C46" s="11">
        <v>1.087553511959648</v>
      </c>
      <c r="D46" s="11">
        <v>30.011100207201217</v>
      </c>
      <c r="E46" s="11"/>
      <c r="F46" s="10">
        <v>51</v>
      </c>
      <c r="G46" s="12" t="s">
        <v>13</v>
      </c>
      <c r="H46" s="13"/>
      <c r="I46" s="14">
        <v>0.56999999999999995</v>
      </c>
      <c r="J46" s="14"/>
      <c r="K46" s="14">
        <v>11.5</v>
      </c>
      <c r="L46" s="13">
        <v>2</v>
      </c>
      <c r="M46" s="13">
        <v>0.5</v>
      </c>
      <c r="P46" s="12" t="s">
        <v>14</v>
      </c>
      <c r="Q46" s="12"/>
      <c r="R46" s="12"/>
      <c r="T46">
        <f t="shared" si="2"/>
        <v>0.56999999999999995</v>
      </c>
      <c r="U46">
        <f t="shared" si="0"/>
        <v>1.1499999999999999</v>
      </c>
      <c r="V46">
        <f t="shared" si="1"/>
        <v>0.57999999999999996</v>
      </c>
    </row>
    <row r="47" spans="1:22">
      <c r="A47" s="12">
        <v>20</v>
      </c>
      <c r="B47" s="12">
        <v>-30</v>
      </c>
      <c r="C47" s="11">
        <v>27.649205185971031</v>
      </c>
      <c r="D47" s="11">
        <v>-29.791765098404603</v>
      </c>
      <c r="E47" s="11"/>
      <c r="F47" s="10">
        <v>653</v>
      </c>
      <c r="G47" s="12" t="s">
        <v>11</v>
      </c>
      <c r="H47" s="13"/>
      <c r="I47" s="14">
        <v>0.56999999999999995</v>
      </c>
      <c r="J47" s="14"/>
      <c r="K47" s="14">
        <v>13.7</v>
      </c>
      <c r="L47" s="13">
        <v>1.8</v>
      </c>
      <c r="M47" s="13">
        <v>0.4</v>
      </c>
      <c r="P47" s="12" t="s">
        <v>14</v>
      </c>
      <c r="Q47" s="12"/>
      <c r="R47" s="12"/>
      <c r="T47">
        <f t="shared" si="2"/>
        <v>0.56999999999999995</v>
      </c>
      <c r="U47">
        <f t="shared" si="0"/>
        <v>1.3699999999999999</v>
      </c>
      <c r="V47">
        <f t="shared" si="1"/>
        <v>0.79999999999999993</v>
      </c>
    </row>
    <row r="48" spans="1:22">
      <c r="A48" s="12">
        <v>20</v>
      </c>
      <c r="B48" s="12">
        <v>-30</v>
      </c>
      <c r="C48" s="11">
        <v>27.530935199189845</v>
      </c>
      <c r="D48" s="11">
        <v>-29.411515234509281</v>
      </c>
      <c r="E48" s="11"/>
      <c r="F48" s="12">
        <v>654</v>
      </c>
      <c r="G48" s="12" t="s">
        <v>21</v>
      </c>
      <c r="H48" s="13"/>
      <c r="I48" s="14">
        <v>0.56999999999999995</v>
      </c>
      <c r="J48" s="14"/>
      <c r="K48" s="14">
        <v>7.8</v>
      </c>
      <c r="L48" s="13">
        <v>1.9</v>
      </c>
      <c r="M48" s="13">
        <v>0.9</v>
      </c>
      <c r="P48" s="12" t="s">
        <v>14</v>
      </c>
      <c r="Q48" s="12"/>
      <c r="R48" s="12"/>
      <c r="T48">
        <f t="shared" si="2"/>
        <v>0.56999999999999995</v>
      </c>
      <c r="U48">
        <f t="shared" si="0"/>
        <v>0.78</v>
      </c>
      <c r="V48">
        <f t="shared" si="1"/>
        <v>0.21000000000000008</v>
      </c>
    </row>
    <row r="49" spans="1:23">
      <c r="A49" s="9">
        <v>0</v>
      </c>
      <c r="B49" s="12">
        <v>40</v>
      </c>
      <c r="C49" s="11">
        <v>9.9747237977389585</v>
      </c>
      <c r="D49" s="11">
        <v>48.323144662228238</v>
      </c>
      <c r="E49" s="11"/>
      <c r="F49" s="10">
        <v>71</v>
      </c>
      <c r="G49" s="12" t="s">
        <v>11</v>
      </c>
      <c r="H49" s="13"/>
      <c r="I49" s="14">
        <v>0.6</v>
      </c>
      <c r="J49" s="14"/>
      <c r="K49" s="14">
        <v>8.1999999999999993</v>
      </c>
      <c r="L49" s="13">
        <v>1.7</v>
      </c>
      <c r="M49" s="13">
        <v>0.2</v>
      </c>
      <c r="P49" s="12" t="s">
        <v>14</v>
      </c>
      <c r="Q49" s="12"/>
      <c r="R49" s="12"/>
      <c r="T49">
        <f t="shared" si="2"/>
        <v>0.6</v>
      </c>
      <c r="U49">
        <f t="shared" si="0"/>
        <v>0.82</v>
      </c>
      <c r="V49">
        <f t="shared" si="1"/>
        <v>0.21999999999999997</v>
      </c>
    </row>
    <row r="50" spans="1:23">
      <c r="A50" s="12">
        <v>40</v>
      </c>
      <c r="B50" s="12">
        <v>40</v>
      </c>
      <c r="C50" s="11">
        <v>48.783013822605028</v>
      </c>
      <c r="D50" s="11">
        <v>29.943368126254718</v>
      </c>
      <c r="E50" s="11"/>
      <c r="F50" s="12">
        <v>318</v>
      </c>
      <c r="G50" s="12" t="s">
        <v>30</v>
      </c>
      <c r="H50" s="13"/>
      <c r="I50" s="14">
        <v>0.6</v>
      </c>
      <c r="J50" s="14"/>
      <c r="K50" s="14">
        <v>6.9</v>
      </c>
      <c r="L50" s="13">
        <v>1.1000000000000001</v>
      </c>
      <c r="M50" s="13">
        <v>0.3</v>
      </c>
      <c r="N50" s="32"/>
      <c r="O50" s="32"/>
      <c r="P50" s="12" t="s">
        <v>14</v>
      </c>
      <c r="Q50" s="12"/>
      <c r="R50" s="12"/>
      <c r="T50">
        <f t="shared" si="2"/>
        <v>0.6</v>
      </c>
      <c r="U50">
        <f t="shared" si="0"/>
        <v>0.69000000000000006</v>
      </c>
      <c r="V50">
        <f t="shared" si="1"/>
        <v>9.000000000000008E-2</v>
      </c>
    </row>
    <row r="51" spans="1:23">
      <c r="A51" s="12">
        <v>10</v>
      </c>
      <c r="B51" s="12">
        <v>10</v>
      </c>
      <c r="C51" s="11">
        <v>18.06974470609142</v>
      </c>
      <c r="D51" s="11">
        <v>14.418056176477329</v>
      </c>
      <c r="E51" s="11"/>
      <c r="F51" s="10">
        <v>107</v>
      </c>
      <c r="G51" s="12" t="s">
        <v>21</v>
      </c>
      <c r="H51" s="13"/>
      <c r="I51" s="14">
        <v>0.61</v>
      </c>
      <c r="J51" s="14"/>
      <c r="K51" s="14">
        <v>8.5</v>
      </c>
      <c r="L51" s="13">
        <v>2</v>
      </c>
      <c r="M51" s="13">
        <v>0.9</v>
      </c>
      <c r="P51" s="12" t="s">
        <v>14</v>
      </c>
      <c r="Q51" s="12"/>
      <c r="R51" s="12"/>
      <c r="T51">
        <f t="shared" si="2"/>
        <v>0.61</v>
      </c>
      <c r="U51">
        <f t="shared" si="0"/>
        <v>0.85</v>
      </c>
      <c r="V51">
        <f t="shared" si="1"/>
        <v>0.24</v>
      </c>
    </row>
    <row r="52" spans="1:23">
      <c r="A52" s="12">
        <v>30</v>
      </c>
      <c r="B52" s="12">
        <v>-20</v>
      </c>
      <c r="C52" s="11">
        <v>30.241353318909049</v>
      </c>
      <c r="D52" s="11">
        <v>-13.002151720621825</v>
      </c>
      <c r="E52" s="11"/>
      <c r="F52" s="12">
        <v>528</v>
      </c>
      <c r="G52" s="12" t="s">
        <v>13</v>
      </c>
      <c r="H52" s="13"/>
      <c r="I52" s="14">
        <v>0.61</v>
      </c>
      <c r="J52" s="14"/>
      <c r="K52" s="14">
        <v>7.2</v>
      </c>
      <c r="L52" s="13">
        <v>1.3</v>
      </c>
      <c r="M52" s="13">
        <v>1</v>
      </c>
      <c r="P52" s="12" t="s">
        <v>14</v>
      </c>
      <c r="Q52" s="12"/>
      <c r="R52" s="12"/>
      <c r="T52">
        <f t="shared" si="2"/>
        <v>0.61</v>
      </c>
      <c r="U52">
        <f t="shared" si="0"/>
        <v>0.72</v>
      </c>
      <c r="V52">
        <f t="shared" si="1"/>
        <v>0.10999999999999999</v>
      </c>
    </row>
    <row r="53" spans="1:23">
      <c r="A53" s="9">
        <v>0</v>
      </c>
      <c r="B53" s="12">
        <v>20</v>
      </c>
      <c r="C53" s="11">
        <v>8.9461265962646888</v>
      </c>
      <c r="D53" s="11">
        <v>22.230519877428932</v>
      </c>
      <c r="E53" s="11"/>
      <c r="F53" s="10">
        <v>35</v>
      </c>
      <c r="G53" s="12" t="s">
        <v>13</v>
      </c>
      <c r="H53" s="13"/>
      <c r="I53" s="14">
        <v>0.62</v>
      </c>
      <c r="J53" s="14"/>
      <c r="K53" s="14">
        <v>10.6</v>
      </c>
      <c r="L53" s="13">
        <v>2.1</v>
      </c>
      <c r="M53" s="13">
        <v>0.5</v>
      </c>
      <c r="P53" s="12" t="s">
        <v>14</v>
      </c>
      <c r="Q53" s="12"/>
      <c r="R53" s="12"/>
      <c r="T53">
        <f t="shared" si="2"/>
        <v>0.62</v>
      </c>
      <c r="U53">
        <f t="shared" si="0"/>
        <v>1.06</v>
      </c>
      <c r="V53">
        <f t="shared" si="1"/>
        <v>0.44000000000000006</v>
      </c>
    </row>
    <row r="54" spans="1:23">
      <c r="A54" s="9">
        <v>0</v>
      </c>
      <c r="B54" s="12">
        <v>30</v>
      </c>
      <c r="C54" s="11">
        <v>5.6418608251179263</v>
      </c>
      <c r="D54" s="11">
        <v>31.120715194177023</v>
      </c>
      <c r="E54" s="11"/>
      <c r="F54" s="12">
        <v>58</v>
      </c>
      <c r="G54" s="12" t="s">
        <v>11</v>
      </c>
      <c r="H54" s="13"/>
      <c r="I54" s="14">
        <v>0.62</v>
      </c>
      <c r="J54" s="14"/>
      <c r="K54" s="14">
        <v>13</v>
      </c>
      <c r="L54" s="13">
        <v>1.8</v>
      </c>
      <c r="M54" s="13">
        <v>0.1</v>
      </c>
      <c r="P54" s="12" t="s">
        <v>14</v>
      </c>
      <c r="Q54" s="12"/>
      <c r="R54" s="12"/>
      <c r="T54">
        <f t="shared" si="2"/>
        <v>0.62</v>
      </c>
      <c r="U54">
        <f t="shared" si="0"/>
        <v>1.3</v>
      </c>
      <c r="V54">
        <f t="shared" si="1"/>
        <v>0.68</v>
      </c>
    </row>
    <row r="55" spans="1:23">
      <c r="A55" s="12">
        <v>20</v>
      </c>
      <c r="B55" s="12">
        <v>10</v>
      </c>
      <c r="C55" s="11">
        <v>24.042660540170019</v>
      </c>
      <c r="D55" s="11">
        <v>10.755324065640806</v>
      </c>
      <c r="E55" s="11"/>
      <c r="F55" s="10">
        <v>137</v>
      </c>
      <c r="G55" s="12" t="s">
        <v>13</v>
      </c>
      <c r="H55" s="13"/>
      <c r="I55" s="14">
        <v>0.63</v>
      </c>
      <c r="J55" s="14"/>
      <c r="K55" s="14">
        <v>12.7</v>
      </c>
      <c r="L55" s="13">
        <v>2.2999999999999998</v>
      </c>
      <c r="M55" s="13">
        <v>0.6</v>
      </c>
      <c r="P55" s="12" t="s">
        <v>14</v>
      </c>
      <c r="Q55" s="12"/>
      <c r="R55" s="12"/>
      <c r="T55">
        <f t="shared" si="2"/>
        <v>0.63</v>
      </c>
      <c r="U55">
        <f t="shared" si="0"/>
        <v>1.27</v>
      </c>
      <c r="V55">
        <f t="shared" si="1"/>
        <v>0.64</v>
      </c>
    </row>
    <row r="56" spans="1:23">
      <c r="A56" s="12">
        <v>20</v>
      </c>
      <c r="B56" s="12">
        <v>20</v>
      </c>
      <c r="C56" s="11">
        <v>26.373923925033939</v>
      </c>
      <c r="D56" s="11">
        <v>20.920997717978985</v>
      </c>
      <c r="E56" s="11"/>
      <c r="F56" s="10">
        <v>163</v>
      </c>
      <c r="G56" s="12" t="s">
        <v>21</v>
      </c>
      <c r="H56" s="13"/>
      <c r="I56" s="14">
        <v>0.63</v>
      </c>
      <c r="J56" s="14"/>
      <c r="K56" s="14">
        <v>9.5</v>
      </c>
      <c r="L56" s="13">
        <v>2</v>
      </c>
      <c r="M56" s="13">
        <v>0.6</v>
      </c>
      <c r="P56" s="12" t="s">
        <v>14</v>
      </c>
      <c r="Q56" s="12"/>
      <c r="R56" s="12"/>
      <c r="T56">
        <f t="shared" si="2"/>
        <v>0.63</v>
      </c>
      <c r="U56">
        <f t="shared" si="0"/>
        <v>0.95</v>
      </c>
      <c r="V56">
        <f t="shared" si="1"/>
        <v>0.31999999999999995</v>
      </c>
      <c r="W56" s="27"/>
    </row>
    <row r="57" spans="1:23">
      <c r="A57" s="12">
        <v>40</v>
      </c>
      <c r="B57" s="12">
        <v>30</v>
      </c>
      <c r="C57" s="11">
        <v>44.901832820608057</v>
      </c>
      <c r="D57" s="11">
        <v>34.030813170039757</v>
      </c>
      <c r="E57" s="11"/>
      <c r="F57" s="10">
        <v>341</v>
      </c>
      <c r="G57" s="12" t="s">
        <v>11</v>
      </c>
      <c r="H57" s="13"/>
      <c r="I57" s="14">
        <v>0.63</v>
      </c>
      <c r="J57" s="14"/>
      <c r="K57" s="14">
        <v>13.9</v>
      </c>
      <c r="L57" s="13">
        <v>1.4</v>
      </c>
      <c r="M57" s="13">
        <v>0.2</v>
      </c>
      <c r="P57" s="12" t="s">
        <v>14</v>
      </c>
      <c r="Q57" s="12"/>
      <c r="R57" s="12"/>
      <c r="T57">
        <f t="shared" si="2"/>
        <v>0.63</v>
      </c>
      <c r="U57">
        <f t="shared" si="0"/>
        <v>1.3900000000000001</v>
      </c>
      <c r="V57">
        <f t="shared" si="1"/>
        <v>0.76000000000000012</v>
      </c>
    </row>
    <row r="58" spans="1:23">
      <c r="A58" s="12">
        <v>20</v>
      </c>
      <c r="B58" s="12">
        <v>-20</v>
      </c>
      <c r="C58" s="11">
        <v>27.136801048343358</v>
      </c>
      <c r="D58" s="11">
        <v>-19.380006009065209</v>
      </c>
      <c r="E58" s="11"/>
      <c r="F58" s="12">
        <v>566</v>
      </c>
      <c r="G58" s="12" t="s">
        <v>43</v>
      </c>
      <c r="H58" s="13"/>
      <c r="I58" s="14">
        <v>0.63</v>
      </c>
      <c r="J58" s="14"/>
      <c r="K58" s="14">
        <v>7.8</v>
      </c>
      <c r="L58" s="13">
        <v>1.8</v>
      </c>
      <c r="M58" s="13">
        <v>0.9</v>
      </c>
      <c r="P58" s="12" t="s">
        <v>14</v>
      </c>
      <c r="Q58" s="12"/>
      <c r="R58" s="12"/>
      <c r="T58">
        <f t="shared" si="2"/>
        <v>0.63</v>
      </c>
      <c r="U58">
        <f t="shared" si="0"/>
        <v>0.78</v>
      </c>
      <c r="V58">
        <f t="shared" si="1"/>
        <v>0.15000000000000002</v>
      </c>
    </row>
    <row r="59" spans="1:23">
      <c r="A59" s="9">
        <v>0</v>
      </c>
      <c r="B59" s="12">
        <v>20</v>
      </c>
      <c r="C59" s="11">
        <v>1.2251623958207458</v>
      </c>
      <c r="D59" s="11">
        <v>21.399491730546046</v>
      </c>
      <c r="E59" s="11"/>
      <c r="F59" s="10">
        <v>27</v>
      </c>
      <c r="G59" s="12" t="s">
        <v>11</v>
      </c>
      <c r="H59" s="13"/>
      <c r="I59" s="14">
        <v>0.64</v>
      </c>
      <c r="J59" s="14" t="s">
        <v>70</v>
      </c>
      <c r="K59" s="14"/>
      <c r="L59" s="13">
        <v>1.7</v>
      </c>
      <c r="M59" s="13"/>
      <c r="P59" s="12" t="s">
        <v>12</v>
      </c>
      <c r="Q59" s="12"/>
      <c r="R59" s="12"/>
      <c r="T59">
        <f t="shared" si="2"/>
        <v>0.64</v>
      </c>
      <c r="U59" t="str">
        <f t="shared" si="0"/>
        <v>dead</v>
      </c>
      <c r="V59" t="e">
        <f t="shared" si="1"/>
        <v>#VALUE!</v>
      </c>
    </row>
    <row r="60" spans="1:23">
      <c r="A60" s="12">
        <v>40</v>
      </c>
      <c r="B60" s="12">
        <v>-20</v>
      </c>
      <c r="C60" s="11">
        <v>42.104570371554374</v>
      </c>
      <c r="D60" s="11">
        <v>-19.816943697056402</v>
      </c>
      <c r="E60" s="11"/>
      <c r="F60" s="10">
        <v>511</v>
      </c>
      <c r="G60" s="12" t="s">
        <v>11</v>
      </c>
      <c r="H60" s="13"/>
      <c r="I60" s="14">
        <v>0.64</v>
      </c>
      <c r="J60" s="14" t="s">
        <v>70</v>
      </c>
      <c r="K60" s="14"/>
      <c r="L60" s="13">
        <v>1.9</v>
      </c>
      <c r="M60" s="13">
        <v>0</v>
      </c>
      <c r="P60" s="12" t="s">
        <v>14</v>
      </c>
      <c r="Q60" s="12"/>
      <c r="R60" s="12"/>
      <c r="T60">
        <f t="shared" si="2"/>
        <v>0.64</v>
      </c>
      <c r="U60" t="str">
        <f t="shared" si="0"/>
        <v>dead</v>
      </c>
      <c r="V60" t="e">
        <f t="shared" si="1"/>
        <v>#VALUE!</v>
      </c>
    </row>
    <row r="61" spans="1:23">
      <c r="A61" s="12">
        <v>0</v>
      </c>
      <c r="B61" s="12">
        <v>-30</v>
      </c>
      <c r="C61" s="11">
        <v>4.6665728265819304</v>
      </c>
      <c r="D61" s="11">
        <v>-20.335313157045952</v>
      </c>
      <c r="E61" s="11"/>
      <c r="F61" s="12">
        <v>602</v>
      </c>
      <c r="G61" s="12" t="s">
        <v>11</v>
      </c>
      <c r="H61" s="13"/>
      <c r="I61" s="14">
        <v>0.64</v>
      </c>
      <c r="J61" s="14"/>
      <c r="K61" s="14">
        <v>10</v>
      </c>
      <c r="L61" s="13">
        <v>1.7</v>
      </c>
      <c r="M61" s="13">
        <v>0.5</v>
      </c>
      <c r="P61" s="12" t="s">
        <v>14</v>
      </c>
      <c r="Q61" s="12"/>
      <c r="R61" s="12"/>
      <c r="T61">
        <f t="shared" si="2"/>
        <v>0.64</v>
      </c>
      <c r="U61">
        <f t="shared" si="0"/>
        <v>1</v>
      </c>
      <c r="V61">
        <f t="shared" si="1"/>
        <v>0.36</v>
      </c>
    </row>
    <row r="62" spans="1:23">
      <c r="A62" s="12">
        <v>10</v>
      </c>
      <c r="B62" s="12">
        <v>0</v>
      </c>
      <c r="C62" s="11">
        <v>16.93600320004315</v>
      </c>
      <c r="D62" s="11">
        <v>5.5275965491209815</v>
      </c>
      <c r="E62" s="11"/>
      <c r="F62" s="10">
        <v>115</v>
      </c>
      <c r="G62" s="12" t="s">
        <v>11</v>
      </c>
      <c r="H62" s="13"/>
      <c r="I62" s="14">
        <v>0.65</v>
      </c>
      <c r="J62" s="14"/>
      <c r="K62" s="14">
        <v>12.5</v>
      </c>
      <c r="L62" s="13">
        <v>1.8</v>
      </c>
      <c r="M62" s="13">
        <v>0.2</v>
      </c>
      <c r="P62" s="12" t="s">
        <v>14</v>
      </c>
      <c r="Q62" s="12"/>
      <c r="R62" s="12"/>
      <c r="T62">
        <f t="shared" si="2"/>
        <v>0.65</v>
      </c>
      <c r="U62">
        <f t="shared" si="0"/>
        <v>1.25</v>
      </c>
      <c r="V62">
        <f t="shared" si="1"/>
        <v>0.6</v>
      </c>
      <c r="W62" s="27"/>
    </row>
    <row r="63" spans="1:23">
      <c r="A63" s="12">
        <v>20</v>
      </c>
      <c r="B63" s="12">
        <v>10</v>
      </c>
      <c r="C63" s="11">
        <v>22.275538913106644</v>
      </c>
      <c r="D63" s="11">
        <v>12.646913562404759</v>
      </c>
      <c r="E63" s="11"/>
      <c r="F63" s="10">
        <v>153</v>
      </c>
      <c r="G63" s="12" t="s">
        <v>13</v>
      </c>
      <c r="H63" s="13"/>
      <c r="I63" s="14">
        <v>0.65</v>
      </c>
      <c r="J63" s="14" t="s">
        <v>70</v>
      </c>
      <c r="K63" s="14"/>
      <c r="L63" s="13">
        <v>1.3</v>
      </c>
      <c r="M63" s="13">
        <v>0.7</v>
      </c>
      <c r="P63" s="12" t="s">
        <v>14</v>
      </c>
      <c r="Q63" s="12"/>
      <c r="R63" s="12" t="s">
        <v>23</v>
      </c>
      <c r="T63">
        <f t="shared" si="2"/>
        <v>0.65</v>
      </c>
      <c r="U63" t="str">
        <f t="shared" si="0"/>
        <v>dead</v>
      </c>
      <c r="V63" t="e">
        <f t="shared" si="1"/>
        <v>#VALUE!</v>
      </c>
    </row>
    <row r="64" spans="1:23">
      <c r="A64" s="12">
        <v>20</v>
      </c>
      <c r="B64" s="12">
        <v>-20</v>
      </c>
      <c r="C64" s="11">
        <v>27.340618084048792</v>
      </c>
      <c r="D64" s="11">
        <v>-13.250376825244652</v>
      </c>
      <c r="E64" s="11"/>
      <c r="F64" s="10">
        <v>545</v>
      </c>
      <c r="G64" s="12" t="s">
        <v>13</v>
      </c>
      <c r="H64" s="13"/>
      <c r="I64" s="14">
        <v>0.65</v>
      </c>
      <c r="J64" s="14"/>
      <c r="K64" s="14">
        <v>11.8</v>
      </c>
      <c r="L64" s="13">
        <v>2.1</v>
      </c>
      <c r="M64" s="13">
        <v>1.1000000000000001</v>
      </c>
      <c r="P64" s="12" t="s">
        <v>14</v>
      </c>
      <c r="Q64" s="12"/>
      <c r="R64" s="12"/>
      <c r="T64">
        <f t="shared" si="2"/>
        <v>0.65</v>
      </c>
      <c r="U64">
        <f t="shared" si="0"/>
        <v>1.1800000000000002</v>
      </c>
      <c r="V64">
        <f t="shared" si="1"/>
        <v>0.53000000000000014</v>
      </c>
    </row>
    <row r="65" spans="1:23">
      <c r="A65" s="12">
        <v>30</v>
      </c>
      <c r="B65" s="12">
        <v>-20</v>
      </c>
      <c r="C65" s="11">
        <v>36.71062998926508</v>
      </c>
      <c r="D65" s="11">
        <v>-14.445328439213212</v>
      </c>
      <c r="E65" s="11"/>
      <c r="F65" s="10">
        <v>519</v>
      </c>
      <c r="G65" s="12" t="s">
        <v>11</v>
      </c>
      <c r="H65" s="13"/>
      <c r="I65" s="14">
        <v>0.67</v>
      </c>
      <c r="J65" s="14"/>
      <c r="K65" s="14">
        <v>11.3</v>
      </c>
      <c r="L65" s="13">
        <v>1.7</v>
      </c>
      <c r="M65" s="13">
        <v>0.1</v>
      </c>
      <c r="P65" s="12" t="s">
        <v>14</v>
      </c>
      <c r="Q65" s="12"/>
      <c r="R65" s="12"/>
      <c r="T65">
        <f t="shared" si="2"/>
        <v>0.67</v>
      </c>
      <c r="U65">
        <f t="shared" si="0"/>
        <v>1.1300000000000001</v>
      </c>
      <c r="V65">
        <f t="shared" si="1"/>
        <v>0.46000000000000008</v>
      </c>
    </row>
    <row r="66" spans="1:23">
      <c r="A66" s="12">
        <v>10</v>
      </c>
      <c r="B66" s="12">
        <v>20</v>
      </c>
      <c r="C66" s="11">
        <v>19.555892102460898</v>
      </c>
      <c r="D66" s="11">
        <v>28.665978541221271</v>
      </c>
      <c r="E66" s="11"/>
      <c r="F66" s="10">
        <v>93</v>
      </c>
      <c r="G66" s="12" t="s">
        <v>13</v>
      </c>
      <c r="H66" s="13"/>
      <c r="I66" s="14">
        <v>0.69</v>
      </c>
      <c r="J66" s="14"/>
      <c r="K66" s="14">
        <v>7.2</v>
      </c>
      <c r="L66" s="13">
        <v>1.6</v>
      </c>
      <c r="M66" s="13">
        <v>0.7</v>
      </c>
      <c r="P66" s="12" t="s">
        <v>14</v>
      </c>
      <c r="Q66" s="12"/>
      <c r="R66" s="12"/>
      <c r="T66">
        <f t="shared" si="2"/>
        <v>0.69</v>
      </c>
      <c r="U66">
        <f t="shared" ref="U66:U129" si="3">IF(J66="dead","dead",J66/PI()+K66/10)</f>
        <v>0.72</v>
      </c>
      <c r="V66">
        <f t="shared" ref="V66:V129" si="4">U66-T66</f>
        <v>3.0000000000000027E-2</v>
      </c>
    </row>
    <row r="67" spans="1:23">
      <c r="A67" s="12">
        <v>20</v>
      </c>
      <c r="B67" s="12">
        <v>20</v>
      </c>
      <c r="C67" s="11">
        <v>25.099509798458744</v>
      </c>
      <c r="D67" s="11">
        <v>23.482844796581301</v>
      </c>
      <c r="E67" s="11"/>
      <c r="F67" s="12">
        <v>166</v>
      </c>
      <c r="G67" s="12" t="s">
        <v>11</v>
      </c>
      <c r="H67" s="13"/>
      <c r="I67" s="14">
        <v>0.69</v>
      </c>
      <c r="J67" s="14" t="s">
        <v>70</v>
      </c>
      <c r="K67" s="14"/>
      <c r="L67" s="13">
        <v>1.8</v>
      </c>
      <c r="M67" s="13"/>
      <c r="P67" s="12" t="s">
        <v>12</v>
      </c>
      <c r="Q67" s="12"/>
      <c r="R67" s="12"/>
      <c r="S67" t="s">
        <v>78</v>
      </c>
      <c r="T67">
        <f t="shared" si="2"/>
        <v>0.69</v>
      </c>
      <c r="U67" t="str">
        <f t="shared" si="3"/>
        <v>dead</v>
      </c>
      <c r="V67" t="e">
        <f t="shared" si="4"/>
        <v>#VALUE!</v>
      </c>
    </row>
    <row r="68" spans="1:23">
      <c r="A68" s="12">
        <v>30</v>
      </c>
      <c r="B68" s="12">
        <v>-10</v>
      </c>
      <c r="C68" s="11">
        <v>38.88133355192322</v>
      </c>
      <c r="D68" s="11">
        <v>-4.1357451131497296</v>
      </c>
      <c r="E68" s="11"/>
      <c r="F68" s="12">
        <v>442</v>
      </c>
      <c r="G68" s="12" t="s">
        <v>13</v>
      </c>
      <c r="H68" s="13"/>
      <c r="I68" s="14">
        <v>0.69</v>
      </c>
      <c r="J68" s="14" t="s">
        <v>70</v>
      </c>
      <c r="K68" s="14"/>
      <c r="L68" s="13">
        <v>1.4</v>
      </c>
      <c r="M68" s="13">
        <v>1</v>
      </c>
      <c r="P68" s="12" t="s">
        <v>14</v>
      </c>
      <c r="Q68" s="12"/>
      <c r="R68" s="12"/>
      <c r="T68">
        <f t="shared" si="2"/>
        <v>0.69</v>
      </c>
      <c r="U68" t="str">
        <f t="shared" si="3"/>
        <v>dead</v>
      </c>
      <c r="V68" t="e">
        <f t="shared" si="4"/>
        <v>#VALUE!</v>
      </c>
    </row>
    <row r="69" spans="1:23">
      <c r="A69" s="12">
        <v>40</v>
      </c>
      <c r="B69" s="12">
        <v>-30</v>
      </c>
      <c r="C69" s="11">
        <v>42.444352749424425</v>
      </c>
      <c r="D69" s="11">
        <v>-21.066857369985712</v>
      </c>
      <c r="E69" s="11"/>
      <c r="F69" s="12">
        <v>694</v>
      </c>
      <c r="G69" s="12" t="s">
        <v>11</v>
      </c>
      <c r="H69" s="13"/>
      <c r="I69" s="14">
        <v>0.69</v>
      </c>
      <c r="J69" s="14"/>
      <c r="K69" s="14">
        <v>14.2</v>
      </c>
      <c r="L69" s="13">
        <v>2</v>
      </c>
      <c r="M69" s="13">
        <v>0</v>
      </c>
      <c r="P69" s="12" t="s">
        <v>14</v>
      </c>
      <c r="Q69" s="12"/>
      <c r="R69" s="12"/>
      <c r="S69" t="s">
        <v>125</v>
      </c>
      <c r="T69">
        <f t="shared" ref="T69:T132" si="5">H69/PI()+I69</f>
        <v>0.69</v>
      </c>
      <c r="U69">
        <f t="shared" si="3"/>
        <v>1.42</v>
      </c>
      <c r="V69">
        <f t="shared" si="4"/>
        <v>0.73</v>
      </c>
    </row>
    <row r="70" spans="1:23">
      <c r="A70" s="12">
        <v>20</v>
      </c>
      <c r="B70" s="12">
        <v>10</v>
      </c>
      <c r="C70" s="11">
        <v>22.0218331717933</v>
      </c>
      <c r="D70" s="11">
        <v>12.081998618831085</v>
      </c>
      <c r="E70" s="11"/>
      <c r="F70" s="12">
        <v>150</v>
      </c>
      <c r="G70" s="12" t="s">
        <v>13</v>
      </c>
      <c r="H70" s="13"/>
      <c r="I70" s="14">
        <v>0.7</v>
      </c>
      <c r="J70" s="14"/>
      <c r="K70" s="14">
        <v>11.1</v>
      </c>
      <c r="L70" s="13">
        <v>2</v>
      </c>
      <c r="M70" s="13">
        <v>0.6</v>
      </c>
      <c r="P70" s="12" t="s">
        <v>14</v>
      </c>
      <c r="Q70" s="12"/>
      <c r="R70" s="12"/>
      <c r="T70">
        <f t="shared" si="5"/>
        <v>0.7</v>
      </c>
      <c r="U70">
        <f t="shared" si="3"/>
        <v>1.1099999999999999</v>
      </c>
      <c r="V70">
        <f t="shared" si="4"/>
        <v>0.40999999999999992</v>
      </c>
    </row>
    <row r="71" spans="1:23">
      <c r="A71" s="12">
        <v>30</v>
      </c>
      <c r="B71" s="12">
        <v>-30</v>
      </c>
      <c r="C71" s="11">
        <v>30.913785784552751</v>
      </c>
      <c r="D71" s="11">
        <v>-26.758505422055183</v>
      </c>
      <c r="E71" s="11"/>
      <c r="F71" s="10">
        <v>667</v>
      </c>
      <c r="G71" s="12" t="s">
        <v>11</v>
      </c>
      <c r="H71" s="13"/>
      <c r="I71" s="14">
        <v>0.7</v>
      </c>
      <c r="J71" s="14" t="s">
        <v>70</v>
      </c>
      <c r="K71" s="14"/>
      <c r="L71" s="13">
        <v>2</v>
      </c>
      <c r="M71" s="13"/>
      <c r="P71" s="12" t="s">
        <v>12</v>
      </c>
      <c r="Q71" s="12"/>
      <c r="R71" s="12"/>
      <c r="T71">
        <f t="shared" si="5"/>
        <v>0.7</v>
      </c>
      <c r="U71" t="str">
        <f t="shared" si="3"/>
        <v>dead</v>
      </c>
      <c r="V71" t="e">
        <f t="shared" si="4"/>
        <v>#VALUE!</v>
      </c>
    </row>
    <row r="72" spans="1:23">
      <c r="A72" s="12">
        <v>30</v>
      </c>
      <c r="B72" s="12">
        <v>0</v>
      </c>
      <c r="C72" s="11">
        <v>33.817488071652981</v>
      </c>
      <c r="D72" s="11">
        <v>9.145595846620802</v>
      </c>
      <c r="E72" s="11"/>
      <c r="F72" s="12">
        <v>252</v>
      </c>
      <c r="G72" s="12" t="s">
        <v>13</v>
      </c>
      <c r="H72" s="13"/>
      <c r="I72" s="14">
        <v>0.73</v>
      </c>
      <c r="J72" s="14"/>
      <c r="K72" s="14">
        <v>10.8</v>
      </c>
      <c r="L72" s="13">
        <v>2.5</v>
      </c>
      <c r="M72" s="13">
        <v>0.7</v>
      </c>
      <c r="P72" s="12" t="s">
        <v>14</v>
      </c>
      <c r="Q72" s="12"/>
      <c r="R72" s="12"/>
      <c r="T72">
        <f t="shared" si="5"/>
        <v>0.73</v>
      </c>
      <c r="U72">
        <f t="shared" si="3"/>
        <v>1.08</v>
      </c>
      <c r="V72">
        <f t="shared" si="4"/>
        <v>0.35000000000000009</v>
      </c>
    </row>
    <row r="73" spans="1:23">
      <c r="A73" s="12">
        <v>0</v>
      </c>
      <c r="B73" s="12">
        <v>-20</v>
      </c>
      <c r="C73" s="11">
        <v>3.4091697728968855</v>
      </c>
      <c r="D73" s="11">
        <v>-18.835069974797381</v>
      </c>
      <c r="E73" s="11"/>
      <c r="F73" s="12">
        <v>586</v>
      </c>
      <c r="G73" s="12" t="s">
        <v>11</v>
      </c>
      <c r="H73" s="13"/>
      <c r="I73" s="14">
        <v>0.73</v>
      </c>
      <c r="J73" s="14"/>
      <c r="K73" s="14">
        <v>13.1</v>
      </c>
      <c r="L73" s="13">
        <v>1.6</v>
      </c>
      <c r="M73" s="13">
        <v>0.1</v>
      </c>
      <c r="P73" s="12" t="s">
        <v>14</v>
      </c>
      <c r="Q73" s="12"/>
      <c r="R73" s="12"/>
      <c r="T73">
        <f t="shared" si="5"/>
        <v>0.73</v>
      </c>
      <c r="U73">
        <f t="shared" si="3"/>
        <v>1.31</v>
      </c>
      <c r="V73">
        <f t="shared" si="4"/>
        <v>0.58000000000000007</v>
      </c>
    </row>
    <row r="74" spans="1:23">
      <c r="A74" s="12">
        <v>10</v>
      </c>
      <c r="B74" s="12">
        <v>-30</v>
      </c>
      <c r="C74" s="11">
        <v>11.494315595062826</v>
      </c>
      <c r="D74" s="11">
        <v>-22.19747141833485</v>
      </c>
      <c r="E74" s="11"/>
      <c r="F74" s="12">
        <v>616</v>
      </c>
      <c r="G74" s="12" t="s">
        <v>11</v>
      </c>
      <c r="H74" s="13"/>
      <c r="I74" s="14">
        <v>0.74</v>
      </c>
      <c r="J74" s="14"/>
      <c r="K74" s="14">
        <v>11.4</v>
      </c>
      <c r="L74" s="13">
        <v>1.8</v>
      </c>
      <c r="M74" s="13">
        <v>0</v>
      </c>
      <c r="P74" s="12" t="s">
        <v>14</v>
      </c>
      <c r="Q74" s="12"/>
      <c r="R74" s="12"/>
      <c r="T74">
        <f t="shared" si="5"/>
        <v>0.74</v>
      </c>
      <c r="U74">
        <f t="shared" si="3"/>
        <v>1.1400000000000001</v>
      </c>
      <c r="V74">
        <f t="shared" si="4"/>
        <v>0.40000000000000013</v>
      </c>
    </row>
    <row r="75" spans="1:23">
      <c r="A75" s="12">
        <v>30</v>
      </c>
      <c r="B75" s="12">
        <v>0</v>
      </c>
      <c r="C75" s="11">
        <v>32.51296487374573</v>
      </c>
      <c r="D75" s="11">
        <v>8.1260144024241967</v>
      </c>
      <c r="E75" s="11"/>
      <c r="F75" s="12">
        <v>254</v>
      </c>
      <c r="G75" s="12" t="s">
        <v>21</v>
      </c>
      <c r="H75" s="13"/>
      <c r="I75" s="14">
        <v>0.75</v>
      </c>
      <c r="J75" s="14"/>
      <c r="K75" s="14">
        <v>13.1</v>
      </c>
      <c r="L75" s="13">
        <v>2</v>
      </c>
      <c r="M75" s="13">
        <v>0.7</v>
      </c>
      <c r="P75" s="12" t="s">
        <v>14</v>
      </c>
      <c r="Q75" s="12"/>
      <c r="R75" s="12"/>
      <c r="T75">
        <f t="shared" si="5"/>
        <v>0.75</v>
      </c>
      <c r="U75">
        <f t="shared" si="3"/>
        <v>1.31</v>
      </c>
      <c r="V75">
        <f t="shared" si="4"/>
        <v>0.56000000000000005</v>
      </c>
      <c r="W75" s="27"/>
    </row>
    <row r="76" spans="1:23">
      <c r="A76" s="12">
        <v>40</v>
      </c>
      <c r="B76" s="12">
        <v>40</v>
      </c>
      <c r="C76" s="11">
        <v>41.788521062382372</v>
      </c>
      <c r="D76" s="11">
        <v>44.856255106258537</v>
      </c>
      <c r="E76" s="11"/>
      <c r="F76" s="10">
        <v>355</v>
      </c>
      <c r="G76" s="12" t="s">
        <v>11</v>
      </c>
      <c r="H76" s="13"/>
      <c r="I76" s="14">
        <v>0.75</v>
      </c>
      <c r="J76" s="14" t="s">
        <v>70</v>
      </c>
      <c r="K76" s="14"/>
      <c r="L76" s="13">
        <v>1.8</v>
      </c>
      <c r="M76" s="13">
        <v>0.2</v>
      </c>
      <c r="P76" s="12" t="s">
        <v>14</v>
      </c>
      <c r="Q76" s="12"/>
      <c r="R76" s="12"/>
      <c r="T76">
        <f t="shared" si="5"/>
        <v>0.75</v>
      </c>
      <c r="U76" t="str">
        <f t="shared" si="3"/>
        <v>dead</v>
      </c>
      <c r="V76" t="e">
        <f t="shared" si="4"/>
        <v>#VALUE!</v>
      </c>
    </row>
    <row r="77" spans="1:23">
      <c r="A77" s="9">
        <v>0</v>
      </c>
      <c r="B77" s="9">
        <v>-10</v>
      </c>
      <c r="C77" s="11">
        <v>1.7255461288273115</v>
      </c>
      <c r="D77" s="11">
        <v>-2.0859308470743647</v>
      </c>
      <c r="E77" s="11"/>
      <c r="F77" s="10">
        <v>403</v>
      </c>
      <c r="G77" s="12" t="s">
        <v>11</v>
      </c>
      <c r="H77" s="13"/>
      <c r="I77" s="14">
        <v>0.75</v>
      </c>
      <c r="J77" s="14"/>
      <c r="K77" s="14">
        <v>11.5</v>
      </c>
      <c r="L77" s="13">
        <v>1.8</v>
      </c>
      <c r="M77" s="13">
        <v>0</v>
      </c>
      <c r="P77" s="12" t="s">
        <v>14</v>
      </c>
      <c r="Q77" s="12"/>
      <c r="R77" s="12"/>
      <c r="T77">
        <f t="shared" si="5"/>
        <v>0.75</v>
      </c>
      <c r="U77">
        <f t="shared" si="3"/>
        <v>1.1499999999999999</v>
      </c>
      <c r="V77">
        <f t="shared" si="4"/>
        <v>0.39999999999999991</v>
      </c>
    </row>
    <row r="78" spans="1:23">
      <c r="A78" s="9">
        <v>0</v>
      </c>
      <c r="B78" s="9">
        <v>0</v>
      </c>
      <c r="C78" s="11">
        <v>4.3575671820445905</v>
      </c>
      <c r="D78" s="11">
        <v>8.8929986924760307</v>
      </c>
      <c r="E78" s="11"/>
      <c r="F78" s="12">
        <v>12</v>
      </c>
      <c r="G78" s="12" t="s">
        <v>13</v>
      </c>
      <c r="H78" s="13"/>
      <c r="I78" s="14">
        <v>0.76</v>
      </c>
      <c r="J78" s="14"/>
      <c r="K78" s="14">
        <v>7.1</v>
      </c>
      <c r="L78" s="13">
        <v>2.1</v>
      </c>
      <c r="M78" s="13">
        <v>0.7</v>
      </c>
      <c r="N78" s="32"/>
      <c r="O78" s="32"/>
      <c r="P78" s="12" t="s">
        <v>14</v>
      </c>
      <c r="Q78" s="12"/>
      <c r="R78" s="12"/>
      <c r="S78" s="32" t="s">
        <v>73</v>
      </c>
      <c r="T78">
        <f t="shared" si="5"/>
        <v>0.76</v>
      </c>
      <c r="U78">
        <f t="shared" si="3"/>
        <v>0.71</v>
      </c>
      <c r="V78">
        <f t="shared" si="4"/>
        <v>-5.0000000000000044E-2</v>
      </c>
    </row>
    <row r="79" spans="1:23">
      <c r="A79" s="12">
        <v>30</v>
      </c>
      <c r="B79" s="12">
        <v>10</v>
      </c>
      <c r="C79" s="11">
        <v>31.992592005271483</v>
      </c>
      <c r="D79" s="11">
        <v>17.257432389068928</v>
      </c>
      <c r="E79" s="11"/>
      <c r="F79" s="12">
        <v>230</v>
      </c>
      <c r="G79" s="12" t="s">
        <v>13</v>
      </c>
      <c r="H79" s="13"/>
      <c r="I79" s="14">
        <v>0.76</v>
      </c>
      <c r="J79" s="14"/>
      <c r="K79" s="14">
        <v>12.3</v>
      </c>
      <c r="L79" s="13">
        <v>2.1</v>
      </c>
      <c r="M79" s="13">
        <v>0.7</v>
      </c>
      <c r="P79" s="12" t="s">
        <v>14</v>
      </c>
      <c r="Q79" s="12"/>
      <c r="R79" s="12"/>
      <c r="T79">
        <f t="shared" si="5"/>
        <v>0.76</v>
      </c>
      <c r="U79">
        <f t="shared" si="3"/>
        <v>1.23</v>
      </c>
      <c r="V79">
        <f t="shared" si="4"/>
        <v>0.47</v>
      </c>
    </row>
    <row r="80" spans="1:23">
      <c r="A80" s="12">
        <v>40</v>
      </c>
      <c r="B80" s="12">
        <v>30</v>
      </c>
      <c r="C80" s="11">
        <v>49.026122660403686</v>
      </c>
      <c r="D80" s="11">
        <v>30.067630548181324</v>
      </c>
      <c r="E80" s="11"/>
      <c r="F80" s="10">
        <v>319</v>
      </c>
      <c r="G80" s="12" t="s">
        <v>30</v>
      </c>
      <c r="H80" s="13"/>
      <c r="I80" s="14">
        <v>0.78</v>
      </c>
      <c r="J80" s="14"/>
      <c r="K80" s="14">
        <v>9</v>
      </c>
      <c r="L80" s="13">
        <v>1.6</v>
      </c>
      <c r="M80" s="13">
        <v>0.2</v>
      </c>
      <c r="P80" s="12" t="s">
        <v>14</v>
      </c>
      <c r="Q80" s="12"/>
      <c r="R80" s="12"/>
      <c r="T80">
        <f t="shared" si="5"/>
        <v>0.78</v>
      </c>
      <c r="U80">
        <f t="shared" si="3"/>
        <v>0.9</v>
      </c>
      <c r="V80">
        <f t="shared" si="4"/>
        <v>0.12</v>
      </c>
    </row>
    <row r="81" spans="1:23">
      <c r="A81" s="12">
        <v>40</v>
      </c>
      <c r="B81" s="12">
        <v>-30</v>
      </c>
      <c r="C81" s="11">
        <v>48.268851088723402</v>
      </c>
      <c r="D81" s="11">
        <v>-23.650476667238095</v>
      </c>
      <c r="E81" s="11"/>
      <c r="F81" s="12">
        <v>700</v>
      </c>
      <c r="G81" s="12" t="s">
        <v>13</v>
      </c>
      <c r="H81" s="13"/>
      <c r="I81" s="14">
        <v>0.79</v>
      </c>
      <c r="J81" s="14"/>
      <c r="K81" s="14">
        <v>11</v>
      </c>
      <c r="L81" s="13">
        <v>2.4</v>
      </c>
      <c r="M81" s="13">
        <v>1.3</v>
      </c>
      <c r="P81" s="12" t="s">
        <v>14</v>
      </c>
      <c r="Q81" s="12"/>
      <c r="R81" s="12"/>
      <c r="T81">
        <f t="shared" si="5"/>
        <v>0.79</v>
      </c>
      <c r="U81">
        <f t="shared" si="3"/>
        <v>1.1000000000000001</v>
      </c>
      <c r="V81">
        <f t="shared" si="4"/>
        <v>0.31000000000000005</v>
      </c>
    </row>
    <row r="82" spans="1:23">
      <c r="A82" s="12">
        <v>10</v>
      </c>
      <c r="B82" s="12">
        <v>40</v>
      </c>
      <c r="C82" s="11">
        <v>10.977000017227384</v>
      </c>
      <c r="D82" s="11">
        <v>48.181556777954015</v>
      </c>
      <c r="E82" s="11"/>
      <c r="F82" s="12">
        <v>72</v>
      </c>
      <c r="G82" s="12" t="s">
        <v>11</v>
      </c>
      <c r="H82" s="13"/>
      <c r="I82" s="14">
        <v>0.8</v>
      </c>
      <c r="J82" s="14"/>
      <c r="K82" s="14">
        <v>12.3</v>
      </c>
      <c r="L82" s="13">
        <v>1.8</v>
      </c>
      <c r="M82" s="13">
        <v>0.2</v>
      </c>
      <c r="P82" s="12" t="s">
        <v>14</v>
      </c>
      <c r="Q82" s="12"/>
      <c r="R82" s="12"/>
      <c r="T82">
        <f t="shared" si="5"/>
        <v>0.8</v>
      </c>
      <c r="U82">
        <f t="shared" si="3"/>
        <v>1.23</v>
      </c>
      <c r="V82">
        <f t="shared" si="4"/>
        <v>0.42999999999999994</v>
      </c>
    </row>
    <row r="83" spans="1:23">
      <c r="A83" s="12">
        <v>30</v>
      </c>
      <c r="B83" s="12">
        <v>0</v>
      </c>
      <c r="C83" s="11">
        <v>39.175844745901799</v>
      </c>
      <c r="D83" s="11">
        <v>9.4772927717291982</v>
      </c>
      <c r="E83" s="11"/>
      <c r="F83" s="10">
        <v>241</v>
      </c>
      <c r="G83" s="12" t="s">
        <v>11</v>
      </c>
      <c r="H83" s="13"/>
      <c r="I83" s="14">
        <v>0.8</v>
      </c>
      <c r="J83" s="14"/>
      <c r="K83" s="14">
        <v>14.3</v>
      </c>
      <c r="L83" s="13">
        <v>1.8</v>
      </c>
      <c r="M83" s="13">
        <v>0.3</v>
      </c>
      <c r="P83" s="12" t="s">
        <v>14</v>
      </c>
      <c r="Q83" s="12"/>
      <c r="R83" s="12"/>
      <c r="T83">
        <f t="shared" si="5"/>
        <v>0.8</v>
      </c>
      <c r="U83">
        <f t="shared" si="3"/>
        <v>1.4300000000000002</v>
      </c>
      <c r="V83">
        <f t="shared" si="4"/>
        <v>0.63000000000000012</v>
      </c>
    </row>
    <row r="84" spans="1:23">
      <c r="A84" s="9">
        <v>0</v>
      </c>
      <c r="B84" s="9">
        <v>0</v>
      </c>
      <c r="C84" s="11">
        <v>4.9059474370510188</v>
      </c>
      <c r="D84" s="11">
        <v>8.7299100481017451</v>
      </c>
      <c r="E84" s="11"/>
      <c r="F84" s="12">
        <v>14</v>
      </c>
      <c r="G84" s="12" t="s">
        <v>13</v>
      </c>
      <c r="H84" s="13"/>
      <c r="I84" s="14">
        <v>0.81</v>
      </c>
      <c r="J84" s="14"/>
      <c r="K84" s="14">
        <v>13.3</v>
      </c>
      <c r="L84" s="13">
        <v>2.1</v>
      </c>
      <c r="M84" s="13">
        <v>0.6</v>
      </c>
      <c r="P84" s="12" t="s">
        <v>14</v>
      </c>
      <c r="Q84" s="12"/>
      <c r="R84" s="12"/>
      <c r="T84">
        <f t="shared" si="5"/>
        <v>0.81</v>
      </c>
      <c r="U84">
        <f t="shared" si="3"/>
        <v>1.33</v>
      </c>
      <c r="V84">
        <f t="shared" si="4"/>
        <v>0.52</v>
      </c>
    </row>
    <row r="85" spans="1:23">
      <c r="A85" s="12">
        <v>20</v>
      </c>
      <c r="B85" s="12">
        <v>-20</v>
      </c>
      <c r="C85" s="11">
        <v>21.722359954660718</v>
      </c>
      <c r="D85" s="11">
        <v>-34.630679248749715</v>
      </c>
      <c r="E85" s="11"/>
      <c r="F85" s="12">
        <v>720</v>
      </c>
      <c r="G85" s="12" t="s">
        <v>21</v>
      </c>
      <c r="H85" s="13"/>
      <c r="I85" s="14">
        <v>0.81</v>
      </c>
      <c r="J85" s="14"/>
      <c r="K85" s="14">
        <v>12</v>
      </c>
      <c r="L85" s="13">
        <v>2.2999999999999998</v>
      </c>
      <c r="M85" s="13">
        <v>0.1</v>
      </c>
      <c r="P85" s="12" t="s">
        <v>14</v>
      </c>
      <c r="Q85" s="12"/>
      <c r="R85" s="12"/>
      <c r="S85" t="s">
        <v>132</v>
      </c>
      <c r="T85">
        <f t="shared" si="5"/>
        <v>0.81</v>
      </c>
      <c r="U85">
        <f t="shared" si="3"/>
        <v>1.2</v>
      </c>
      <c r="V85">
        <f t="shared" si="4"/>
        <v>0.3899999999999999</v>
      </c>
    </row>
    <row r="86" spans="1:23">
      <c r="A86" s="12">
        <v>10</v>
      </c>
      <c r="B86" s="12">
        <v>30</v>
      </c>
      <c r="C86" s="11">
        <v>17.134050908049542</v>
      </c>
      <c r="D86" s="11">
        <v>31.254967768961702</v>
      </c>
      <c r="E86" s="11"/>
      <c r="F86" s="12">
        <v>86</v>
      </c>
      <c r="G86" s="12" t="s">
        <v>11</v>
      </c>
      <c r="H86" s="13"/>
      <c r="I86" s="14">
        <v>0.82</v>
      </c>
      <c r="J86" s="14"/>
      <c r="K86" s="14">
        <v>15.8</v>
      </c>
      <c r="L86" s="13">
        <v>1.8</v>
      </c>
      <c r="M86" s="13">
        <v>0.1</v>
      </c>
      <c r="P86" s="12" t="s">
        <v>14</v>
      </c>
      <c r="Q86" s="12"/>
      <c r="R86" s="12"/>
      <c r="T86">
        <f t="shared" si="5"/>
        <v>0.82</v>
      </c>
      <c r="U86">
        <f t="shared" si="3"/>
        <v>1.58</v>
      </c>
      <c r="V86">
        <f t="shared" si="4"/>
        <v>0.76000000000000012</v>
      </c>
    </row>
    <row r="87" spans="1:23">
      <c r="A87" s="12">
        <v>40</v>
      </c>
      <c r="B87" s="12">
        <v>30</v>
      </c>
      <c r="C87" s="11">
        <v>49.93570259265578</v>
      </c>
      <c r="D87" s="11">
        <v>30.790224441203314</v>
      </c>
      <c r="E87" s="11"/>
      <c r="F87" s="10">
        <v>339</v>
      </c>
      <c r="G87" s="12" t="s">
        <v>30</v>
      </c>
      <c r="H87" s="13"/>
      <c r="I87" s="14">
        <v>0.83</v>
      </c>
      <c r="J87" s="14" t="s">
        <v>70</v>
      </c>
      <c r="K87" s="14"/>
      <c r="L87" s="13">
        <v>1.5</v>
      </c>
      <c r="M87" s="13">
        <v>1</v>
      </c>
      <c r="P87" s="12" t="s">
        <v>14</v>
      </c>
      <c r="Q87" s="12"/>
      <c r="R87" s="12"/>
      <c r="T87">
        <f t="shared" si="5"/>
        <v>0.83</v>
      </c>
      <c r="U87" t="str">
        <f t="shared" si="3"/>
        <v>dead</v>
      </c>
      <c r="V87" t="e">
        <f t="shared" si="4"/>
        <v>#VALUE!</v>
      </c>
    </row>
    <row r="88" spans="1:23" s="27" customFormat="1">
      <c r="A88" s="12">
        <v>40</v>
      </c>
      <c r="B88" s="12">
        <v>20</v>
      </c>
      <c r="C88" s="11">
        <v>41.818732140228228</v>
      </c>
      <c r="D88" s="11">
        <v>29.333872218834813</v>
      </c>
      <c r="E88" s="11"/>
      <c r="F88" s="12">
        <v>308</v>
      </c>
      <c r="G88" s="12" t="s">
        <v>13</v>
      </c>
      <c r="H88" s="13"/>
      <c r="I88" s="14">
        <v>0.84</v>
      </c>
      <c r="J88" s="14"/>
      <c r="K88" s="14">
        <v>11.3</v>
      </c>
      <c r="L88" s="13">
        <v>1.6</v>
      </c>
      <c r="M88" s="13">
        <v>1</v>
      </c>
      <c r="N88"/>
      <c r="O88"/>
      <c r="P88" s="12" t="s">
        <v>14</v>
      </c>
      <c r="Q88" s="12"/>
      <c r="R88" s="12"/>
      <c r="S88"/>
      <c r="T88">
        <f t="shared" si="5"/>
        <v>0.84</v>
      </c>
      <c r="U88">
        <f t="shared" si="3"/>
        <v>1.1300000000000001</v>
      </c>
      <c r="V88">
        <f t="shared" si="4"/>
        <v>0.29000000000000015</v>
      </c>
      <c r="W88"/>
    </row>
    <row r="89" spans="1:23">
      <c r="A89" s="12">
        <v>20</v>
      </c>
      <c r="B89" s="12">
        <v>-20</v>
      </c>
      <c r="C89" s="11">
        <v>27.200450190790999</v>
      </c>
      <c r="D89" s="11">
        <v>-13.143870970885699</v>
      </c>
      <c r="E89" s="11"/>
      <c r="F89" s="12">
        <v>544</v>
      </c>
      <c r="G89" s="12" t="s">
        <v>13</v>
      </c>
      <c r="H89" s="13"/>
      <c r="I89" s="14">
        <v>0.84</v>
      </c>
      <c r="J89" s="14"/>
      <c r="K89" s="14">
        <v>9.5</v>
      </c>
      <c r="L89" s="13">
        <v>2.6</v>
      </c>
      <c r="M89" s="13">
        <v>1.5</v>
      </c>
      <c r="P89" s="12" t="s">
        <v>14</v>
      </c>
      <c r="Q89" s="12"/>
      <c r="R89" s="12"/>
      <c r="T89">
        <f t="shared" si="5"/>
        <v>0.84</v>
      </c>
      <c r="U89">
        <f t="shared" si="3"/>
        <v>0.95</v>
      </c>
      <c r="V89">
        <f t="shared" si="4"/>
        <v>0.10999999999999999</v>
      </c>
    </row>
    <row r="90" spans="1:23">
      <c r="A90" s="12">
        <v>20</v>
      </c>
      <c r="B90" s="12">
        <v>-20</v>
      </c>
      <c r="C90" s="11">
        <v>27.711031855444549</v>
      </c>
      <c r="D90" s="11">
        <v>-18.928457982322666</v>
      </c>
      <c r="E90" s="11"/>
      <c r="F90" s="12">
        <v>564</v>
      </c>
      <c r="G90" s="12" t="s">
        <v>13</v>
      </c>
      <c r="H90" s="13"/>
      <c r="I90" s="14">
        <v>0.84</v>
      </c>
      <c r="J90" s="14"/>
      <c r="K90" s="14">
        <v>12.5</v>
      </c>
      <c r="L90" s="13">
        <v>2.2000000000000002</v>
      </c>
      <c r="M90" s="13">
        <v>0.6</v>
      </c>
      <c r="P90" s="12" t="s">
        <v>14</v>
      </c>
      <c r="Q90" s="12"/>
      <c r="R90" s="12"/>
      <c r="S90" t="s">
        <v>100</v>
      </c>
      <c r="T90">
        <f t="shared" si="5"/>
        <v>0.84</v>
      </c>
      <c r="U90">
        <f t="shared" si="3"/>
        <v>1.25</v>
      </c>
      <c r="V90">
        <f t="shared" si="4"/>
        <v>0.41000000000000003</v>
      </c>
    </row>
    <row r="91" spans="1:23">
      <c r="A91" s="12">
        <v>20</v>
      </c>
      <c r="B91" s="12">
        <v>0</v>
      </c>
      <c r="C91" s="11">
        <v>26.528558261896087</v>
      </c>
      <c r="D91" s="11">
        <v>4.760706567415002</v>
      </c>
      <c r="E91" s="11"/>
      <c r="F91" s="12">
        <v>120</v>
      </c>
      <c r="G91" s="12" t="s">
        <v>21</v>
      </c>
      <c r="H91" s="13"/>
      <c r="I91" s="14">
        <v>0.85</v>
      </c>
      <c r="J91" s="14"/>
      <c r="K91" s="14">
        <v>12.7</v>
      </c>
      <c r="L91" s="13">
        <v>2.2000000000000002</v>
      </c>
      <c r="M91" s="13">
        <v>0.6</v>
      </c>
      <c r="P91" s="12" t="s">
        <v>14</v>
      </c>
      <c r="Q91" s="12"/>
      <c r="R91" s="12"/>
      <c r="T91">
        <f t="shared" si="5"/>
        <v>0.85</v>
      </c>
      <c r="U91">
        <f t="shared" si="3"/>
        <v>1.27</v>
      </c>
      <c r="V91">
        <f t="shared" si="4"/>
        <v>0.42000000000000004</v>
      </c>
    </row>
    <row r="92" spans="1:23">
      <c r="A92" s="9">
        <v>0</v>
      </c>
      <c r="B92" s="12">
        <v>20</v>
      </c>
      <c r="C92" s="11">
        <v>6.0533561384906731</v>
      </c>
      <c r="D92" s="11">
        <v>26.914693012751709</v>
      </c>
      <c r="E92" s="11"/>
      <c r="F92" s="10">
        <v>43</v>
      </c>
      <c r="G92" s="12" t="s">
        <v>11</v>
      </c>
      <c r="H92" s="13"/>
      <c r="I92" s="14">
        <v>0.86</v>
      </c>
      <c r="J92" s="14"/>
      <c r="K92" s="14">
        <v>17.399999999999999</v>
      </c>
      <c r="L92" s="13">
        <v>1.9</v>
      </c>
      <c r="M92" s="13">
        <v>0.2</v>
      </c>
      <c r="P92" s="12" t="s">
        <v>14</v>
      </c>
      <c r="Q92" s="12"/>
      <c r="R92" s="12"/>
      <c r="T92">
        <f t="shared" si="5"/>
        <v>0.86</v>
      </c>
      <c r="U92">
        <f t="shared" si="3"/>
        <v>1.7399999999999998</v>
      </c>
      <c r="V92">
        <f t="shared" si="4"/>
        <v>0.87999999999999978</v>
      </c>
    </row>
    <row r="93" spans="1:23">
      <c r="A93" s="12">
        <v>40</v>
      </c>
      <c r="B93" s="12">
        <v>20</v>
      </c>
      <c r="C93" s="11">
        <v>42.095122478025289</v>
      </c>
      <c r="D93" s="11">
        <v>29.899743039168619</v>
      </c>
      <c r="E93" s="11"/>
      <c r="F93" s="12">
        <v>314</v>
      </c>
      <c r="G93" s="12" t="s">
        <v>13</v>
      </c>
      <c r="H93" s="13"/>
      <c r="I93" s="14">
        <v>0.86</v>
      </c>
      <c r="J93" s="14"/>
      <c r="K93" s="14">
        <v>10.5</v>
      </c>
      <c r="L93" s="13">
        <v>2.5</v>
      </c>
      <c r="M93" s="13">
        <v>0.7</v>
      </c>
      <c r="P93" s="12" t="s">
        <v>14</v>
      </c>
      <c r="Q93" s="12"/>
      <c r="R93" s="12"/>
      <c r="T93">
        <f t="shared" si="5"/>
        <v>0.86</v>
      </c>
      <c r="U93">
        <f t="shared" si="3"/>
        <v>1.05</v>
      </c>
      <c r="V93">
        <f t="shared" si="4"/>
        <v>0.19000000000000006</v>
      </c>
    </row>
    <row r="94" spans="1:23">
      <c r="A94" s="12">
        <v>20</v>
      </c>
      <c r="B94" s="12">
        <v>-20</v>
      </c>
      <c r="C94" s="11">
        <v>29.893250275501281</v>
      </c>
      <c r="D94" s="11">
        <v>-12.955420444935895</v>
      </c>
      <c r="E94" s="11"/>
      <c r="F94" s="12">
        <v>538</v>
      </c>
      <c r="G94" s="12" t="s">
        <v>13</v>
      </c>
      <c r="H94" s="13"/>
      <c r="I94" s="14">
        <v>0.86</v>
      </c>
      <c r="J94" s="14"/>
      <c r="K94" s="14">
        <v>8.8000000000000007</v>
      </c>
      <c r="L94" s="13">
        <v>1.7</v>
      </c>
      <c r="M94" s="13">
        <v>0.9</v>
      </c>
      <c r="P94" s="12" t="s">
        <v>14</v>
      </c>
      <c r="Q94" s="12"/>
      <c r="R94" s="12"/>
      <c r="T94">
        <f t="shared" si="5"/>
        <v>0.86</v>
      </c>
      <c r="U94">
        <f t="shared" si="3"/>
        <v>0.88000000000000012</v>
      </c>
      <c r="V94">
        <f t="shared" si="4"/>
        <v>2.0000000000000129E-2</v>
      </c>
    </row>
    <row r="95" spans="1:23">
      <c r="A95" s="12">
        <v>40</v>
      </c>
      <c r="B95" s="12">
        <v>20</v>
      </c>
      <c r="C95" s="11">
        <v>42.255591812176434</v>
      </c>
      <c r="D95" s="11">
        <v>29.924382566855925</v>
      </c>
      <c r="E95" s="11"/>
      <c r="F95" s="10">
        <v>317</v>
      </c>
      <c r="G95" s="12" t="s">
        <v>13</v>
      </c>
      <c r="H95" s="13"/>
      <c r="I95" s="14">
        <v>0.87</v>
      </c>
      <c r="J95" s="14"/>
      <c r="K95" s="14">
        <v>9.9</v>
      </c>
      <c r="L95" s="13">
        <v>2</v>
      </c>
      <c r="M95" s="13">
        <v>0.7</v>
      </c>
      <c r="P95" s="12" t="s">
        <v>14</v>
      </c>
      <c r="Q95" s="12"/>
      <c r="R95" s="12"/>
      <c r="T95">
        <f t="shared" si="5"/>
        <v>0.87</v>
      </c>
      <c r="U95">
        <f t="shared" si="3"/>
        <v>0.99</v>
      </c>
      <c r="V95">
        <f t="shared" si="4"/>
        <v>0.12</v>
      </c>
    </row>
    <row r="96" spans="1:23">
      <c r="A96" s="12">
        <v>20</v>
      </c>
      <c r="B96" s="12">
        <v>-20</v>
      </c>
      <c r="C96" s="11">
        <v>26.855187291478849</v>
      </c>
      <c r="D96" s="11">
        <v>-19.034179478951081</v>
      </c>
      <c r="E96" s="11"/>
      <c r="F96" s="10">
        <v>567</v>
      </c>
      <c r="G96" s="12" t="s">
        <v>43</v>
      </c>
      <c r="H96" s="13"/>
      <c r="I96" s="14">
        <v>0.89</v>
      </c>
      <c r="J96" s="14" t="s">
        <v>70</v>
      </c>
      <c r="K96" s="14"/>
      <c r="L96" s="13">
        <v>1.8</v>
      </c>
      <c r="M96" s="13"/>
      <c r="P96" s="12" t="s">
        <v>12</v>
      </c>
      <c r="Q96" s="12"/>
      <c r="R96" s="12"/>
      <c r="T96">
        <f t="shared" si="5"/>
        <v>0.89</v>
      </c>
      <c r="U96" t="str">
        <f t="shared" si="3"/>
        <v>dead</v>
      </c>
      <c r="V96" t="e">
        <f t="shared" si="4"/>
        <v>#VALUE!</v>
      </c>
    </row>
    <row r="97" spans="1:22">
      <c r="A97" s="12">
        <v>20</v>
      </c>
      <c r="B97" s="12">
        <v>10</v>
      </c>
      <c r="C97" s="11">
        <v>23.975810626973125</v>
      </c>
      <c r="D97" s="11">
        <v>10.577472753850401</v>
      </c>
      <c r="E97" s="11"/>
      <c r="F97" s="12">
        <v>138</v>
      </c>
      <c r="G97" s="12" t="s">
        <v>13</v>
      </c>
      <c r="H97" s="13"/>
      <c r="I97" s="14">
        <v>0.9</v>
      </c>
      <c r="J97" s="14"/>
      <c r="K97" s="14">
        <v>14.7</v>
      </c>
      <c r="L97" s="13">
        <v>1.9</v>
      </c>
      <c r="M97" s="13">
        <v>0.7</v>
      </c>
      <c r="P97" s="12" t="s">
        <v>14</v>
      </c>
      <c r="Q97" s="12"/>
      <c r="R97" s="12"/>
      <c r="T97">
        <f t="shared" si="5"/>
        <v>0.9</v>
      </c>
      <c r="U97">
        <f t="shared" si="3"/>
        <v>1.47</v>
      </c>
      <c r="V97">
        <f t="shared" si="4"/>
        <v>0.56999999999999995</v>
      </c>
    </row>
    <row r="98" spans="1:22">
      <c r="A98" s="12">
        <v>20</v>
      </c>
      <c r="B98" s="12">
        <v>-20</v>
      </c>
      <c r="C98" s="11">
        <v>28.085472499046794</v>
      </c>
      <c r="D98" s="11">
        <v>-18.593028245562195</v>
      </c>
      <c r="E98" s="11"/>
      <c r="F98" s="10">
        <v>565</v>
      </c>
      <c r="G98" s="12" t="s">
        <v>13</v>
      </c>
      <c r="H98" s="13"/>
      <c r="I98" s="14">
        <v>0.9</v>
      </c>
      <c r="J98" s="14"/>
      <c r="K98" s="14">
        <v>16.5</v>
      </c>
      <c r="L98" s="13">
        <v>1.8</v>
      </c>
      <c r="M98" s="13">
        <v>0.5</v>
      </c>
      <c r="N98" s="32"/>
      <c r="O98" s="32"/>
      <c r="P98" s="12" t="s">
        <v>14</v>
      </c>
      <c r="Q98" s="12"/>
      <c r="R98" s="12"/>
      <c r="S98" s="32"/>
      <c r="T98">
        <f t="shared" si="5"/>
        <v>0.9</v>
      </c>
      <c r="U98">
        <f t="shared" si="3"/>
        <v>1.65</v>
      </c>
      <c r="V98">
        <f t="shared" si="4"/>
        <v>0.74999999999999989</v>
      </c>
    </row>
    <row r="99" spans="1:22">
      <c r="A99" s="12">
        <v>40</v>
      </c>
      <c r="B99" s="12">
        <v>-30</v>
      </c>
      <c r="C99" s="11">
        <v>44.623379133287443</v>
      </c>
      <c r="D99" s="11">
        <v>-27.132298558258295</v>
      </c>
      <c r="E99" s="11"/>
      <c r="F99" s="10">
        <v>695</v>
      </c>
      <c r="G99" s="12" t="s">
        <v>21</v>
      </c>
      <c r="H99" s="13"/>
      <c r="I99" s="14">
        <v>0.9</v>
      </c>
      <c r="J99" s="14"/>
      <c r="K99" s="14">
        <v>14.2</v>
      </c>
      <c r="L99" s="13">
        <v>2.4</v>
      </c>
      <c r="M99" s="13">
        <v>0.7</v>
      </c>
      <c r="P99" s="12" t="s">
        <v>14</v>
      </c>
      <c r="Q99" s="12"/>
      <c r="R99" s="12"/>
      <c r="S99" t="s">
        <v>126</v>
      </c>
      <c r="T99">
        <f t="shared" si="5"/>
        <v>0.9</v>
      </c>
      <c r="U99">
        <f t="shared" si="3"/>
        <v>1.42</v>
      </c>
      <c r="V99">
        <f t="shared" si="4"/>
        <v>0.51999999999999991</v>
      </c>
    </row>
    <row r="100" spans="1:22">
      <c r="A100" s="12">
        <v>40</v>
      </c>
      <c r="B100" s="12">
        <v>30</v>
      </c>
      <c r="C100" s="11">
        <v>41.809840918419845</v>
      </c>
      <c r="D100" s="11">
        <v>38.003454428666828</v>
      </c>
      <c r="E100" s="11"/>
      <c r="F100" s="10">
        <v>345</v>
      </c>
      <c r="G100" s="12" t="s">
        <v>11</v>
      </c>
      <c r="H100" s="13"/>
      <c r="I100" s="14">
        <v>0.91</v>
      </c>
      <c r="J100" s="14"/>
      <c r="K100" s="14">
        <v>19.899999999999999</v>
      </c>
      <c r="L100" s="13">
        <v>2.4</v>
      </c>
      <c r="M100" s="13">
        <v>0.2</v>
      </c>
      <c r="P100" s="12" t="s">
        <v>14</v>
      </c>
      <c r="Q100" s="12"/>
      <c r="R100" s="12"/>
      <c r="T100">
        <f t="shared" si="5"/>
        <v>0.91</v>
      </c>
      <c r="U100">
        <f t="shared" si="3"/>
        <v>1.9899999999999998</v>
      </c>
      <c r="V100">
        <f t="shared" si="4"/>
        <v>1.0799999999999996</v>
      </c>
    </row>
    <row r="101" spans="1:22">
      <c r="A101" s="12">
        <v>20</v>
      </c>
      <c r="B101" s="12">
        <v>-20</v>
      </c>
      <c r="C101" s="11">
        <v>22.699862220695191</v>
      </c>
      <c r="D101" s="11">
        <v>-35.871637861391832</v>
      </c>
      <c r="E101" s="11"/>
      <c r="F101" s="10">
        <v>719</v>
      </c>
      <c r="G101" s="12" t="s">
        <v>11</v>
      </c>
      <c r="H101" s="13"/>
      <c r="I101" s="14">
        <v>0.91</v>
      </c>
      <c r="J101" s="14"/>
      <c r="K101" s="14">
        <v>15.8</v>
      </c>
      <c r="L101" s="13">
        <v>2</v>
      </c>
      <c r="M101" s="13">
        <v>0.1</v>
      </c>
      <c r="P101" s="12" t="s">
        <v>14</v>
      </c>
      <c r="Q101" s="12"/>
      <c r="R101" s="12"/>
      <c r="T101">
        <f t="shared" si="5"/>
        <v>0.91</v>
      </c>
      <c r="U101">
        <f t="shared" si="3"/>
        <v>1.58</v>
      </c>
      <c r="V101">
        <f t="shared" si="4"/>
        <v>0.67</v>
      </c>
    </row>
    <row r="102" spans="1:22">
      <c r="A102" s="12">
        <v>10</v>
      </c>
      <c r="B102" s="12">
        <v>-30</v>
      </c>
      <c r="C102" s="11">
        <v>13.891661250622271</v>
      </c>
      <c r="D102" s="11">
        <v>-21.129319282775551</v>
      </c>
      <c r="E102" s="11"/>
      <c r="F102" s="12">
        <v>620</v>
      </c>
      <c r="G102" s="12" t="s">
        <v>11</v>
      </c>
      <c r="H102" s="13"/>
      <c r="I102" s="14">
        <v>0.92</v>
      </c>
      <c r="J102" s="14"/>
      <c r="K102" s="14">
        <v>12.7</v>
      </c>
      <c r="L102" s="13">
        <v>1.7</v>
      </c>
      <c r="M102" s="13">
        <v>0</v>
      </c>
      <c r="P102" s="12" t="s">
        <v>14</v>
      </c>
      <c r="Q102" s="12"/>
      <c r="R102" s="12"/>
      <c r="T102">
        <f t="shared" si="5"/>
        <v>0.92</v>
      </c>
      <c r="U102">
        <f t="shared" si="3"/>
        <v>1.27</v>
      </c>
      <c r="V102">
        <f t="shared" si="4"/>
        <v>0.35</v>
      </c>
    </row>
    <row r="103" spans="1:22">
      <c r="A103" s="12">
        <v>40</v>
      </c>
      <c r="B103" s="12">
        <v>30</v>
      </c>
      <c r="C103" s="11">
        <v>48.923878928480136</v>
      </c>
      <c r="D103" s="11">
        <v>30.406164508423601</v>
      </c>
      <c r="E103" s="11"/>
      <c r="F103" s="10">
        <v>323</v>
      </c>
      <c r="G103" s="12" t="s">
        <v>30</v>
      </c>
      <c r="H103" s="13"/>
      <c r="I103" s="14">
        <v>0.94</v>
      </c>
      <c r="J103" s="14"/>
      <c r="K103" s="14">
        <v>12.2</v>
      </c>
      <c r="L103" s="13">
        <v>2.1</v>
      </c>
      <c r="M103" s="13">
        <v>1.1000000000000001</v>
      </c>
      <c r="P103" s="12" t="s">
        <v>14</v>
      </c>
      <c r="Q103" s="12"/>
      <c r="R103" s="12"/>
      <c r="T103">
        <f t="shared" si="5"/>
        <v>0.94</v>
      </c>
      <c r="U103">
        <f t="shared" si="3"/>
        <v>1.22</v>
      </c>
      <c r="V103">
        <f t="shared" si="4"/>
        <v>0.28000000000000003</v>
      </c>
    </row>
    <row r="104" spans="1:22">
      <c r="A104" s="12">
        <v>40</v>
      </c>
      <c r="B104" s="12">
        <v>-10</v>
      </c>
      <c r="C104" s="11">
        <v>43.598885535307346</v>
      </c>
      <c r="D104" s="11">
        <v>-9.3912940744862272</v>
      </c>
      <c r="E104" s="11"/>
      <c r="F104" s="12">
        <v>448</v>
      </c>
      <c r="G104" s="12" t="s">
        <v>13</v>
      </c>
      <c r="H104" s="13"/>
      <c r="I104" s="14">
        <v>0.95</v>
      </c>
      <c r="J104" s="14"/>
      <c r="K104" s="14">
        <v>10.4</v>
      </c>
      <c r="L104" s="13">
        <v>2</v>
      </c>
      <c r="M104" s="13">
        <v>1.2</v>
      </c>
      <c r="P104" s="12" t="s">
        <v>14</v>
      </c>
      <c r="Q104" s="12"/>
      <c r="R104" s="12"/>
      <c r="T104">
        <f t="shared" si="5"/>
        <v>0.95</v>
      </c>
      <c r="U104">
        <f t="shared" si="3"/>
        <v>1.04</v>
      </c>
      <c r="V104">
        <f t="shared" si="4"/>
        <v>9.000000000000008E-2</v>
      </c>
    </row>
    <row r="105" spans="1:22">
      <c r="A105" s="12">
        <v>30</v>
      </c>
      <c r="B105" s="12">
        <v>0</v>
      </c>
      <c r="C105" s="11">
        <v>34.068567064814381</v>
      </c>
      <c r="D105" s="11">
        <v>9.4180847704201529</v>
      </c>
      <c r="E105" s="11"/>
      <c r="F105" s="12">
        <v>248</v>
      </c>
      <c r="G105" s="12" t="s">
        <v>13</v>
      </c>
      <c r="H105" s="13"/>
      <c r="I105" s="14">
        <v>0.96</v>
      </c>
      <c r="J105" s="14"/>
      <c r="K105" s="14">
        <v>10.3</v>
      </c>
      <c r="L105" s="13">
        <v>1.5</v>
      </c>
      <c r="M105" s="13">
        <v>0.7</v>
      </c>
      <c r="P105" s="12" t="s">
        <v>14</v>
      </c>
      <c r="Q105" s="12"/>
      <c r="R105" s="12"/>
      <c r="T105">
        <f t="shared" si="5"/>
        <v>0.96</v>
      </c>
      <c r="U105">
        <f t="shared" si="3"/>
        <v>1.03</v>
      </c>
      <c r="V105">
        <f t="shared" si="4"/>
        <v>7.0000000000000062E-2</v>
      </c>
    </row>
    <row r="106" spans="1:22">
      <c r="A106" s="12">
        <v>10</v>
      </c>
      <c r="B106" s="12">
        <v>-20</v>
      </c>
      <c r="C106" s="11">
        <v>16.17530308633452</v>
      </c>
      <c r="D106" s="11">
        <v>-17.610064118308244</v>
      </c>
      <c r="E106" s="11"/>
      <c r="F106" s="12">
        <v>572</v>
      </c>
      <c r="G106" s="12" t="s">
        <v>21</v>
      </c>
      <c r="H106" s="13"/>
      <c r="I106" s="14">
        <v>0.96</v>
      </c>
      <c r="J106" s="14"/>
      <c r="K106" s="14">
        <v>13.5</v>
      </c>
      <c r="L106" s="13">
        <v>2.5</v>
      </c>
      <c r="M106" s="13">
        <v>0.6</v>
      </c>
      <c r="P106" s="12" t="s">
        <v>14</v>
      </c>
      <c r="Q106" s="12"/>
      <c r="R106" s="12"/>
      <c r="S106" t="s">
        <v>101</v>
      </c>
      <c r="T106">
        <f t="shared" si="5"/>
        <v>0.96</v>
      </c>
      <c r="U106">
        <f t="shared" si="3"/>
        <v>1.35</v>
      </c>
      <c r="V106">
        <f t="shared" si="4"/>
        <v>0.39000000000000012</v>
      </c>
    </row>
    <row r="107" spans="1:22">
      <c r="A107" s="12">
        <v>40</v>
      </c>
      <c r="B107" s="12">
        <v>0</v>
      </c>
      <c r="C107" s="11">
        <v>40.675863550722838</v>
      </c>
      <c r="D107" s="11">
        <v>5.0660757544522106</v>
      </c>
      <c r="E107" s="11"/>
      <c r="F107" s="12">
        <v>262</v>
      </c>
      <c r="G107" s="12" t="s">
        <v>13</v>
      </c>
      <c r="H107" s="13"/>
      <c r="I107" s="14">
        <v>0.97</v>
      </c>
      <c r="J107" s="14"/>
      <c r="K107" s="14">
        <v>23.1</v>
      </c>
      <c r="L107" s="13">
        <v>2.1</v>
      </c>
      <c r="M107" s="13">
        <v>1.4</v>
      </c>
      <c r="P107" s="12" t="s">
        <v>14</v>
      </c>
      <c r="Q107" s="12"/>
      <c r="R107" s="12"/>
      <c r="T107">
        <f t="shared" si="5"/>
        <v>0.97</v>
      </c>
      <c r="U107">
        <f t="shared" si="3"/>
        <v>2.31</v>
      </c>
      <c r="V107">
        <f t="shared" si="4"/>
        <v>1.34</v>
      </c>
    </row>
    <row r="108" spans="1:22">
      <c r="A108" s="12">
        <v>40</v>
      </c>
      <c r="B108" s="12">
        <v>0</v>
      </c>
      <c r="C108" s="11">
        <v>40.628453171262755</v>
      </c>
      <c r="D108" s="11">
        <v>7.808323333260633</v>
      </c>
      <c r="E108" s="11"/>
      <c r="F108" s="10">
        <v>273</v>
      </c>
      <c r="G108" s="12" t="s">
        <v>11</v>
      </c>
      <c r="H108" s="13"/>
      <c r="I108" s="14">
        <v>0.97</v>
      </c>
      <c r="J108" s="14" t="s">
        <v>70</v>
      </c>
      <c r="K108" s="14"/>
      <c r="L108" s="13">
        <v>2</v>
      </c>
      <c r="M108" s="13"/>
      <c r="P108" s="12" t="s">
        <v>12</v>
      </c>
      <c r="Q108" s="12"/>
      <c r="R108" s="12"/>
      <c r="T108">
        <f t="shared" si="5"/>
        <v>0.97</v>
      </c>
      <c r="U108" t="str">
        <f t="shared" si="3"/>
        <v>dead</v>
      </c>
      <c r="V108" t="e">
        <f t="shared" si="4"/>
        <v>#VALUE!</v>
      </c>
    </row>
    <row r="109" spans="1:22">
      <c r="A109" s="12">
        <v>20</v>
      </c>
      <c r="B109" s="12">
        <v>-20</v>
      </c>
      <c r="C109" s="11">
        <v>26.875698166707046</v>
      </c>
      <c r="D109" s="11">
        <v>-13.369747971083783</v>
      </c>
      <c r="E109" s="11"/>
      <c r="F109" s="10">
        <v>553</v>
      </c>
      <c r="G109" s="12" t="s">
        <v>13</v>
      </c>
      <c r="H109" s="13"/>
      <c r="I109" s="14">
        <v>0.99</v>
      </c>
      <c r="J109" s="14"/>
      <c r="K109" s="14">
        <v>11.4</v>
      </c>
      <c r="L109" s="13">
        <v>3.4</v>
      </c>
      <c r="M109" s="13">
        <v>1.3</v>
      </c>
      <c r="P109" s="12" t="s">
        <v>14</v>
      </c>
      <c r="Q109" s="12"/>
      <c r="R109" s="12"/>
      <c r="T109">
        <f t="shared" si="5"/>
        <v>0.99</v>
      </c>
      <c r="U109">
        <f t="shared" si="3"/>
        <v>1.1400000000000001</v>
      </c>
      <c r="V109">
        <f t="shared" si="4"/>
        <v>0.15000000000000013</v>
      </c>
    </row>
    <row r="110" spans="1:22">
      <c r="A110" s="12">
        <v>10</v>
      </c>
      <c r="B110" s="12">
        <v>10</v>
      </c>
      <c r="C110" s="11">
        <v>19.669675453237815</v>
      </c>
      <c r="D110" s="11">
        <v>13.828495347920654</v>
      </c>
      <c r="E110" s="11"/>
      <c r="F110" s="12">
        <v>110</v>
      </c>
      <c r="G110" s="12" t="s">
        <v>13</v>
      </c>
      <c r="H110" s="13"/>
      <c r="I110" s="14">
        <v>1</v>
      </c>
      <c r="J110" s="14"/>
      <c r="K110" s="14">
        <v>12.8</v>
      </c>
      <c r="L110" s="13">
        <v>2.4</v>
      </c>
      <c r="M110" s="13">
        <v>0.9</v>
      </c>
      <c r="P110" s="12" t="s">
        <v>14</v>
      </c>
      <c r="Q110" s="12"/>
      <c r="R110" s="12"/>
      <c r="T110">
        <f t="shared" si="5"/>
        <v>1</v>
      </c>
      <c r="U110">
        <f t="shared" si="3"/>
        <v>1.28</v>
      </c>
      <c r="V110">
        <f t="shared" si="4"/>
        <v>0.28000000000000003</v>
      </c>
    </row>
    <row r="111" spans="1:22">
      <c r="A111" s="12">
        <v>40</v>
      </c>
      <c r="B111" s="12">
        <v>20</v>
      </c>
      <c r="C111" s="11">
        <v>42.470638986410691</v>
      </c>
      <c r="D111" s="11">
        <v>29.603684879805961</v>
      </c>
      <c r="E111" s="11"/>
      <c r="F111" s="10">
        <v>297</v>
      </c>
      <c r="G111" s="12" t="s">
        <v>13</v>
      </c>
      <c r="H111" s="13"/>
      <c r="I111" s="14">
        <v>1</v>
      </c>
      <c r="J111" s="14"/>
      <c r="K111" s="31">
        <v>12.1</v>
      </c>
      <c r="L111" s="13">
        <v>2.7</v>
      </c>
      <c r="M111" s="13">
        <v>1.4</v>
      </c>
      <c r="P111" s="12" t="s">
        <v>14</v>
      </c>
      <c r="Q111" s="12"/>
      <c r="R111" s="12"/>
      <c r="T111">
        <f t="shared" si="5"/>
        <v>1</v>
      </c>
      <c r="U111">
        <f t="shared" si="3"/>
        <v>1.21</v>
      </c>
      <c r="V111">
        <f t="shared" si="4"/>
        <v>0.20999999999999996</v>
      </c>
    </row>
    <row r="112" spans="1:22">
      <c r="A112" s="12">
        <v>40</v>
      </c>
      <c r="B112" s="12">
        <v>30</v>
      </c>
      <c r="C112" s="11">
        <v>49.098880675068742</v>
      </c>
      <c r="D112" s="11">
        <v>31.568014233750425</v>
      </c>
      <c r="E112" s="11"/>
      <c r="F112" s="10">
        <v>335</v>
      </c>
      <c r="G112" s="12" t="s">
        <v>30</v>
      </c>
      <c r="H112" s="13"/>
      <c r="I112" s="14">
        <v>1</v>
      </c>
      <c r="J112" s="14"/>
      <c r="K112" s="14">
        <v>12.1</v>
      </c>
      <c r="L112" s="13">
        <v>1.7</v>
      </c>
      <c r="M112" s="13">
        <v>0.7</v>
      </c>
      <c r="P112" s="12" t="s">
        <v>14</v>
      </c>
      <c r="Q112" s="12"/>
      <c r="R112" s="12"/>
      <c r="T112">
        <f t="shared" si="5"/>
        <v>1</v>
      </c>
      <c r="U112">
        <f t="shared" si="3"/>
        <v>1.21</v>
      </c>
      <c r="V112">
        <f t="shared" si="4"/>
        <v>0.20999999999999996</v>
      </c>
    </row>
    <row r="113" spans="1:23">
      <c r="A113" s="12">
        <v>40</v>
      </c>
      <c r="B113" s="12">
        <v>-20</v>
      </c>
      <c r="C113" s="11">
        <v>44.622154275334118</v>
      </c>
      <c r="D113" s="11">
        <v>-19.561385352291296</v>
      </c>
      <c r="E113" s="11"/>
      <c r="F113" s="12">
        <v>510</v>
      </c>
      <c r="G113" s="12" t="s">
        <v>21</v>
      </c>
      <c r="H113" s="13"/>
      <c r="I113" s="14">
        <v>1</v>
      </c>
      <c r="J113" s="14"/>
      <c r="K113" s="14">
        <v>15.3</v>
      </c>
      <c r="L113" s="13">
        <v>2.5</v>
      </c>
      <c r="M113" s="13">
        <v>0.4</v>
      </c>
      <c r="P113" s="12" t="s">
        <v>14</v>
      </c>
      <c r="Q113" s="12"/>
      <c r="R113" s="12"/>
      <c r="T113">
        <f t="shared" si="5"/>
        <v>1</v>
      </c>
      <c r="U113">
        <f t="shared" si="3"/>
        <v>1.53</v>
      </c>
      <c r="V113">
        <f t="shared" si="4"/>
        <v>0.53</v>
      </c>
    </row>
    <row r="114" spans="1:23">
      <c r="A114" s="12">
        <v>20</v>
      </c>
      <c r="B114" s="12">
        <v>10</v>
      </c>
      <c r="C114" s="11">
        <v>21.836540619572311</v>
      </c>
      <c r="D114" s="11">
        <v>11.595461118586918</v>
      </c>
      <c r="E114" s="11"/>
      <c r="F114" s="12">
        <v>126</v>
      </c>
      <c r="G114" s="12" t="s">
        <v>13</v>
      </c>
      <c r="H114" s="13"/>
      <c r="I114" s="14">
        <v>1.01</v>
      </c>
      <c r="J114" s="14"/>
      <c r="K114" s="14">
        <v>10.9</v>
      </c>
      <c r="L114" s="13"/>
      <c r="M114" s="13"/>
      <c r="P114" s="12" t="s">
        <v>14</v>
      </c>
      <c r="Q114" s="12"/>
      <c r="R114" s="12"/>
      <c r="T114">
        <f t="shared" si="5"/>
        <v>1.01</v>
      </c>
      <c r="U114">
        <f t="shared" si="3"/>
        <v>1.0900000000000001</v>
      </c>
      <c r="V114">
        <f t="shared" si="4"/>
        <v>8.0000000000000071E-2</v>
      </c>
    </row>
    <row r="115" spans="1:23" s="27" customFormat="1">
      <c r="A115" s="12">
        <v>20</v>
      </c>
      <c r="B115" s="12">
        <v>-20</v>
      </c>
      <c r="C115" s="11">
        <v>27.258718247585577</v>
      </c>
      <c r="D115" s="11">
        <v>-13.129558963430984</v>
      </c>
      <c r="E115" s="11"/>
      <c r="F115" s="10">
        <v>543</v>
      </c>
      <c r="G115" s="12" t="s">
        <v>13</v>
      </c>
      <c r="H115" s="13"/>
      <c r="I115" s="14">
        <v>1.02</v>
      </c>
      <c r="J115" s="14" t="s">
        <v>70</v>
      </c>
      <c r="K115" s="14"/>
      <c r="L115" s="13">
        <v>2.1</v>
      </c>
      <c r="M115" s="13"/>
      <c r="N115"/>
      <c r="O115"/>
      <c r="P115" s="12" t="s">
        <v>12</v>
      </c>
      <c r="Q115" s="12"/>
      <c r="R115" s="12"/>
      <c r="S115"/>
      <c r="T115">
        <f t="shared" si="5"/>
        <v>1.02</v>
      </c>
      <c r="U115" t="str">
        <f t="shared" si="3"/>
        <v>dead</v>
      </c>
      <c r="V115" t="e">
        <f t="shared" si="4"/>
        <v>#VALUE!</v>
      </c>
      <c r="W115"/>
    </row>
    <row r="116" spans="1:23" s="27" customFormat="1">
      <c r="A116" s="12">
        <v>40</v>
      </c>
      <c r="B116" s="12">
        <v>-40</v>
      </c>
      <c r="C116" s="11">
        <v>43.072423340402423</v>
      </c>
      <c r="D116" s="11">
        <v>-35.595784426557842</v>
      </c>
      <c r="E116" s="11"/>
      <c r="F116" s="12">
        <v>708</v>
      </c>
      <c r="G116" s="12" t="s">
        <v>51</v>
      </c>
      <c r="H116" s="13"/>
      <c r="I116" s="14">
        <v>1.02</v>
      </c>
      <c r="J116" s="14" t="s">
        <v>70</v>
      </c>
      <c r="K116" s="14"/>
      <c r="L116" s="13">
        <v>2.2000000000000002</v>
      </c>
      <c r="M116" s="13">
        <v>1.7</v>
      </c>
      <c r="N116"/>
      <c r="O116"/>
      <c r="P116" s="12" t="s">
        <v>14</v>
      </c>
      <c r="Q116" s="12"/>
      <c r="R116" s="12"/>
      <c r="S116"/>
      <c r="T116">
        <f t="shared" si="5"/>
        <v>1.02</v>
      </c>
      <c r="U116" t="str">
        <f t="shared" si="3"/>
        <v>dead</v>
      </c>
      <c r="V116" t="e">
        <f t="shared" si="4"/>
        <v>#VALUE!</v>
      </c>
      <c r="W116"/>
    </row>
    <row r="117" spans="1:23">
      <c r="A117" s="12">
        <v>10</v>
      </c>
      <c r="B117" s="12">
        <v>-30</v>
      </c>
      <c r="C117" s="11">
        <v>11.346698213507807</v>
      </c>
      <c r="D117" s="11">
        <v>-20.397333295205016</v>
      </c>
      <c r="E117" s="11"/>
      <c r="F117" s="12">
        <v>618</v>
      </c>
      <c r="G117" s="12" t="s">
        <v>11</v>
      </c>
      <c r="H117" s="13"/>
      <c r="I117" s="14">
        <v>1.03</v>
      </c>
      <c r="J117" s="14"/>
      <c r="K117" s="14">
        <v>15.8</v>
      </c>
      <c r="L117" s="13">
        <v>2.1</v>
      </c>
      <c r="M117" s="13">
        <v>0.1</v>
      </c>
      <c r="P117" s="12" t="s">
        <v>14</v>
      </c>
      <c r="Q117" s="12"/>
      <c r="R117" s="12"/>
      <c r="T117">
        <f t="shared" si="5"/>
        <v>1.03</v>
      </c>
      <c r="U117">
        <f t="shared" si="3"/>
        <v>1.58</v>
      </c>
      <c r="V117">
        <f t="shared" si="4"/>
        <v>0.55000000000000004</v>
      </c>
    </row>
    <row r="118" spans="1:23">
      <c r="A118" s="12">
        <v>10</v>
      </c>
      <c r="B118" s="12">
        <v>-30</v>
      </c>
      <c r="C118" s="11">
        <v>19.847311696024597</v>
      </c>
      <c r="D118" s="11">
        <v>-22.474958626385718</v>
      </c>
      <c r="E118" s="11"/>
      <c r="F118" s="10">
        <v>629</v>
      </c>
      <c r="G118" s="12" t="s">
        <v>11</v>
      </c>
      <c r="H118" s="13"/>
      <c r="I118" s="14">
        <v>1.04</v>
      </c>
      <c r="J118" s="14"/>
      <c r="K118" s="14">
        <v>13.4</v>
      </c>
      <c r="L118" s="13">
        <v>2.4</v>
      </c>
      <c r="M118" s="13">
        <v>0.4</v>
      </c>
      <c r="P118" s="12" t="s">
        <v>14</v>
      </c>
      <c r="Q118" s="12"/>
      <c r="R118" s="12"/>
      <c r="T118">
        <f t="shared" si="5"/>
        <v>1.04</v>
      </c>
      <c r="U118">
        <f t="shared" si="3"/>
        <v>1.34</v>
      </c>
      <c r="V118">
        <f t="shared" si="4"/>
        <v>0.30000000000000004</v>
      </c>
    </row>
    <row r="119" spans="1:23">
      <c r="A119" s="12">
        <v>40</v>
      </c>
      <c r="B119" s="12">
        <v>40</v>
      </c>
      <c r="C119" s="11">
        <v>49.237615308286394</v>
      </c>
      <c r="D119" s="11">
        <v>42.694210381882002</v>
      </c>
      <c r="E119" s="11"/>
      <c r="F119" s="10">
        <v>351</v>
      </c>
      <c r="G119" s="12" t="s">
        <v>13</v>
      </c>
      <c r="H119" s="13"/>
      <c r="I119" s="14">
        <v>1.05</v>
      </c>
      <c r="J119" s="14"/>
      <c r="K119" s="14">
        <v>11.3</v>
      </c>
      <c r="L119" s="13">
        <v>2.2000000000000002</v>
      </c>
      <c r="M119" s="13">
        <v>1.3</v>
      </c>
      <c r="P119" s="12" t="s">
        <v>14</v>
      </c>
      <c r="Q119" s="12"/>
      <c r="R119" s="12"/>
      <c r="T119">
        <f t="shared" si="5"/>
        <v>1.05</v>
      </c>
      <c r="U119">
        <f t="shared" si="3"/>
        <v>1.1300000000000001</v>
      </c>
      <c r="V119">
        <f t="shared" si="4"/>
        <v>8.0000000000000071E-2</v>
      </c>
    </row>
    <row r="120" spans="1:23">
      <c r="A120" s="12">
        <v>20</v>
      </c>
      <c r="B120" s="12">
        <v>-20</v>
      </c>
      <c r="C120" s="11">
        <v>27.354652244018268</v>
      </c>
      <c r="D120" s="11">
        <v>-13.459375685046041</v>
      </c>
      <c r="E120" s="11"/>
      <c r="F120" s="12">
        <v>556</v>
      </c>
      <c r="G120" s="12" t="s">
        <v>13</v>
      </c>
      <c r="H120" s="13"/>
      <c r="I120" s="14">
        <v>1.05</v>
      </c>
      <c r="J120" s="14" t="s">
        <v>70</v>
      </c>
      <c r="K120" s="14"/>
      <c r="L120" s="13">
        <v>1</v>
      </c>
      <c r="M120" s="13"/>
      <c r="P120" s="12" t="s">
        <v>12</v>
      </c>
      <c r="Q120" s="12"/>
      <c r="R120" s="12" t="s">
        <v>41</v>
      </c>
      <c r="T120">
        <f t="shared" si="5"/>
        <v>1.05</v>
      </c>
      <c r="U120" t="str">
        <f t="shared" si="3"/>
        <v>dead</v>
      </c>
      <c r="V120" t="e">
        <f t="shared" si="4"/>
        <v>#VALUE!</v>
      </c>
    </row>
    <row r="121" spans="1:23">
      <c r="A121" s="12">
        <v>20</v>
      </c>
      <c r="B121" s="12">
        <v>-20</v>
      </c>
      <c r="C121" s="11">
        <v>27.245017801982723</v>
      </c>
      <c r="D121" s="11">
        <v>-13.513307434350482</v>
      </c>
      <c r="E121" s="11"/>
      <c r="F121" s="10">
        <v>551</v>
      </c>
      <c r="G121" s="12" t="s">
        <v>13</v>
      </c>
      <c r="H121" s="13"/>
      <c r="I121" s="14">
        <v>1.06</v>
      </c>
      <c r="J121" s="14"/>
      <c r="K121" s="14">
        <v>11</v>
      </c>
      <c r="L121" s="13">
        <v>2</v>
      </c>
      <c r="M121" s="13">
        <v>1.7</v>
      </c>
      <c r="P121" s="12" t="s">
        <v>14</v>
      </c>
      <c r="Q121" s="12"/>
      <c r="R121" s="12"/>
      <c r="T121">
        <f t="shared" si="5"/>
        <v>1.06</v>
      </c>
      <c r="U121">
        <f t="shared" si="3"/>
        <v>1.1000000000000001</v>
      </c>
      <c r="V121">
        <f t="shared" si="4"/>
        <v>4.0000000000000036E-2</v>
      </c>
    </row>
    <row r="122" spans="1:23">
      <c r="A122" s="12">
        <v>20</v>
      </c>
      <c r="B122" s="12">
        <v>20</v>
      </c>
      <c r="C122" s="11">
        <v>25.677496816558932</v>
      </c>
      <c r="D122" s="11">
        <v>20.358548791109246</v>
      </c>
      <c r="E122" s="11"/>
      <c r="F122" s="12">
        <v>164</v>
      </c>
      <c r="G122" s="12" t="s">
        <v>21</v>
      </c>
      <c r="H122" s="13"/>
      <c r="I122" s="14">
        <v>1.08</v>
      </c>
      <c r="J122" s="14"/>
      <c r="K122" s="14">
        <v>20.2</v>
      </c>
      <c r="L122" s="13">
        <v>2.5</v>
      </c>
      <c r="M122" s="13">
        <v>0.6</v>
      </c>
      <c r="P122" s="12" t="s">
        <v>14</v>
      </c>
      <c r="Q122" s="12"/>
      <c r="R122" s="12"/>
      <c r="T122">
        <f t="shared" si="5"/>
        <v>1.08</v>
      </c>
      <c r="U122">
        <f t="shared" si="3"/>
        <v>2.02</v>
      </c>
      <c r="V122">
        <f t="shared" si="4"/>
        <v>0.94</v>
      </c>
    </row>
    <row r="123" spans="1:23">
      <c r="A123" s="12">
        <v>40</v>
      </c>
      <c r="B123" s="12">
        <v>0</v>
      </c>
      <c r="C123" s="11">
        <v>49.221325124819906</v>
      </c>
      <c r="D123" s="11">
        <v>2.2897754285387277</v>
      </c>
      <c r="E123" s="11"/>
      <c r="F123" s="10">
        <v>275</v>
      </c>
      <c r="G123" s="12" t="s">
        <v>21</v>
      </c>
      <c r="H123" s="13"/>
      <c r="I123" s="14">
        <v>1.08</v>
      </c>
      <c r="J123" s="14">
        <v>6.4</v>
      </c>
      <c r="K123" s="14"/>
      <c r="L123" s="13">
        <v>2.8</v>
      </c>
      <c r="M123" s="13">
        <v>0.7</v>
      </c>
      <c r="P123" s="12" t="s">
        <v>14</v>
      </c>
      <c r="Q123" s="12"/>
      <c r="R123" s="12"/>
      <c r="S123" t="s">
        <v>81</v>
      </c>
      <c r="T123">
        <f t="shared" si="5"/>
        <v>1.08</v>
      </c>
      <c r="U123">
        <f t="shared" si="3"/>
        <v>2.0371832715762603</v>
      </c>
      <c r="V123">
        <f t="shared" si="4"/>
        <v>0.95718327157626026</v>
      </c>
    </row>
    <row r="124" spans="1:23">
      <c r="A124" s="12">
        <v>40</v>
      </c>
      <c r="B124" s="12">
        <v>40</v>
      </c>
      <c r="C124" s="11">
        <v>40.403688025885337</v>
      </c>
      <c r="D124" s="11">
        <v>48.917443383361821</v>
      </c>
      <c r="E124" s="11"/>
      <c r="F124" s="10">
        <v>361</v>
      </c>
      <c r="G124" s="12" t="s">
        <v>11</v>
      </c>
      <c r="H124" s="13"/>
      <c r="I124" s="14">
        <v>1.08</v>
      </c>
      <c r="J124" s="14">
        <v>5.5</v>
      </c>
      <c r="K124" s="14"/>
      <c r="L124" s="13">
        <v>2.4</v>
      </c>
      <c r="M124" s="13">
        <v>0.5</v>
      </c>
      <c r="P124" s="12" t="s">
        <v>14</v>
      </c>
      <c r="Q124" s="12"/>
      <c r="R124" s="12"/>
      <c r="T124">
        <f t="shared" si="5"/>
        <v>1.08</v>
      </c>
      <c r="U124">
        <f t="shared" si="3"/>
        <v>1.7507043740108488</v>
      </c>
      <c r="V124">
        <f t="shared" si="4"/>
        <v>0.6707043740108487</v>
      </c>
    </row>
    <row r="125" spans="1:23">
      <c r="A125" s="12">
        <v>30</v>
      </c>
      <c r="B125" s="12">
        <v>40</v>
      </c>
      <c r="C125" s="11">
        <v>37.586645506147292</v>
      </c>
      <c r="D125" s="11">
        <v>46.055567672903109</v>
      </c>
      <c r="E125" s="11"/>
      <c r="F125" s="10">
        <v>201</v>
      </c>
      <c r="G125" s="12" t="s">
        <v>13</v>
      </c>
      <c r="H125" s="13"/>
      <c r="I125" s="14">
        <v>1.0900000000000001</v>
      </c>
      <c r="J125" s="14"/>
      <c r="K125" s="14">
        <v>11.7</v>
      </c>
      <c r="L125" s="13">
        <v>1.9</v>
      </c>
      <c r="M125" s="13">
        <v>1.2</v>
      </c>
      <c r="P125" s="12" t="s">
        <v>14</v>
      </c>
      <c r="Q125" s="12"/>
      <c r="R125" s="12"/>
      <c r="T125">
        <f t="shared" si="5"/>
        <v>1.0900000000000001</v>
      </c>
      <c r="U125">
        <f t="shared" si="3"/>
        <v>1.17</v>
      </c>
      <c r="V125">
        <f t="shared" si="4"/>
        <v>7.9999999999999849E-2</v>
      </c>
    </row>
    <row r="126" spans="1:23">
      <c r="A126" s="12">
        <v>40</v>
      </c>
      <c r="B126" s="12">
        <v>20</v>
      </c>
      <c r="C126" s="11">
        <v>41.934145126044378</v>
      </c>
      <c r="D126" s="11">
        <v>29.733251261038692</v>
      </c>
      <c r="E126" s="11"/>
      <c r="F126" s="10">
        <v>311</v>
      </c>
      <c r="G126" s="12" t="s">
        <v>13</v>
      </c>
      <c r="H126" s="13"/>
      <c r="I126" s="14">
        <v>1.0900000000000001</v>
      </c>
      <c r="J126" s="14"/>
      <c r="K126" s="14">
        <v>11.8</v>
      </c>
      <c r="L126" s="13">
        <v>2</v>
      </c>
      <c r="M126" s="13">
        <v>1.4</v>
      </c>
      <c r="P126" s="12" t="s">
        <v>14</v>
      </c>
      <c r="Q126" s="12"/>
      <c r="R126" s="12"/>
      <c r="T126">
        <f t="shared" si="5"/>
        <v>1.0900000000000001</v>
      </c>
      <c r="U126">
        <f t="shared" si="3"/>
        <v>1.1800000000000002</v>
      </c>
      <c r="V126">
        <f t="shared" si="4"/>
        <v>9.000000000000008E-2</v>
      </c>
    </row>
    <row r="127" spans="1:23">
      <c r="A127" s="12">
        <v>30</v>
      </c>
      <c r="B127" s="12">
        <v>-10</v>
      </c>
      <c r="C127" s="11">
        <v>39.01488078418457</v>
      </c>
      <c r="D127" s="11">
        <v>-2.2019784476682034</v>
      </c>
      <c r="E127" s="11"/>
      <c r="F127" s="12">
        <v>446</v>
      </c>
      <c r="G127" s="12" t="s">
        <v>13</v>
      </c>
      <c r="H127" s="13"/>
      <c r="I127" s="14">
        <v>1.0900000000000001</v>
      </c>
      <c r="J127" s="14"/>
      <c r="K127" s="14">
        <v>13.3</v>
      </c>
      <c r="L127" s="13">
        <v>2</v>
      </c>
      <c r="M127" s="13">
        <v>1.1000000000000001</v>
      </c>
      <c r="P127" s="12" t="s">
        <v>14</v>
      </c>
      <c r="Q127" s="12"/>
      <c r="R127" s="12"/>
      <c r="T127">
        <f t="shared" si="5"/>
        <v>1.0900000000000001</v>
      </c>
      <c r="U127">
        <f t="shared" si="3"/>
        <v>1.33</v>
      </c>
      <c r="V127">
        <f t="shared" si="4"/>
        <v>0.24</v>
      </c>
    </row>
    <row r="128" spans="1:23">
      <c r="A128" s="12">
        <v>30</v>
      </c>
      <c r="B128" s="12">
        <v>0</v>
      </c>
      <c r="C128" s="11">
        <v>30.958879013021043</v>
      </c>
      <c r="D128" s="11">
        <v>1.4622266506827504</v>
      </c>
      <c r="E128" s="11"/>
      <c r="F128" s="12">
        <v>260</v>
      </c>
      <c r="G128" s="12" t="s">
        <v>11</v>
      </c>
      <c r="H128" s="13"/>
      <c r="I128" s="14">
        <v>1.1000000000000001</v>
      </c>
      <c r="J128" s="14" t="s">
        <v>70</v>
      </c>
      <c r="K128" s="14"/>
      <c r="L128" s="13">
        <v>2.1</v>
      </c>
      <c r="M128" s="13"/>
      <c r="P128" s="12" t="s">
        <v>12</v>
      </c>
      <c r="Q128" s="12"/>
      <c r="R128" s="12"/>
      <c r="T128">
        <f t="shared" si="5"/>
        <v>1.1000000000000001</v>
      </c>
      <c r="U128" t="str">
        <f t="shared" si="3"/>
        <v>dead</v>
      </c>
      <c r="V128" t="e">
        <f t="shared" si="4"/>
        <v>#VALUE!</v>
      </c>
    </row>
    <row r="129" spans="1:22">
      <c r="A129" s="12">
        <v>20</v>
      </c>
      <c r="B129" s="12">
        <v>-30</v>
      </c>
      <c r="C129" s="11">
        <v>20.689156705470445</v>
      </c>
      <c r="D129" s="11">
        <v>-23.025276374930733</v>
      </c>
      <c r="E129" s="11"/>
      <c r="F129" s="12">
        <v>632</v>
      </c>
      <c r="G129" s="12" t="s">
        <v>11</v>
      </c>
      <c r="H129" s="13"/>
      <c r="I129" s="14">
        <v>1.1000000000000001</v>
      </c>
      <c r="J129" s="14"/>
      <c r="K129" s="14">
        <v>15.1</v>
      </c>
      <c r="L129" s="13">
        <v>2.2999999999999998</v>
      </c>
      <c r="M129" s="13">
        <v>0.3</v>
      </c>
      <c r="P129" s="12" t="s">
        <v>14</v>
      </c>
      <c r="Q129" s="12"/>
      <c r="R129" s="12"/>
      <c r="T129">
        <f t="shared" si="5"/>
        <v>1.1000000000000001</v>
      </c>
      <c r="U129">
        <f t="shared" si="3"/>
        <v>1.51</v>
      </c>
      <c r="V129">
        <f t="shared" si="4"/>
        <v>0.40999999999999992</v>
      </c>
    </row>
    <row r="130" spans="1:22">
      <c r="A130" s="12">
        <v>30</v>
      </c>
      <c r="B130" s="12">
        <v>-10</v>
      </c>
      <c r="C130" s="11">
        <v>36.140434147170858</v>
      </c>
      <c r="D130" s="11">
        <v>-1.9804145102333841</v>
      </c>
      <c r="E130" s="11"/>
      <c r="F130" s="12">
        <v>434</v>
      </c>
      <c r="G130" s="12" t="s">
        <v>13</v>
      </c>
      <c r="H130" s="13"/>
      <c r="I130" s="14">
        <v>1.1299999999999999</v>
      </c>
      <c r="J130" s="14"/>
      <c r="K130" s="14">
        <v>15.5</v>
      </c>
      <c r="L130" s="13">
        <v>2.7</v>
      </c>
      <c r="M130" s="13">
        <v>0.6</v>
      </c>
      <c r="P130" s="12" t="s">
        <v>14</v>
      </c>
      <c r="Q130" s="12"/>
      <c r="R130" s="12"/>
      <c r="T130">
        <f t="shared" si="5"/>
        <v>1.1299999999999999</v>
      </c>
      <c r="U130">
        <f t="shared" ref="U130:U193" si="6">IF(J130="dead","dead",J130/PI()+K130/10)</f>
        <v>1.55</v>
      </c>
      <c r="V130">
        <f t="shared" ref="V130:V193" si="7">U130-T130</f>
        <v>0.42000000000000015</v>
      </c>
    </row>
    <row r="131" spans="1:22">
      <c r="A131" s="12">
        <v>20</v>
      </c>
      <c r="B131" s="12">
        <v>10</v>
      </c>
      <c r="C131" s="11">
        <v>22.650337940557488</v>
      </c>
      <c r="D131" s="11">
        <v>15.505115568767668</v>
      </c>
      <c r="E131" s="11"/>
      <c r="F131" s="10">
        <v>157</v>
      </c>
      <c r="G131" s="12" t="s">
        <v>11</v>
      </c>
      <c r="H131" s="13"/>
      <c r="I131" s="14">
        <v>1.1499999999999999</v>
      </c>
      <c r="J131" s="14"/>
      <c r="K131" s="14">
        <v>21.8</v>
      </c>
      <c r="L131" s="13">
        <v>1.4</v>
      </c>
      <c r="M131" s="13">
        <v>0.1</v>
      </c>
      <c r="P131" s="12" t="s">
        <v>14</v>
      </c>
      <c r="Q131" s="12"/>
      <c r="R131" s="12"/>
      <c r="T131">
        <f t="shared" si="5"/>
        <v>1.1499999999999999</v>
      </c>
      <c r="U131">
        <f t="shared" si="6"/>
        <v>2.1800000000000002</v>
      </c>
      <c r="V131">
        <f t="shared" si="7"/>
        <v>1.0300000000000002</v>
      </c>
    </row>
    <row r="132" spans="1:22">
      <c r="A132" s="12">
        <v>40</v>
      </c>
      <c r="B132" s="12">
        <v>-20</v>
      </c>
      <c r="C132" s="11">
        <v>48.947736636769655</v>
      </c>
      <c r="D132" s="11">
        <v>-16.311933862059238</v>
      </c>
      <c r="E132" s="11"/>
      <c r="F132" s="12">
        <v>506</v>
      </c>
      <c r="G132" s="12" t="s">
        <v>13</v>
      </c>
      <c r="H132" s="13"/>
      <c r="I132" s="14">
        <v>1.1499999999999999</v>
      </c>
      <c r="J132" s="14"/>
      <c r="K132" s="14">
        <v>17.100000000000001</v>
      </c>
      <c r="L132" s="13">
        <v>2.8</v>
      </c>
      <c r="M132" s="13">
        <v>1.5</v>
      </c>
      <c r="P132" s="12" t="s">
        <v>14</v>
      </c>
      <c r="Q132" s="12"/>
      <c r="R132" s="12"/>
      <c r="S132" t="s">
        <v>92</v>
      </c>
      <c r="T132">
        <f t="shared" si="5"/>
        <v>1.1499999999999999</v>
      </c>
      <c r="U132">
        <f t="shared" si="6"/>
        <v>1.7100000000000002</v>
      </c>
      <c r="V132">
        <f t="shared" si="7"/>
        <v>0.56000000000000028</v>
      </c>
    </row>
    <row r="133" spans="1:22">
      <c r="A133" s="12">
        <v>30</v>
      </c>
      <c r="B133" s="12">
        <v>-30</v>
      </c>
      <c r="C133" s="11">
        <v>30.787315303096907</v>
      </c>
      <c r="D133" s="11">
        <v>-27.247360527358179</v>
      </c>
      <c r="E133" s="11"/>
      <c r="F133" s="12">
        <v>668</v>
      </c>
      <c r="G133" s="12" t="s">
        <v>21</v>
      </c>
      <c r="H133" s="13"/>
      <c r="I133" s="14">
        <v>1.1499999999999999</v>
      </c>
      <c r="J133" s="14"/>
      <c r="K133" s="14">
        <v>13.6</v>
      </c>
      <c r="L133" s="13">
        <v>2.9</v>
      </c>
      <c r="M133" s="13">
        <v>0.5</v>
      </c>
      <c r="P133" s="12" t="s">
        <v>14</v>
      </c>
      <c r="Q133" s="12"/>
      <c r="R133" s="12"/>
      <c r="T133">
        <f t="shared" ref="T133:T196" si="8">H133/PI()+I133</f>
        <v>1.1499999999999999</v>
      </c>
      <c r="U133">
        <f t="shared" si="6"/>
        <v>1.3599999999999999</v>
      </c>
      <c r="V133">
        <f t="shared" si="7"/>
        <v>0.20999999999999996</v>
      </c>
    </row>
    <row r="134" spans="1:22">
      <c r="A134" s="9">
        <v>0</v>
      </c>
      <c r="B134" s="12">
        <v>20</v>
      </c>
      <c r="C134" s="11">
        <v>0.56912983370203873</v>
      </c>
      <c r="D134" s="11">
        <v>24.635190528164973</v>
      </c>
      <c r="E134" s="11"/>
      <c r="F134" s="12">
        <v>28</v>
      </c>
      <c r="G134" s="12" t="s">
        <v>11</v>
      </c>
      <c r="H134" s="13"/>
      <c r="I134" s="14">
        <v>1.18</v>
      </c>
      <c r="J134" s="14" t="s">
        <v>70</v>
      </c>
      <c r="K134" s="14"/>
      <c r="L134" s="13">
        <v>2.2000000000000002</v>
      </c>
      <c r="M134" s="13"/>
      <c r="P134" s="12" t="s">
        <v>12</v>
      </c>
      <c r="Q134" s="12"/>
      <c r="R134" s="12"/>
      <c r="T134">
        <f t="shared" si="8"/>
        <v>1.18</v>
      </c>
      <c r="U134" t="str">
        <f t="shared" si="6"/>
        <v>dead</v>
      </c>
      <c r="V134" t="e">
        <f t="shared" si="7"/>
        <v>#VALUE!</v>
      </c>
    </row>
    <row r="135" spans="1:22">
      <c r="A135" s="12">
        <v>30</v>
      </c>
      <c r="B135" s="12">
        <v>-10</v>
      </c>
      <c r="C135" s="11">
        <v>36.376280380840498</v>
      </c>
      <c r="D135" s="11">
        <v>-1.9368581730371055</v>
      </c>
      <c r="E135" s="11"/>
      <c r="F135" s="12">
        <v>436</v>
      </c>
      <c r="G135" s="12" t="s">
        <v>13</v>
      </c>
      <c r="H135" s="13"/>
      <c r="I135" s="14">
        <v>1.18</v>
      </c>
      <c r="J135" s="14"/>
      <c r="K135" s="14">
        <v>23.1</v>
      </c>
      <c r="L135" s="13">
        <v>3.2</v>
      </c>
      <c r="M135" s="13">
        <v>1</v>
      </c>
      <c r="P135" s="12" t="s">
        <v>14</v>
      </c>
      <c r="Q135" s="12"/>
      <c r="R135" s="12"/>
      <c r="T135">
        <f t="shared" si="8"/>
        <v>1.18</v>
      </c>
      <c r="U135">
        <f t="shared" si="6"/>
        <v>2.31</v>
      </c>
      <c r="V135">
        <f t="shared" si="7"/>
        <v>1.1300000000000001</v>
      </c>
    </row>
    <row r="136" spans="1:22">
      <c r="A136" s="12">
        <v>10</v>
      </c>
      <c r="B136" s="12">
        <v>20</v>
      </c>
      <c r="C136" s="11">
        <v>18.750671087244616</v>
      </c>
      <c r="D136" s="11">
        <v>23.475231471135253</v>
      </c>
      <c r="E136" s="11"/>
      <c r="F136" s="10">
        <v>101</v>
      </c>
      <c r="G136" s="12" t="s">
        <v>11</v>
      </c>
      <c r="H136" s="13"/>
      <c r="I136" s="14">
        <v>1.19</v>
      </c>
      <c r="J136" s="14" t="s">
        <v>70</v>
      </c>
      <c r="K136" s="14"/>
      <c r="L136" s="13">
        <v>2.1</v>
      </c>
      <c r="M136" s="13"/>
      <c r="P136" s="12" t="s">
        <v>12</v>
      </c>
      <c r="Q136" s="12"/>
      <c r="R136" s="12"/>
      <c r="T136">
        <f t="shared" si="8"/>
        <v>1.19</v>
      </c>
      <c r="U136" t="str">
        <f t="shared" si="6"/>
        <v>dead</v>
      </c>
      <c r="V136" t="e">
        <f t="shared" si="7"/>
        <v>#VALUE!</v>
      </c>
    </row>
    <row r="137" spans="1:22">
      <c r="A137" s="12">
        <v>40</v>
      </c>
      <c r="B137" s="12">
        <v>20</v>
      </c>
      <c r="C137" s="11">
        <v>42.296976774514143</v>
      </c>
      <c r="D137" s="11">
        <v>29.435802149635169</v>
      </c>
      <c r="E137" s="11"/>
      <c r="F137" s="10">
        <v>295</v>
      </c>
      <c r="G137" s="12" t="s">
        <v>13</v>
      </c>
      <c r="H137" s="13"/>
      <c r="I137" s="14">
        <v>1.22</v>
      </c>
      <c r="J137" s="14"/>
      <c r="K137" s="14">
        <v>13.6</v>
      </c>
      <c r="L137" s="13">
        <v>2.1</v>
      </c>
      <c r="M137" s="13">
        <v>1</v>
      </c>
      <c r="P137" s="12" t="s">
        <v>14</v>
      </c>
      <c r="Q137" s="12"/>
      <c r="R137" s="12"/>
      <c r="T137">
        <f t="shared" si="8"/>
        <v>1.22</v>
      </c>
      <c r="U137">
        <f t="shared" si="6"/>
        <v>1.3599999999999999</v>
      </c>
      <c r="V137">
        <f t="shared" si="7"/>
        <v>0.1399999999999999</v>
      </c>
    </row>
    <row r="138" spans="1:22">
      <c r="A138" s="12">
        <v>40</v>
      </c>
      <c r="B138" s="12">
        <v>40</v>
      </c>
      <c r="C138" s="11">
        <v>41.347856998834331</v>
      </c>
      <c r="D138" s="11">
        <v>45.661803730912965</v>
      </c>
      <c r="E138" s="11"/>
      <c r="F138" s="12">
        <v>360</v>
      </c>
      <c r="G138" s="12" t="s">
        <v>13</v>
      </c>
      <c r="H138" s="13"/>
      <c r="I138" s="14">
        <v>1.22</v>
      </c>
      <c r="J138" s="14">
        <v>5.3</v>
      </c>
      <c r="K138" s="14"/>
      <c r="L138" s="13">
        <v>2.8</v>
      </c>
      <c r="M138" s="13">
        <v>0.4</v>
      </c>
      <c r="P138" s="12" t="s">
        <v>14</v>
      </c>
      <c r="Q138" s="12"/>
      <c r="R138" s="12"/>
      <c r="T138">
        <f t="shared" si="8"/>
        <v>1.22</v>
      </c>
      <c r="U138">
        <f t="shared" si="6"/>
        <v>1.6870423967740906</v>
      </c>
      <c r="V138">
        <f t="shared" si="7"/>
        <v>0.46704239677409065</v>
      </c>
    </row>
    <row r="139" spans="1:22">
      <c r="A139" s="12">
        <v>30</v>
      </c>
      <c r="B139" s="12">
        <v>-10</v>
      </c>
      <c r="C139" s="11">
        <v>36.357692293398046</v>
      </c>
      <c r="D139" s="11">
        <v>-1.8575191390812584</v>
      </c>
      <c r="E139" s="11"/>
      <c r="F139" s="10">
        <v>437</v>
      </c>
      <c r="G139" s="12" t="s">
        <v>13</v>
      </c>
      <c r="H139" s="13"/>
      <c r="I139" s="14">
        <v>1.22</v>
      </c>
      <c r="J139" s="14"/>
      <c r="K139" s="14">
        <v>16.100000000000001</v>
      </c>
      <c r="L139" s="13">
        <v>3.1</v>
      </c>
      <c r="M139" s="13">
        <v>0.8</v>
      </c>
      <c r="P139" s="12" t="s">
        <v>14</v>
      </c>
      <c r="Q139" s="12"/>
      <c r="R139" s="12"/>
      <c r="T139">
        <f t="shared" si="8"/>
        <v>1.22</v>
      </c>
      <c r="U139">
        <f t="shared" si="6"/>
        <v>1.61</v>
      </c>
      <c r="V139">
        <f t="shared" si="7"/>
        <v>0.39000000000000012</v>
      </c>
    </row>
    <row r="140" spans="1:22">
      <c r="A140" s="12">
        <v>40</v>
      </c>
      <c r="B140" s="12">
        <v>-10</v>
      </c>
      <c r="C140" s="11">
        <v>43.511176741472546</v>
      </c>
      <c r="D140" s="11">
        <v>-9.4124305231359866</v>
      </c>
      <c r="E140" s="11"/>
      <c r="F140" s="10">
        <v>449</v>
      </c>
      <c r="G140" s="12" t="s">
        <v>13</v>
      </c>
      <c r="H140" s="13"/>
      <c r="I140" s="14">
        <v>1.22</v>
      </c>
      <c r="J140" s="14"/>
      <c r="K140" s="14">
        <v>12.1</v>
      </c>
      <c r="L140" s="13">
        <v>1.8</v>
      </c>
      <c r="M140" s="13">
        <v>1.6</v>
      </c>
      <c r="P140" s="12" t="s">
        <v>14</v>
      </c>
      <c r="Q140" s="12"/>
      <c r="R140" s="12"/>
      <c r="T140">
        <f t="shared" si="8"/>
        <v>1.22</v>
      </c>
      <c r="U140">
        <f t="shared" si="6"/>
        <v>1.21</v>
      </c>
      <c r="V140">
        <f t="shared" si="7"/>
        <v>-1.0000000000000009E-2</v>
      </c>
    </row>
    <row r="141" spans="1:22">
      <c r="A141" s="12">
        <v>0</v>
      </c>
      <c r="B141" s="12">
        <v>-20</v>
      </c>
      <c r="C141" s="11">
        <v>4.283786838883505</v>
      </c>
      <c r="D141" s="11">
        <v>-18.299684952997218</v>
      </c>
      <c r="E141" s="11"/>
      <c r="F141" s="10">
        <v>583</v>
      </c>
      <c r="G141" s="12" t="s">
        <v>11</v>
      </c>
      <c r="H141" s="13"/>
      <c r="I141" s="14">
        <v>1.22</v>
      </c>
      <c r="J141" s="14" t="s">
        <v>70</v>
      </c>
      <c r="K141" s="14"/>
      <c r="L141" s="13">
        <v>2.2000000000000002</v>
      </c>
      <c r="M141" s="13"/>
      <c r="P141" s="12" t="s">
        <v>12</v>
      </c>
      <c r="Q141" s="12"/>
      <c r="R141" s="12"/>
      <c r="T141">
        <f t="shared" si="8"/>
        <v>1.22</v>
      </c>
      <c r="U141" t="str">
        <f t="shared" si="6"/>
        <v>dead</v>
      </c>
      <c r="V141" t="e">
        <f t="shared" si="7"/>
        <v>#VALUE!</v>
      </c>
    </row>
    <row r="142" spans="1:22">
      <c r="A142" s="12">
        <v>40</v>
      </c>
      <c r="B142" s="12">
        <v>20</v>
      </c>
      <c r="C142" s="11">
        <v>42.033215261247165</v>
      </c>
      <c r="D142" s="11">
        <v>29.849072569358412</v>
      </c>
      <c r="E142" s="11"/>
      <c r="F142" s="10">
        <v>315</v>
      </c>
      <c r="G142" s="12" t="s">
        <v>13</v>
      </c>
      <c r="H142" s="13"/>
      <c r="I142" s="14">
        <v>1.23</v>
      </c>
      <c r="J142" s="14" t="s">
        <v>70</v>
      </c>
      <c r="K142" s="14"/>
      <c r="L142" s="13">
        <v>1.5</v>
      </c>
      <c r="M142" s="13"/>
      <c r="P142" s="12" t="s">
        <v>12</v>
      </c>
      <c r="Q142" s="12"/>
      <c r="R142" s="12" t="s">
        <v>16</v>
      </c>
      <c r="T142">
        <f t="shared" si="8"/>
        <v>1.23</v>
      </c>
      <c r="U142" t="str">
        <f t="shared" si="6"/>
        <v>dead</v>
      </c>
      <c r="V142" t="e">
        <f t="shared" si="7"/>
        <v>#VALUE!</v>
      </c>
    </row>
    <row r="143" spans="1:22">
      <c r="A143" s="12">
        <v>10</v>
      </c>
      <c r="B143" s="12">
        <v>20</v>
      </c>
      <c r="C143" s="11">
        <v>19.395037262242923</v>
      </c>
      <c r="D143" s="11">
        <v>28.232704877268993</v>
      </c>
      <c r="E143" s="11"/>
      <c r="F143" s="12">
        <v>96</v>
      </c>
      <c r="G143" s="12" t="s">
        <v>13</v>
      </c>
      <c r="H143" s="13"/>
      <c r="I143" s="14">
        <v>1.24</v>
      </c>
      <c r="J143" s="14"/>
      <c r="K143" s="14">
        <v>19.3</v>
      </c>
      <c r="L143" s="13">
        <v>3.3</v>
      </c>
      <c r="M143" s="13">
        <v>0.5</v>
      </c>
      <c r="P143" s="12" t="s">
        <v>14</v>
      </c>
      <c r="Q143" s="12"/>
      <c r="R143" s="12"/>
      <c r="T143">
        <f t="shared" si="8"/>
        <v>1.24</v>
      </c>
      <c r="U143">
        <f t="shared" si="6"/>
        <v>1.9300000000000002</v>
      </c>
      <c r="V143">
        <f t="shared" si="7"/>
        <v>0.69000000000000017</v>
      </c>
    </row>
    <row r="144" spans="1:22">
      <c r="A144" s="12">
        <v>40</v>
      </c>
      <c r="B144" s="12">
        <v>20</v>
      </c>
      <c r="C144" s="11">
        <v>42.314959564929261</v>
      </c>
      <c r="D144" s="11">
        <v>29.279987657004579</v>
      </c>
      <c r="E144" s="11"/>
      <c r="F144" s="10">
        <v>291</v>
      </c>
      <c r="G144" s="12" t="s">
        <v>13</v>
      </c>
      <c r="H144" s="13"/>
      <c r="I144" s="14">
        <v>1.24</v>
      </c>
      <c r="J144" s="14"/>
      <c r="K144" s="14">
        <v>5.5</v>
      </c>
      <c r="L144" s="13">
        <v>3.4</v>
      </c>
      <c r="M144" s="13">
        <v>1</v>
      </c>
      <c r="P144" s="12" t="s">
        <v>14</v>
      </c>
      <c r="Q144" s="12"/>
      <c r="R144" s="12"/>
      <c r="T144">
        <f t="shared" si="8"/>
        <v>1.24</v>
      </c>
      <c r="U144">
        <f t="shared" si="6"/>
        <v>0.55000000000000004</v>
      </c>
      <c r="V144">
        <f t="shared" si="7"/>
        <v>-0.69</v>
      </c>
    </row>
    <row r="145" spans="1:23">
      <c r="A145" s="12">
        <v>20</v>
      </c>
      <c r="B145" s="12">
        <v>-20</v>
      </c>
      <c r="C145" s="11">
        <v>29.815354348993672</v>
      </c>
      <c r="D145" s="11">
        <v>-13.113758655297145</v>
      </c>
      <c r="E145" s="11"/>
      <c r="F145" s="10">
        <v>539</v>
      </c>
      <c r="G145" s="12" t="s">
        <v>13</v>
      </c>
      <c r="H145" s="13"/>
      <c r="I145" s="14">
        <v>1.25</v>
      </c>
      <c r="J145" s="14"/>
      <c r="K145" s="14">
        <v>13.4</v>
      </c>
      <c r="L145" s="13">
        <v>2.2999999999999998</v>
      </c>
      <c r="M145" s="13">
        <v>1.3</v>
      </c>
      <c r="P145" s="12" t="s">
        <v>14</v>
      </c>
      <c r="Q145" s="12"/>
      <c r="R145" s="12"/>
      <c r="T145">
        <f t="shared" si="8"/>
        <v>1.25</v>
      </c>
      <c r="U145">
        <f t="shared" si="6"/>
        <v>1.34</v>
      </c>
      <c r="V145">
        <f t="shared" si="7"/>
        <v>9.000000000000008E-2</v>
      </c>
    </row>
    <row r="146" spans="1:23">
      <c r="A146" s="12">
        <v>40</v>
      </c>
      <c r="B146" s="12">
        <v>0</v>
      </c>
      <c r="C146" s="11">
        <v>40.044069004266788</v>
      </c>
      <c r="D146" s="11">
        <v>4.9501922885259351</v>
      </c>
      <c r="E146" s="11"/>
      <c r="F146" s="10">
        <v>263</v>
      </c>
      <c r="G146" s="12" t="s">
        <v>13</v>
      </c>
      <c r="H146" s="13"/>
      <c r="I146" s="14">
        <v>1.26</v>
      </c>
      <c r="J146" s="14" t="s">
        <v>70</v>
      </c>
      <c r="K146" s="14"/>
      <c r="L146" s="13">
        <v>2.5</v>
      </c>
      <c r="M146" s="13"/>
      <c r="P146" s="12" t="s">
        <v>12</v>
      </c>
      <c r="Q146" s="12"/>
      <c r="R146" s="12"/>
      <c r="T146">
        <f t="shared" si="8"/>
        <v>1.26</v>
      </c>
      <c r="U146" t="str">
        <f t="shared" si="6"/>
        <v>dead</v>
      </c>
      <c r="V146" t="e">
        <f t="shared" si="7"/>
        <v>#VALUE!</v>
      </c>
    </row>
    <row r="147" spans="1:23">
      <c r="A147" s="12">
        <v>30</v>
      </c>
      <c r="B147" s="12">
        <v>-30</v>
      </c>
      <c r="C147" s="11">
        <v>32.172249041042093</v>
      </c>
      <c r="D147" s="11">
        <v>-27.886300406635019</v>
      </c>
      <c r="E147" s="11"/>
      <c r="F147" s="12">
        <v>670</v>
      </c>
      <c r="G147" s="12" t="s">
        <v>11</v>
      </c>
      <c r="H147" s="13"/>
      <c r="I147" s="14">
        <v>1.26</v>
      </c>
      <c r="J147" s="14" t="s">
        <v>70</v>
      </c>
      <c r="K147" s="14"/>
      <c r="L147" s="13">
        <v>2.5</v>
      </c>
      <c r="M147" s="13"/>
      <c r="P147" s="12" t="s">
        <v>12</v>
      </c>
      <c r="Q147" s="12"/>
      <c r="R147" s="12"/>
      <c r="T147">
        <f t="shared" si="8"/>
        <v>1.26</v>
      </c>
      <c r="U147" t="str">
        <f t="shared" si="6"/>
        <v>dead</v>
      </c>
      <c r="V147" t="e">
        <f t="shared" si="7"/>
        <v>#VALUE!</v>
      </c>
    </row>
    <row r="148" spans="1:23">
      <c r="A148" s="12">
        <v>20</v>
      </c>
      <c r="B148" s="12">
        <v>30</v>
      </c>
      <c r="C148" s="11">
        <v>20.548209621882769</v>
      </c>
      <c r="D148" s="11">
        <v>33.73393534900292</v>
      </c>
      <c r="E148" s="11"/>
      <c r="F148" s="10">
        <v>175</v>
      </c>
      <c r="G148" s="12" t="s">
        <v>13</v>
      </c>
      <c r="H148" s="13"/>
      <c r="I148" s="14">
        <v>1.27</v>
      </c>
      <c r="J148" s="14">
        <v>6.3</v>
      </c>
      <c r="K148" s="14"/>
      <c r="L148" s="13">
        <v>2.8</v>
      </c>
      <c r="M148" s="13">
        <v>0.8</v>
      </c>
      <c r="P148" s="12" t="s">
        <v>14</v>
      </c>
      <c r="Q148" s="12"/>
      <c r="R148" s="12"/>
      <c r="T148">
        <f t="shared" si="8"/>
        <v>1.27</v>
      </c>
      <c r="U148">
        <f t="shared" si="6"/>
        <v>2.0053522829578814</v>
      </c>
      <c r="V148">
        <f t="shared" si="7"/>
        <v>0.73535228295788135</v>
      </c>
    </row>
    <row r="149" spans="1:23">
      <c r="A149" s="12">
        <v>30</v>
      </c>
      <c r="B149" s="12">
        <v>-20</v>
      </c>
      <c r="C149" s="11">
        <v>35.246860320498655</v>
      </c>
      <c r="D149" s="11">
        <v>-17.046819366717855</v>
      </c>
      <c r="E149" s="11"/>
      <c r="F149" s="10">
        <v>523</v>
      </c>
      <c r="G149" s="12" t="s">
        <v>21</v>
      </c>
      <c r="H149" s="13"/>
      <c r="I149" s="14">
        <v>1.27</v>
      </c>
      <c r="J149" s="14"/>
      <c r="K149" s="14">
        <v>19.2</v>
      </c>
      <c r="L149" s="13">
        <v>3.1</v>
      </c>
      <c r="M149" s="13">
        <v>0.6</v>
      </c>
      <c r="P149" s="12" t="s">
        <v>14</v>
      </c>
      <c r="Q149" s="12"/>
      <c r="R149" s="12"/>
      <c r="T149">
        <f t="shared" si="8"/>
        <v>1.27</v>
      </c>
      <c r="U149">
        <f t="shared" si="6"/>
        <v>1.92</v>
      </c>
      <c r="V149">
        <f t="shared" si="7"/>
        <v>0.64999999999999991</v>
      </c>
    </row>
    <row r="150" spans="1:23">
      <c r="A150" s="12">
        <v>0</v>
      </c>
      <c r="B150" s="12">
        <v>-30</v>
      </c>
      <c r="C150" s="11">
        <v>9.309286328818267</v>
      </c>
      <c r="D150" s="11">
        <v>-23.147976576191382</v>
      </c>
      <c r="E150" s="11"/>
      <c r="F150" s="10">
        <v>609</v>
      </c>
      <c r="G150" s="12" t="s">
        <v>13</v>
      </c>
      <c r="H150" s="13"/>
      <c r="I150" s="14">
        <v>1.27</v>
      </c>
      <c r="J150" s="14"/>
      <c r="K150" s="14">
        <v>16.3</v>
      </c>
      <c r="L150" s="13">
        <v>2.2999999999999998</v>
      </c>
      <c r="M150" s="13">
        <v>1.7</v>
      </c>
      <c r="P150" s="12" t="s">
        <v>14</v>
      </c>
      <c r="Q150" s="12"/>
      <c r="R150" s="12"/>
      <c r="T150">
        <f t="shared" si="8"/>
        <v>1.27</v>
      </c>
      <c r="U150">
        <f t="shared" si="6"/>
        <v>1.6300000000000001</v>
      </c>
      <c r="V150">
        <f t="shared" si="7"/>
        <v>0.3600000000000001</v>
      </c>
    </row>
    <row r="151" spans="1:23">
      <c r="A151" s="12">
        <v>20</v>
      </c>
      <c r="B151" s="12">
        <v>30</v>
      </c>
      <c r="C151" s="11">
        <v>24.676352046017037</v>
      </c>
      <c r="D151" s="11">
        <v>39.225834938974714</v>
      </c>
      <c r="E151" s="11"/>
      <c r="F151" s="10">
        <v>129</v>
      </c>
      <c r="G151" s="12" t="s">
        <v>11</v>
      </c>
      <c r="H151" s="13"/>
      <c r="I151" s="14">
        <v>1.28</v>
      </c>
      <c r="J151" s="14">
        <v>7</v>
      </c>
      <c r="K151" s="14"/>
      <c r="L151" s="13">
        <v>2.5</v>
      </c>
      <c r="M151" s="13">
        <v>0.2</v>
      </c>
      <c r="P151" s="12" t="s">
        <v>14</v>
      </c>
      <c r="Q151" s="12"/>
      <c r="R151" s="12"/>
      <c r="T151">
        <f t="shared" si="8"/>
        <v>1.28</v>
      </c>
      <c r="U151">
        <f t="shared" si="6"/>
        <v>2.228169203286535</v>
      </c>
      <c r="V151">
        <f t="shared" si="7"/>
        <v>0.94816920328653498</v>
      </c>
    </row>
    <row r="152" spans="1:23">
      <c r="A152" s="12">
        <v>40</v>
      </c>
      <c r="B152" s="12">
        <v>30</v>
      </c>
      <c r="C152" s="11">
        <v>48.785431380698043</v>
      </c>
      <c r="D152" s="11">
        <v>31.465996070483271</v>
      </c>
      <c r="E152" s="11"/>
      <c r="F152" s="12">
        <v>336</v>
      </c>
      <c r="G152" s="12" t="s">
        <v>30</v>
      </c>
      <c r="H152" s="13"/>
      <c r="I152" s="14">
        <v>1.28</v>
      </c>
      <c r="J152" s="14"/>
      <c r="K152" s="14">
        <v>17.100000000000001</v>
      </c>
      <c r="L152" s="13">
        <v>2.1</v>
      </c>
      <c r="M152" s="13">
        <v>1</v>
      </c>
      <c r="P152" s="12" t="s">
        <v>14</v>
      </c>
      <c r="Q152" s="12"/>
      <c r="R152" s="12"/>
      <c r="T152">
        <f t="shared" si="8"/>
        <v>1.28</v>
      </c>
      <c r="U152">
        <f t="shared" si="6"/>
        <v>1.7100000000000002</v>
      </c>
      <c r="V152">
        <f t="shared" si="7"/>
        <v>0.43000000000000016</v>
      </c>
    </row>
    <row r="153" spans="1:23">
      <c r="A153" s="12">
        <v>40</v>
      </c>
      <c r="B153" s="12">
        <v>20</v>
      </c>
      <c r="C153" s="11">
        <v>41.994523250760842</v>
      </c>
      <c r="D153" s="11">
        <v>29.817403525727038</v>
      </c>
      <c r="E153" s="11"/>
      <c r="F153" s="10">
        <v>313</v>
      </c>
      <c r="G153" s="12" t="s">
        <v>13</v>
      </c>
      <c r="H153" s="13"/>
      <c r="I153" s="14">
        <v>1.3</v>
      </c>
      <c r="J153" s="14">
        <v>6</v>
      </c>
      <c r="K153" s="14"/>
      <c r="L153" s="13">
        <v>3.1</v>
      </c>
      <c r="M153" s="13">
        <v>0.8</v>
      </c>
      <c r="P153" s="12" t="s">
        <v>14</v>
      </c>
      <c r="Q153" s="12"/>
      <c r="R153" s="12"/>
      <c r="T153">
        <f t="shared" si="8"/>
        <v>1.3</v>
      </c>
      <c r="U153">
        <f t="shared" si="6"/>
        <v>1.909859317102744</v>
      </c>
      <c r="V153">
        <f t="shared" si="7"/>
        <v>0.60985931710274399</v>
      </c>
    </row>
    <row r="154" spans="1:23">
      <c r="A154" s="12">
        <v>30</v>
      </c>
      <c r="B154" s="12">
        <v>-20</v>
      </c>
      <c r="C154" s="11">
        <v>30.272031637104213</v>
      </c>
      <c r="D154" s="11">
        <v>-12.789450040868029</v>
      </c>
      <c r="E154" s="11"/>
      <c r="F154" s="10">
        <v>531</v>
      </c>
      <c r="G154" s="12" t="s">
        <v>13</v>
      </c>
      <c r="H154" s="13"/>
      <c r="I154" s="14">
        <v>1.3</v>
      </c>
      <c r="J154" s="14"/>
      <c r="K154" s="14">
        <v>14.8</v>
      </c>
      <c r="L154" s="13">
        <v>2.7</v>
      </c>
      <c r="M154" s="13">
        <v>1.4</v>
      </c>
      <c r="P154" s="12" t="s">
        <v>14</v>
      </c>
      <c r="Q154" s="12"/>
      <c r="R154" s="12"/>
      <c r="T154">
        <f t="shared" si="8"/>
        <v>1.3</v>
      </c>
      <c r="U154">
        <f t="shared" si="6"/>
        <v>1.48</v>
      </c>
      <c r="V154">
        <f t="shared" si="7"/>
        <v>0.17999999999999994</v>
      </c>
    </row>
    <row r="155" spans="1:23">
      <c r="A155" s="12">
        <v>0</v>
      </c>
      <c r="B155" s="12">
        <v>-20</v>
      </c>
      <c r="C155" s="11">
        <v>0.82101434437614929</v>
      </c>
      <c r="D155" s="11">
        <v>-14.108775419310309</v>
      </c>
      <c r="E155" s="11"/>
      <c r="F155" s="10">
        <v>589</v>
      </c>
      <c r="G155" s="12" t="s">
        <v>11</v>
      </c>
      <c r="H155" s="13"/>
      <c r="I155" s="14">
        <v>1.3</v>
      </c>
      <c r="J155" s="14"/>
      <c r="K155" s="14">
        <v>20.5</v>
      </c>
      <c r="L155" s="13">
        <v>1.9</v>
      </c>
      <c r="M155" s="13">
        <v>0.2</v>
      </c>
      <c r="P155" s="12" t="s">
        <v>14</v>
      </c>
      <c r="Q155" s="12"/>
      <c r="R155" s="12"/>
      <c r="S155" t="s">
        <v>104</v>
      </c>
      <c r="T155">
        <f t="shared" si="8"/>
        <v>1.3</v>
      </c>
      <c r="U155">
        <f t="shared" si="6"/>
        <v>2.0499999999999998</v>
      </c>
      <c r="V155">
        <f t="shared" si="7"/>
        <v>0.74999999999999978</v>
      </c>
      <c r="W155" s="27"/>
    </row>
    <row r="156" spans="1:23">
      <c r="A156" s="12">
        <v>20</v>
      </c>
      <c r="B156" s="12">
        <v>40</v>
      </c>
      <c r="C156" s="11">
        <v>25.933414994968828</v>
      </c>
      <c r="D156" s="11">
        <v>46.753864560196561</v>
      </c>
      <c r="E156" s="11"/>
      <c r="F156" s="12">
        <v>190</v>
      </c>
      <c r="G156" s="12" t="s">
        <v>13</v>
      </c>
      <c r="H156" s="13"/>
      <c r="I156" s="14">
        <v>1.31</v>
      </c>
      <c r="J156" s="14"/>
      <c r="K156" s="14">
        <v>14.3</v>
      </c>
      <c r="L156" s="13">
        <v>1.8</v>
      </c>
      <c r="M156" s="13">
        <v>1.1000000000000001</v>
      </c>
      <c r="P156" s="12" t="s">
        <v>14</v>
      </c>
      <c r="Q156" s="12"/>
      <c r="R156" s="12"/>
      <c r="T156">
        <f t="shared" si="8"/>
        <v>1.31</v>
      </c>
      <c r="U156">
        <f t="shared" si="6"/>
        <v>1.4300000000000002</v>
      </c>
      <c r="V156">
        <f t="shared" si="7"/>
        <v>0.12000000000000011</v>
      </c>
    </row>
    <row r="157" spans="1:23">
      <c r="A157" s="12">
        <v>40</v>
      </c>
      <c r="B157" s="12">
        <v>20</v>
      </c>
      <c r="C157" s="11">
        <v>42.537382672775671</v>
      </c>
      <c r="D157" s="11">
        <v>29.97268447893466</v>
      </c>
      <c r="E157" s="11"/>
      <c r="F157" s="10">
        <v>301</v>
      </c>
      <c r="G157" s="12" t="s">
        <v>13</v>
      </c>
      <c r="H157" s="13"/>
      <c r="I157" s="14">
        <v>1.31</v>
      </c>
      <c r="J157" s="14">
        <v>6</v>
      </c>
      <c r="K157" s="14"/>
      <c r="L157" s="13">
        <v>3.1</v>
      </c>
      <c r="M157" s="13">
        <v>1</v>
      </c>
      <c r="P157" s="12" t="s">
        <v>14</v>
      </c>
      <c r="Q157" s="12"/>
      <c r="R157" s="12"/>
      <c r="T157">
        <f t="shared" si="8"/>
        <v>1.31</v>
      </c>
      <c r="U157">
        <f t="shared" si="6"/>
        <v>1.909859317102744</v>
      </c>
      <c r="V157">
        <f t="shared" si="7"/>
        <v>0.59985931710274398</v>
      </c>
    </row>
    <row r="158" spans="1:23">
      <c r="A158" s="9">
        <v>0</v>
      </c>
      <c r="B158" s="12">
        <v>20</v>
      </c>
      <c r="C158" s="11">
        <v>3.8226077947344206</v>
      </c>
      <c r="D158" s="11">
        <v>29.704255234052518</v>
      </c>
      <c r="E158" s="11"/>
      <c r="F158" s="10">
        <v>45</v>
      </c>
      <c r="G158" s="12" t="s">
        <v>11</v>
      </c>
      <c r="H158" s="13"/>
      <c r="I158" s="14">
        <v>1.32</v>
      </c>
      <c r="J158" s="14">
        <v>8.3000000000000007</v>
      </c>
      <c r="K158" s="14"/>
      <c r="L158" s="13">
        <v>2.1</v>
      </c>
      <c r="M158" s="13">
        <v>0.2</v>
      </c>
      <c r="P158" s="12" t="s">
        <v>14</v>
      </c>
      <c r="Q158" s="12"/>
      <c r="R158" s="12"/>
      <c r="T158">
        <f t="shared" si="8"/>
        <v>1.32</v>
      </c>
      <c r="U158">
        <f t="shared" si="6"/>
        <v>2.6419720553254629</v>
      </c>
      <c r="V158">
        <f t="shared" si="7"/>
        <v>1.3219720553254628</v>
      </c>
    </row>
    <row r="159" spans="1:23">
      <c r="A159" s="12">
        <v>40</v>
      </c>
      <c r="B159" s="12">
        <v>30</v>
      </c>
      <c r="C159" s="11">
        <v>43.446618132143705</v>
      </c>
      <c r="D159" s="11">
        <v>36.456599642426447</v>
      </c>
      <c r="E159" s="11"/>
      <c r="F159" s="12">
        <v>344</v>
      </c>
      <c r="G159" s="12" t="s">
        <v>11</v>
      </c>
      <c r="H159" s="13"/>
      <c r="I159" s="14">
        <v>1.32</v>
      </c>
      <c r="J159" s="14">
        <v>7.4</v>
      </c>
      <c r="K159" s="14"/>
      <c r="L159" s="13">
        <v>2.6</v>
      </c>
      <c r="M159" s="13">
        <v>0.3</v>
      </c>
      <c r="P159" s="12" t="s">
        <v>14</v>
      </c>
      <c r="Q159" s="12"/>
      <c r="R159" s="12"/>
      <c r="T159">
        <f t="shared" si="8"/>
        <v>1.32</v>
      </c>
      <c r="U159">
        <f t="shared" si="6"/>
        <v>2.3554931577600513</v>
      </c>
      <c r="V159">
        <f t="shared" si="7"/>
        <v>1.0354931577600512</v>
      </c>
      <c r="W159" s="27"/>
    </row>
    <row r="160" spans="1:23">
      <c r="A160" s="12">
        <v>20</v>
      </c>
      <c r="B160" s="12">
        <v>10</v>
      </c>
      <c r="C160" s="11">
        <v>21.971325740910526</v>
      </c>
      <c r="D160" s="11">
        <v>11.532730588339588</v>
      </c>
      <c r="E160" s="11"/>
      <c r="F160" s="10">
        <v>145</v>
      </c>
      <c r="G160" s="12" t="s">
        <v>13</v>
      </c>
      <c r="H160" s="13"/>
      <c r="I160" s="14">
        <v>1.33</v>
      </c>
      <c r="J160" s="14" t="s">
        <v>70</v>
      </c>
      <c r="K160" s="14"/>
      <c r="L160" s="13">
        <v>1.3</v>
      </c>
      <c r="M160" s="13"/>
      <c r="P160" s="12" t="s">
        <v>12</v>
      </c>
      <c r="Q160" s="12"/>
      <c r="R160" s="12" t="s">
        <v>16</v>
      </c>
      <c r="T160">
        <f t="shared" si="8"/>
        <v>1.33</v>
      </c>
      <c r="U160" t="str">
        <f t="shared" si="6"/>
        <v>dead</v>
      </c>
      <c r="V160" t="e">
        <f t="shared" si="7"/>
        <v>#VALUE!</v>
      </c>
    </row>
    <row r="161" spans="1:23" s="27" customFormat="1">
      <c r="A161" s="12">
        <v>40</v>
      </c>
      <c r="B161" s="12">
        <v>-10</v>
      </c>
      <c r="C161" s="11">
        <v>43.411546288263949</v>
      </c>
      <c r="D161" s="11">
        <v>-9.4229801363622858</v>
      </c>
      <c r="E161" s="11"/>
      <c r="F161" s="10">
        <v>447</v>
      </c>
      <c r="G161" s="12" t="s">
        <v>13</v>
      </c>
      <c r="H161" s="13"/>
      <c r="I161" s="14">
        <v>1.33</v>
      </c>
      <c r="J161" s="14"/>
      <c r="K161" s="14">
        <v>15.9</v>
      </c>
      <c r="L161" s="13">
        <v>1.8</v>
      </c>
      <c r="M161" s="13">
        <v>1.3</v>
      </c>
      <c r="N161"/>
      <c r="O161"/>
      <c r="P161" s="12" t="s">
        <v>14</v>
      </c>
      <c r="Q161" s="12"/>
      <c r="R161" s="12"/>
      <c r="S161"/>
      <c r="T161">
        <f t="shared" si="8"/>
        <v>1.33</v>
      </c>
      <c r="U161">
        <f t="shared" si="6"/>
        <v>1.59</v>
      </c>
      <c r="V161">
        <f t="shared" si="7"/>
        <v>0.26</v>
      </c>
      <c r="W161"/>
    </row>
    <row r="162" spans="1:23">
      <c r="A162" s="12">
        <v>10</v>
      </c>
      <c r="B162" s="12">
        <v>20</v>
      </c>
      <c r="C162" s="11">
        <v>18.480876301162375</v>
      </c>
      <c r="D162" s="11">
        <v>20.580784935354586</v>
      </c>
      <c r="E162" s="11"/>
      <c r="F162" s="12">
        <v>104</v>
      </c>
      <c r="G162" s="12" t="s">
        <v>11</v>
      </c>
      <c r="H162" s="13"/>
      <c r="I162" s="14">
        <v>1.34</v>
      </c>
      <c r="J162" s="14" t="s">
        <v>70</v>
      </c>
      <c r="K162" s="14"/>
      <c r="L162" s="13">
        <v>2.1</v>
      </c>
      <c r="M162" s="13"/>
      <c r="P162" s="12" t="s">
        <v>12</v>
      </c>
      <c r="Q162" s="12"/>
      <c r="R162" s="12"/>
      <c r="T162">
        <f t="shared" si="8"/>
        <v>1.34</v>
      </c>
      <c r="U162" t="str">
        <f t="shared" si="6"/>
        <v>dead</v>
      </c>
      <c r="V162" t="e">
        <f t="shared" si="7"/>
        <v>#VALUE!</v>
      </c>
    </row>
    <row r="163" spans="1:23">
      <c r="A163" s="12">
        <v>20</v>
      </c>
      <c r="B163" s="12">
        <v>0</v>
      </c>
      <c r="C163" s="11">
        <v>27.161315759394988</v>
      </c>
      <c r="D163" s="11">
        <v>7.1363615795614637</v>
      </c>
      <c r="E163" s="11"/>
      <c r="F163" s="10">
        <v>123</v>
      </c>
      <c r="G163" s="12" t="s">
        <v>11</v>
      </c>
      <c r="H163" s="13"/>
      <c r="I163" s="14">
        <v>1.34</v>
      </c>
      <c r="J163" s="14" t="s">
        <v>70</v>
      </c>
      <c r="K163" s="14"/>
      <c r="L163" s="13">
        <v>2.4</v>
      </c>
      <c r="M163" s="13"/>
      <c r="P163" s="12" t="s">
        <v>12</v>
      </c>
      <c r="Q163" s="12"/>
      <c r="R163" s="12"/>
      <c r="T163">
        <f t="shared" si="8"/>
        <v>1.34</v>
      </c>
      <c r="U163" t="str">
        <f t="shared" si="6"/>
        <v>dead</v>
      </c>
      <c r="V163" t="e">
        <f t="shared" si="7"/>
        <v>#VALUE!</v>
      </c>
    </row>
    <row r="164" spans="1:23">
      <c r="A164" s="12">
        <v>20</v>
      </c>
      <c r="B164" s="12">
        <v>20</v>
      </c>
      <c r="C164" s="11">
        <v>29.620093591599371</v>
      </c>
      <c r="D164" s="11">
        <v>21.086119526062333</v>
      </c>
      <c r="E164" s="11"/>
      <c r="F164" s="12">
        <v>162</v>
      </c>
      <c r="G164" s="12" t="s">
        <v>21</v>
      </c>
      <c r="H164" s="13"/>
      <c r="I164" s="14">
        <v>1.34</v>
      </c>
      <c r="J164" s="14"/>
      <c r="K164" s="14">
        <v>21.2</v>
      </c>
      <c r="L164" s="13">
        <v>1.6</v>
      </c>
      <c r="M164" s="13">
        <v>0.6</v>
      </c>
      <c r="P164" s="12" t="s">
        <v>14</v>
      </c>
      <c r="Q164" s="12"/>
      <c r="R164" s="12"/>
      <c r="T164">
        <f t="shared" si="8"/>
        <v>1.34</v>
      </c>
      <c r="U164">
        <f t="shared" si="6"/>
        <v>2.12</v>
      </c>
      <c r="V164">
        <f t="shared" si="7"/>
        <v>0.78</v>
      </c>
    </row>
    <row r="165" spans="1:23">
      <c r="A165" s="12">
        <v>40</v>
      </c>
      <c r="B165" s="12">
        <v>-10</v>
      </c>
      <c r="C165" s="11">
        <v>48.499274544622907</v>
      </c>
      <c r="D165" s="11">
        <v>-2.9838604370149775</v>
      </c>
      <c r="E165" s="11"/>
      <c r="F165" s="12">
        <v>470</v>
      </c>
      <c r="G165" s="12" t="s">
        <v>13</v>
      </c>
      <c r="H165" s="13"/>
      <c r="I165" s="14">
        <v>1.34</v>
      </c>
      <c r="J165" s="14" t="s">
        <v>70</v>
      </c>
      <c r="K165" s="14"/>
      <c r="L165" s="13">
        <v>2</v>
      </c>
      <c r="M165" s="13"/>
      <c r="P165" s="12" t="s">
        <v>12</v>
      </c>
      <c r="Q165" s="12"/>
      <c r="R165" s="12"/>
      <c r="T165">
        <f t="shared" si="8"/>
        <v>1.34</v>
      </c>
      <c r="U165" t="str">
        <f t="shared" si="6"/>
        <v>dead</v>
      </c>
      <c r="V165" t="e">
        <f t="shared" si="7"/>
        <v>#VALUE!</v>
      </c>
    </row>
    <row r="166" spans="1:23">
      <c r="A166" s="12">
        <v>20</v>
      </c>
      <c r="B166" s="12">
        <v>40</v>
      </c>
      <c r="C166" s="11">
        <v>26.382700868550014</v>
      </c>
      <c r="D166" s="11">
        <v>47.29090046719957</v>
      </c>
      <c r="E166" s="11"/>
      <c r="F166" s="12">
        <v>194</v>
      </c>
      <c r="G166" s="12" t="s">
        <v>13</v>
      </c>
      <c r="H166" s="13"/>
      <c r="I166" s="14">
        <v>1.35</v>
      </c>
      <c r="J166" s="14"/>
      <c r="K166" s="14">
        <v>14.8</v>
      </c>
      <c r="L166" s="13">
        <v>2.7</v>
      </c>
      <c r="M166" s="13">
        <v>1.1000000000000001</v>
      </c>
      <c r="P166" s="12" t="s">
        <v>14</v>
      </c>
      <c r="Q166" s="12"/>
      <c r="R166" s="12"/>
      <c r="T166">
        <f t="shared" si="8"/>
        <v>1.35</v>
      </c>
      <c r="U166">
        <f t="shared" si="6"/>
        <v>1.48</v>
      </c>
      <c r="V166">
        <f t="shared" si="7"/>
        <v>0.12999999999999989</v>
      </c>
      <c r="W166" s="27"/>
    </row>
    <row r="167" spans="1:23">
      <c r="A167" s="12">
        <v>30</v>
      </c>
      <c r="B167" s="12">
        <v>20</v>
      </c>
      <c r="C167" s="11">
        <v>35.208951740241446</v>
      </c>
      <c r="D167" s="11">
        <v>23.344087583756682</v>
      </c>
      <c r="E167" s="11"/>
      <c r="F167" s="10">
        <v>211</v>
      </c>
      <c r="G167" s="12" t="s">
        <v>13</v>
      </c>
      <c r="H167" s="13"/>
      <c r="I167" s="14">
        <v>1.35</v>
      </c>
      <c r="J167" s="14">
        <v>7.5</v>
      </c>
      <c r="K167" s="14"/>
      <c r="L167" s="13">
        <v>2.6</v>
      </c>
      <c r="M167" s="13">
        <v>0.4</v>
      </c>
      <c r="P167" s="12" t="s">
        <v>14</v>
      </c>
      <c r="Q167" s="12"/>
      <c r="R167" s="12"/>
      <c r="T167">
        <f t="shared" si="8"/>
        <v>1.35</v>
      </c>
      <c r="U167">
        <f t="shared" si="6"/>
        <v>2.3873241463784303</v>
      </c>
      <c r="V167">
        <f t="shared" si="7"/>
        <v>1.0373241463784302</v>
      </c>
      <c r="W167" s="27"/>
    </row>
    <row r="168" spans="1:23" s="27" customFormat="1">
      <c r="A168" s="12">
        <v>40</v>
      </c>
      <c r="B168" s="12">
        <v>30</v>
      </c>
      <c r="C168" s="11">
        <v>48.85269318912912</v>
      </c>
      <c r="D168" s="11">
        <v>30.519167384573795</v>
      </c>
      <c r="E168" s="11"/>
      <c r="F168" s="10">
        <v>325</v>
      </c>
      <c r="G168" s="12" t="s">
        <v>30</v>
      </c>
      <c r="H168" s="13"/>
      <c r="I168" s="14">
        <v>1.35</v>
      </c>
      <c r="J168" s="14"/>
      <c r="K168" s="14">
        <v>18.3</v>
      </c>
      <c r="L168" s="13">
        <v>1.4</v>
      </c>
      <c r="M168" s="13">
        <v>0.9</v>
      </c>
      <c r="N168"/>
      <c r="O168"/>
      <c r="P168" s="12" t="s">
        <v>14</v>
      </c>
      <c r="Q168" s="12"/>
      <c r="R168" s="12"/>
      <c r="S168"/>
      <c r="T168">
        <f t="shared" si="8"/>
        <v>1.35</v>
      </c>
      <c r="U168">
        <f t="shared" si="6"/>
        <v>1.83</v>
      </c>
      <c r="V168">
        <f t="shared" si="7"/>
        <v>0.48</v>
      </c>
      <c r="W168"/>
    </row>
    <row r="169" spans="1:23">
      <c r="A169" s="12">
        <v>10</v>
      </c>
      <c r="B169" s="12">
        <v>-30</v>
      </c>
      <c r="C169" s="11">
        <v>19.934757230768518</v>
      </c>
      <c r="D169" s="11">
        <v>-22.323744391372124</v>
      </c>
      <c r="E169" s="11"/>
      <c r="F169" s="12">
        <v>628</v>
      </c>
      <c r="G169" s="12" t="s">
        <v>11</v>
      </c>
      <c r="H169" s="13"/>
      <c r="I169" s="14">
        <v>1.35</v>
      </c>
      <c r="J169" s="14"/>
      <c r="K169" s="31">
        <v>19</v>
      </c>
      <c r="L169" s="13">
        <v>2.6</v>
      </c>
      <c r="M169" s="13">
        <v>0.7</v>
      </c>
      <c r="P169" s="12" t="s">
        <v>14</v>
      </c>
      <c r="Q169" s="12"/>
      <c r="R169" s="12"/>
      <c r="T169">
        <f t="shared" si="8"/>
        <v>1.35</v>
      </c>
      <c r="U169">
        <f t="shared" si="6"/>
        <v>1.9</v>
      </c>
      <c r="V169">
        <f t="shared" si="7"/>
        <v>0.54999999999999982</v>
      </c>
    </row>
    <row r="170" spans="1:23">
      <c r="A170" s="12">
        <v>30</v>
      </c>
      <c r="B170" s="12">
        <v>20</v>
      </c>
      <c r="C170" s="11">
        <v>33.939110065365163</v>
      </c>
      <c r="D170" s="11">
        <v>24.008467524246502</v>
      </c>
      <c r="E170" s="11"/>
      <c r="F170" s="10">
        <v>209</v>
      </c>
      <c r="G170" s="12" t="s">
        <v>21</v>
      </c>
      <c r="H170" s="13"/>
      <c r="I170" s="14">
        <v>1.36</v>
      </c>
      <c r="J170" s="14"/>
      <c r="K170" s="14">
        <v>21.4</v>
      </c>
      <c r="L170" s="13">
        <v>2.7</v>
      </c>
      <c r="M170" s="13">
        <v>0.5</v>
      </c>
      <c r="P170" s="12" t="s">
        <v>14</v>
      </c>
      <c r="Q170" s="12"/>
      <c r="R170" s="12"/>
      <c r="T170">
        <f t="shared" si="8"/>
        <v>1.36</v>
      </c>
      <c r="U170">
        <f t="shared" si="6"/>
        <v>2.1399999999999997</v>
      </c>
      <c r="V170">
        <f t="shared" si="7"/>
        <v>0.77999999999999958</v>
      </c>
    </row>
    <row r="171" spans="1:23">
      <c r="A171" s="9">
        <v>0</v>
      </c>
      <c r="B171" s="12">
        <v>40</v>
      </c>
      <c r="C171" s="11">
        <v>6.9523180845387946</v>
      </c>
      <c r="D171" s="11">
        <v>42.049935901299008</v>
      </c>
      <c r="E171" s="11"/>
      <c r="F171" s="12">
        <v>64</v>
      </c>
      <c r="G171" s="12" t="s">
        <v>11</v>
      </c>
      <c r="H171" s="13"/>
      <c r="I171" s="14">
        <v>1.38</v>
      </c>
      <c r="J171" s="14"/>
      <c r="K171" s="14">
        <v>19.8</v>
      </c>
      <c r="L171" s="13">
        <v>3.2</v>
      </c>
      <c r="M171" s="13">
        <v>0.6</v>
      </c>
      <c r="P171" s="12" t="s">
        <v>14</v>
      </c>
      <c r="Q171" s="12"/>
      <c r="R171" s="12"/>
      <c r="T171">
        <f t="shared" si="8"/>
        <v>1.38</v>
      </c>
      <c r="U171">
        <f t="shared" si="6"/>
        <v>1.98</v>
      </c>
      <c r="V171">
        <f t="shared" si="7"/>
        <v>0.60000000000000009</v>
      </c>
    </row>
    <row r="172" spans="1:23">
      <c r="A172" s="12">
        <v>40</v>
      </c>
      <c r="B172" s="12">
        <v>-30</v>
      </c>
      <c r="C172" s="11">
        <v>42.673689076497766</v>
      </c>
      <c r="D172" s="11">
        <v>-25.82924567952502</v>
      </c>
      <c r="E172" s="11"/>
      <c r="F172" s="12">
        <v>682</v>
      </c>
      <c r="G172" s="12" t="s">
        <v>13</v>
      </c>
      <c r="H172" s="13"/>
      <c r="I172" s="14">
        <v>1.38</v>
      </c>
      <c r="J172" s="14"/>
      <c r="K172" s="14">
        <v>16.8</v>
      </c>
      <c r="L172" s="13">
        <v>1.8</v>
      </c>
      <c r="M172" s="13">
        <v>1.2</v>
      </c>
      <c r="P172" s="12" t="s">
        <v>14</v>
      </c>
      <c r="Q172" s="12"/>
      <c r="R172" s="12"/>
      <c r="T172">
        <f t="shared" si="8"/>
        <v>1.38</v>
      </c>
      <c r="U172">
        <f t="shared" si="6"/>
        <v>1.6800000000000002</v>
      </c>
      <c r="V172">
        <f t="shared" si="7"/>
        <v>0.30000000000000027</v>
      </c>
    </row>
    <row r="173" spans="1:23">
      <c r="A173" s="12">
        <v>20</v>
      </c>
      <c r="B173" s="12">
        <v>-20</v>
      </c>
      <c r="C173" s="11">
        <v>28.615447336791203</v>
      </c>
      <c r="D173" s="11">
        <v>-30.660464995618224</v>
      </c>
      <c r="E173" s="11"/>
      <c r="F173" s="12">
        <v>714</v>
      </c>
      <c r="G173" s="12" t="s">
        <v>21</v>
      </c>
      <c r="H173" s="13"/>
      <c r="I173" s="14">
        <v>1.38</v>
      </c>
      <c r="J173" s="14"/>
      <c r="K173" s="14">
        <v>18.8</v>
      </c>
      <c r="L173" s="13">
        <v>3.4</v>
      </c>
      <c r="M173" s="13">
        <v>0.6</v>
      </c>
      <c r="P173" s="12" t="s">
        <v>14</v>
      </c>
      <c r="Q173" s="12"/>
      <c r="R173" s="12"/>
      <c r="S173" t="s">
        <v>129</v>
      </c>
      <c r="T173">
        <f t="shared" si="8"/>
        <v>1.38</v>
      </c>
      <c r="U173">
        <f t="shared" si="6"/>
        <v>1.8800000000000001</v>
      </c>
      <c r="V173">
        <f t="shared" si="7"/>
        <v>0.50000000000000022</v>
      </c>
    </row>
    <row r="174" spans="1:23">
      <c r="A174" s="12">
        <v>40</v>
      </c>
      <c r="B174" s="12">
        <v>30</v>
      </c>
      <c r="C174" s="11">
        <v>49.824853784818124</v>
      </c>
      <c r="D174" s="11">
        <v>32.281987056028768</v>
      </c>
      <c r="E174" s="11"/>
      <c r="F174" s="12">
        <v>340</v>
      </c>
      <c r="G174" s="12" t="s">
        <v>30</v>
      </c>
      <c r="H174" s="13"/>
      <c r="I174" s="14">
        <v>1.4</v>
      </c>
      <c r="J174" s="14" t="s">
        <v>70</v>
      </c>
      <c r="K174" s="14"/>
      <c r="L174" s="13">
        <v>1.4</v>
      </c>
      <c r="M174" s="13">
        <v>1</v>
      </c>
      <c r="P174" s="12" t="s">
        <v>14</v>
      </c>
      <c r="Q174" s="12"/>
      <c r="R174" s="12"/>
      <c r="S174" t="s">
        <v>70</v>
      </c>
      <c r="T174">
        <f t="shared" si="8"/>
        <v>1.4</v>
      </c>
      <c r="U174" t="str">
        <f t="shared" si="6"/>
        <v>dead</v>
      </c>
      <c r="V174" t="e">
        <f t="shared" si="7"/>
        <v>#VALUE!</v>
      </c>
    </row>
    <row r="175" spans="1:23">
      <c r="A175" s="12">
        <v>40</v>
      </c>
      <c r="B175" s="12">
        <v>-30</v>
      </c>
      <c r="C175" s="11">
        <v>42.331454315224569</v>
      </c>
      <c r="D175" s="11">
        <v>-26.014452133946147</v>
      </c>
      <c r="E175" s="11"/>
      <c r="F175" s="12">
        <v>684</v>
      </c>
      <c r="G175" s="12" t="s">
        <v>13</v>
      </c>
      <c r="H175" s="13"/>
      <c r="I175" s="14">
        <v>1.4</v>
      </c>
      <c r="J175" s="14"/>
      <c r="K175" s="14">
        <v>16.2</v>
      </c>
      <c r="L175" s="13">
        <v>1.7</v>
      </c>
      <c r="M175" s="13">
        <v>1.3</v>
      </c>
      <c r="P175" s="12" t="s">
        <v>14</v>
      </c>
      <c r="Q175" s="12"/>
      <c r="R175" s="12"/>
      <c r="T175">
        <f t="shared" si="8"/>
        <v>1.4</v>
      </c>
      <c r="U175">
        <f t="shared" si="6"/>
        <v>1.6199999999999999</v>
      </c>
      <c r="V175">
        <f t="shared" si="7"/>
        <v>0.21999999999999997</v>
      </c>
    </row>
    <row r="176" spans="1:23" ht="169">
      <c r="A176" s="12">
        <v>40</v>
      </c>
      <c r="B176" s="12">
        <v>10</v>
      </c>
      <c r="C176" s="11">
        <v>41.378009384887001</v>
      </c>
      <c r="D176" s="11">
        <v>14.425970717925551</v>
      </c>
      <c r="E176" s="11"/>
      <c r="F176" s="10">
        <v>281</v>
      </c>
      <c r="G176" s="12" t="s">
        <v>11</v>
      </c>
      <c r="H176" s="13"/>
      <c r="I176" s="14">
        <v>1.41</v>
      </c>
      <c r="J176" s="14">
        <v>7.7</v>
      </c>
      <c r="K176" s="14"/>
      <c r="L176" s="13">
        <v>2.2000000000000002</v>
      </c>
      <c r="M176" s="13">
        <v>0.6</v>
      </c>
      <c r="P176" s="12" t="s">
        <v>14</v>
      </c>
      <c r="Q176" s="12"/>
      <c r="R176" s="21" t="s">
        <v>83</v>
      </c>
      <c r="S176" t="s">
        <v>84</v>
      </c>
      <c r="T176">
        <f t="shared" si="8"/>
        <v>1.41</v>
      </c>
      <c r="U176">
        <f t="shared" si="6"/>
        <v>2.4509861236151882</v>
      </c>
      <c r="V176">
        <f t="shared" si="7"/>
        <v>1.0409861236151883</v>
      </c>
    </row>
    <row r="177" spans="1:23" s="27" customFormat="1">
      <c r="A177" s="12">
        <v>30</v>
      </c>
      <c r="B177" s="12">
        <v>-30</v>
      </c>
      <c r="C177" s="11">
        <v>31.654135647274799</v>
      </c>
      <c r="D177" s="11">
        <v>-25.548687706153121</v>
      </c>
      <c r="E177" s="11"/>
      <c r="F177" s="12">
        <v>664</v>
      </c>
      <c r="G177" s="12" t="s">
        <v>11</v>
      </c>
      <c r="H177" s="13"/>
      <c r="I177" s="14">
        <v>1.42</v>
      </c>
      <c r="J177" s="14" t="s">
        <v>70</v>
      </c>
      <c r="K177" s="14"/>
      <c r="L177" s="13">
        <v>2.2999999999999998</v>
      </c>
      <c r="M177" s="13"/>
      <c r="N177"/>
      <c r="O177"/>
      <c r="P177" s="12" t="s">
        <v>12</v>
      </c>
      <c r="Q177" s="12"/>
      <c r="R177" s="12"/>
      <c r="S177"/>
      <c r="T177">
        <f t="shared" si="8"/>
        <v>1.42</v>
      </c>
      <c r="U177" t="str">
        <f t="shared" si="6"/>
        <v>dead</v>
      </c>
      <c r="V177" t="e">
        <f t="shared" si="7"/>
        <v>#VALUE!</v>
      </c>
      <c r="W177"/>
    </row>
    <row r="178" spans="1:23">
      <c r="A178" s="12">
        <v>10</v>
      </c>
      <c r="B178" s="12">
        <v>-30</v>
      </c>
      <c r="C178" s="11">
        <v>17.181672912791875</v>
      </c>
      <c r="D178" s="11">
        <v>-22.458583419269921</v>
      </c>
      <c r="E178" s="11"/>
      <c r="F178" s="10">
        <v>623</v>
      </c>
      <c r="G178" s="12" t="s">
        <v>11</v>
      </c>
      <c r="H178" s="13"/>
      <c r="I178" s="14">
        <v>1.44</v>
      </c>
      <c r="J178" s="14"/>
      <c r="K178" s="14">
        <v>21</v>
      </c>
      <c r="L178" s="13">
        <v>2.2000000000000002</v>
      </c>
      <c r="M178" s="13">
        <v>0.1</v>
      </c>
      <c r="P178" s="12" t="s">
        <v>14</v>
      </c>
      <c r="Q178" s="12"/>
      <c r="R178" s="12"/>
      <c r="S178" t="s">
        <v>111</v>
      </c>
      <c r="T178">
        <f t="shared" si="8"/>
        <v>1.44</v>
      </c>
      <c r="U178">
        <f t="shared" si="6"/>
        <v>2.1</v>
      </c>
      <c r="V178">
        <f t="shared" si="7"/>
        <v>0.66000000000000014</v>
      </c>
    </row>
    <row r="179" spans="1:23">
      <c r="A179" s="12">
        <v>30</v>
      </c>
      <c r="B179" s="12">
        <v>-30</v>
      </c>
      <c r="C179" s="11">
        <v>32.218880714326836</v>
      </c>
      <c r="D179" s="11">
        <v>-27.73815665230347</v>
      </c>
      <c r="E179" s="11"/>
      <c r="F179" s="10">
        <v>669</v>
      </c>
      <c r="G179" s="12" t="s">
        <v>11</v>
      </c>
      <c r="H179" s="13"/>
      <c r="I179" s="14">
        <v>1.45</v>
      </c>
      <c r="J179" s="14" t="s">
        <v>70</v>
      </c>
      <c r="K179" s="14"/>
      <c r="L179" s="13">
        <v>2.5</v>
      </c>
      <c r="M179" s="13"/>
      <c r="P179" s="12" t="s">
        <v>12</v>
      </c>
      <c r="Q179" s="12"/>
      <c r="R179" s="12"/>
      <c r="T179">
        <f t="shared" si="8"/>
        <v>1.45</v>
      </c>
      <c r="U179" t="str">
        <f t="shared" si="6"/>
        <v>dead</v>
      </c>
      <c r="V179" t="e">
        <f t="shared" si="7"/>
        <v>#VALUE!</v>
      </c>
    </row>
    <row r="180" spans="1:23" s="27" customFormat="1">
      <c r="A180" s="12">
        <v>20</v>
      </c>
      <c r="B180" s="12">
        <v>-20</v>
      </c>
      <c r="C180" s="11">
        <v>27.708774059127435</v>
      </c>
      <c r="D180" s="11">
        <v>-30.421093209825571</v>
      </c>
      <c r="E180" s="11"/>
      <c r="F180" s="12">
        <v>716</v>
      </c>
      <c r="G180" s="12" t="s">
        <v>21</v>
      </c>
      <c r="H180" s="13"/>
      <c r="I180" s="14">
        <v>1.46</v>
      </c>
      <c r="J180" s="14"/>
      <c r="K180" s="14">
        <v>5.7</v>
      </c>
      <c r="L180" s="13">
        <v>3</v>
      </c>
      <c r="M180" s="13">
        <v>0.8</v>
      </c>
      <c r="N180"/>
      <c r="O180"/>
      <c r="P180" s="12" t="s">
        <v>14</v>
      </c>
      <c r="Q180" s="12"/>
      <c r="R180" s="12"/>
      <c r="S180" t="s">
        <v>130</v>
      </c>
      <c r="T180">
        <f t="shared" si="8"/>
        <v>1.46</v>
      </c>
      <c r="U180">
        <f t="shared" si="6"/>
        <v>0.57000000000000006</v>
      </c>
      <c r="V180">
        <f t="shared" si="7"/>
        <v>-0.8899999999999999</v>
      </c>
      <c r="W180"/>
    </row>
    <row r="181" spans="1:23">
      <c r="A181" s="12">
        <v>10</v>
      </c>
      <c r="B181" s="12">
        <v>10</v>
      </c>
      <c r="C181" s="11">
        <v>13.695974146610109</v>
      </c>
      <c r="D181" s="11">
        <v>10.572167027702303</v>
      </c>
      <c r="E181" s="11"/>
      <c r="F181" s="10">
        <v>113</v>
      </c>
      <c r="G181" s="12" t="s">
        <v>11</v>
      </c>
      <c r="H181" s="13"/>
      <c r="I181" s="14">
        <v>1.47</v>
      </c>
      <c r="J181" s="14" t="s">
        <v>70</v>
      </c>
      <c r="K181" s="14"/>
      <c r="L181" s="13">
        <v>2.2000000000000002</v>
      </c>
      <c r="M181" s="13"/>
      <c r="P181" s="12" t="s">
        <v>12</v>
      </c>
      <c r="Q181" s="12"/>
      <c r="R181" s="12"/>
      <c r="T181">
        <f t="shared" si="8"/>
        <v>1.47</v>
      </c>
      <c r="U181" t="str">
        <f t="shared" si="6"/>
        <v>dead</v>
      </c>
      <c r="V181" t="e">
        <f t="shared" si="7"/>
        <v>#VALUE!</v>
      </c>
    </row>
    <row r="182" spans="1:23">
      <c r="A182" s="12">
        <v>40</v>
      </c>
      <c r="B182" s="12">
        <v>30</v>
      </c>
      <c r="C182" s="11">
        <v>48.780725712693545</v>
      </c>
      <c r="D182" s="11">
        <v>30.982052882594992</v>
      </c>
      <c r="E182" s="11"/>
      <c r="F182" s="12">
        <v>324</v>
      </c>
      <c r="G182" s="12" t="s">
        <v>30</v>
      </c>
      <c r="H182" s="13"/>
      <c r="I182" s="14">
        <v>1.47</v>
      </c>
      <c r="J182" s="14" t="s">
        <v>70</v>
      </c>
      <c r="K182" s="14"/>
      <c r="L182" s="13">
        <v>1</v>
      </c>
      <c r="M182" s="13">
        <v>0.9</v>
      </c>
      <c r="P182" s="12" t="s">
        <v>14</v>
      </c>
      <c r="Q182" s="12"/>
      <c r="R182" s="12" t="s">
        <v>31</v>
      </c>
      <c r="T182">
        <f t="shared" si="8"/>
        <v>1.47</v>
      </c>
      <c r="U182" t="str">
        <f t="shared" si="6"/>
        <v>dead</v>
      </c>
      <c r="V182" t="e">
        <f t="shared" si="7"/>
        <v>#VALUE!</v>
      </c>
    </row>
    <row r="183" spans="1:23">
      <c r="A183" s="12">
        <v>40</v>
      </c>
      <c r="B183" s="12">
        <v>-20</v>
      </c>
      <c r="C183" s="11">
        <v>41.077045145116749</v>
      </c>
      <c r="D183" s="11">
        <v>-13.612876105733552</v>
      </c>
      <c r="E183" s="11"/>
      <c r="F183" s="10">
        <v>513</v>
      </c>
      <c r="G183" s="12" t="s">
        <v>21</v>
      </c>
      <c r="H183" s="13"/>
      <c r="I183" s="14">
        <v>1.47</v>
      </c>
      <c r="J183" s="14"/>
      <c r="K183" s="14">
        <v>17.5</v>
      </c>
      <c r="L183" s="13">
        <v>3</v>
      </c>
      <c r="M183" s="13">
        <v>1.3</v>
      </c>
      <c r="P183" s="12" t="s">
        <v>14</v>
      </c>
      <c r="Q183" s="12"/>
      <c r="R183" s="12"/>
      <c r="S183" t="s">
        <v>95</v>
      </c>
      <c r="T183">
        <f t="shared" si="8"/>
        <v>1.47</v>
      </c>
      <c r="U183">
        <f t="shared" si="6"/>
        <v>1.75</v>
      </c>
      <c r="V183">
        <f t="shared" si="7"/>
        <v>0.28000000000000003</v>
      </c>
    </row>
    <row r="184" spans="1:23">
      <c r="A184" s="12">
        <v>0</v>
      </c>
      <c r="B184" s="12">
        <v>-30</v>
      </c>
      <c r="C184" s="11">
        <v>3.8441714100243498</v>
      </c>
      <c r="D184" s="11">
        <v>-21.83114306271171</v>
      </c>
      <c r="E184" s="11"/>
      <c r="F184" s="10">
        <v>603</v>
      </c>
      <c r="G184" s="12" t="s">
        <v>11</v>
      </c>
      <c r="H184" s="13"/>
      <c r="I184" s="14">
        <v>1.48</v>
      </c>
      <c r="J184" s="14"/>
      <c r="K184" s="14">
        <v>20.8</v>
      </c>
      <c r="L184" s="13">
        <v>2.2999999999999998</v>
      </c>
      <c r="M184" s="13">
        <v>0.3</v>
      </c>
      <c r="P184" s="12" t="s">
        <v>14</v>
      </c>
      <c r="Q184" s="12"/>
      <c r="R184" s="12"/>
      <c r="T184">
        <f t="shared" si="8"/>
        <v>1.48</v>
      </c>
      <c r="U184">
        <f t="shared" si="6"/>
        <v>2.08</v>
      </c>
      <c r="V184">
        <f t="shared" si="7"/>
        <v>0.60000000000000009</v>
      </c>
    </row>
    <row r="185" spans="1:23">
      <c r="A185" s="9">
        <v>0</v>
      </c>
      <c r="B185" s="12">
        <v>20</v>
      </c>
      <c r="C185" s="11">
        <v>0.66636346065243546</v>
      </c>
      <c r="D185" s="11">
        <v>24.864571896714789</v>
      </c>
      <c r="E185" s="11"/>
      <c r="F185" s="10">
        <v>29</v>
      </c>
      <c r="G185" s="12" t="s">
        <v>11</v>
      </c>
      <c r="H185" s="13"/>
      <c r="I185" s="14">
        <v>1.5</v>
      </c>
      <c r="J185" s="14"/>
      <c r="K185" s="14">
        <v>20.3</v>
      </c>
      <c r="L185" s="13">
        <v>2</v>
      </c>
      <c r="M185" s="13">
        <v>0.2</v>
      </c>
      <c r="P185" s="12" t="s">
        <v>14</v>
      </c>
      <c r="Q185" s="12"/>
      <c r="R185" s="12"/>
      <c r="T185">
        <f t="shared" si="8"/>
        <v>1.5</v>
      </c>
      <c r="U185">
        <f t="shared" si="6"/>
        <v>2.0300000000000002</v>
      </c>
      <c r="V185">
        <f t="shared" si="7"/>
        <v>0.53000000000000025</v>
      </c>
    </row>
    <row r="186" spans="1:23">
      <c r="A186" s="12">
        <v>40</v>
      </c>
      <c r="B186" s="12">
        <v>40</v>
      </c>
      <c r="C186" s="11">
        <v>41.55964685708858</v>
      </c>
      <c r="D186" s="11">
        <v>45.418610414390876</v>
      </c>
      <c r="E186" s="11"/>
      <c r="F186" s="12">
        <v>356</v>
      </c>
      <c r="G186" s="12" t="s">
        <v>13</v>
      </c>
      <c r="H186" s="13"/>
      <c r="I186" s="14">
        <v>1.51</v>
      </c>
      <c r="J186" s="14"/>
      <c r="K186" s="14">
        <v>15.7</v>
      </c>
      <c r="L186" s="13">
        <v>2.9</v>
      </c>
      <c r="M186" s="13">
        <v>1.5</v>
      </c>
      <c r="P186" s="12" t="s">
        <v>14</v>
      </c>
      <c r="Q186" s="12"/>
      <c r="R186" s="12"/>
      <c r="T186">
        <f t="shared" si="8"/>
        <v>1.51</v>
      </c>
      <c r="U186">
        <f t="shared" si="6"/>
        <v>1.5699999999999998</v>
      </c>
      <c r="V186">
        <f t="shared" si="7"/>
        <v>5.9999999999999831E-2</v>
      </c>
    </row>
    <row r="187" spans="1:23">
      <c r="A187" s="12">
        <v>30</v>
      </c>
      <c r="B187" s="12">
        <v>-20</v>
      </c>
      <c r="C187" s="11">
        <v>36.093682459167503</v>
      </c>
      <c r="D187" s="11">
        <v>-15.517090108941883</v>
      </c>
      <c r="E187" s="11"/>
      <c r="F187" s="12">
        <v>520</v>
      </c>
      <c r="G187" s="12" t="s">
        <v>11</v>
      </c>
      <c r="H187" s="13"/>
      <c r="I187" s="14">
        <v>1.51</v>
      </c>
      <c r="J187" s="14" t="s">
        <v>70</v>
      </c>
      <c r="K187" s="14"/>
      <c r="L187" s="13">
        <v>2.2000000000000002</v>
      </c>
      <c r="M187" s="13">
        <v>0.1</v>
      </c>
      <c r="P187" s="12" t="s">
        <v>14</v>
      </c>
      <c r="Q187" s="12"/>
      <c r="R187" s="12"/>
      <c r="T187">
        <f t="shared" si="8"/>
        <v>1.51</v>
      </c>
      <c r="U187" t="str">
        <f t="shared" si="6"/>
        <v>dead</v>
      </c>
      <c r="V187" t="e">
        <f t="shared" si="7"/>
        <v>#VALUE!</v>
      </c>
    </row>
    <row r="188" spans="1:23">
      <c r="A188" s="12">
        <v>20</v>
      </c>
      <c r="B188" s="12">
        <v>-20</v>
      </c>
      <c r="C188" s="11">
        <v>27.573886755230106</v>
      </c>
      <c r="D188" s="11">
        <v>-13.029159888179269</v>
      </c>
      <c r="E188" s="11"/>
      <c r="F188" s="12">
        <v>540</v>
      </c>
      <c r="G188" s="12" t="s">
        <v>13</v>
      </c>
      <c r="H188" s="13"/>
      <c r="I188" s="14">
        <v>1.51</v>
      </c>
      <c r="J188" s="14"/>
      <c r="K188" s="14">
        <v>17.3</v>
      </c>
      <c r="L188" s="13">
        <v>3.3</v>
      </c>
      <c r="M188" s="13">
        <v>1.3</v>
      </c>
      <c r="P188" s="12" t="s">
        <v>14</v>
      </c>
      <c r="Q188" s="12"/>
      <c r="R188" s="12"/>
      <c r="T188">
        <f t="shared" si="8"/>
        <v>1.51</v>
      </c>
      <c r="U188">
        <f t="shared" si="6"/>
        <v>1.73</v>
      </c>
      <c r="V188">
        <f t="shared" si="7"/>
        <v>0.21999999999999997</v>
      </c>
    </row>
    <row r="189" spans="1:23">
      <c r="A189" s="12">
        <v>20</v>
      </c>
      <c r="B189" s="12">
        <v>10</v>
      </c>
      <c r="C189" s="11">
        <v>20.025377074440154</v>
      </c>
      <c r="D189" s="11">
        <v>14.539977854319202</v>
      </c>
      <c r="E189" s="11"/>
      <c r="F189" s="10">
        <v>155</v>
      </c>
      <c r="G189" s="12" t="s">
        <v>11</v>
      </c>
      <c r="H189" s="13"/>
      <c r="I189" s="14">
        <v>1.52</v>
      </c>
      <c r="J189" s="14"/>
      <c r="K189" s="14">
        <v>21.1</v>
      </c>
      <c r="L189" s="13">
        <v>2.4</v>
      </c>
      <c r="M189" s="13">
        <v>0.2</v>
      </c>
      <c r="P189" s="12" t="s">
        <v>14</v>
      </c>
      <c r="Q189" s="12"/>
      <c r="R189" s="12"/>
      <c r="T189">
        <f t="shared" si="8"/>
        <v>1.52</v>
      </c>
      <c r="U189">
        <f t="shared" si="6"/>
        <v>2.1100000000000003</v>
      </c>
      <c r="V189">
        <f t="shared" si="7"/>
        <v>0.5900000000000003</v>
      </c>
    </row>
    <row r="190" spans="1:23">
      <c r="A190" s="12">
        <v>10</v>
      </c>
      <c r="B190" s="12">
        <v>20</v>
      </c>
      <c r="C190" s="11">
        <v>18.888959746745883</v>
      </c>
      <c r="D190" s="11">
        <v>21.51976961603188</v>
      </c>
      <c r="E190" s="11"/>
      <c r="F190" s="12">
        <v>102</v>
      </c>
      <c r="G190" s="12" t="s">
        <v>11</v>
      </c>
      <c r="H190" s="13"/>
      <c r="I190" s="14">
        <v>1.53</v>
      </c>
      <c r="J190" s="14" t="s">
        <v>70</v>
      </c>
      <c r="K190" s="14"/>
      <c r="L190" s="13">
        <v>2.6</v>
      </c>
      <c r="M190" s="13"/>
      <c r="P190" s="12" t="s">
        <v>12</v>
      </c>
      <c r="Q190" s="12"/>
      <c r="R190" s="12"/>
      <c r="T190">
        <f t="shared" si="8"/>
        <v>1.53</v>
      </c>
      <c r="U190" t="str">
        <f t="shared" si="6"/>
        <v>dead</v>
      </c>
      <c r="V190" t="e">
        <f t="shared" si="7"/>
        <v>#VALUE!</v>
      </c>
    </row>
    <row r="191" spans="1:23">
      <c r="A191" s="12">
        <v>40</v>
      </c>
      <c r="B191" s="12">
        <v>10</v>
      </c>
      <c r="C191" s="11">
        <v>42.941695206502793</v>
      </c>
      <c r="D191" s="11">
        <v>16.264571620016966</v>
      </c>
      <c r="E191" s="11"/>
      <c r="F191" s="12">
        <v>282</v>
      </c>
      <c r="G191" s="12" t="s">
        <v>11</v>
      </c>
      <c r="H191" s="13"/>
      <c r="I191" s="14">
        <v>1.53</v>
      </c>
      <c r="J191" s="14">
        <v>8.3000000000000007</v>
      </c>
      <c r="K191" s="14"/>
      <c r="L191" s="13">
        <v>3.1</v>
      </c>
      <c r="M191" s="13">
        <v>0.3</v>
      </c>
      <c r="P191" s="12" t="s">
        <v>14</v>
      </c>
      <c r="Q191" s="12"/>
      <c r="R191" s="15"/>
      <c r="T191">
        <f t="shared" si="8"/>
        <v>1.53</v>
      </c>
      <c r="U191">
        <f t="shared" si="6"/>
        <v>2.6419720553254629</v>
      </c>
      <c r="V191">
        <f t="shared" si="7"/>
        <v>1.1119720553254628</v>
      </c>
    </row>
    <row r="192" spans="1:23" s="27" customFormat="1">
      <c r="A192" s="9">
        <v>0</v>
      </c>
      <c r="B192" s="12">
        <v>30</v>
      </c>
      <c r="C192" s="11">
        <v>1.0700791983558624</v>
      </c>
      <c r="D192" s="11">
        <v>30.012983097421369</v>
      </c>
      <c r="E192" s="11"/>
      <c r="F192" s="12">
        <v>50</v>
      </c>
      <c r="G192" s="12" t="s">
        <v>13</v>
      </c>
      <c r="H192" s="13"/>
      <c r="I192" s="14">
        <v>1.54</v>
      </c>
      <c r="J192" s="14"/>
      <c r="K192" s="14">
        <v>15.5</v>
      </c>
      <c r="L192" s="13">
        <v>2.2000000000000002</v>
      </c>
      <c r="M192" s="13">
        <v>1.2</v>
      </c>
      <c r="N192"/>
      <c r="O192"/>
      <c r="P192" s="12" t="s">
        <v>14</v>
      </c>
      <c r="Q192" s="12"/>
      <c r="R192" s="12"/>
      <c r="S192"/>
      <c r="T192">
        <f t="shared" si="8"/>
        <v>1.54</v>
      </c>
      <c r="U192">
        <f t="shared" si="6"/>
        <v>1.55</v>
      </c>
      <c r="V192">
        <f t="shared" si="7"/>
        <v>1.0000000000000009E-2</v>
      </c>
      <c r="W192"/>
    </row>
    <row r="193" spans="1:23">
      <c r="A193" s="12">
        <v>40</v>
      </c>
      <c r="B193" s="12">
        <v>-30</v>
      </c>
      <c r="C193" s="11">
        <v>42.781270294175009</v>
      </c>
      <c r="D193" s="11">
        <v>-25.663879383182479</v>
      </c>
      <c r="E193" s="11"/>
      <c r="F193" s="12">
        <v>680</v>
      </c>
      <c r="G193" s="12" t="s">
        <v>13</v>
      </c>
      <c r="H193" s="13"/>
      <c r="I193" s="14">
        <v>1.54</v>
      </c>
      <c r="J193" s="14"/>
      <c r="K193" s="14">
        <v>17.5</v>
      </c>
      <c r="L193" s="13">
        <v>2.8</v>
      </c>
      <c r="M193" s="13">
        <v>1.1000000000000001</v>
      </c>
      <c r="P193" s="12" t="s">
        <v>14</v>
      </c>
      <c r="Q193" s="12"/>
      <c r="R193" s="12"/>
      <c r="T193">
        <f t="shared" si="8"/>
        <v>1.54</v>
      </c>
      <c r="U193">
        <f t="shared" si="6"/>
        <v>1.75</v>
      </c>
      <c r="V193">
        <f t="shared" si="7"/>
        <v>0.20999999999999996</v>
      </c>
      <c r="W193" s="27"/>
    </row>
    <row r="194" spans="1:23">
      <c r="A194" s="12">
        <v>40</v>
      </c>
      <c r="B194" s="12">
        <v>0</v>
      </c>
      <c r="C194" s="11">
        <v>49.012604403629609</v>
      </c>
      <c r="D194" s="11">
        <v>2.6494992100077894</v>
      </c>
      <c r="E194" s="11"/>
      <c r="F194" s="12">
        <v>276</v>
      </c>
      <c r="G194" s="12" t="s">
        <v>21</v>
      </c>
      <c r="H194" s="13"/>
      <c r="I194" s="14">
        <v>1.55</v>
      </c>
      <c r="J194" s="14">
        <v>8.4</v>
      </c>
      <c r="K194" s="14"/>
      <c r="L194" s="13">
        <v>3.2</v>
      </c>
      <c r="M194" s="13">
        <v>0.7</v>
      </c>
      <c r="P194" s="12" t="s">
        <v>14</v>
      </c>
      <c r="Q194" s="12"/>
      <c r="R194" s="12"/>
      <c r="S194" t="s">
        <v>82</v>
      </c>
      <c r="T194">
        <f t="shared" si="8"/>
        <v>1.55</v>
      </c>
      <c r="U194">
        <f t="shared" ref="U194:U257" si="9">IF(J194="dead","dead",J194/PI()+K194/10)</f>
        <v>2.6738030439438418</v>
      </c>
      <c r="V194">
        <f t="shared" ref="V194:V257" si="10">U194-T194</f>
        <v>1.1238030439438418</v>
      </c>
    </row>
    <row r="195" spans="1:23">
      <c r="A195" s="12">
        <v>40</v>
      </c>
      <c r="B195" s="12">
        <v>20</v>
      </c>
      <c r="C195" s="11">
        <v>41.793904923765879</v>
      </c>
      <c r="D195" s="11">
        <v>29.381295574128924</v>
      </c>
      <c r="E195" s="11"/>
      <c r="F195" s="10">
        <v>307</v>
      </c>
      <c r="G195" s="12" t="s">
        <v>13</v>
      </c>
      <c r="H195" s="13"/>
      <c r="I195" s="14">
        <v>1.56</v>
      </c>
      <c r="J195" s="14">
        <v>6.1</v>
      </c>
      <c r="K195" s="14"/>
      <c r="L195" s="13">
        <v>3.9</v>
      </c>
      <c r="M195" s="13">
        <v>1.2</v>
      </c>
      <c r="P195" s="12" t="s">
        <v>14</v>
      </c>
      <c r="Q195" s="12"/>
      <c r="R195" s="12"/>
      <c r="T195">
        <f t="shared" si="8"/>
        <v>1.56</v>
      </c>
      <c r="U195">
        <f t="shared" si="9"/>
        <v>1.941690305721123</v>
      </c>
      <c r="V195">
        <f t="shared" si="10"/>
        <v>0.38169030572112295</v>
      </c>
    </row>
    <row r="196" spans="1:23">
      <c r="A196" s="12">
        <v>30</v>
      </c>
      <c r="B196" s="12">
        <v>-30</v>
      </c>
      <c r="C196" s="11">
        <v>33.53647369957767</v>
      </c>
      <c r="D196" s="11">
        <v>-24.559194421407735</v>
      </c>
      <c r="E196" s="11"/>
      <c r="F196" s="12">
        <v>662</v>
      </c>
      <c r="G196" s="12" t="s">
        <v>11</v>
      </c>
      <c r="H196" s="13"/>
      <c r="I196" s="16">
        <v>1.57</v>
      </c>
      <c r="J196" s="16" t="s">
        <v>70</v>
      </c>
      <c r="K196" s="16"/>
      <c r="L196" s="17">
        <v>5</v>
      </c>
      <c r="M196" s="13">
        <v>0.4</v>
      </c>
      <c r="P196" s="12" t="s">
        <v>14</v>
      </c>
      <c r="Q196" s="12"/>
      <c r="R196" s="12"/>
      <c r="T196">
        <f t="shared" si="8"/>
        <v>1.57</v>
      </c>
      <c r="U196" t="str">
        <f t="shared" si="9"/>
        <v>dead</v>
      </c>
      <c r="V196" t="e">
        <f t="shared" si="10"/>
        <v>#VALUE!</v>
      </c>
    </row>
    <row r="197" spans="1:23">
      <c r="A197" s="12">
        <v>30</v>
      </c>
      <c r="B197" s="12">
        <v>-30</v>
      </c>
      <c r="C197" s="11">
        <v>35.356399276918161</v>
      </c>
      <c r="D197" s="11">
        <v>-28.844466450059642</v>
      </c>
      <c r="E197" s="11"/>
      <c r="F197" s="12">
        <v>674</v>
      </c>
      <c r="G197" s="12" t="s">
        <v>11</v>
      </c>
      <c r="H197" s="13"/>
      <c r="I197" s="14">
        <v>1.57</v>
      </c>
      <c r="J197" s="14"/>
      <c r="K197" s="14">
        <v>29</v>
      </c>
      <c r="L197" s="13">
        <v>2.7</v>
      </c>
      <c r="M197" s="13">
        <v>0.3</v>
      </c>
      <c r="P197" s="12" t="s">
        <v>14</v>
      </c>
      <c r="Q197" s="12"/>
      <c r="R197" s="12"/>
      <c r="S197" t="s">
        <v>123</v>
      </c>
      <c r="T197">
        <f t="shared" ref="T197:T260" si="11">H197/PI()+I197</f>
        <v>1.57</v>
      </c>
      <c r="U197">
        <f t="shared" si="9"/>
        <v>2.9</v>
      </c>
      <c r="V197">
        <f t="shared" si="10"/>
        <v>1.3299999999999998</v>
      </c>
    </row>
    <row r="198" spans="1:23">
      <c r="A198" s="12">
        <v>50</v>
      </c>
      <c r="B198" s="12">
        <v>-30</v>
      </c>
      <c r="C198" s="11">
        <v>50.215139710240834</v>
      </c>
      <c r="D198" s="11">
        <v>-27.437723206428444</v>
      </c>
      <c r="E198" s="11"/>
      <c r="F198" s="12">
        <v>2010</v>
      </c>
      <c r="G198" s="12" t="s">
        <v>13</v>
      </c>
      <c r="H198" s="13"/>
      <c r="I198" s="14">
        <v>1.57</v>
      </c>
      <c r="J198" s="14"/>
      <c r="K198" s="14">
        <v>15.6</v>
      </c>
      <c r="L198" s="13"/>
      <c r="M198" s="13"/>
      <c r="N198">
        <v>8.5</v>
      </c>
      <c r="O198" t="s">
        <v>70</v>
      </c>
      <c r="P198" s="12"/>
      <c r="Q198" s="12"/>
      <c r="R198" s="12" t="s">
        <v>57</v>
      </c>
      <c r="S198" t="s">
        <v>144</v>
      </c>
      <c r="T198">
        <f t="shared" si="11"/>
        <v>1.57</v>
      </c>
      <c r="U198">
        <f t="shared" si="9"/>
        <v>1.56</v>
      </c>
      <c r="V198">
        <f t="shared" si="10"/>
        <v>-1.0000000000000009E-2</v>
      </c>
      <c r="W198" s="27"/>
    </row>
    <row r="199" spans="1:23">
      <c r="A199" s="12">
        <v>10</v>
      </c>
      <c r="B199" s="12">
        <v>-30</v>
      </c>
      <c r="C199" s="11">
        <v>10.075594505370871</v>
      </c>
      <c r="D199" s="11">
        <v>-21.922856006986763</v>
      </c>
      <c r="E199" s="11"/>
      <c r="F199" s="12">
        <v>614</v>
      </c>
      <c r="G199" s="12" t="s">
        <v>11</v>
      </c>
      <c r="H199" s="13"/>
      <c r="I199" s="14">
        <v>1.59</v>
      </c>
      <c r="J199" s="14" t="s">
        <v>70</v>
      </c>
      <c r="K199" s="14"/>
      <c r="L199" s="13">
        <v>2.2999999999999998</v>
      </c>
      <c r="M199" s="13"/>
      <c r="P199" s="12" t="s">
        <v>12</v>
      </c>
      <c r="Q199" s="12"/>
      <c r="R199" s="12"/>
      <c r="T199">
        <f t="shared" si="11"/>
        <v>1.59</v>
      </c>
      <c r="U199" t="str">
        <f t="shared" si="9"/>
        <v>dead</v>
      </c>
      <c r="V199" t="e">
        <f t="shared" si="10"/>
        <v>#VALUE!</v>
      </c>
    </row>
    <row r="200" spans="1:23">
      <c r="A200" s="12">
        <v>10</v>
      </c>
      <c r="B200" s="12">
        <v>-30</v>
      </c>
      <c r="C200" s="11">
        <v>20.370058669255478</v>
      </c>
      <c r="D200" s="11">
        <v>-20.100000000000001</v>
      </c>
      <c r="E200" s="11"/>
      <c r="F200" s="10">
        <v>627</v>
      </c>
      <c r="G200" s="12" t="s">
        <v>11</v>
      </c>
      <c r="H200" s="13"/>
      <c r="I200" s="14">
        <v>1.59</v>
      </c>
      <c r="J200" s="14"/>
      <c r="K200" s="14">
        <v>22.4</v>
      </c>
      <c r="L200" s="13">
        <v>2.5</v>
      </c>
      <c r="M200" s="13">
        <v>0.3</v>
      </c>
      <c r="P200" s="12" t="s">
        <v>14</v>
      </c>
      <c r="Q200" s="12"/>
      <c r="R200" s="12"/>
      <c r="S200" t="s">
        <v>112</v>
      </c>
      <c r="T200">
        <f t="shared" si="11"/>
        <v>1.59</v>
      </c>
      <c r="U200">
        <f t="shared" si="9"/>
        <v>2.2399999999999998</v>
      </c>
      <c r="V200">
        <f t="shared" si="10"/>
        <v>0.64999999999999969</v>
      </c>
    </row>
    <row r="201" spans="1:23">
      <c r="A201" s="12">
        <v>10</v>
      </c>
      <c r="B201" s="12">
        <v>20</v>
      </c>
      <c r="C201" s="11">
        <v>12.785030728212849</v>
      </c>
      <c r="D201" s="11">
        <v>39.991395380979618</v>
      </c>
      <c r="E201" s="11"/>
      <c r="F201" s="10">
        <v>83</v>
      </c>
      <c r="G201" s="12" t="s">
        <v>11</v>
      </c>
      <c r="H201" s="13"/>
      <c r="I201" s="14">
        <v>1.61</v>
      </c>
      <c r="J201" s="14">
        <v>8.6999999999999993</v>
      </c>
      <c r="K201" s="14"/>
      <c r="L201" s="13">
        <v>2.9</v>
      </c>
      <c r="M201" s="13">
        <v>0.4</v>
      </c>
      <c r="P201" s="12" t="s">
        <v>14</v>
      </c>
      <c r="Q201" s="12"/>
      <c r="R201" s="12"/>
      <c r="T201">
        <f t="shared" si="11"/>
        <v>1.61</v>
      </c>
      <c r="U201">
        <f t="shared" si="9"/>
        <v>2.7692960097989787</v>
      </c>
      <c r="V201">
        <f t="shared" si="10"/>
        <v>1.1592960097989786</v>
      </c>
    </row>
    <row r="202" spans="1:23">
      <c r="A202" s="12">
        <v>20</v>
      </c>
      <c r="B202" s="12">
        <v>-20</v>
      </c>
      <c r="C202" s="11">
        <v>26.865716922766467</v>
      </c>
      <c r="D202" s="11">
        <v>-13.642459065946641</v>
      </c>
      <c r="E202" s="11"/>
      <c r="F202" s="10">
        <v>557</v>
      </c>
      <c r="G202" s="12" t="s">
        <v>13</v>
      </c>
      <c r="H202" s="13"/>
      <c r="I202" s="14">
        <v>1.61</v>
      </c>
      <c r="J202" s="14"/>
      <c r="K202" s="14">
        <v>11.2</v>
      </c>
      <c r="L202" s="13">
        <v>0.9</v>
      </c>
      <c r="M202" s="13">
        <v>0</v>
      </c>
      <c r="P202" s="12" t="s">
        <v>14</v>
      </c>
      <c r="Q202" s="12"/>
      <c r="R202" s="12" t="s">
        <v>42</v>
      </c>
      <c r="S202" t="s">
        <v>99</v>
      </c>
      <c r="T202">
        <f t="shared" si="11"/>
        <v>1.61</v>
      </c>
      <c r="U202">
        <f t="shared" si="9"/>
        <v>1.1199999999999999</v>
      </c>
      <c r="V202">
        <f t="shared" si="10"/>
        <v>-0.49000000000000021</v>
      </c>
    </row>
    <row r="203" spans="1:23">
      <c r="A203" s="12">
        <v>40</v>
      </c>
      <c r="B203" s="12">
        <v>10</v>
      </c>
      <c r="C203" s="11">
        <v>42.95207783888543</v>
      </c>
      <c r="D203" s="11">
        <v>10.555182391625927</v>
      </c>
      <c r="E203" s="11"/>
      <c r="F203" s="10">
        <v>279</v>
      </c>
      <c r="G203" s="12" t="s">
        <v>21</v>
      </c>
      <c r="H203" s="13"/>
      <c r="I203" s="14">
        <v>1.63</v>
      </c>
      <c r="J203" s="14">
        <v>8.3000000000000007</v>
      </c>
      <c r="K203" s="14"/>
      <c r="L203" s="13">
        <v>3.2</v>
      </c>
      <c r="M203" s="13">
        <v>0.7</v>
      </c>
      <c r="P203" s="12" t="s">
        <v>14</v>
      </c>
      <c r="Q203" s="12"/>
      <c r="R203" s="12"/>
      <c r="T203">
        <f t="shared" si="11"/>
        <v>1.63</v>
      </c>
      <c r="U203">
        <f t="shared" si="9"/>
        <v>2.6419720553254629</v>
      </c>
      <c r="V203">
        <f t="shared" si="10"/>
        <v>1.011972055325463</v>
      </c>
    </row>
    <row r="204" spans="1:23">
      <c r="A204" s="12">
        <v>40</v>
      </c>
      <c r="B204" s="12">
        <v>40</v>
      </c>
      <c r="C204" s="11">
        <v>49.266331268088543</v>
      </c>
      <c r="D204" s="11">
        <v>42.28511054258113</v>
      </c>
      <c r="E204" s="11"/>
      <c r="F204" s="12">
        <v>350</v>
      </c>
      <c r="G204" s="12" t="s">
        <v>13</v>
      </c>
      <c r="H204" s="13"/>
      <c r="I204" s="14">
        <v>1.63</v>
      </c>
      <c r="J204" s="14"/>
      <c r="K204" s="14">
        <v>16.8</v>
      </c>
      <c r="L204" s="13">
        <v>3.4</v>
      </c>
      <c r="M204" s="13">
        <v>2.1</v>
      </c>
      <c r="P204" s="12" t="s">
        <v>14</v>
      </c>
      <c r="Q204" s="12"/>
      <c r="R204" s="12"/>
      <c r="T204">
        <f t="shared" si="11"/>
        <v>1.63</v>
      </c>
      <c r="U204">
        <f t="shared" si="9"/>
        <v>1.6800000000000002</v>
      </c>
      <c r="V204">
        <f t="shared" si="10"/>
        <v>5.0000000000000266E-2</v>
      </c>
    </row>
    <row r="205" spans="1:23">
      <c r="A205" s="9">
        <v>0</v>
      </c>
      <c r="B205" s="12">
        <v>40</v>
      </c>
      <c r="C205" s="11">
        <v>8.1404010585722872</v>
      </c>
      <c r="D205" s="11">
        <v>40.771855251893008</v>
      </c>
      <c r="E205" s="11"/>
      <c r="F205" s="12">
        <v>62</v>
      </c>
      <c r="G205" s="12" t="s">
        <v>11</v>
      </c>
      <c r="H205" s="13"/>
      <c r="I205" s="14">
        <v>1.64</v>
      </c>
      <c r="J205" s="14" t="s">
        <v>70</v>
      </c>
      <c r="K205" s="14"/>
      <c r="L205" s="13">
        <v>2.5</v>
      </c>
      <c r="M205" s="13">
        <v>0.2</v>
      </c>
      <c r="P205" s="12" t="s">
        <v>14</v>
      </c>
      <c r="Q205" s="12"/>
      <c r="R205" s="12"/>
      <c r="T205">
        <f t="shared" si="11"/>
        <v>1.64</v>
      </c>
      <c r="U205" t="str">
        <f t="shared" si="9"/>
        <v>dead</v>
      </c>
      <c r="V205" t="e">
        <f t="shared" si="10"/>
        <v>#VALUE!</v>
      </c>
    </row>
    <row r="206" spans="1:23">
      <c r="A206" s="12">
        <v>0</v>
      </c>
      <c r="B206" s="12">
        <v>-30</v>
      </c>
      <c r="C206" s="11">
        <v>9.9566634226198119</v>
      </c>
      <c r="D206" s="11">
        <v>-21.057995003103628</v>
      </c>
      <c r="E206" s="11"/>
      <c r="F206" s="12">
        <v>612</v>
      </c>
      <c r="G206" s="12" t="s">
        <v>11</v>
      </c>
      <c r="H206" s="13"/>
      <c r="I206" s="14">
        <v>1.64</v>
      </c>
      <c r="J206" s="14"/>
      <c r="K206" s="14">
        <v>22.2</v>
      </c>
      <c r="L206" s="13">
        <v>3</v>
      </c>
      <c r="M206" s="13">
        <v>0.4</v>
      </c>
      <c r="P206" s="12" t="s">
        <v>14</v>
      </c>
      <c r="Q206" s="12"/>
      <c r="R206" s="12"/>
      <c r="S206" t="s">
        <v>108</v>
      </c>
      <c r="T206">
        <f t="shared" si="11"/>
        <v>1.64</v>
      </c>
      <c r="U206">
        <f t="shared" si="9"/>
        <v>2.2199999999999998</v>
      </c>
      <c r="V206">
        <f t="shared" si="10"/>
        <v>0.57999999999999985</v>
      </c>
    </row>
    <row r="207" spans="1:23">
      <c r="A207" s="12">
        <v>10</v>
      </c>
      <c r="B207" s="12">
        <v>30</v>
      </c>
      <c r="C207" s="11">
        <v>17.517240329533635</v>
      </c>
      <c r="D207" s="11">
        <v>31.159712865363531</v>
      </c>
      <c r="E207" s="11"/>
      <c r="F207" s="10">
        <v>87</v>
      </c>
      <c r="G207" s="12" t="s">
        <v>11</v>
      </c>
      <c r="H207" s="13"/>
      <c r="I207" s="14">
        <v>1.67</v>
      </c>
      <c r="J207" s="14">
        <v>9.8000000000000007</v>
      </c>
      <c r="K207" s="14"/>
      <c r="L207" s="13">
        <v>2.5</v>
      </c>
      <c r="M207" s="13">
        <v>0.2</v>
      </c>
      <c r="P207" s="12" t="s">
        <v>14</v>
      </c>
      <c r="Q207" s="12"/>
      <c r="R207" s="12"/>
      <c r="T207">
        <f t="shared" si="11"/>
        <v>1.67</v>
      </c>
      <c r="U207">
        <f t="shared" si="9"/>
        <v>3.1194368846011491</v>
      </c>
      <c r="V207">
        <f t="shared" si="10"/>
        <v>1.4494368846011492</v>
      </c>
      <c r="W207" s="27"/>
    </row>
    <row r="208" spans="1:23">
      <c r="A208" s="12">
        <v>30</v>
      </c>
      <c r="B208" s="12">
        <v>-10</v>
      </c>
      <c r="C208" s="11">
        <v>38.887856973840393</v>
      </c>
      <c r="D208" s="11">
        <v>-4.1141493487037444</v>
      </c>
      <c r="E208" s="11"/>
      <c r="F208" s="10">
        <v>441</v>
      </c>
      <c r="G208" s="12" t="s">
        <v>13</v>
      </c>
      <c r="H208" s="13"/>
      <c r="I208" s="14">
        <v>1.68</v>
      </c>
      <c r="J208" s="14" t="s">
        <v>70</v>
      </c>
      <c r="K208" s="14"/>
      <c r="L208" s="13">
        <v>1.6</v>
      </c>
      <c r="M208" s="13">
        <v>1.3</v>
      </c>
      <c r="P208" s="12" t="s">
        <v>14</v>
      </c>
      <c r="Q208" s="12"/>
      <c r="R208" s="12"/>
      <c r="T208">
        <f t="shared" si="11"/>
        <v>1.68</v>
      </c>
      <c r="U208" t="str">
        <f t="shared" si="9"/>
        <v>dead</v>
      </c>
      <c r="V208" t="e">
        <f t="shared" si="10"/>
        <v>#VALUE!</v>
      </c>
    </row>
    <row r="209" spans="1:23" s="27" customFormat="1">
      <c r="A209" s="9">
        <v>0</v>
      </c>
      <c r="B209" s="9">
        <v>0</v>
      </c>
      <c r="C209" s="11">
        <v>4.4428325442296615</v>
      </c>
      <c r="D209" s="11">
        <v>8.5628187767275055</v>
      </c>
      <c r="E209" s="11"/>
      <c r="F209" s="10">
        <v>5</v>
      </c>
      <c r="G209" s="12" t="s">
        <v>13</v>
      </c>
      <c r="H209" s="13"/>
      <c r="I209" s="14">
        <v>1.69</v>
      </c>
      <c r="J209" s="14"/>
      <c r="K209" s="14">
        <v>19.2</v>
      </c>
      <c r="L209" s="13">
        <v>3.6</v>
      </c>
      <c r="M209" s="13">
        <v>0.9</v>
      </c>
      <c r="N209"/>
      <c r="O209"/>
      <c r="P209" s="12" t="s">
        <v>14</v>
      </c>
      <c r="Q209" s="12"/>
      <c r="R209" s="12" t="s">
        <v>71</v>
      </c>
      <c r="S209"/>
      <c r="T209">
        <f t="shared" si="11"/>
        <v>1.69</v>
      </c>
      <c r="U209">
        <f t="shared" si="9"/>
        <v>1.92</v>
      </c>
      <c r="V209">
        <f t="shared" si="10"/>
        <v>0.22999999999999998</v>
      </c>
      <c r="W209"/>
    </row>
    <row r="210" spans="1:23">
      <c r="A210" s="12">
        <v>20</v>
      </c>
      <c r="B210" s="12">
        <v>30</v>
      </c>
      <c r="C210" s="11">
        <v>20.605733397222572</v>
      </c>
      <c r="D210" s="11">
        <v>34.513335525887406</v>
      </c>
      <c r="E210" s="11"/>
      <c r="F210" s="12">
        <v>180</v>
      </c>
      <c r="G210" s="12" t="s">
        <v>13</v>
      </c>
      <c r="H210" s="13"/>
      <c r="I210" s="14">
        <v>1.69</v>
      </c>
      <c r="J210" s="14">
        <v>6.7</v>
      </c>
      <c r="K210" s="14"/>
      <c r="L210" s="13">
        <v>2.7</v>
      </c>
      <c r="M210" s="13">
        <v>0.8</v>
      </c>
      <c r="P210" s="12" t="s">
        <v>14</v>
      </c>
      <c r="Q210" s="12"/>
      <c r="R210" s="12"/>
      <c r="T210">
        <f t="shared" si="11"/>
        <v>1.69</v>
      </c>
      <c r="U210">
        <f t="shared" si="9"/>
        <v>2.1326762374313977</v>
      </c>
      <c r="V210">
        <f t="shared" si="10"/>
        <v>0.44267623743139772</v>
      </c>
    </row>
    <row r="211" spans="1:23">
      <c r="A211" s="12">
        <v>20</v>
      </c>
      <c r="B211" s="12">
        <v>-30</v>
      </c>
      <c r="C211" s="11">
        <v>25.63549269867908</v>
      </c>
      <c r="D211" s="11">
        <v>-22.899771718035126</v>
      </c>
      <c r="E211" s="11"/>
      <c r="F211" s="12">
        <v>636</v>
      </c>
      <c r="G211" s="12" t="s">
        <v>21</v>
      </c>
      <c r="H211" s="13"/>
      <c r="I211" s="14">
        <v>1.69</v>
      </c>
      <c r="J211" s="14"/>
      <c r="K211" s="14">
        <v>23.5</v>
      </c>
      <c r="L211" s="13">
        <v>3.7</v>
      </c>
      <c r="M211" s="13">
        <v>0.9</v>
      </c>
      <c r="P211" s="12" t="s">
        <v>14</v>
      </c>
      <c r="Q211" s="12"/>
      <c r="R211" s="12" t="s">
        <v>45</v>
      </c>
      <c r="S211" t="s">
        <v>113</v>
      </c>
      <c r="T211">
        <f t="shared" si="11"/>
        <v>1.69</v>
      </c>
      <c r="U211">
        <f t="shared" si="9"/>
        <v>2.35</v>
      </c>
      <c r="V211">
        <f t="shared" si="10"/>
        <v>0.66000000000000014</v>
      </c>
    </row>
    <row r="212" spans="1:23">
      <c r="A212" s="12">
        <v>20</v>
      </c>
      <c r="B212" s="12">
        <v>-30</v>
      </c>
      <c r="C212" s="11">
        <v>25.63549269867908</v>
      </c>
      <c r="D212" s="11">
        <v>-22.899771718035126</v>
      </c>
      <c r="E212" s="11"/>
      <c r="F212" s="10">
        <v>637</v>
      </c>
      <c r="G212" s="12" t="s">
        <v>21</v>
      </c>
      <c r="H212" s="13"/>
      <c r="I212" s="14">
        <v>1.69</v>
      </c>
      <c r="J212" s="14"/>
      <c r="K212" s="14">
        <v>21.9</v>
      </c>
      <c r="L212" s="13">
        <v>3.4</v>
      </c>
      <c r="M212" s="13">
        <v>1.1000000000000001</v>
      </c>
      <c r="P212" s="12" t="s">
        <v>14</v>
      </c>
      <c r="Q212" s="12"/>
      <c r="R212" s="12"/>
      <c r="S212" t="s">
        <v>114</v>
      </c>
      <c r="T212">
        <f t="shared" si="11"/>
        <v>1.69</v>
      </c>
      <c r="U212">
        <f t="shared" si="9"/>
        <v>2.19</v>
      </c>
      <c r="V212">
        <f t="shared" si="10"/>
        <v>0.5</v>
      </c>
    </row>
    <row r="213" spans="1:23">
      <c r="A213" s="12">
        <v>10</v>
      </c>
      <c r="B213" s="12">
        <v>10</v>
      </c>
      <c r="C213" s="11">
        <v>17.062022304305565</v>
      </c>
      <c r="D213" s="11">
        <v>15.739149847624711</v>
      </c>
      <c r="E213" s="11"/>
      <c r="F213" s="12">
        <v>106</v>
      </c>
      <c r="G213" s="12" t="s">
        <v>21</v>
      </c>
      <c r="H213" s="13"/>
      <c r="I213" s="14">
        <v>1.7</v>
      </c>
      <c r="J213" s="14"/>
      <c r="K213" s="14">
        <v>23.5</v>
      </c>
      <c r="L213" s="13">
        <v>2.8</v>
      </c>
      <c r="M213" s="13">
        <v>0.5</v>
      </c>
      <c r="P213" s="12" t="s">
        <v>14</v>
      </c>
      <c r="Q213" s="12"/>
      <c r="R213" s="12"/>
      <c r="T213">
        <f t="shared" si="11"/>
        <v>1.7</v>
      </c>
      <c r="U213">
        <f t="shared" si="9"/>
        <v>2.35</v>
      </c>
      <c r="V213">
        <f t="shared" si="10"/>
        <v>0.65000000000000013</v>
      </c>
    </row>
    <row r="214" spans="1:23">
      <c r="A214" s="12">
        <v>30</v>
      </c>
      <c r="B214" s="12">
        <v>-10</v>
      </c>
      <c r="C214" s="11">
        <v>38.84947872844365</v>
      </c>
      <c r="D214" s="11">
        <v>-3.9687562805258523</v>
      </c>
      <c r="E214" s="11"/>
      <c r="F214" s="12">
        <v>440</v>
      </c>
      <c r="G214" s="12" t="s">
        <v>13</v>
      </c>
      <c r="H214" s="13"/>
      <c r="I214" s="14">
        <v>1.73</v>
      </c>
      <c r="J214" s="14"/>
      <c r="K214" s="14">
        <v>19.3</v>
      </c>
      <c r="L214" s="13">
        <v>3</v>
      </c>
      <c r="M214" s="13">
        <v>1.3</v>
      </c>
      <c r="P214" s="12" t="s">
        <v>14</v>
      </c>
      <c r="Q214" s="12"/>
      <c r="R214" s="12"/>
      <c r="T214">
        <f t="shared" si="11"/>
        <v>1.73</v>
      </c>
      <c r="U214">
        <f t="shared" si="9"/>
        <v>1.9300000000000002</v>
      </c>
      <c r="V214">
        <f t="shared" si="10"/>
        <v>0.20000000000000018</v>
      </c>
    </row>
    <row r="215" spans="1:23">
      <c r="A215" s="9">
        <v>0</v>
      </c>
      <c r="B215" s="12">
        <v>20</v>
      </c>
      <c r="C215" s="11">
        <v>2.0869868475753837</v>
      </c>
      <c r="D215" s="11">
        <v>29.185906917558405</v>
      </c>
      <c r="E215" s="11"/>
      <c r="F215" s="12">
        <v>46</v>
      </c>
      <c r="G215" s="12" t="s">
        <v>11</v>
      </c>
      <c r="H215" s="13"/>
      <c r="I215" s="14">
        <v>1.74</v>
      </c>
      <c r="J215" s="14" t="s">
        <v>70</v>
      </c>
      <c r="K215" s="14"/>
      <c r="L215" s="13">
        <v>3.8</v>
      </c>
      <c r="M215" s="13"/>
      <c r="P215" s="12" t="s">
        <v>12</v>
      </c>
      <c r="Q215" s="12"/>
      <c r="R215" s="12" t="s">
        <v>17</v>
      </c>
      <c r="T215">
        <f t="shared" si="11"/>
        <v>1.74</v>
      </c>
      <c r="U215" t="str">
        <f t="shared" si="9"/>
        <v>dead</v>
      </c>
      <c r="V215" t="e">
        <f t="shared" si="10"/>
        <v>#VALUE!</v>
      </c>
    </row>
    <row r="216" spans="1:23">
      <c r="A216" s="9">
        <v>0</v>
      </c>
      <c r="B216" s="12">
        <v>30</v>
      </c>
      <c r="C216" s="11">
        <v>4.2100548133568347</v>
      </c>
      <c r="D216" s="11">
        <v>38.681486516563155</v>
      </c>
      <c r="E216" s="11"/>
      <c r="F216" s="12">
        <v>56</v>
      </c>
      <c r="G216" s="12" t="s">
        <v>11</v>
      </c>
      <c r="H216" s="13"/>
      <c r="I216" s="14">
        <v>1.74</v>
      </c>
      <c r="J216" s="14" t="s">
        <v>70</v>
      </c>
      <c r="K216" s="14"/>
      <c r="L216" s="13">
        <v>2.1</v>
      </c>
      <c r="M216" s="13"/>
      <c r="P216" s="12" t="s">
        <v>12</v>
      </c>
      <c r="Q216" s="12"/>
      <c r="R216" s="12"/>
      <c r="S216" t="s">
        <v>78</v>
      </c>
      <c r="T216">
        <f t="shared" si="11"/>
        <v>1.74</v>
      </c>
      <c r="U216" t="str">
        <f t="shared" si="9"/>
        <v>dead</v>
      </c>
      <c r="V216" t="e">
        <f t="shared" si="10"/>
        <v>#VALUE!</v>
      </c>
    </row>
    <row r="217" spans="1:23">
      <c r="A217" s="9">
        <v>0</v>
      </c>
      <c r="B217" s="12">
        <v>10</v>
      </c>
      <c r="C217" s="11">
        <v>6.59703322326639</v>
      </c>
      <c r="D217" s="11">
        <v>17.789083201279034</v>
      </c>
      <c r="E217" s="11"/>
      <c r="F217" s="12">
        <v>24</v>
      </c>
      <c r="G217" s="12" t="s">
        <v>13</v>
      </c>
      <c r="H217" s="13"/>
      <c r="I217" s="14">
        <v>1.76</v>
      </c>
      <c r="J217" s="14">
        <v>6</v>
      </c>
      <c r="K217" s="14"/>
      <c r="L217" s="13">
        <v>3.1</v>
      </c>
      <c r="M217" s="13">
        <v>1.1000000000000001</v>
      </c>
      <c r="P217" s="12" t="s">
        <v>14</v>
      </c>
      <c r="Q217" s="12"/>
      <c r="R217" s="12"/>
      <c r="T217">
        <f t="shared" si="11"/>
        <v>1.76</v>
      </c>
      <c r="U217">
        <f t="shared" si="9"/>
        <v>1.909859317102744</v>
      </c>
      <c r="V217">
        <f t="shared" si="10"/>
        <v>0.14985931710274403</v>
      </c>
    </row>
    <row r="218" spans="1:23">
      <c r="A218" s="12">
        <v>40</v>
      </c>
      <c r="B218" s="12">
        <v>0</v>
      </c>
      <c r="C218" s="11">
        <v>48.235042680231857</v>
      </c>
      <c r="D218" s="11">
        <v>2.3206984656962657</v>
      </c>
      <c r="E218" s="11"/>
      <c r="F218" s="12">
        <v>274</v>
      </c>
      <c r="G218" s="12" t="s">
        <v>11</v>
      </c>
      <c r="H218" s="13"/>
      <c r="I218" s="14">
        <v>1.79</v>
      </c>
      <c r="J218" s="14">
        <v>9.6999999999999993</v>
      </c>
      <c r="K218" s="14"/>
      <c r="L218" s="13">
        <v>2.9</v>
      </c>
      <c r="M218" s="13">
        <v>0.2</v>
      </c>
      <c r="P218" s="12" t="s">
        <v>14</v>
      </c>
      <c r="Q218" s="12"/>
      <c r="R218" s="12"/>
      <c r="T218">
        <f t="shared" si="11"/>
        <v>1.79</v>
      </c>
      <c r="U218">
        <f t="shared" si="9"/>
        <v>3.0876058959827692</v>
      </c>
      <c r="V218">
        <f t="shared" si="10"/>
        <v>1.2976058959827692</v>
      </c>
    </row>
    <row r="219" spans="1:23">
      <c r="A219" s="12">
        <v>40</v>
      </c>
      <c r="B219" s="12">
        <v>20</v>
      </c>
      <c r="C219" s="11">
        <v>42.210517931122659</v>
      </c>
      <c r="D219" s="11">
        <v>29.301921944078657</v>
      </c>
      <c r="E219" s="11"/>
      <c r="F219" s="12">
        <v>294</v>
      </c>
      <c r="G219" s="12" t="s">
        <v>13</v>
      </c>
      <c r="H219" s="13"/>
      <c r="I219" s="14">
        <v>1.8</v>
      </c>
      <c r="J219" s="14"/>
      <c r="K219" s="14">
        <v>18.3</v>
      </c>
      <c r="L219" s="13">
        <v>3.5</v>
      </c>
      <c r="M219" s="13">
        <v>2.1</v>
      </c>
      <c r="P219" s="12" t="s">
        <v>14</v>
      </c>
      <c r="Q219" s="12"/>
      <c r="R219" s="12"/>
      <c r="T219">
        <f t="shared" si="11"/>
        <v>1.8</v>
      </c>
      <c r="U219">
        <f t="shared" si="9"/>
        <v>1.83</v>
      </c>
      <c r="V219">
        <f t="shared" si="10"/>
        <v>3.0000000000000027E-2</v>
      </c>
    </row>
    <row r="220" spans="1:23">
      <c r="A220" s="12">
        <v>40</v>
      </c>
      <c r="B220" s="12">
        <v>-20</v>
      </c>
      <c r="C220" s="11">
        <v>49.439942488289539</v>
      </c>
      <c r="D220" s="11">
        <v>-10.032951749359711</v>
      </c>
      <c r="E220" s="11"/>
      <c r="F220" s="10">
        <v>503</v>
      </c>
      <c r="G220" s="12" t="s">
        <v>13</v>
      </c>
      <c r="H220" s="13"/>
      <c r="I220" s="14">
        <v>1.8</v>
      </c>
      <c r="J220" s="14"/>
      <c r="K220" s="14">
        <v>24</v>
      </c>
      <c r="L220" s="13">
        <v>3.7</v>
      </c>
      <c r="M220" s="13">
        <v>1.3</v>
      </c>
      <c r="P220" s="12" t="s">
        <v>14</v>
      </c>
      <c r="Q220" s="12"/>
      <c r="R220" s="12"/>
      <c r="T220">
        <f t="shared" si="11"/>
        <v>1.8</v>
      </c>
      <c r="U220">
        <f t="shared" si="9"/>
        <v>2.4</v>
      </c>
      <c r="V220">
        <f t="shared" si="10"/>
        <v>0.59999999999999987</v>
      </c>
    </row>
    <row r="221" spans="1:23">
      <c r="A221" s="12">
        <v>40</v>
      </c>
      <c r="B221" s="12">
        <v>30</v>
      </c>
      <c r="C221" s="11">
        <v>49.643761131667816</v>
      </c>
      <c r="D221" s="11">
        <v>30.726840135709438</v>
      </c>
      <c r="E221" s="11"/>
      <c r="F221" s="10">
        <v>329</v>
      </c>
      <c r="G221" s="12" t="s">
        <v>30</v>
      </c>
      <c r="H221" s="13"/>
      <c r="I221" s="14">
        <v>1.81</v>
      </c>
      <c r="J221" s="14">
        <v>7.6</v>
      </c>
      <c r="K221" s="14"/>
      <c r="L221" s="13">
        <v>3.3</v>
      </c>
      <c r="M221" s="13">
        <v>1.1000000000000001</v>
      </c>
      <c r="P221" s="12" t="s">
        <v>14</v>
      </c>
      <c r="Q221" s="12"/>
      <c r="R221" s="12"/>
      <c r="T221">
        <f t="shared" si="11"/>
        <v>1.81</v>
      </c>
      <c r="U221">
        <f t="shared" si="9"/>
        <v>2.4191551349968092</v>
      </c>
      <c r="V221">
        <f t="shared" si="10"/>
        <v>0.60915513499680918</v>
      </c>
    </row>
    <row r="222" spans="1:23">
      <c r="A222" s="9">
        <v>0</v>
      </c>
      <c r="B222" s="12">
        <v>20</v>
      </c>
      <c r="C222" s="11">
        <v>8.3029446827353137</v>
      </c>
      <c r="D222" s="11">
        <v>22.162755093725913</v>
      </c>
      <c r="E222" s="11"/>
      <c r="F222" s="12">
        <v>30</v>
      </c>
      <c r="G222" s="12" t="s">
        <v>13</v>
      </c>
      <c r="H222" s="13"/>
      <c r="I222" s="14">
        <v>1.82</v>
      </c>
      <c r="J222" s="14">
        <v>8.5</v>
      </c>
      <c r="K222" s="14"/>
      <c r="L222" s="13">
        <v>3.8</v>
      </c>
      <c r="M222" s="13">
        <v>0.8</v>
      </c>
      <c r="P222" s="12" t="s">
        <v>14</v>
      </c>
      <c r="Q222" s="12"/>
      <c r="R222" s="12"/>
      <c r="T222">
        <f t="shared" si="11"/>
        <v>1.82</v>
      </c>
      <c r="U222">
        <f t="shared" si="9"/>
        <v>2.7056340325622208</v>
      </c>
      <c r="V222">
        <f t="shared" si="10"/>
        <v>0.88563403256222073</v>
      </c>
    </row>
    <row r="223" spans="1:23">
      <c r="A223" s="9">
        <v>0</v>
      </c>
      <c r="B223" s="9">
        <v>0</v>
      </c>
      <c r="C223" s="11">
        <v>4.3074786275277868</v>
      </c>
      <c r="D223" s="11">
        <v>9.0576091978658386</v>
      </c>
      <c r="E223" s="11"/>
      <c r="F223" s="10">
        <v>7</v>
      </c>
      <c r="G223" s="12" t="s">
        <v>13</v>
      </c>
      <c r="H223" s="13"/>
      <c r="I223" s="14">
        <v>1.83</v>
      </c>
      <c r="J223" s="14">
        <v>7.4</v>
      </c>
      <c r="K223" s="14"/>
      <c r="L223" s="13">
        <v>3.5</v>
      </c>
      <c r="M223" s="13">
        <v>1.5</v>
      </c>
      <c r="P223" s="12" t="s">
        <v>14</v>
      </c>
      <c r="Q223" s="12"/>
      <c r="R223" s="12"/>
      <c r="T223">
        <f t="shared" si="11"/>
        <v>1.83</v>
      </c>
      <c r="U223">
        <f t="shared" si="9"/>
        <v>2.3554931577600513</v>
      </c>
      <c r="V223">
        <f t="shared" si="10"/>
        <v>0.52549315776005123</v>
      </c>
    </row>
    <row r="224" spans="1:23">
      <c r="A224" s="9">
        <v>0</v>
      </c>
      <c r="B224" s="12">
        <v>20</v>
      </c>
      <c r="C224" s="11">
        <v>7.1383060376698781E-2</v>
      </c>
      <c r="D224" s="11">
        <v>28.179688530664919</v>
      </c>
      <c r="E224" s="11"/>
      <c r="F224" s="10">
        <v>49</v>
      </c>
      <c r="G224" s="12" t="s">
        <v>11</v>
      </c>
      <c r="H224" s="13"/>
      <c r="I224" s="14">
        <v>1.83</v>
      </c>
      <c r="J224" s="14" t="s">
        <v>70</v>
      </c>
      <c r="K224" s="14"/>
      <c r="L224" s="13">
        <v>2.9</v>
      </c>
      <c r="M224" s="13"/>
      <c r="P224" s="12" t="s">
        <v>12</v>
      </c>
      <c r="Q224" s="12"/>
      <c r="R224" s="12"/>
      <c r="T224">
        <f t="shared" si="11"/>
        <v>1.83</v>
      </c>
      <c r="U224" t="str">
        <f t="shared" si="9"/>
        <v>dead</v>
      </c>
      <c r="V224" t="e">
        <f t="shared" si="10"/>
        <v>#VALUE!</v>
      </c>
    </row>
    <row r="225" spans="1:22">
      <c r="A225" s="12">
        <v>40</v>
      </c>
      <c r="B225" s="12">
        <v>0</v>
      </c>
      <c r="C225" s="11">
        <v>40.795535078290051</v>
      </c>
      <c r="D225" s="11">
        <v>5.0333085520429153</v>
      </c>
      <c r="E225" s="11"/>
      <c r="F225" s="10">
        <v>261</v>
      </c>
      <c r="G225" s="12" t="s">
        <v>13</v>
      </c>
      <c r="H225" s="13"/>
      <c r="I225" s="14">
        <v>1.84</v>
      </c>
      <c r="J225" s="14"/>
      <c r="K225" s="14">
        <v>19.5</v>
      </c>
      <c r="L225" s="13">
        <v>2</v>
      </c>
      <c r="M225" s="13">
        <v>1.5</v>
      </c>
      <c r="P225" s="12" t="s">
        <v>14</v>
      </c>
      <c r="Q225" s="12"/>
      <c r="R225" s="12"/>
      <c r="T225">
        <f t="shared" si="11"/>
        <v>1.84</v>
      </c>
      <c r="U225">
        <f t="shared" si="9"/>
        <v>1.95</v>
      </c>
      <c r="V225">
        <f t="shared" si="10"/>
        <v>0.10999999999999988</v>
      </c>
    </row>
    <row r="226" spans="1:22">
      <c r="A226" s="12">
        <v>40</v>
      </c>
      <c r="B226" s="12">
        <v>20</v>
      </c>
      <c r="C226" s="11">
        <v>41.955044382048811</v>
      </c>
      <c r="D226" s="11">
        <v>29.612102466330828</v>
      </c>
      <c r="E226" s="11"/>
      <c r="F226" s="12">
        <v>312</v>
      </c>
      <c r="G226" s="12" t="s">
        <v>13</v>
      </c>
      <c r="H226" s="13"/>
      <c r="I226" s="14">
        <v>1.84</v>
      </c>
      <c r="J226" s="14"/>
      <c r="K226" s="14">
        <v>18.600000000000001</v>
      </c>
      <c r="L226" s="13">
        <v>3</v>
      </c>
      <c r="M226" s="13">
        <v>2.1</v>
      </c>
      <c r="P226" s="12" t="s">
        <v>14</v>
      </c>
      <c r="Q226" s="12"/>
      <c r="R226" s="12"/>
      <c r="T226">
        <f t="shared" si="11"/>
        <v>1.84</v>
      </c>
      <c r="U226">
        <f t="shared" si="9"/>
        <v>1.86</v>
      </c>
      <c r="V226">
        <f t="shared" si="10"/>
        <v>2.0000000000000018E-2</v>
      </c>
    </row>
    <row r="227" spans="1:22">
      <c r="A227" s="12">
        <v>20</v>
      </c>
      <c r="B227" s="12">
        <v>-20</v>
      </c>
      <c r="C227" s="11">
        <v>27.296469722438403</v>
      </c>
      <c r="D227" s="11">
        <v>-13.073307418250858</v>
      </c>
      <c r="E227" s="11"/>
      <c r="F227" s="12">
        <v>542</v>
      </c>
      <c r="G227" s="12" t="s">
        <v>13</v>
      </c>
      <c r="H227" s="13"/>
      <c r="I227" s="14">
        <v>1.84</v>
      </c>
      <c r="J227" s="14" t="s">
        <v>70</v>
      </c>
      <c r="K227" s="14"/>
      <c r="L227" s="13">
        <v>2.5</v>
      </c>
      <c r="M227" s="13"/>
      <c r="P227" s="12" t="s">
        <v>12</v>
      </c>
      <c r="Q227" s="12"/>
      <c r="R227" s="12"/>
      <c r="T227">
        <f t="shared" si="11"/>
        <v>1.84</v>
      </c>
      <c r="U227" t="str">
        <f t="shared" si="9"/>
        <v>dead</v>
      </c>
      <c r="V227" t="e">
        <f t="shared" si="10"/>
        <v>#VALUE!</v>
      </c>
    </row>
    <row r="228" spans="1:22">
      <c r="A228" s="12">
        <v>10</v>
      </c>
      <c r="B228" s="12">
        <v>-30</v>
      </c>
      <c r="C228" s="11">
        <v>15.238000848139492</v>
      </c>
      <c r="D228" s="11">
        <v>-22.295516668774031</v>
      </c>
      <c r="E228" s="11"/>
      <c r="F228" s="10">
        <v>621</v>
      </c>
      <c r="G228" s="12" t="s">
        <v>11</v>
      </c>
      <c r="H228" s="13"/>
      <c r="I228" s="14">
        <v>1.84</v>
      </c>
      <c r="J228" s="14">
        <v>9.5</v>
      </c>
      <c r="K228" s="14"/>
      <c r="L228" s="13">
        <v>2.8</v>
      </c>
      <c r="M228" s="13">
        <v>0.2</v>
      </c>
      <c r="P228" s="12" t="s">
        <v>14</v>
      </c>
      <c r="Q228" s="12"/>
      <c r="R228" s="12"/>
      <c r="S228" t="s">
        <v>110</v>
      </c>
      <c r="T228">
        <f t="shared" si="11"/>
        <v>1.84</v>
      </c>
      <c r="U228">
        <f t="shared" si="9"/>
        <v>3.0239439187460113</v>
      </c>
      <c r="V228">
        <f t="shared" si="10"/>
        <v>1.1839439187460112</v>
      </c>
    </row>
    <row r="229" spans="1:22">
      <c r="A229" s="12">
        <v>10</v>
      </c>
      <c r="B229" s="12">
        <v>40</v>
      </c>
      <c r="C229" s="11">
        <v>17.19336699698033</v>
      </c>
      <c r="D229" s="11">
        <v>46.911903586303907</v>
      </c>
      <c r="E229" s="11"/>
      <c r="F229" s="12">
        <v>78</v>
      </c>
      <c r="G229" s="12" t="s">
        <v>11</v>
      </c>
      <c r="H229" s="13"/>
      <c r="I229" s="14">
        <v>1.86</v>
      </c>
      <c r="J229" s="14" t="s">
        <v>70</v>
      </c>
      <c r="K229" s="14"/>
      <c r="L229" s="13">
        <v>2.5</v>
      </c>
      <c r="M229" s="13"/>
      <c r="P229" s="12" t="s">
        <v>12</v>
      </c>
      <c r="Q229" s="12"/>
      <c r="R229" s="12"/>
      <c r="T229">
        <f t="shared" si="11"/>
        <v>1.86</v>
      </c>
      <c r="U229" t="str">
        <f t="shared" si="9"/>
        <v>dead</v>
      </c>
      <c r="V229" t="e">
        <f t="shared" si="10"/>
        <v>#VALUE!</v>
      </c>
    </row>
    <row r="230" spans="1:22">
      <c r="A230" s="12">
        <v>10</v>
      </c>
      <c r="B230" s="12">
        <v>20</v>
      </c>
      <c r="C230" s="11">
        <v>19.014335911764277</v>
      </c>
      <c r="D230" s="11">
        <v>28.505523489744252</v>
      </c>
      <c r="E230" s="11"/>
      <c r="F230" s="12">
        <v>90</v>
      </c>
      <c r="G230" s="12" t="s">
        <v>13</v>
      </c>
      <c r="H230" s="13"/>
      <c r="I230" s="14">
        <v>1.86</v>
      </c>
      <c r="J230" s="14"/>
      <c r="K230" s="14">
        <v>20.7</v>
      </c>
      <c r="L230" s="13">
        <v>2.6</v>
      </c>
      <c r="M230" s="13">
        <v>1.3</v>
      </c>
      <c r="P230" s="12" t="s">
        <v>14</v>
      </c>
      <c r="Q230" s="12"/>
      <c r="R230" s="12"/>
      <c r="T230">
        <f t="shared" si="11"/>
        <v>1.86</v>
      </c>
      <c r="U230">
        <f t="shared" si="9"/>
        <v>2.0699999999999998</v>
      </c>
      <c r="V230">
        <f t="shared" si="10"/>
        <v>0.20999999999999974</v>
      </c>
    </row>
    <row r="231" spans="1:22">
      <c r="A231" s="12">
        <v>10</v>
      </c>
      <c r="B231" s="12">
        <v>20</v>
      </c>
      <c r="C231" s="11">
        <v>19.166810907643413</v>
      </c>
      <c r="D231" s="11">
        <v>28.65414696146544</v>
      </c>
      <c r="E231" s="11"/>
      <c r="F231" s="10">
        <v>89</v>
      </c>
      <c r="G231" s="12" t="s">
        <v>13</v>
      </c>
      <c r="H231" s="13"/>
      <c r="I231" s="14">
        <v>1.87</v>
      </c>
      <c r="J231" s="14"/>
      <c r="K231" s="14">
        <v>22.1</v>
      </c>
      <c r="L231" s="13">
        <v>2.8</v>
      </c>
      <c r="M231" s="13">
        <v>0.7</v>
      </c>
      <c r="P231" s="12" t="s">
        <v>14</v>
      </c>
      <c r="Q231" s="12"/>
      <c r="R231" s="12"/>
      <c r="T231">
        <f t="shared" si="11"/>
        <v>1.87</v>
      </c>
      <c r="U231">
        <f t="shared" si="9"/>
        <v>2.21</v>
      </c>
      <c r="V231">
        <f t="shared" si="10"/>
        <v>0.33999999999999986</v>
      </c>
    </row>
    <row r="232" spans="1:22">
      <c r="A232" s="12">
        <v>40</v>
      </c>
      <c r="B232" s="12">
        <v>40</v>
      </c>
      <c r="C232" s="11">
        <v>41.956430674594081</v>
      </c>
      <c r="D232" s="11">
        <v>49.384593358659124</v>
      </c>
      <c r="E232" s="11"/>
      <c r="F232" s="10">
        <v>367</v>
      </c>
      <c r="G232" s="12" t="s">
        <v>13</v>
      </c>
      <c r="H232" s="13"/>
      <c r="I232" s="14">
        <v>1.88</v>
      </c>
      <c r="J232" s="14">
        <v>6.8</v>
      </c>
      <c r="K232" s="14"/>
      <c r="L232" s="13">
        <v>4</v>
      </c>
      <c r="M232" s="13">
        <v>1.5</v>
      </c>
      <c r="P232" s="12" t="s">
        <v>14</v>
      </c>
      <c r="Q232" s="12"/>
      <c r="R232" s="12"/>
      <c r="T232">
        <f t="shared" si="11"/>
        <v>1.88</v>
      </c>
      <c r="U232">
        <f t="shared" si="9"/>
        <v>2.1645072260497766</v>
      </c>
      <c r="V232">
        <f t="shared" si="10"/>
        <v>0.28450722604977674</v>
      </c>
    </row>
    <row r="233" spans="1:22">
      <c r="A233" s="12">
        <v>30</v>
      </c>
      <c r="B233" s="12">
        <v>30</v>
      </c>
      <c r="C233" s="11">
        <v>39.177377799053929</v>
      </c>
      <c r="D233" s="11">
        <v>30.783382434720195</v>
      </c>
      <c r="E233" s="11"/>
      <c r="F233" s="12">
        <v>206</v>
      </c>
      <c r="G233" s="12" t="s">
        <v>11</v>
      </c>
      <c r="H233" s="13"/>
      <c r="I233" s="14">
        <v>1.89</v>
      </c>
      <c r="J233" s="14" t="s">
        <v>70</v>
      </c>
      <c r="K233" s="14"/>
      <c r="L233" s="13">
        <v>2.9</v>
      </c>
      <c r="M233" s="13">
        <v>0.1</v>
      </c>
      <c r="P233" s="12" t="s">
        <v>14</v>
      </c>
      <c r="Q233" s="12"/>
      <c r="R233" s="12"/>
      <c r="T233">
        <f t="shared" si="11"/>
        <v>1.89</v>
      </c>
      <c r="U233" t="str">
        <f t="shared" si="9"/>
        <v>dead</v>
      </c>
      <c r="V233" t="e">
        <f t="shared" si="10"/>
        <v>#VALUE!</v>
      </c>
    </row>
    <row r="234" spans="1:22">
      <c r="A234" s="12">
        <v>40</v>
      </c>
      <c r="B234" s="12">
        <v>30</v>
      </c>
      <c r="C234" s="11">
        <v>48.75869591198731</v>
      </c>
      <c r="D234" s="11">
        <v>30.571359368335063</v>
      </c>
      <c r="E234" s="11"/>
      <c r="F234" s="10">
        <v>331</v>
      </c>
      <c r="G234" s="12" t="s">
        <v>30</v>
      </c>
      <c r="H234" s="13"/>
      <c r="I234" s="14">
        <v>1.93</v>
      </c>
      <c r="J234" s="14">
        <v>7</v>
      </c>
      <c r="K234" s="14"/>
      <c r="L234" s="13">
        <v>3.2</v>
      </c>
      <c r="M234" s="13">
        <v>1.2</v>
      </c>
      <c r="P234" s="12" t="s">
        <v>14</v>
      </c>
      <c r="Q234" s="12"/>
      <c r="R234" s="12"/>
      <c r="T234">
        <f t="shared" si="11"/>
        <v>1.93</v>
      </c>
      <c r="U234">
        <f t="shared" si="9"/>
        <v>2.228169203286535</v>
      </c>
      <c r="V234">
        <f t="shared" si="10"/>
        <v>0.29816920328653507</v>
      </c>
    </row>
    <row r="235" spans="1:22">
      <c r="A235" s="12">
        <v>20</v>
      </c>
      <c r="B235" s="12">
        <v>-20</v>
      </c>
      <c r="C235" s="11">
        <v>22.928535532501993</v>
      </c>
      <c r="D235" s="11">
        <v>-15.546855049030304</v>
      </c>
      <c r="E235" s="11"/>
      <c r="F235" s="10">
        <v>569</v>
      </c>
      <c r="G235" s="12" t="s">
        <v>21</v>
      </c>
      <c r="H235" s="13"/>
      <c r="I235" s="14">
        <v>1.94</v>
      </c>
      <c r="J235" s="14"/>
      <c r="K235" s="14">
        <v>27.1</v>
      </c>
      <c r="L235" s="13">
        <v>3.9</v>
      </c>
      <c r="M235" s="13">
        <v>1.1000000000000001</v>
      </c>
      <c r="P235" s="12" t="s">
        <v>14</v>
      </c>
      <c r="Q235" s="12"/>
      <c r="R235" s="12"/>
      <c r="T235">
        <f t="shared" si="11"/>
        <v>1.94</v>
      </c>
      <c r="U235">
        <f t="shared" si="9"/>
        <v>2.71</v>
      </c>
      <c r="V235">
        <f t="shared" si="10"/>
        <v>0.77</v>
      </c>
    </row>
    <row r="236" spans="1:22">
      <c r="A236" s="12">
        <v>30</v>
      </c>
      <c r="B236" s="12">
        <v>-30</v>
      </c>
      <c r="C236" s="11">
        <v>32.394255554027595</v>
      </c>
      <c r="D236" s="11">
        <v>-28.134982504099689</v>
      </c>
      <c r="E236" s="11"/>
      <c r="F236" s="10">
        <v>671</v>
      </c>
      <c r="G236" s="12" t="s">
        <v>11</v>
      </c>
      <c r="H236" s="13"/>
      <c r="I236" s="14">
        <v>1.94</v>
      </c>
      <c r="J236" s="14"/>
      <c r="K236" s="14">
        <v>25.3</v>
      </c>
      <c r="L236" s="13">
        <v>2.9</v>
      </c>
      <c r="M236" s="13">
        <v>0.2</v>
      </c>
      <c r="P236" s="12" t="s">
        <v>14</v>
      </c>
      <c r="Q236" s="12"/>
      <c r="R236" s="12"/>
      <c r="S236" t="s">
        <v>121</v>
      </c>
      <c r="T236">
        <f t="shared" si="11"/>
        <v>1.94</v>
      </c>
      <c r="U236">
        <f t="shared" si="9"/>
        <v>2.5300000000000002</v>
      </c>
      <c r="V236">
        <f t="shared" si="10"/>
        <v>0.5900000000000003</v>
      </c>
    </row>
    <row r="237" spans="1:22">
      <c r="A237" s="12">
        <v>30</v>
      </c>
      <c r="B237" s="12">
        <v>-30</v>
      </c>
      <c r="C237" s="11">
        <v>30.694094957487589</v>
      </c>
      <c r="D237" s="11">
        <v>-25.002072789353459</v>
      </c>
      <c r="E237" s="11"/>
      <c r="F237" s="10">
        <v>665</v>
      </c>
      <c r="G237" s="12" t="s">
        <v>11</v>
      </c>
      <c r="H237" s="13"/>
      <c r="I237" s="14">
        <v>1.96</v>
      </c>
      <c r="J237" s="14" t="s">
        <v>70</v>
      </c>
      <c r="K237" s="14"/>
      <c r="L237" s="13">
        <v>3.2</v>
      </c>
      <c r="M237" s="13"/>
      <c r="P237" s="12" t="s">
        <v>12</v>
      </c>
      <c r="Q237" s="12"/>
      <c r="R237" s="12"/>
      <c r="T237">
        <f t="shared" si="11"/>
        <v>1.96</v>
      </c>
      <c r="U237" t="str">
        <f t="shared" si="9"/>
        <v>dead</v>
      </c>
      <c r="V237" t="e">
        <f t="shared" si="10"/>
        <v>#VALUE!</v>
      </c>
    </row>
    <row r="238" spans="1:22">
      <c r="A238" s="12">
        <v>30</v>
      </c>
      <c r="B238" s="12">
        <v>10</v>
      </c>
      <c r="C238" s="11">
        <v>36.223984999037157</v>
      </c>
      <c r="D238" s="11">
        <v>18.902543517144998</v>
      </c>
      <c r="E238" s="11"/>
      <c r="F238" s="12">
        <v>216</v>
      </c>
      <c r="G238" s="12" t="s">
        <v>11</v>
      </c>
      <c r="H238" s="13"/>
      <c r="I238" s="14">
        <v>1.97</v>
      </c>
      <c r="J238" s="14">
        <v>9.1</v>
      </c>
      <c r="K238" s="14"/>
      <c r="L238" s="13">
        <v>2.8</v>
      </c>
      <c r="M238" s="13">
        <v>0.2</v>
      </c>
      <c r="P238" s="12" t="s">
        <v>14</v>
      </c>
      <c r="Q238" s="12"/>
      <c r="R238" s="12"/>
      <c r="T238">
        <f t="shared" si="11"/>
        <v>1.97</v>
      </c>
      <c r="U238">
        <f t="shared" si="9"/>
        <v>2.896619964272495</v>
      </c>
      <c r="V238">
        <f t="shared" si="10"/>
        <v>0.92661996427249504</v>
      </c>
    </row>
    <row r="239" spans="1:22">
      <c r="A239" s="12">
        <v>30</v>
      </c>
      <c r="B239" s="12">
        <v>-30</v>
      </c>
      <c r="C239" s="11">
        <v>30.382963040855245</v>
      </c>
      <c r="D239" s="11">
        <v>-25.476626635926436</v>
      </c>
      <c r="E239" s="11"/>
      <c r="F239" s="12">
        <v>666</v>
      </c>
      <c r="G239" s="12" t="s">
        <v>11</v>
      </c>
      <c r="H239" s="13"/>
      <c r="I239" s="14">
        <v>1.97</v>
      </c>
      <c r="J239" s="14">
        <v>9</v>
      </c>
      <c r="K239" s="14"/>
      <c r="L239" s="13">
        <v>2.8</v>
      </c>
      <c r="M239" s="13">
        <v>0.2</v>
      </c>
      <c r="P239" s="12" t="s">
        <v>14</v>
      </c>
      <c r="Q239" s="12"/>
      <c r="R239" s="12"/>
      <c r="S239" t="s">
        <v>120</v>
      </c>
      <c r="T239">
        <f t="shared" si="11"/>
        <v>1.97</v>
      </c>
      <c r="U239">
        <f t="shared" si="9"/>
        <v>2.8647889756541161</v>
      </c>
      <c r="V239">
        <f t="shared" si="10"/>
        <v>0.89478897565411608</v>
      </c>
    </row>
    <row r="240" spans="1:22">
      <c r="A240" s="9">
        <v>0</v>
      </c>
      <c r="B240" s="12">
        <v>10</v>
      </c>
      <c r="C240" s="11">
        <v>6.5904406558154331</v>
      </c>
      <c r="D240" s="11">
        <v>17.622165379895907</v>
      </c>
      <c r="E240" s="11"/>
      <c r="F240" s="10">
        <v>25</v>
      </c>
      <c r="G240" s="12" t="s">
        <v>13</v>
      </c>
      <c r="H240" s="13"/>
      <c r="I240" s="14">
        <v>1.98</v>
      </c>
      <c r="J240" s="14">
        <v>6.9</v>
      </c>
      <c r="K240" s="14"/>
      <c r="L240" s="13">
        <v>3.7</v>
      </c>
      <c r="M240" s="13">
        <v>0.9</v>
      </c>
      <c r="P240" s="12" t="s">
        <v>14</v>
      </c>
      <c r="Q240" s="12"/>
      <c r="R240" s="12"/>
      <c r="T240">
        <f t="shared" si="11"/>
        <v>1.98</v>
      </c>
      <c r="U240">
        <f t="shared" si="9"/>
        <v>2.196338214668156</v>
      </c>
      <c r="V240">
        <f t="shared" si="10"/>
        <v>0.21633821466815606</v>
      </c>
    </row>
    <row r="241" spans="1:23">
      <c r="A241" s="9">
        <v>0</v>
      </c>
      <c r="B241" s="12">
        <v>20</v>
      </c>
      <c r="C241" s="11">
        <v>0.32706413342566815</v>
      </c>
      <c r="D241" s="11">
        <v>28.513720047818492</v>
      </c>
      <c r="E241" s="11"/>
      <c r="F241" s="12">
        <v>48</v>
      </c>
      <c r="G241" s="12" t="s">
        <v>11</v>
      </c>
      <c r="H241" s="13"/>
      <c r="I241" s="14">
        <v>1.98</v>
      </c>
      <c r="J241" s="14" t="s">
        <v>70</v>
      </c>
      <c r="K241" s="14"/>
      <c r="L241" s="13">
        <v>2.8</v>
      </c>
      <c r="M241" s="13"/>
      <c r="P241" s="12" t="s">
        <v>12</v>
      </c>
      <c r="Q241" s="12"/>
      <c r="R241" s="12"/>
      <c r="T241">
        <f t="shared" si="11"/>
        <v>1.98</v>
      </c>
      <c r="U241" t="str">
        <f t="shared" si="9"/>
        <v>dead</v>
      </c>
      <c r="V241" t="e">
        <f t="shared" si="10"/>
        <v>#VALUE!</v>
      </c>
    </row>
    <row r="242" spans="1:23">
      <c r="A242" s="12">
        <v>30</v>
      </c>
      <c r="B242" s="12">
        <v>-10</v>
      </c>
      <c r="C242" s="11">
        <v>36.443441690078132</v>
      </c>
      <c r="D242" s="11">
        <v>-2.0492143163001968</v>
      </c>
      <c r="E242" s="11"/>
      <c r="F242" s="12">
        <v>438</v>
      </c>
      <c r="G242" s="12" t="s">
        <v>13</v>
      </c>
      <c r="H242" s="13"/>
      <c r="I242" s="14">
        <v>1.99</v>
      </c>
      <c r="J242" s="14"/>
      <c r="K242" s="14">
        <v>20.8</v>
      </c>
      <c r="L242" s="13">
        <v>2.4</v>
      </c>
      <c r="M242" s="13">
        <v>0.9</v>
      </c>
      <c r="P242" s="12" t="s">
        <v>14</v>
      </c>
      <c r="Q242" s="12"/>
      <c r="R242" s="12"/>
      <c r="T242">
        <f t="shared" si="11"/>
        <v>1.99</v>
      </c>
      <c r="U242">
        <f t="shared" si="9"/>
        <v>2.08</v>
      </c>
      <c r="V242">
        <f t="shared" si="10"/>
        <v>9.000000000000008E-2</v>
      </c>
    </row>
    <row r="243" spans="1:23">
      <c r="A243" s="12">
        <v>10</v>
      </c>
      <c r="B243" s="12">
        <v>20</v>
      </c>
      <c r="C243" s="11">
        <v>19.312191825432201</v>
      </c>
      <c r="D243" s="11">
        <v>28.19753907570496</v>
      </c>
      <c r="E243" s="11"/>
      <c r="F243" s="10">
        <v>95</v>
      </c>
      <c r="G243" s="12" t="s">
        <v>13</v>
      </c>
      <c r="H243" s="13"/>
      <c r="I243" s="14">
        <v>2.02</v>
      </c>
      <c r="J243" s="14"/>
      <c r="K243" s="31">
        <v>27.4</v>
      </c>
      <c r="L243" s="13">
        <v>3.4</v>
      </c>
      <c r="M243" s="13">
        <v>0.7</v>
      </c>
      <c r="P243" s="12" t="s">
        <v>14</v>
      </c>
      <c r="Q243" s="12"/>
      <c r="R243" s="12"/>
      <c r="T243">
        <f t="shared" si="11"/>
        <v>2.02</v>
      </c>
      <c r="U243">
        <f t="shared" si="9"/>
        <v>2.7399999999999998</v>
      </c>
      <c r="V243">
        <f t="shared" si="10"/>
        <v>0.71999999999999975</v>
      </c>
    </row>
    <row r="244" spans="1:23">
      <c r="A244" s="12">
        <v>30</v>
      </c>
      <c r="B244" s="12">
        <v>-20</v>
      </c>
      <c r="C244" s="11">
        <v>38.614147537104941</v>
      </c>
      <c r="D244" s="11">
        <v>-15.817199751692192</v>
      </c>
      <c r="E244" s="11"/>
      <c r="F244" s="12">
        <v>516</v>
      </c>
      <c r="G244" s="12" t="s">
        <v>21</v>
      </c>
      <c r="H244" s="13"/>
      <c r="I244" s="14">
        <v>2.0299999999999998</v>
      </c>
      <c r="J244" s="31"/>
      <c r="K244" s="14">
        <v>24.7</v>
      </c>
      <c r="L244" s="13">
        <v>3.7</v>
      </c>
      <c r="M244" s="13">
        <v>0.9</v>
      </c>
      <c r="P244" s="12" t="s">
        <v>14</v>
      </c>
      <c r="Q244" s="12"/>
      <c r="R244" s="12"/>
      <c r="T244">
        <f t="shared" si="11"/>
        <v>2.0299999999999998</v>
      </c>
      <c r="U244">
        <f t="shared" si="9"/>
        <v>2.4699999999999998</v>
      </c>
      <c r="V244">
        <f t="shared" si="10"/>
        <v>0.43999999999999995</v>
      </c>
    </row>
    <row r="245" spans="1:23">
      <c r="A245" s="12">
        <v>40</v>
      </c>
      <c r="B245" s="12">
        <v>20</v>
      </c>
      <c r="C245" s="11">
        <v>42.367641332774518</v>
      </c>
      <c r="D245" s="11">
        <v>29.524366008498795</v>
      </c>
      <c r="E245" s="11"/>
      <c r="F245" s="12">
        <v>296</v>
      </c>
      <c r="G245" s="12" t="s">
        <v>13</v>
      </c>
      <c r="H245" s="13"/>
      <c r="I245" s="14">
        <v>2.0499999999999998</v>
      </c>
      <c r="J245" s="14">
        <v>7.2</v>
      </c>
      <c r="K245" s="14"/>
      <c r="L245" s="13">
        <v>3</v>
      </c>
      <c r="M245" s="13">
        <v>2.2000000000000002</v>
      </c>
      <c r="P245" s="12" t="s">
        <v>14</v>
      </c>
      <c r="Q245" s="12"/>
      <c r="R245" s="12"/>
      <c r="T245">
        <f t="shared" si="11"/>
        <v>2.0499999999999998</v>
      </c>
      <c r="U245">
        <f t="shared" si="9"/>
        <v>2.2918311805232929</v>
      </c>
      <c r="V245">
        <f t="shared" si="10"/>
        <v>0.24183118052329311</v>
      </c>
    </row>
    <row r="246" spans="1:23">
      <c r="A246" s="9">
        <v>0</v>
      </c>
      <c r="B246" s="12">
        <v>20</v>
      </c>
      <c r="C246" s="11">
        <v>1.7956392668405727</v>
      </c>
      <c r="D246" s="11">
        <v>29.979743464808116</v>
      </c>
      <c r="E246" s="11"/>
      <c r="F246" s="10">
        <v>47</v>
      </c>
      <c r="G246" s="12" t="s">
        <v>11</v>
      </c>
      <c r="H246" s="13"/>
      <c r="I246" s="14">
        <v>2.06</v>
      </c>
      <c r="J246" s="14">
        <v>11.2</v>
      </c>
      <c r="K246" s="14"/>
      <c r="L246" s="13">
        <v>3.3</v>
      </c>
      <c r="M246" s="13">
        <v>0.2</v>
      </c>
      <c r="P246" s="12" t="s">
        <v>14</v>
      </c>
      <c r="Q246" s="12"/>
      <c r="R246" s="12"/>
      <c r="T246">
        <f t="shared" si="11"/>
        <v>2.06</v>
      </c>
      <c r="U246">
        <f t="shared" si="9"/>
        <v>3.5650707252584555</v>
      </c>
      <c r="V246">
        <f t="shared" si="10"/>
        <v>1.5050707252584554</v>
      </c>
    </row>
    <row r="247" spans="1:23">
      <c r="A247" s="12">
        <v>30</v>
      </c>
      <c r="B247" s="12">
        <v>10</v>
      </c>
      <c r="C247" s="11">
        <v>32.1725155843124</v>
      </c>
      <c r="D247" s="11">
        <v>17.931141368792993</v>
      </c>
      <c r="E247" s="11"/>
      <c r="F247" s="12">
        <v>218</v>
      </c>
      <c r="G247" s="12" t="s">
        <v>13</v>
      </c>
      <c r="H247" s="13"/>
      <c r="I247" s="14">
        <v>2.06</v>
      </c>
      <c r="J247" s="14"/>
      <c r="K247" s="14">
        <v>21.5</v>
      </c>
      <c r="L247" s="13">
        <v>2.4</v>
      </c>
      <c r="M247" s="13">
        <v>1.1000000000000001</v>
      </c>
      <c r="P247" s="12" t="s">
        <v>14</v>
      </c>
      <c r="Q247" s="12"/>
      <c r="R247" s="12"/>
      <c r="T247">
        <f t="shared" si="11"/>
        <v>2.06</v>
      </c>
      <c r="U247">
        <f t="shared" si="9"/>
        <v>2.15</v>
      </c>
      <c r="V247">
        <f t="shared" si="10"/>
        <v>8.9999999999999858E-2</v>
      </c>
    </row>
    <row r="248" spans="1:23">
      <c r="A248" s="12">
        <v>40</v>
      </c>
      <c r="B248" s="12">
        <v>30</v>
      </c>
      <c r="C248" s="11">
        <v>48.684961231235185</v>
      </c>
      <c r="D248" s="11">
        <v>30.874263151030185</v>
      </c>
      <c r="E248" s="11"/>
      <c r="F248" s="12">
        <v>332</v>
      </c>
      <c r="G248" s="12" t="s">
        <v>30</v>
      </c>
      <c r="H248" s="13"/>
      <c r="I248" s="14">
        <v>2.0699999999999998</v>
      </c>
      <c r="J248" s="14">
        <v>9</v>
      </c>
      <c r="K248" s="14"/>
      <c r="L248" s="13">
        <v>3.6</v>
      </c>
      <c r="M248" s="13">
        <v>1.5</v>
      </c>
      <c r="P248" s="12" t="s">
        <v>14</v>
      </c>
      <c r="Q248" s="12"/>
      <c r="R248" s="12"/>
      <c r="T248">
        <f t="shared" si="11"/>
        <v>2.0699999999999998</v>
      </c>
      <c r="U248">
        <f t="shared" si="9"/>
        <v>2.8647889756541161</v>
      </c>
      <c r="V248">
        <f t="shared" si="10"/>
        <v>0.79478897565411621</v>
      </c>
    </row>
    <row r="249" spans="1:23">
      <c r="A249" s="12">
        <v>30</v>
      </c>
      <c r="B249" s="12">
        <v>0</v>
      </c>
      <c r="C249" s="11">
        <v>33.894852414965456</v>
      </c>
      <c r="D249" s="11">
        <v>9.4075223287711989</v>
      </c>
      <c r="E249" s="11"/>
      <c r="F249" s="10">
        <v>247</v>
      </c>
      <c r="G249" s="12" t="s">
        <v>13</v>
      </c>
      <c r="H249" s="13"/>
      <c r="I249" s="14">
        <v>2.08</v>
      </c>
      <c r="J249" s="14"/>
      <c r="K249" s="14">
        <v>22.2</v>
      </c>
      <c r="L249" s="13">
        <v>3</v>
      </c>
      <c r="M249" s="13">
        <v>2</v>
      </c>
      <c r="P249" s="12" t="s">
        <v>14</v>
      </c>
      <c r="Q249" s="12"/>
      <c r="R249" s="12"/>
      <c r="T249">
        <f t="shared" si="11"/>
        <v>2.08</v>
      </c>
      <c r="U249">
        <f t="shared" si="9"/>
        <v>2.2199999999999998</v>
      </c>
      <c r="V249">
        <f t="shared" si="10"/>
        <v>0.13999999999999968</v>
      </c>
    </row>
    <row r="250" spans="1:23">
      <c r="A250" s="12">
        <v>40</v>
      </c>
      <c r="B250" s="12">
        <v>30</v>
      </c>
      <c r="C250" s="11">
        <v>48.923210114886899</v>
      </c>
      <c r="D250" s="11">
        <v>30.400201900908641</v>
      </c>
      <c r="E250" s="11"/>
      <c r="F250" s="10">
        <v>321</v>
      </c>
      <c r="G250" s="12" t="s">
        <v>30</v>
      </c>
      <c r="H250" s="13"/>
      <c r="I250" s="14">
        <v>2.08</v>
      </c>
      <c r="J250" s="14">
        <v>8.5</v>
      </c>
      <c r="K250" s="14"/>
      <c r="L250" s="13">
        <v>3.3</v>
      </c>
      <c r="M250" s="13">
        <v>1.1000000000000001</v>
      </c>
      <c r="P250" s="12" t="s">
        <v>14</v>
      </c>
      <c r="Q250" s="12"/>
      <c r="R250" s="12"/>
      <c r="T250">
        <f t="shared" si="11"/>
        <v>2.08</v>
      </c>
      <c r="U250">
        <f t="shared" si="9"/>
        <v>2.7056340325622208</v>
      </c>
      <c r="V250">
        <f t="shared" si="10"/>
        <v>0.62563403256222072</v>
      </c>
    </row>
    <row r="251" spans="1:23">
      <c r="A251" s="12">
        <v>20</v>
      </c>
      <c r="B251" s="12">
        <v>-30</v>
      </c>
      <c r="C251" s="11">
        <v>24.625619283291407</v>
      </c>
      <c r="D251" s="11">
        <v>-25.803803228217753</v>
      </c>
      <c r="E251" s="11"/>
      <c r="F251" s="12">
        <v>642</v>
      </c>
      <c r="G251" s="12" t="s">
        <v>13</v>
      </c>
      <c r="H251" s="13"/>
      <c r="I251" s="14">
        <v>2.09</v>
      </c>
      <c r="J251" s="14"/>
      <c r="K251" s="14">
        <v>23</v>
      </c>
      <c r="L251" s="13">
        <v>3.9</v>
      </c>
      <c r="M251" s="13">
        <v>1.8</v>
      </c>
      <c r="P251" s="12" t="s">
        <v>14</v>
      </c>
      <c r="Q251" s="12"/>
      <c r="R251" s="12"/>
      <c r="T251">
        <f t="shared" si="11"/>
        <v>2.09</v>
      </c>
      <c r="U251">
        <f t="shared" si="9"/>
        <v>2.2999999999999998</v>
      </c>
      <c r="V251">
        <f t="shared" si="10"/>
        <v>0.20999999999999996</v>
      </c>
    </row>
    <row r="252" spans="1:23" s="27" customFormat="1">
      <c r="A252" s="12">
        <v>30</v>
      </c>
      <c r="B252" s="12">
        <v>10</v>
      </c>
      <c r="C252" s="11">
        <v>37.037694491441883</v>
      </c>
      <c r="D252" s="11">
        <v>18.258346692039844</v>
      </c>
      <c r="E252" s="11"/>
      <c r="F252" s="12">
        <v>214</v>
      </c>
      <c r="G252" s="12" t="s">
        <v>11</v>
      </c>
      <c r="H252" s="13"/>
      <c r="I252" s="14">
        <v>2.1</v>
      </c>
      <c r="J252" s="14">
        <v>9.5</v>
      </c>
      <c r="K252" s="14"/>
      <c r="L252" s="13">
        <v>2.5</v>
      </c>
      <c r="M252" s="13">
        <v>0.3</v>
      </c>
      <c r="N252"/>
      <c r="O252"/>
      <c r="P252" s="12" t="s">
        <v>14</v>
      </c>
      <c r="Q252" s="12"/>
      <c r="R252" s="12"/>
      <c r="S252"/>
      <c r="T252">
        <f t="shared" si="11"/>
        <v>2.1</v>
      </c>
      <c r="U252">
        <f t="shared" si="9"/>
        <v>3.0239439187460113</v>
      </c>
      <c r="V252">
        <f t="shared" si="10"/>
        <v>0.92394391874601123</v>
      </c>
      <c r="W252"/>
    </row>
    <row r="253" spans="1:23">
      <c r="A253" s="12">
        <v>20</v>
      </c>
      <c r="B253" s="12">
        <v>10</v>
      </c>
      <c r="C253" s="11">
        <v>26.909703103773136</v>
      </c>
      <c r="D253" s="11">
        <v>14.486493813815263</v>
      </c>
      <c r="E253" s="11"/>
      <c r="F253" s="10">
        <v>159</v>
      </c>
      <c r="G253" s="12" t="s">
        <v>21</v>
      </c>
      <c r="H253" s="13"/>
      <c r="I253" s="14">
        <v>2.12</v>
      </c>
      <c r="J253" s="14">
        <v>9.5</v>
      </c>
      <c r="K253" s="14"/>
      <c r="L253" s="13">
        <v>3.5</v>
      </c>
      <c r="M253" s="13">
        <v>0.9</v>
      </c>
      <c r="P253" s="12" t="s">
        <v>14</v>
      </c>
      <c r="Q253" s="12"/>
      <c r="R253" s="12"/>
      <c r="T253">
        <f t="shared" si="11"/>
        <v>2.12</v>
      </c>
      <c r="U253">
        <f t="shared" si="9"/>
        <v>3.0239439187460113</v>
      </c>
      <c r="V253">
        <f t="shared" si="10"/>
        <v>0.90394391874601121</v>
      </c>
    </row>
    <row r="254" spans="1:23">
      <c r="A254" s="12">
        <v>30</v>
      </c>
      <c r="B254" s="12">
        <v>30</v>
      </c>
      <c r="C254" s="11">
        <v>34.511392259886222</v>
      </c>
      <c r="D254" s="11">
        <v>39.264884580685361</v>
      </c>
      <c r="E254" s="11"/>
      <c r="F254" s="12">
        <v>204</v>
      </c>
      <c r="G254" s="12" t="s">
        <v>11</v>
      </c>
      <c r="H254" s="13"/>
      <c r="I254" s="14">
        <v>2.12</v>
      </c>
      <c r="J254" s="14">
        <v>11.3</v>
      </c>
      <c r="K254" s="14"/>
      <c r="L254" s="13">
        <v>3.3</v>
      </c>
      <c r="M254" s="13">
        <v>0.1</v>
      </c>
      <c r="P254" s="12" t="s">
        <v>14</v>
      </c>
      <c r="Q254" s="12"/>
      <c r="R254" s="12"/>
      <c r="T254">
        <f t="shared" si="11"/>
        <v>2.12</v>
      </c>
      <c r="U254">
        <f t="shared" si="9"/>
        <v>3.5969017138768349</v>
      </c>
      <c r="V254">
        <f t="shared" si="10"/>
        <v>1.4769017138768348</v>
      </c>
    </row>
    <row r="255" spans="1:23">
      <c r="A255" s="12">
        <v>0</v>
      </c>
      <c r="B255" s="12">
        <v>-30</v>
      </c>
      <c r="C255" s="11">
        <v>3.6767165407509381</v>
      </c>
      <c r="D255" s="11">
        <v>-20.101695673448518</v>
      </c>
      <c r="E255" s="11"/>
      <c r="F255" s="10">
        <v>601</v>
      </c>
      <c r="G255" s="12" t="s">
        <v>11</v>
      </c>
      <c r="H255" s="13"/>
      <c r="I255" s="14">
        <v>2.12</v>
      </c>
      <c r="J255" s="14">
        <v>10</v>
      </c>
      <c r="K255" s="14"/>
      <c r="L255" s="13">
        <v>3.2</v>
      </c>
      <c r="M255" s="13">
        <v>0.3</v>
      </c>
      <c r="P255" s="12" t="s">
        <v>14</v>
      </c>
      <c r="Q255" s="12"/>
      <c r="R255" s="12"/>
      <c r="T255">
        <f t="shared" si="11"/>
        <v>2.12</v>
      </c>
      <c r="U255">
        <f t="shared" si="9"/>
        <v>3.183098861837907</v>
      </c>
      <c r="V255">
        <f t="shared" si="10"/>
        <v>1.0630988618379069</v>
      </c>
    </row>
    <row r="256" spans="1:23">
      <c r="A256" s="12">
        <v>30</v>
      </c>
      <c r="B256" s="12">
        <v>10</v>
      </c>
      <c r="C256" s="11">
        <v>32.119407180101206</v>
      </c>
      <c r="D256" s="11">
        <v>17.114776749550312</v>
      </c>
      <c r="E256" s="11"/>
      <c r="F256" s="12">
        <v>226</v>
      </c>
      <c r="G256" s="12" t="s">
        <v>13</v>
      </c>
      <c r="H256" s="13"/>
      <c r="I256" s="14">
        <v>2.13</v>
      </c>
      <c r="J256" s="14">
        <v>7.9</v>
      </c>
      <c r="K256" s="14"/>
      <c r="L256" s="13">
        <v>1.9</v>
      </c>
      <c r="M256" s="13">
        <v>1.5</v>
      </c>
      <c r="P256" s="12" t="s">
        <v>14</v>
      </c>
      <c r="Q256" s="12"/>
      <c r="R256" s="12" t="s">
        <v>16</v>
      </c>
      <c r="T256">
        <f t="shared" si="11"/>
        <v>2.13</v>
      </c>
      <c r="U256">
        <f t="shared" si="9"/>
        <v>2.5146481008519466</v>
      </c>
      <c r="V256">
        <f t="shared" si="10"/>
        <v>0.38464810085194667</v>
      </c>
    </row>
    <row r="257" spans="1:22">
      <c r="A257" s="12">
        <v>20</v>
      </c>
      <c r="B257" s="12">
        <v>0</v>
      </c>
      <c r="C257" s="11">
        <v>29.141634328646191</v>
      </c>
      <c r="D257" s="11">
        <v>7.350062707305125</v>
      </c>
      <c r="E257" s="11"/>
      <c r="F257" s="10">
        <v>125</v>
      </c>
      <c r="G257" s="12" t="s">
        <v>11</v>
      </c>
      <c r="H257" s="13"/>
      <c r="I257" s="14">
        <v>2.14</v>
      </c>
      <c r="J257" s="14" t="s">
        <v>70</v>
      </c>
      <c r="K257" s="14"/>
      <c r="L257" s="13">
        <v>2.9</v>
      </c>
      <c r="M257" s="13"/>
      <c r="N257" s="32"/>
      <c r="O257" s="32"/>
      <c r="P257" s="12" t="s">
        <v>12</v>
      </c>
      <c r="Q257" s="12"/>
      <c r="R257" s="12"/>
      <c r="S257" s="32" t="s">
        <v>78</v>
      </c>
      <c r="T257">
        <f t="shared" si="11"/>
        <v>2.14</v>
      </c>
      <c r="U257" t="str">
        <f t="shared" si="9"/>
        <v>dead</v>
      </c>
      <c r="V257" t="e">
        <f t="shared" si="10"/>
        <v>#VALUE!</v>
      </c>
    </row>
    <row r="258" spans="1:22">
      <c r="A258" s="12">
        <v>40</v>
      </c>
      <c r="B258" s="12">
        <v>30</v>
      </c>
      <c r="C258" s="11">
        <v>48.911560240158103</v>
      </c>
      <c r="D258" s="11">
        <v>31.005618482119225</v>
      </c>
      <c r="E258" s="11"/>
      <c r="F258" s="12">
        <v>334</v>
      </c>
      <c r="G258" s="12" t="s">
        <v>30</v>
      </c>
      <c r="H258" s="13"/>
      <c r="I258" s="14">
        <v>2.14</v>
      </c>
      <c r="J258" s="14">
        <v>12.5</v>
      </c>
      <c r="K258" s="14"/>
      <c r="L258" s="13">
        <v>1.7</v>
      </c>
      <c r="M258" s="13">
        <v>0.9</v>
      </c>
      <c r="P258" s="12" t="s">
        <v>14</v>
      </c>
      <c r="Q258" s="12"/>
      <c r="R258" s="12" t="s">
        <v>31</v>
      </c>
      <c r="T258">
        <f t="shared" si="11"/>
        <v>2.14</v>
      </c>
      <c r="U258">
        <f t="shared" ref="U258:U321" si="12">IF(J258="dead","dead",J258/PI()+K258/10)</f>
        <v>3.9788735772973833</v>
      </c>
      <c r="V258">
        <f t="shared" ref="V258:V321" si="13">U258-T258</f>
        <v>1.8388735772973832</v>
      </c>
    </row>
    <row r="259" spans="1:22">
      <c r="A259" s="12">
        <v>20</v>
      </c>
      <c r="B259" s="12">
        <v>-30</v>
      </c>
      <c r="C259" s="11">
        <v>20.068510563484196</v>
      </c>
      <c r="D259" s="11">
        <v>-22.494617720688876</v>
      </c>
      <c r="E259" s="11"/>
      <c r="F259" s="12">
        <v>630</v>
      </c>
      <c r="G259" s="12" t="s">
        <v>11</v>
      </c>
      <c r="H259" s="13"/>
      <c r="I259" s="14">
        <v>2.14</v>
      </c>
      <c r="J259" s="14"/>
      <c r="K259" s="14">
        <v>28.2</v>
      </c>
      <c r="L259" s="13">
        <v>3.6</v>
      </c>
      <c r="M259" s="13">
        <v>0.7</v>
      </c>
      <c r="P259" s="12" t="s">
        <v>14</v>
      </c>
      <c r="Q259" s="12"/>
      <c r="R259" s="12"/>
      <c r="T259">
        <f t="shared" si="11"/>
        <v>2.14</v>
      </c>
      <c r="U259">
        <f t="shared" si="12"/>
        <v>2.82</v>
      </c>
      <c r="V259">
        <f t="shared" si="13"/>
        <v>0.67999999999999972</v>
      </c>
    </row>
    <row r="260" spans="1:22">
      <c r="A260" s="12">
        <v>40</v>
      </c>
      <c r="B260" s="12">
        <v>-50</v>
      </c>
      <c r="C260" s="11">
        <v>45.382901456243502</v>
      </c>
      <c r="D260" s="11">
        <v>-40.852567834469262</v>
      </c>
      <c r="E260" s="11"/>
      <c r="F260" s="12">
        <v>828</v>
      </c>
      <c r="G260" s="12" t="s">
        <v>13</v>
      </c>
      <c r="H260" s="13"/>
      <c r="I260" s="14">
        <v>2.14</v>
      </c>
      <c r="J260" s="14">
        <v>8.6</v>
      </c>
      <c r="K260" s="14"/>
      <c r="L260" s="13">
        <v>3.6</v>
      </c>
      <c r="M260" s="13">
        <v>1.5</v>
      </c>
      <c r="P260" s="12" t="s">
        <v>14</v>
      </c>
      <c r="Q260" s="12"/>
      <c r="R260" s="12"/>
      <c r="S260" t="s">
        <v>134</v>
      </c>
      <c r="T260">
        <f t="shared" si="11"/>
        <v>2.14</v>
      </c>
      <c r="U260">
        <f t="shared" si="12"/>
        <v>2.7374650211805998</v>
      </c>
      <c r="V260">
        <f t="shared" si="13"/>
        <v>0.59746502118059963</v>
      </c>
    </row>
    <row r="261" spans="1:22">
      <c r="A261" s="12">
        <v>20</v>
      </c>
      <c r="B261" s="12">
        <v>-30</v>
      </c>
      <c r="C261" s="11">
        <v>20.777557086264643</v>
      </c>
      <c r="D261" s="11">
        <v>-22.907825081206319</v>
      </c>
      <c r="E261" s="11"/>
      <c r="F261" s="10">
        <v>633</v>
      </c>
      <c r="G261" s="12" t="s">
        <v>11</v>
      </c>
      <c r="H261" s="13"/>
      <c r="I261" s="14">
        <v>2.1800000000000002</v>
      </c>
      <c r="J261" s="14" t="s">
        <v>70</v>
      </c>
      <c r="K261" s="14"/>
      <c r="L261" s="13">
        <v>3.8</v>
      </c>
      <c r="M261" s="13"/>
      <c r="P261" s="12" t="s">
        <v>12</v>
      </c>
      <c r="Q261" s="12"/>
      <c r="R261" s="12"/>
      <c r="T261">
        <f t="shared" ref="T261:T324" si="14">H261/PI()+I261</f>
        <v>2.1800000000000002</v>
      </c>
      <c r="U261" t="str">
        <f t="shared" si="12"/>
        <v>dead</v>
      </c>
      <c r="V261" t="e">
        <f t="shared" si="13"/>
        <v>#VALUE!</v>
      </c>
    </row>
    <row r="262" spans="1:22">
      <c r="A262" s="12">
        <v>30</v>
      </c>
      <c r="B262" s="12">
        <v>-20</v>
      </c>
      <c r="C262" s="11">
        <v>35.588236187970651</v>
      </c>
      <c r="D262" s="11">
        <v>-16.565397175104358</v>
      </c>
      <c r="E262" s="11"/>
      <c r="F262" s="12">
        <v>522</v>
      </c>
      <c r="G262" s="12" t="s">
        <v>11</v>
      </c>
      <c r="H262" s="13"/>
      <c r="I262" s="14">
        <v>2.2000000000000002</v>
      </c>
      <c r="J262" s="14">
        <v>10.6</v>
      </c>
      <c r="K262" s="14"/>
      <c r="L262" s="13">
        <v>3.3</v>
      </c>
      <c r="M262" s="13">
        <v>0</v>
      </c>
      <c r="P262" s="12" t="s">
        <v>14</v>
      </c>
      <c r="Q262" s="12"/>
      <c r="R262" s="12"/>
      <c r="T262">
        <f t="shared" si="14"/>
        <v>2.2000000000000002</v>
      </c>
      <c r="U262">
        <f t="shared" si="12"/>
        <v>3.3740847935481812</v>
      </c>
      <c r="V262">
        <f t="shared" si="13"/>
        <v>1.1740847935481811</v>
      </c>
    </row>
    <row r="263" spans="1:22">
      <c r="A263" s="12">
        <v>20</v>
      </c>
      <c r="B263" s="12">
        <v>-20</v>
      </c>
      <c r="C263" s="11">
        <v>24.662897967014203</v>
      </c>
      <c r="D263" s="11">
        <v>-31.711201556181109</v>
      </c>
      <c r="E263" s="11"/>
      <c r="F263" s="12">
        <v>718</v>
      </c>
      <c r="G263" s="12" t="s">
        <v>21</v>
      </c>
      <c r="H263" s="13"/>
      <c r="I263" s="14">
        <v>2.21</v>
      </c>
      <c r="J263" s="14"/>
      <c r="K263" s="14">
        <v>9.6</v>
      </c>
      <c r="L263" s="13">
        <v>2.2999999999999998</v>
      </c>
      <c r="M263" s="13">
        <v>1.2</v>
      </c>
      <c r="P263" s="12" t="s">
        <v>14</v>
      </c>
      <c r="Q263" s="12"/>
      <c r="R263" s="12"/>
      <c r="S263" t="s">
        <v>131</v>
      </c>
      <c r="T263">
        <f t="shared" si="14"/>
        <v>2.21</v>
      </c>
      <c r="U263">
        <f t="shared" si="12"/>
        <v>0.96</v>
      </c>
      <c r="V263">
        <f t="shared" si="13"/>
        <v>-1.25</v>
      </c>
    </row>
    <row r="264" spans="1:22">
      <c r="A264" s="12">
        <v>20</v>
      </c>
      <c r="B264" s="12">
        <v>30</v>
      </c>
      <c r="C264" s="11">
        <v>24.907350780199291</v>
      </c>
      <c r="D264" s="11">
        <v>34.663296118381929</v>
      </c>
      <c r="E264" s="11"/>
      <c r="F264" s="12">
        <v>172</v>
      </c>
      <c r="G264" s="12" t="s">
        <v>13</v>
      </c>
      <c r="H264" s="13"/>
      <c r="I264" s="14">
        <v>2.2200000000000002</v>
      </c>
      <c r="J264" s="14">
        <v>7.7</v>
      </c>
      <c r="K264" s="14"/>
      <c r="L264" s="13">
        <v>3.6</v>
      </c>
      <c r="M264" s="13">
        <v>1.7</v>
      </c>
      <c r="P264" s="12" t="s">
        <v>14</v>
      </c>
      <c r="Q264" s="12"/>
      <c r="R264" s="12"/>
      <c r="T264">
        <f t="shared" si="14"/>
        <v>2.2200000000000002</v>
      </c>
      <c r="U264">
        <f t="shared" si="12"/>
        <v>2.4509861236151882</v>
      </c>
      <c r="V264">
        <f t="shared" si="13"/>
        <v>0.230986123615188</v>
      </c>
    </row>
    <row r="265" spans="1:22">
      <c r="A265" s="12">
        <v>40</v>
      </c>
      <c r="B265" s="12">
        <v>-10</v>
      </c>
      <c r="C265" s="11">
        <v>43.818712041029102</v>
      </c>
      <c r="D265" s="11">
        <v>-9.7061661222742828</v>
      </c>
      <c r="E265" s="11"/>
      <c r="F265" s="10">
        <v>455</v>
      </c>
      <c r="G265" s="12" t="s">
        <v>13</v>
      </c>
      <c r="H265" s="13"/>
      <c r="I265" s="14">
        <v>2.2200000000000002</v>
      </c>
      <c r="J265" s="14"/>
      <c r="K265" s="14">
        <v>23.3</v>
      </c>
      <c r="L265" s="13">
        <v>2.2999999999999998</v>
      </c>
      <c r="M265" s="13">
        <v>6</v>
      </c>
      <c r="P265" s="12" t="s">
        <v>14</v>
      </c>
      <c r="Q265" s="12"/>
      <c r="R265" s="12" t="s">
        <v>36</v>
      </c>
      <c r="T265">
        <f t="shared" si="14"/>
        <v>2.2200000000000002</v>
      </c>
      <c r="U265">
        <f t="shared" si="12"/>
        <v>2.33</v>
      </c>
      <c r="V265">
        <f t="shared" si="13"/>
        <v>0.10999999999999988</v>
      </c>
    </row>
    <row r="266" spans="1:22">
      <c r="A266" s="9">
        <v>0</v>
      </c>
      <c r="B266" s="12">
        <v>30</v>
      </c>
      <c r="C266" s="11">
        <v>9.4615067739142642</v>
      </c>
      <c r="D266" s="11">
        <v>30.508067832250347</v>
      </c>
      <c r="E266" s="11"/>
      <c r="F266" s="10">
        <v>59</v>
      </c>
      <c r="G266" s="12" t="s">
        <v>11</v>
      </c>
      <c r="H266" s="13"/>
      <c r="I266" s="14">
        <v>2.23</v>
      </c>
      <c r="J266" s="14" t="s">
        <v>70</v>
      </c>
      <c r="K266" s="14"/>
      <c r="L266" s="13">
        <v>3.4</v>
      </c>
      <c r="M266" s="13">
        <v>0.2</v>
      </c>
      <c r="P266" s="12" t="s">
        <v>14</v>
      </c>
      <c r="Q266" s="12"/>
      <c r="R266" s="12"/>
      <c r="T266">
        <f t="shared" si="14"/>
        <v>2.23</v>
      </c>
      <c r="U266" t="str">
        <f t="shared" si="12"/>
        <v>dead</v>
      </c>
      <c r="V266" t="e">
        <f t="shared" si="13"/>
        <v>#VALUE!</v>
      </c>
    </row>
    <row r="267" spans="1:22">
      <c r="A267" s="12">
        <v>10</v>
      </c>
      <c r="B267" s="12">
        <v>40</v>
      </c>
      <c r="C267" s="11">
        <v>14.7505595735526</v>
      </c>
      <c r="D267" s="11">
        <v>45.809670834839075</v>
      </c>
      <c r="E267" s="11"/>
      <c r="F267" s="12">
        <v>76</v>
      </c>
      <c r="G267" s="12" t="s">
        <v>11</v>
      </c>
      <c r="H267" s="13"/>
      <c r="I267" s="14">
        <v>2.2400000000000002</v>
      </c>
      <c r="J267" s="14" t="s">
        <v>70</v>
      </c>
      <c r="K267" s="14"/>
      <c r="L267" s="13">
        <v>3.3</v>
      </c>
      <c r="M267" s="13"/>
      <c r="P267" s="12" t="s">
        <v>12</v>
      </c>
      <c r="Q267" s="12"/>
      <c r="R267" s="12"/>
      <c r="T267">
        <f t="shared" si="14"/>
        <v>2.2400000000000002</v>
      </c>
      <c r="U267" t="str">
        <f t="shared" si="12"/>
        <v>dead</v>
      </c>
      <c r="V267" t="e">
        <f t="shared" si="13"/>
        <v>#VALUE!</v>
      </c>
    </row>
    <row r="268" spans="1:22">
      <c r="A268" s="12">
        <v>40</v>
      </c>
      <c r="B268" s="12">
        <v>0</v>
      </c>
      <c r="C268" s="11">
        <v>41.114237411154114</v>
      </c>
      <c r="D268" s="11">
        <v>7.3877069476062651</v>
      </c>
      <c r="E268" s="11"/>
      <c r="F268" s="10">
        <v>271</v>
      </c>
      <c r="G268" s="12" t="s">
        <v>11</v>
      </c>
      <c r="H268" s="13"/>
      <c r="I268" s="14">
        <v>2.2400000000000002</v>
      </c>
      <c r="J268" s="14" t="s">
        <v>70</v>
      </c>
      <c r="K268" s="14"/>
      <c r="L268" s="13">
        <v>2.8</v>
      </c>
      <c r="M268" s="13"/>
      <c r="P268" s="12" t="s">
        <v>12</v>
      </c>
      <c r="Q268" s="12"/>
      <c r="R268" s="12"/>
      <c r="T268">
        <f t="shared" si="14"/>
        <v>2.2400000000000002</v>
      </c>
      <c r="U268" t="str">
        <f t="shared" si="12"/>
        <v>dead</v>
      </c>
      <c r="V268" t="e">
        <f t="shared" si="13"/>
        <v>#VALUE!</v>
      </c>
    </row>
    <row r="269" spans="1:22">
      <c r="A269" s="12">
        <v>40</v>
      </c>
      <c r="B269" s="12">
        <v>10</v>
      </c>
      <c r="C269" s="11">
        <v>44.448175780776694</v>
      </c>
      <c r="D269" s="11">
        <v>11.04175147655649</v>
      </c>
      <c r="E269" s="11"/>
      <c r="F269" s="12">
        <v>280</v>
      </c>
      <c r="G269" s="12" t="s">
        <v>21</v>
      </c>
      <c r="H269" s="13"/>
      <c r="I269" s="14">
        <v>2.25</v>
      </c>
      <c r="J269" s="14"/>
      <c r="K269" s="14">
        <v>24.6</v>
      </c>
      <c r="L269" s="13">
        <v>1.7</v>
      </c>
      <c r="M269" s="13">
        <v>1.2</v>
      </c>
      <c r="P269" s="12" t="s">
        <v>14</v>
      </c>
      <c r="Q269" s="12"/>
      <c r="R269" s="12" t="s">
        <v>29</v>
      </c>
      <c r="T269">
        <f t="shared" si="14"/>
        <v>2.25</v>
      </c>
      <c r="U269">
        <f t="shared" si="12"/>
        <v>2.46</v>
      </c>
      <c r="V269">
        <f t="shared" si="13"/>
        <v>0.20999999999999996</v>
      </c>
    </row>
    <row r="270" spans="1:22">
      <c r="A270" s="12">
        <v>40</v>
      </c>
      <c r="B270" s="12">
        <v>20</v>
      </c>
      <c r="C270" s="11">
        <v>41.880792813059728</v>
      </c>
      <c r="D270" s="11">
        <v>29.416600349019195</v>
      </c>
      <c r="E270" s="11"/>
      <c r="F270" s="12">
        <v>306</v>
      </c>
      <c r="G270" s="12" t="s">
        <v>13</v>
      </c>
      <c r="H270" s="13"/>
      <c r="I270" s="14">
        <v>2.25</v>
      </c>
      <c r="J270" s="14">
        <v>8</v>
      </c>
      <c r="K270" s="14"/>
      <c r="L270" s="13">
        <v>3.6</v>
      </c>
      <c r="M270" s="13">
        <v>2</v>
      </c>
      <c r="P270" s="12" t="s">
        <v>14</v>
      </c>
      <c r="Q270" s="12"/>
      <c r="R270" s="12"/>
      <c r="T270">
        <f t="shared" si="14"/>
        <v>2.25</v>
      </c>
      <c r="U270">
        <f t="shared" si="12"/>
        <v>2.5464790894703255</v>
      </c>
      <c r="V270">
        <f t="shared" si="13"/>
        <v>0.29647908947032553</v>
      </c>
    </row>
    <row r="271" spans="1:22">
      <c r="A271" s="12">
        <v>40</v>
      </c>
      <c r="B271" s="12">
        <v>20</v>
      </c>
      <c r="C271" s="11">
        <v>42.430857709244037</v>
      </c>
      <c r="D271" s="11">
        <v>29.817299863635021</v>
      </c>
      <c r="E271" s="11"/>
      <c r="F271" s="12">
        <v>298</v>
      </c>
      <c r="G271" s="12" t="s">
        <v>13</v>
      </c>
      <c r="H271" s="13"/>
      <c r="I271" s="14">
        <v>2.2599999999999998</v>
      </c>
      <c r="J271" s="14">
        <v>7.7</v>
      </c>
      <c r="K271" s="14"/>
      <c r="L271" s="13">
        <v>4.3</v>
      </c>
      <c r="M271" s="13">
        <v>2</v>
      </c>
      <c r="P271" s="12" t="s">
        <v>14</v>
      </c>
      <c r="Q271" s="12"/>
      <c r="R271" s="12"/>
      <c r="T271">
        <f t="shared" si="14"/>
        <v>2.2599999999999998</v>
      </c>
      <c r="U271">
        <f t="shared" si="12"/>
        <v>2.4509861236151882</v>
      </c>
      <c r="V271">
        <f t="shared" si="13"/>
        <v>0.19098612361518841</v>
      </c>
    </row>
    <row r="272" spans="1:22">
      <c r="A272" s="12">
        <v>40</v>
      </c>
      <c r="B272" s="12">
        <v>-30</v>
      </c>
      <c r="C272" s="11">
        <v>42.600771010641061</v>
      </c>
      <c r="D272" s="11">
        <v>-25.452840538415533</v>
      </c>
      <c r="E272" s="11"/>
      <c r="F272" s="10">
        <v>679</v>
      </c>
      <c r="G272" s="12" t="s">
        <v>13</v>
      </c>
      <c r="H272" s="13"/>
      <c r="I272" s="14">
        <v>2.2599999999999998</v>
      </c>
      <c r="J272" s="14" t="s">
        <v>70</v>
      </c>
      <c r="K272" s="14"/>
      <c r="L272" s="13">
        <v>1.5</v>
      </c>
      <c r="M272" s="13">
        <v>1.4</v>
      </c>
      <c r="P272" s="12" t="s">
        <v>14</v>
      </c>
      <c r="Q272" s="12"/>
      <c r="R272" s="12"/>
      <c r="T272">
        <f t="shared" si="14"/>
        <v>2.2599999999999998</v>
      </c>
      <c r="U272" t="str">
        <f t="shared" si="12"/>
        <v>dead</v>
      </c>
      <c r="V272" t="e">
        <f t="shared" si="13"/>
        <v>#VALUE!</v>
      </c>
    </row>
    <row r="273" spans="1:22">
      <c r="A273" s="12">
        <v>20</v>
      </c>
      <c r="B273" s="12">
        <v>10</v>
      </c>
      <c r="C273" s="11">
        <v>23.814136091910594</v>
      </c>
      <c r="D273" s="11">
        <v>10.891462981270466</v>
      </c>
      <c r="E273" s="11"/>
      <c r="F273" s="12">
        <v>140</v>
      </c>
      <c r="G273" s="12" t="s">
        <v>13</v>
      </c>
      <c r="H273" s="13"/>
      <c r="I273" s="14">
        <v>2.27</v>
      </c>
      <c r="J273" s="14">
        <v>8.5</v>
      </c>
      <c r="K273" s="14"/>
      <c r="L273" s="13">
        <v>2.8</v>
      </c>
      <c r="M273" s="13">
        <v>1</v>
      </c>
      <c r="P273" s="12" t="s">
        <v>14</v>
      </c>
      <c r="Q273" s="12"/>
      <c r="R273" s="12"/>
      <c r="T273">
        <f t="shared" si="14"/>
        <v>2.27</v>
      </c>
      <c r="U273">
        <f t="shared" si="12"/>
        <v>2.7056340325622208</v>
      </c>
      <c r="V273">
        <f t="shared" si="13"/>
        <v>0.43563403256222077</v>
      </c>
    </row>
    <row r="274" spans="1:22">
      <c r="A274" s="12">
        <v>40</v>
      </c>
      <c r="B274" s="12">
        <v>30</v>
      </c>
      <c r="C274" s="11">
        <v>49.057455574932867</v>
      </c>
      <c r="D274" s="11">
        <v>30.556922641067963</v>
      </c>
      <c r="E274" s="11"/>
      <c r="F274" s="12">
        <v>322</v>
      </c>
      <c r="G274" s="12" t="s">
        <v>30</v>
      </c>
      <c r="H274" s="13"/>
      <c r="I274" s="14">
        <v>2.27</v>
      </c>
      <c r="J274" s="14">
        <v>9</v>
      </c>
      <c r="K274" s="14"/>
      <c r="L274" s="13">
        <v>2.8</v>
      </c>
      <c r="M274" s="13">
        <v>1.2</v>
      </c>
      <c r="P274" s="12" t="s">
        <v>14</v>
      </c>
      <c r="Q274" s="12"/>
      <c r="R274" s="12"/>
      <c r="T274">
        <f t="shared" si="14"/>
        <v>2.27</v>
      </c>
      <c r="U274">
        <f t="shared" si="12"/>
        <v>2.8647889756541161</v>
      </c>
      <c r="V274">
        <f t="shared" si="13"/>
        <v>0.59478897565411604</v>
      </c>
    </row>
    <row r="275" spans="1:22">
      <c r="A275" s="12">
        <v>30</v>
      </c>
      <c r="B275" s="12">
        <v>-20</v>
      </c>
      <c r="C275" s="11">
        <v>30.008426910538304</v>
      </c>
      <c r="D275" s="11">
        <v>-12.921740439865401</v>
      </c>
      <c r="E275" s="11"/>
      <c r="F275" s="12">
        <v>534</v>
      </c>
      <c r="G275" s="12" t="s">
        <v>13</v>
      </c>
      <c r="H275" s="13"/>
      <c r="I275" s="14">
        <v>2.2799999999999998</v>
      </c>
      <c r="J275" s="14"/>
      <c r="K275" s="14">
        <v>25.7</v>
      </c>
      <c r="L275" s="13">
        <v>4</v>
      </c>
      <c r="M275" s="13">
        <v>1.6</v>
      </c>
      <c r="P275" s="12" t="s">
        <v>14</v>
      </c>
      <c r="Q275" s="12"/>
      <c r="R275" s="12"/>
      <c r="T275">
        <f t="shared" si="14"/>
        <v>2.2799999999999998</v>
      </c>
      <c r="U275">
        <f t="shared" si="12"/>
        <v>2.57</v>
      </c>
      <c r="V275">
        <f t="shared" si="13"/>
        <v>0.29000000000000004</v>
      </c>
    </row>
    <row r="276" spans="1:22">
      <c r="A276" s="12">
        <v>20</v>
      </c>
      <c r="B276" s="12">
        <v>10</v>
      </c>
      <c r="C276" s="11">
        <v>21.713553925037083</v>
      </c>
      <c r="D276" s="11">
        <v>11.604164465655854</v>
      </c>
      <c r="E276" s="11"/>
      <c r="F276" s="10">
        <v>147</v>
      </c>
      <c r="G276" s="12" t="s">
        <v>13</v>
      </c>
      <c r="H276" s="13"/>
      <c r="I276" s="14">
        <v>2.29</v>
      </c>
      <c r="J276" s="14">
        <v>7.7</v>
      </c>
      <c r="K276" s="14"/>
      <c r="L276" s="13">
        <v>2</v>
      </c>
      <c r="M276" s="13">
        <v>1.5</v>
      </c>
      <c r="P276" s="12" t="s">
        <v>14</v>
      </c>
      <c r="Q276" s="12"/>
      <c r="R276" s="12"/>
      <c r="T276">
        <f t="shared" si="14"/>
        <v>2.29</v>
      </c>
      <c r="U276">
        <f t="shared" si="12"/>
        <v>2.4509861236151882</v>
      </c>
      <c r="V276">
        <f t="shared" si="13"/>
        <v>0.16098612361518816</v>
      </c>
    </row>
    <row r="277" spans="1:22">
      <c r="A277" s="12">
        <v>30</v>
      </c>
      <c r="B277" s="12">
        <v>10</v>
      </c>
      <c r="C277" s="11">
        <v>36.716514801527289</v>
      </c>
      <c r="D277" s="11">
        <v>18.175163316659585</v>
      </c>
      <c r="E277" s="11"/>
      <c r="F277" s="10">
        <v>215</v>
      </c>
      <c r="G277" s="12" t="s">
        <v>11</v>
      </c>
      <c r="H277" s="13"/>
      <c r="I277" s="14">
        <v>2.2999999999999998</v>
      </c>
      <c r="J277" s="14">
        <v>9.1</v>
      </c>
      <c r="K277" s="14"/>
      <c r="L277" s="13">
        <v>3</v>
      </c>
      <c r="M277" s="13">
        <v>0.2</v>
      </c>
      <c r="P277" s="12" t="s">
        <v>14</v>
      </c>
      <c r="Q277" s="12"/>
      <c r="R277" s="12"/>
      <c r="T277">
        <f t="shared" si="14"/>
        <v>2.2999999999999998</v>
      </c>
      <c r="U277">
        <f t="shared" si="12"/>
        <v>2.896619964272495</v>
      </c>
      <c r="V277">
        <f t="shared" si="13"/>
        <v>0.5966199642724952</v>
      </c>
    </row>
    <row r="278" spans="1:22">
      <c r="A278" s="12">
        <v>30</v>
      </c>
      <c r="B278" s="12">
        <v>-30</v>
      </c>
      <c r="C278" s="11">
        <v>33.740755386689855</v>
      </c>
      <c r="D278" s="11">
        <v>-22.590221831610339</v>
      </c>
      <c r="E278" s="11"/>
      <c r="F278" s="10">
        <v>661</v>
      </c>
      <c r="G278" s="12" t="s">
        <v>21</v>
      </c>
      <c r="H278" s="13"/>
      <c r="I278" s="14">
        <v>2.2999999999999998</v>
      </c>
      <c r="J278" s="14">
        <v>11</v>
      </c>
      <c r="K278" s="14"/>
      <c r="L278" s="13">
        <v>4.0999999999999996</v>
      </c>
      <c r="M278" s="13">
        <v>0.9</v>
      </c>
      <c r="P278" s="12" t="s">
        <v>14</v>
      </c>
      <c r="Q278" s="12"/>
      <c r="R278" s="12"/>
      <c r="S278" t="s">
        <v>119</v>
      </c>
      <c r="T278">
        <f t="shared" si="14"/>
        <v>2.2999999999999998</v>
      </c>
      <c r="U278">
        <f t="shared" si="12"/>
        <v>3.5014087480216975</v>
      </c>
      <c r="V278">
        <f t="shared" si="13"/>
        <v>1.2014087480216977</v>
      </c>
    </row>
    <row r="279" spans="1:22">
      <c r="A279" s="12">
        <v>10</v>
      </c>
      <c r="B279" s="12">
        <v>20</v>
      </c>
      <c r="C279" s="11">
        <v>17.684763959829091</v>
      </c>
      <c r="D279" s="11">
        <v>23.662338554138607</v>
      </c>
      <c r="E279" s="11"/>
      <c r="F279" s="12">
        <v>100</v>
      </c>
      <c r="G279" s="12" t="s">
        <v>11</v>
      </c>
      <c r="H279" s="13"/>
      <c r="I279" s="14">
        <v>2.31</v>
      </c>
      <c r="J279" s="14" t="s">
        <v>70</v>
      </c>
      <c r="K279" s="14"/>
      <c r="L279" s="13">
        <v>2.9</v>
      </c>
      <c r="M279" s="13"/>
      <c r="P279" s="12" t="s">
        <v>12</v>
      </c>
      <c r="Q279" s="12"/>
      <c r="R279" s="12"/>
      <c r="T279">
        <f t="shared" si="14"/>
        <v>2.31</v>
      </c>
      <c r="U279" t="str">
        <f t="shared" si="12"/>
        <v>dead</v>
      </c>
      <c r="V279" t="e">
        <f t="shared" si="13"/>
        <v>#VALUE!</v>
      </c>
    </row>
    <row r="280" spans="1:22">
      <c r="A280" s="9">
        <v>0</v>
      </c>
      <c r="B280" s="12">
        <v>40</v>
      </c>
      <c r="C280" s="11">
        <v>6.9471554421474488</v>
      </c>
      <c r="D280" s="11">
        <v>41.768314846644444</v>
      </c>
      <c r="E280" s="11"/>
      <c r="F280" s="10">
        <v>63</v>
      </c>
      <c r="G280" s="12" t="s">
        <v>11</v>
      </c>
      <c r="H280" s="13"/>
      <c r="I280" s="14">
        <v>2.3199999999999998</v>
      </c>
      <c r="J280" s="14"/>
      <c r="K280" s="14">
        <v>24.8</v>
      </c>
      <c r="L280" s="13">
        <v>2.9</v>
      </c>
      <c r="M280" s="13">
        <v>0.3</v>
      </c>
      <c r="P280" s="12" t="s">
        <v>14</v>
      </c>
      <c r="Q280" s="12"/>
      <c r="R280" s="12"/>
      <c r="T280">
        <f t="shared" si="14"/>
        <v>2.3199999999999998</v>
      </c>
      <c r="U280">
        <f t="shared" si="12"/>
        <v>2.48</v>
      </c>
      <c r="V280">
        <f t="shared" si="13"/>
        <v>0.16000000000000014</v>
      </c>
    </row>
    <row r="281" spans="1:22">
      <c r="A281" s="12">
        <v>10</v>
      </c>
      <c r="B281" s="12">
        <v>-30</v>
      </c>
      <c r="C281" s="11">
        <v>16.213479815213489</v>
      </c>
      <c r="D281" s="11">
        <v>-22.804634796887598</v>
      </c>
      <c r="E281" s="11"/>
      <c r="F281" s="12">
        <v>622</v>
      </c>
      <c r="G281" s="12" t="s">
        <v>11</v>
      </c>
      <c r="H281" s="13"/>
      <c r="I281" s="14">
        <v>2.3199999999999998</v>
      </c>
      <c r="J281" s="14" t="s">
        <v>70</v>
      </c>
      <c r="K281" s="14"/>
      <c r="L281" s="13">
        <v>3.3</v>
      </c>
      <c r="M281" s="13">
        <v>0.1</v>
      </c>
      <c r="P281" s="12" t="s">
        <v>14</v>
      </c>
      <c r="Q281" s="12"/>
      <c r="R281" s="12"/>
      <c r="T281">
        <f t="shared" si="14"/>
        <v>2.3199999999999998</v>
      </c>
      <c r="U281" t="str">
        <f t="shared" si="12"/>
        <v>dead</v>
      </c>
      <c r="V281" t="e">
        <f t="shared" si="13"/>
        <v>#VALUE!</v>
      </c>
    </row>
    <row r="282" spans="1:22">
      <c r="A282" s="12">
        <v>40</v>
      </c>
      <c r="B282" s="12">
        <v>-20</v>
      </c>
      <c r="C282" s="11">
        <v>49.246140094845508</v>
      </c>
      <c r="D282" s="11">
        <v>-16.426234772126698</v>
      </c>
      <c r="E282" s="11"/>
      <c r="F282" s="10">
        <v>509</v>
      </c>
      <c r="G282" s="12" t="s">
        <v>13</v>
      </c>
      <c r="H282" s="13"/>
      <c r="I282" s="14">
        <v>2.33</v>
      </c>
      <c r="J282" s="14"/>
      <c r="K282" s="14">
        <v>24.8</v>
      </c>
      <c r="L282" s="13">
        <v>3.6</v>
      </c>
      <c r="M282" s="13">
        <v>1.5</v>
      </c>
      <c r="P282" s="12" t="s">
        <v>14</v>
      </c>
      <c r="Q282" s="12"/>
      <c r="R282" s="12"/>
      <c r="T282">
        <f t="shared" si="14"/>
        <v>2.33</v>
      </c>
      <c r="U282">
        <f t="shared" si="12"/>
        <v>2.48</v>
      </c>
      <c r="V282">
        <f t="shared" si="13"/>
        <v>0.14999999999999991</v>
      </c>
    </row>
    <row r="283" spans="1:22">
      <c r="A283" s="12">
        <v>30</v>
      </c>
      <c r="B283" s="12">
        <v>0</v>
      </c>
      <c r="C283" s="11">
        <v>33.713362604392707</v>
      </c>
      <c r="D283" s="11">
        <v>9.4955824508264737</v>
      </c>
      <c r="E283" s="11"/>
      <c r="F283" s="12">
        <v>250</v>
      </c>
      <c r="G283" s="12" t="s">
        <v>13</v>
      </c>
      <c r="H283" s="13"/>
      <c r="I283" s="14">
        <v>2.34</v>
      </c>
      <c r="J283" s="14" t="s">
        <v>70</v>
      </c>
      <c r="K283" s="14"/>
      <c r="L283" s="13">
        <v>2.4</v>
      </c>
      <c r="M283" s="13">
        <v>1.6</v>
      </c>
      <c r="P283" s="12" t="s">
        <v>14</v>
      </c>
      <c r="Q283" s="12"/>
      <c r="R283" s="12"/>
      <c r="T283">
        <f t="shared" si="14"/>
        <v>2.34</v>
      </c>
      <c r="U283" t="str">
        <f t="shared" si="12"/>
        <v>dead</v>
      </c>
      <c r="V283" t="e">
        <f t="shared" si="13"/>
        <v>#VALUE!</v>
      </c>
    </row>
    <row r="284" spans="1:22">
      <c r="A284" s="12">
        <v>30</v>
      </c>
      <c r="B284" s="12">
        <v>-10</v>
      </c>
      <c r="C284" s="11">
        <v>39.40833443356302</v>
      </c>
      <c r="D284" s="11">
        <v>-8.7311690981486905</v>
      </c>
      <c r="E284" s="11"/>
      <c r="F284" s="10">
        <v>445</v>
      </c>
      <c r="G284" s="12" t="s">
        <v>21</v>
      </c>
      <c r="H284" s="13"/>
      <c r="I284" s="14">
        <v>2.34</v>
      </c>
      <c r="J284" s="14">
        <v>9</v>
      </c>
      <c r="K284" s="14"/>
      <c r="L284" s="13">
        <v>4.3</v>
      </c>
      <c r="M284" s="13">
        <v>1</v>
      </c>
      <c r="P284" s="12" t="s">
        <v>14</v>
      </c>
      <c r="Q284" s="12"/>
      <c r="R284" s="12"/>
      <c r="S284" t="s">
        <v>90</v>
      </c>
      <c r="T284">
        <f t="shared" si="14"/>
        <v>2.34</v>
      </c>
      <c r="U284">
        <f t="shared" si="12"/>
        <v>2.8647889756541161</v>
      </c>
      <c r="V284">
        <f t="shared" si="13"/>
        <v>0.5247889756541162</v>
      </c>
    </row>
    <row r="285" spans="1:22">
      <c r="A285" s="12">
        <v>30</v>
      </c>
      <c r="B285" s="12">
        <v>-20</v>
      </c>
      <c r="C285" s="11">
        <v>30.102245775782585</v>
      </c>
      <c r="D285" s="11">
        <v>-13.026047143880325</v>
      </c>
      <c r="E285" s="11"/>
      <c r="F285" s="10">
        <v>529</v>
      </c>
      <c r="G285" s="12" t="s">
        <v>13</v>
      </c>
      <c r="H285" s="13"/>
      <c r="I285" s="14">
        <v>2.34</v>
      </c>
      <c r="J285" s="14"/>
      <c r="K285" s="14">
        <v>25.7</v>
      </c>
      <c r="L285" s="13">
        <v>2.8</v>
      </c>
      <c r="M285" s="13">
        <v>2</v>
      </c>
      <c r="P285" s="12" t="s">
        <v>14</v>
      </c>
      <c r="Q285" s="12"/>
      <c r="R285" s="12"/>
      <c r="T285">
        <f t="shared" si="14"/>
        <v>2.34</v>
      </c>
      <c r="U285">
        <f t="shared" si="12"/>
        <v>2.57</v>
      </c>
      <c r="V285">
        <f t="shared" si="13"/>
        <v>0.22999999999999998</v>
      </c>
    </row>
    <row r="286" spans="1:22">
      <c r="A286" s="9">
        <v>0</v>
      </c>
      <c r="B286" s="12">
        <v>40</v>
      </c>
      <c r="C286" s="11">
        <v>8.5582568356338165</v>
      </c>
      <c r="D286" s="11">
        <v>40.55989153510609</v>
      </c>
      <c r="E286" s="11"/>
      <c r="F286" s="10">
        <v>61</v>
      </c>
      <c r="G286" s="12" t="s">
        <v>11</v>
      </c>
      <c r="H286" s="13"/>
      <c r="I286" s="14">
        <v>2.35</v>
      </c>
      <c r="J286" s="14" t="s">
        <v>70</v>
      </c>
      <c r="K286" s="14"/>
      <c r="L286" s="13">
        <v>3.2</v>
      </c>
      <c r="M286" s="13">
        <v>0.6</v>
      </c>
      <c r="P286" s="12" t="s">
        <v>14</v>
      </c>
      <c r="Q286" s="12"/>
      <c r="R286" s="12"/>
      <c r="T286">
        <f t="shared" si="14"/>
        <v>2.35</v>
      </c>
      <c r="U286" t="str">
        <f t="shared" si="12"/>
        <v>dead</v>
      </c>
      <c r="V286" t="e">
        <f t="shared" si="13"/>
        <v>#VALUE!</v>
      </c>
    </row>
    <row r="287" spans="1:22">
      <c r="A287" s="12">
        <v>40</v>
      </c>
      <c r="B287" s="12">
        <v>30</v>
      </c>
      <c r="C287" s="11">
        <v>49.01626407235689</v>
      </c>
      <c r="D287" s="11">
        <v>31.365860574170455</v>
      </c>
      <c r="E287" s="11"/>
      <c r="F287" s="12">
        <v>330</v>
      </c>
      <c r="G287" s="12" t="s">
        <v>30</v>
      </c>
      <c r="H287" s="13"/>
      <c r="I287" s="14">
        <v>2.35</v>
      </c>
      <c r="J287" s="14">
        <v>8.6</v>
      </c>
      <c r="K287" s="14"/>
      <c r="L287" s="13">
        <v>3.4</v>
      </c>
      <c r="M287" s="13">
        <v>1.2</v>
      </c>
      <c r="P287" s="12" t="s">
        <v>14</v>
      </c>
      <c r="Q287" s="12"/>
      <c r="R287" s="12"/>
      <c r="T287">
        <f t="shared" si="14"/>
        <v>2.35</v>
      </c>
      <c r="U287">
        <f t="shared" si="12"/>
        <v>2.7374650211805998</v>
      </c>
      <c r="V287">
        <f t="shared" si="13"/>
        <v>0.38746502118059967</v>
      </c>
    </row>
    <row r="288" spans="1:22">
      <c r="A288" s="12">
        <v>30</v>
      </c>
      <c r="B288" s="12">
        <v>-10</v>
      </c>
      <c r="C288" s="11">
        <v>32.809033307619565</v>
      </c>
      <c r="D288" s="11">
        <v>-4.19762134732012</v>
      </c>
      <c r="E288" s="11"/>
      <c r="F288" s="12">
        <v>424</v>
      </c>
      <c r="G288" s="12" t="s">
        <v>13</v>
      </c>
      <c r="H288" s="13"/>
      <c r="I288" s="14">
        <v>2.36</v>
      </c>
      <c r="J288" s="14"/>
      <c r="K288" s="14">
        <v>26.5</v>
      </c>
      <c r="L288" s="13">
        <v>4.8</v>
      </c>
      <c r="M288" s="13">
        <v>1.7</v>
      </c>
      <c r="P288" s="12" t="s">
        <v>14</v>
      </c>
      <c r="Q288" s="12"/>
      <c r="R288" s="12"/>
      <c r="T288">
        <f t="shared" si="14"/>
        <v>2.36</v>
      </c>
      <c r="U288">
        <f t="shared" si="12"/>
        <v>2.65</v>
      </c>
      <c r="V288">
        <f t="shared" si="13"/>
        <v>0.29000000000000004</v>
      </c>
    </row>
    <row r="289" spans="1:23">
      <c r="A289" s="12">
        <v>20</v>
      </c>
      <c r="B289" s="12">
        <v>40</v>
      </c>
      <c r="C289" s="11">
        <v>26.402940262221591</v>
      </c>
      <c r="D289" s="11">
        <v>47.576856604055649</v>
      </c>
      <c r="E289" s="11"/>
      <c r="F289" s="12">
        <v>196</v>
      </c>
      <c r="G289" s="12" t="s">
        <v>13</v>
      </c>
      <c r="H289" s="13"/>
      <c r="I289" s="14">
        <v>2.38</v>
      </c>
      <c r="J289" s="14" t="s">
        <v>70</v>
      </c>
      <c r="K289" s="14"/>
      <c r="L289" s="13">
        <v>3.2</v>
      </c>
      <c r="M289" s="13"/>
      <c r="P289" s="12" t="s">
        <v>12</v>
      </c>
      <c r="Q289" s="12"/>
      <c r="R289" s="12"/>
      <c r="S289" t="s">
        <v>78</v>
      </c>
      <c r="T289">
        <f t="shared" si="14"/>
        <v>2.38</v>
      </c>
      <c r="U289" t="str">
        <f t="shared" si="12"/>
        <v>dead</v>
      </c>
      <c r="V289" t="e">
        <f t="shared" si="13"/>
        <v>#VALUE!</v>
      </c>
    </row>
    <row r="290" spans="1:23">
      <c r="A290" s="12">
        <v>20</v>
      </c>
      <c r="B290" s="12">
        <v>-30</v>
      </c>
      <c r="C290" s="11">
        <v>20.134595844127755</v>
      </c>
      <c r="D290" s="11">
        <v>-22.386692447991294</v>
      </c>
      <c r="E290" s="11"/>
      <c r="F290" s="10">
        <v>631</v>
      </c>
      <c r="G290" s="12" t="s">
        <v>11</v>
      </c>
      <c r="H290" s="13"/>
      <c r="I290" s="14">
        <v>2.39</v>
      </c>
      <c r="J290" s="14">
        <v>10.199999999999999</v>
      </c>
      <c r="K290" s="14"/>
      <c r="L290" s="13">
        <v>3.6</v>
      </c>
      <c r="M290" s="13">
        <v>0.3</v>
      </c>
      <c r="P290" s="12" t="s">
        <v>14</v>
      </c>
      <c r="Q290" s="12"/>
      <c r="R290" s="12"/>
      <c r="T290">
        <f t="shared" si="14"/>
        <v>2.39</v>
      </c>
      <c r="U290">
        <f t="shared" si="12"/>
        <v>3.246760839074665</v>
      </c>
      <c r="V290">
        <f t="shared" si="13"/>
        <v>0.85676083907466483</v>
      </c>
    </row>
    <row r="291" spans="1:23" s="27" customFormat="1">
      <c r="A291" s="12">
        <v>30</v>
      </c>
      <c r="B291" s="12">
        <v>30</v>
      </c>
      <c r="C291" s="11">
        <v>38.369831897088261</v>
      </c>
      <c r="D291" s="11">
        <v>35.037619958440359</v>
      </c>
      <c r="E291" s="11"/>
      <c r="F291" s="10">
        <v>205</v>
      </c>
      <c r="G291" s="12" t="s">
        <v>11</v>
      </c>
      <c r="H291" s="13"/>
      <c r="I291" s="14">
        <v>2.41</v>
      </c>
      <c r="J291" s="14">
        <v>11.8</v>
      </c>
      <c r="K291" s="14"/>
      <c r="L291" s="13">
        <v>2.8</v>
      </c>
      <c r="M291" s="13">
        <v>0.9</v>
      </c>
      <c r="N291"/>
      <c r="O291"/>
      <c r="P291" s="12" t="s">
        <v>14</v>
      </c>
      <c r="Q291" s="12"/>
      <c r="R291" s="12"/>
      <c r="S291"/>
      <c r="T291">
        <f t="shared" si="14"/>
        <v>2.41</v>
      </c>
      <c r="U291">
        <f t="shared" si="12"/>
        <v>3.7560566569687301</v>
      </c>
      <c r="V291">
        <f t="shared" si="13"/>
        <v>1.34605665696873</v>
      </c>
      <c r="W291"/>
    </row>
    <row r="292" spans="1:23">
      <c r="A292" s="12">
        <v>30</v>
      </c>
      <c r="B292" s="12">
        <v>-20</v>
      </c>
      <c r="C292" s="11">
        <v>36.298987754977233</v>
      </c>
      <c r="D292" s="11">
        <v>-16.649406617299888</v>
      </c>
      <c r="E292" s="11"/>
      <c r="F292" s="10">
        <v>521</v>
      </c>
      <c r="G292" s="12" t="s">
        <v>11</v>
      </c>
      <c r="H292" s="13"/>
      <c r="I292" s="14">
        <v>2.41</v>
      </c>
      <c r="J292" s="14" t="s">
        <v>70</v>
      </c>
      <c r="K292" s="14"/>
      <c r="L292" s="13">
        <v>3</v>
      </c>
      <c r="M292" s="13">
        <v>0</v>
      </c>
      <c r="P292" s="12" t="s">
        <v>14</v>
      </c>
      <c r="Q292" s="12"/>
      <c r="R292" s="12"/>
      <c r="T292">
        <f t="shared" si="14"/>
        <v>2.41</v>
      </c>
      <c r="U292" t="str">
        <f t="shared" si="12"/>
        <v>dead</v>
      </c>
      <c r="V292" t="e">
        <f t="shared" si="13"/>
        <v>#VALUE!</v>
      </c>
    </row>
    <row r="293" spans="1:23">
      <c r="A293" s="9">
        <v>0</v>
      </c>
      <c r="B293" s="9">
        <v>0</v>
      </c>
      <c r="C293" s="11">
        <v>4.5733309832961941</v>
      </c>
      <c r="D293" s="11">
        <v>9.2373314067388428</v>
      </c>
      <c r="E293" s="11"/>
      <c r="F293" s="12">
        <v>10</v>
      </c>
      <c r="G293" s="12" t="s">
        <v>13</v>
      </c>
      <c r="H293" s="13"/>
      <c r="I293" s="14">
        <v>2.42</v>
      </c>
      <c r="J293" s="14">
        <v>7.6</v>
      </c>
      <c r="K293" s="14"/>
      <c r="L293" s="13">
        <v>4.0999999999999996</v>
      </c>
      <c r="M293" s="13">
        <v>0.7</v>
      </c>
      <c r="P293" s="12" t="s">
        <v>14</v>
      </c>
      <c r="Q293" s="12"/>
      <c r="R293" s="12"/>
      <c r="T293">
        <f t="shared" si="14"/>
        <v>2.42</v>
      </c>
      <c r="U293">
        <f t="shared" si="12"/>
        <v>2.4191551349968092</v>
      </c>
      <c r="V293">
        <f t="shared" si="13"/>
        <v>-8.4486500319069791E-4</v>
      </c>
    </row>
    <row r="294" spans="1:23">
      <c r="A294" s="12">
        <v>40</v>
      </c>
      <c r="B294" s="12">
        <v>30</v>
      </c>
      <c r="C294" s="11">
        <v>48.775305826219046</v>
      </c>
      <c r="D294" s="11">
        <v>30.821344097270725</v>
      </c>
      <c r="E294" s="11"/>
      <c r="F294" s="10">
        <v>333</v>
      </c>
      <c r="G294" s="12" t="s">
        <v>30</v>
      </c>
      <c r="H294" s="13"/>
      <c r="I294" s="14">
        <v>2.4300000000000002</v>
      </c>
      <c r="J294" s="14">
        <v>8.3000000000000007</v>
      </c>
      <c r="K294" s="14"/>
      <c r="L294" s="13">
        <v>3.5</v>
      </c>
      <c r="M294" s="13">
        <v>1.8</v>
      </c>
      <c r="P294" s="12" t="s">
        <v>14</v>
      </c>
      <c r="Q294" s="12"/>
      <c r="R294" s="12"/>
      <c r="T294">
        <f t="shared" si="14"/>
        <v>2.4300000000000002</v>
      </c>
      <c r="U294">
        <f t="shared" si="12"/>
        <v>2.6419720553254629</v>
      </c>
      <c r="V294">
        <f t="shared" si="13"/>
        <v>0.2119720553254627</v>
      </c>
      <c r="W294" s="27"/>
    </row>
    <row r="295" spans="1:23">
      <c r="A295" s="12">
        <v>20</v>
      </c>
      <c r="B295" s="12">
        <v>10</v>
      </c>
      <c r="C295" s="11">
        <v>29.693552363066686</v>
      </c>
      <c r="D295" s="11">
        <v>12.817173736221424</v>
      </c>
      <c r="E295" s="11"/>
      <c r="F295" s="10">
        <v>161</v>
      </c>
      <c r="G295" s="12" t="s">
        <v>11</v>
      </c>
      <c r="H295" s="13"/>
      <c r="I295" s="14">
        <v>2.4500000000000002</v>
      </c>
      <c r="J295" s="14" t="s">
        <v>70</v>
      </c>
      <c r="K295" s="14"/>
      <c r="L295" s="13">
        <v>3.6</v>
      </c>
      <c r="M295" s="13">
        <v>0.1</v>
      </c>
      <c r="P295" s="12" t="s">
        <v>14</v>
      </c>
      <c r="Q295" s="12"/>
      <c r="R295" s="12"/>
      <c r="T295">
        <f t="shared" si="14"/>
        <v>2.4500000000000002</v>
      </c>
      <c r="U295" t="str">
        <f t="shared" si="12"/>
        <v>dead</v>
      </c>
      <c r="V295" t="e">
        <f t="shared" si="13"/>
        <v>#VALUE!</v>
      </c>
    </row>
    <row r="296" spans="1:23">
      <c r="A296" s="12">
        <v>20</v>
      </c>
      <c r="B296" s="12">
        <v>10</v>
      </c>
      <c r="C296" s="11">
        <v>20.236305583160817</v>
      </c>
      <c r="D296" s="11">
        <v>13.537937792417537</v>
      </c>
      <c r="E296" s="11"/>
      <c r="F296" s="12">
        <v>154</v>
      </c>
      <c r="G296" s="12" t="s">
        <v>11</v>
      </c>
      <c r="H296" s="13"/>
      <c r="I296" s="14">
        <v>2.4700000000000002</v>
      </c>
      <c r="J296" s="14">
        <v>11.1</v>
      </c>
      <c r="K296" s="14"/>
      <c r="L296" s="13">
        <v>3</v>
      </c>
      <c r="M296" s="13">
        <v>0.2</v>
      </c>
      <c r="P296" s="12" t="s">
        <v>14</v>
      </c>
      <c r="Q296" s="12"/>
      <c r="R296" s="12"/>
      <c r="T296">
        <f t="shared" si="14"/>
        <v>2.4700000000000002</v>
      </c>
      <c r="U296">
        <f t="shared" si="12"/>
        <v>3.5332397366400765</v>
      </c>
      <c r="V296">
        <f t="shared" si="13"/>
        <v>1.0632397366400763</v>
      </c>
    </row>
    <row r="297" spans="1:23">
      <c r="A297" s="12">
        <v>40</v>
      </c>
      <c r="B297" s="12">
        <v>20</v>
      </c>
      <c r="C297" s="11">
        <v>42.291153200946574</v>
      </c>
      <c r="D297" s="11">
        <v>29.228458863258844</v>
      </c>
      <c r="E297" s="11"/>
      <c r="F297" s="12">
        <v>290</v>
      </c>
      <c r="G297" s="12" t="s">
        <v>13</v>
      </c>
      <c r="H297" s="13"/>
      <c r="I297" s="14">
        <v>2.4900000000000002</v>
      </c>
      <c r="J297" s="14">
        <v>8.6999999999999993</v>
      </c>
      <c r="K297" s="14"/>
      <c r="L297" s="13">
        <v>3</v>
      </c>
      <c r="M297" s="13">
        <v>1</v>
      </c>
      <c r="P297" s="12" t="s">
        <v>14</v>
      </c>
      <c r="Q297" s="12"/>
      <c r="R297" s="12"/>
      <c r="T297">
        <f t="shared" si="14"/>
        <v>2.4900000000000002</v>
      </c>
      <c r="U297">
        <f t="shared" si="12"/>
        <v>2.7692960097989787</v>
      </c>
      <c r="V297">
        <f t="shared" si="13"/>
        <v>0.27929600979897851</v>
      </c>
    </row>
    <row r="298" spans="1:23">
      <c r="A298" s="12">
        <v>30</v>
      </c>
      <c r="B298" s="12">
        <v>-20</v>
      </c>
      <c r="C298" s="11">
        <v>30.209660419134117</v>
      </c>
      <c r="D298" s="11">
        <v>-12.825836317151232</v>
      </c>
      <c r="E298" s="11"/>
      <c r="F298" s="12">
        <v>532</v>
      </c>
      <c r="G298" s="12" t="s">
        <v>13</v>
      </c>
      <c r="H298" s="13"/>
      <c r="I298" s="14">
        <v>2.4900000000000002</v>
      </c>
      <c r="J298" s="14"/>
      <c r="K298" s="14">
        <v>26.7</v>
      </c>
      <c r="L298" s="13">
        <v>2.6</v>
      </c>
      <c r="M298" s="13">
        <v>1</v>
      </c>
      <c r="P298" s="12" t="s">
        <v>14</v>
      </c>
      <c r="Q298" s="12"/>
      <c r="R298" s="12" t="s">
        <v>39</v>
      </c>
      <c r="T298">
        <f t="shared" si="14"/>
        <v>2.4900000000000002</v>
      </c>
      <c r="U298">
        <f t="shared" si="12"/>
        <v>2.67</v>
      </c>
      <c r="V298">
        <f t="shared" si="13"/>
        <v>0.17999999999999972</v>
      </c>
    </row>
    <row r="299" spans="1:23">
      <c r="A299" s="9">
        <v>0</v>
      </c>
      <c r="B299" s="12">
        <v>30</v>
      </c>
      <c r="C299" s="11">
        <v>4.3269168424163151</v>
      </c>
      <c r="D299" s="11">
        <v>39.67994640843348</v>
      </c>
      <c r="E299" s="11"/>
      <c r="F299" s="10">
        <v>57</v>
      </c>
      <c r="G299" s="12" t="s">
        <v>11</v>
      </c>
      <c r="H299" s="13"/>
      <c r="I299" s="14">
        <v>2.5</v>
      </c>
      <c r="J299" s="14" t="s">
        <v>70</v>
      </c>
      <c r="K299" s="14"/>
      <c r="L299" s="13">
        <v>3.2</v>
      </c>
      <c r="M299" s="13"/>
      <c r="P299" s="12" t="s">
        <v>12</v>
      </c>
      <c r="Q299" s="12"/>
      <c r="R299" s="12"/>
      <c r="S299" t="s">
        <v>78</v>
      </c>
      <c r="T299">
        <f t="shared" si="14"/>
        <v>2.5</v>
      </c>
      <c r="U299" t="str">
        <f t="shared" si="12"/>
        <v>dead</v>
      </c>
      <c r="V299" t="e">
        <f t="shared" si="13"/>
        <v>#VALUE!</v>
      </c>
    </row>
    <row r="300" spans="1:23">
      <c r="A300" s="12">
        <v>0</v>
      </c>
      <c r="B300" s="12">
        <v>-20</v>
      </c>
      <c r="C300" s="11">
        <v>3.7242049453762323</v>
      </c>
      <c r="D300" s="11">
        <v>-18.248199653550781</v>
      </c>
      <c r="E300" s="11"/>
      <c r="F300" s="12">
        <v>584</v>
      </c>
      <c r="G300" s="12" t="s">
        <v>11</v>
      </c>
      <c r="H300" s="13"/>
      <c r="I300" s="14">
        <v>2.5</v>
      </c>
      <c r="J300" s="14">
        <v>11</v>
      </c>
      <c r="K300" s="14"/>
      <c r="L300" s="13">
        <v>3.5</v>
      </c>
      <c r="M300" s="13">
        <v>0.1</v>
      </c>
      <c r="P300" s="12" t="s">
        <v>14</v>
      </c>
      <c r="Q300" s="12"/>
      <c r="R300" s="12"/>
      <c r="S300" t="s">
        <v>103</v>
      </c>
      <c r="T300">
        <f t="shared" si="14"/>
        <v>2.5</v>
      </c>
      <c r="U300">
        <f t="shared" si="12"/>
        <v>3.5014087480216975</v>
      </c>
      <c r="V300">
        <f t="shared" si="13"/>
        <v>1.0014087480216975</v>
      </c>
    </row>
    <row r="301" spans="1:23">
      <c r="A301" s="12">
        <v>20</v>
      </c>
      <c r="B301" s="12">
        <v>-30</v>
      </c>
      <c r="C301" s="11">
        <v>25.897818770092492</v>
      </c>
      <c r="D301" s="11">
        <v>-29.806579890919899</v>
      </c>
      <c r="E301" s="11"/>
      <c r="F301" s="10">
        <v>651</v>
      </c>
      <c r="G301" s="12" t="s">
        <v>21</v>
      </c>
      <c r="H301" s="13"/>
      <c r="I301" s="14">
        <v>2.5</v>
      </c>
      <c r="J301" s="14">
        <v>9.9</v>
      </c>
      <c r="K301" s="14"/>
      <c r="L301" s="13">
        <v>4</v>
      </c>
      <c r="M301" s="13">
        <v>0.9</v>
      </c>
      <c r="P301" s="12" t="s">
        <v>14</v>
      </c>
      <c r="Q301" s="12"/>
      <c r="R301" s="12"/>
      <c r="S301" t="s">
        <v>116</v>
      </c>
      <c r="T301">
        <f t="shared" si="14"/>
        <v>2.5</v>
      </c>
      <c r="U301">
        <f t="shared" si="12"/>
        <v>3.1512678732195281</v>
      </c>
      <c r="V301">
        <f t="shared" si="13"/>
        <v>0.65126787321952806</v>
      </c>
    </row>
    <row r="302" spans="1:23">
      <c r="A302" s="9">
        <v>0</v>
      </c>
      <c r="B302" s="9">
        <v>0</v>
      </c>
      <c r="C302" s="11">
        <v>4.289145621441091</v>
      </c>
      <c r="D302" s="11">
        <v>8.9312426529400941</v>
      </c>
      <c r="E302" s="11"/>
      <c r="F302" s="12">
        <v>6</v>
      </c>
      <c r="G302" s="12" t="s">
        <v>13</v>
      </c>
      <c r="H302" s="13"/>
      <c r="I302" s="14">
        <v>2.5099999999999998</v>
      </c>
      <c r="J302" s="14">
        <v>8.8000000000000007</v>
      </c>
      <c r="K302" s="14"/>
      <c r="L302" s="13">
        <v>5.3</v>
      </c>
      <c r="M302" s="13">
        <v>1.4</v>
      </c>
      <c r="P302" s="12" t="s">
        <v>14</v>
      </c>
      <c r="Q302" s="12"/>
      <c r="R302" s="12"/>
      <c r="T302">
        <f t="shared" si="14"/>
        <v>2.5099999999999998</v>
      </c>
      <c r="U302">
        <f t="shared" si="12"/>
        <v>2.8011269984173581</v>
      </c>
      <c r="V302">
        <f t="shared" si="13"/>
        <v>0.29112699841735834</v>
      </c>
      <c r="W302" t="s">
        <v>176</v>
      </c>
    </row>
    <row r="303" spans="1:23">
      <c r="A303" s="12">
        <v>10</v>
      </c>
      <c r="B303" s="12">
        <v>20</v>
      </c>
      <c r="C303" s="11">
        <v>19.494916087232173</v>
      </c>
      <c r="D303" s="11">
        <v>28.802292130563277</v>
      </c>
      <c r="E303" s="11"/>
      <c r="F303" s="12">
        <v>88</v>
      </c>
      <c r="G303" s="12" t="s">
        <v>13</v>
      </c>
      <c r="H303" s="13"/>
      <c r="I303" s="14">
        <v>2.5299999999999998</v>
      </c>
      <c r="J303" s="14">
        <v>8.3000000000000007</v>
      </c>
      <c r="K303" s="14"/>
      <c r="L303" s="13">
        <v>2.9</v>
      </c>
      <c r="M303" s="13">
        <v>0.5</v>
      </c>
      <c r="P303" s="12" t="s">
        <v>14</v>
      </c>
      <c r="Q303" s="12"/>
      <c r="R303" s="12"/>
      <c r="T303">
        <f t="shared" si="14"/>
        <v>2.5299999999999998</v>
      </c>
      <c r="U303">
        <f t="shared" si="12"/>
        <v>2.6419720553254629</v>
      </c>
      <c r="V303">
        <f t="shared" si="13"/>
        <v>0.11197205532546306</v>
      </c>
    </row>
    <row r="304" spans="1:23">
      <c r="A304" s="12">
        <v>10</v>
      </c>
      <c r="B304" s="12">
        <v>-40</v>
      </c>
      <c r="C304" s="11">
        <v>16.03191023543113</v>
      </c>
      <c r="D304" s="11">
        <v>-32.98725739017172</v>
      </c>
      <c r="E304" s="11"/>
      <c r="F304" s="10">
        <v>723</v>
      </c>
      <c r="G304" s="12" t="s">
        <v>11</v>
      </c>
      <c r="H304" s="13"/>
      <c r="I304" s="14">
        <v>2.54</v>
      </c>
      <c r="J304" s="14" t="s">
        <v>70</v>
      </c>
      <c r="K304" s="14"/>
      <c r="L304" s="13">
        <v>2.9</v>
      </c>
      <c r="M304" s="13"/>
      <c r="P304" s="12" t="s">
        <v>12</v>
      </c>
      <c r="Q304" s="12"/>
      <c r="R304" s="12"/>
      <c r="T304">
        <f t="shared" si="14"/>
        <v>2.54</v>
      </c>
      <c r="U304" t="str">
        <f t="shared" si="12"/>
        <v>dead</v>
      </c>
      <c r="V304" t="e">
        <f t="shared" si="13"/>
        <v>#VALUE!</v>
      </c>
    </row>
    <row r="305" spans="1:23">
      <c r="A305" s="12">
        <v>20</v>
      </c>
      <c r="B305" s="12">
        <v>-20</v>
      </c>
      <c r="C305" s="11">
        <v>28.354822578651021</v>
      </c>
      <c r="D305" s="11">
        <v>-30.157632167601044</v>
      </c>
      <c r="E305" s="11"/>
      <c r="F305" s="10">
        <v>715</v>
      </c>
      <c r="G305" s="12" t="s">
        <v>11</v>
      </c>
      <c r="H305" s="13"/>
      <c r="I305" s="14">
        <v>2.5499999999999998</v>
      </c>
      <c r="J305" s="14" t="s">
        <v>70</v>
      </c>
      <c r="K305" s="14"/>
      <c r="L305" s="13">
        <v>3.4</v>
      </c>
      <c r="M305" s="13">
        <v>0.2</v>
      </c>
      <c r="P305" s="12" t="s">
        <v>14</v>
      </c>
      <c r="Q305" s="12"/>
      <c r="R305" s="12"/>
      <c r="T305">
        <f t="shared" si="14"/>
        <v>2.5499999999999998</v>
      </c>
      <c r="U305" t="str">
        <f t="shared" si="12"/>
        <v>dead</v>
      </c>
      <c r="V305" t="e">
        <f t="shared" si="13"/>
        <v>#VALUE!</v>
      </c>
    </row>
    <row r="306" spans="1:23">
      <c r="A306" s="9">
        <v>20</v>
      </c>
      <c r="B306" s="9">
        <v>-10</v>
      </c>
      <c r="C306" s="11">
        <v>21.74400471974932</v>
      </c>
      <c r="D306" s="11">
        <v>-9.6175914129299045</v>
      </c>
      <c r="E306" s="11"/>
      <c r="F306" s="12">
        <v>410</v>
      </c>
      <c r="G306" s="12" t="s">
        <v>13</v>
      </c>
      <c r="H306" s="13"/>
      <c r="I306" s="14">
        <v>2.59</v>
      </c>
      <c r="J306" s="14"/>
      <c r="K306" s="14">
        <v>28.5</v>
      </c>
      <c r="L306" s="13">
        <v>2.7</v>
      </c>
      <c r="M306" s="13">
        <v>1.4</v>
      </c>
      <c r="P306" s="12" t="s">
        <v>14</v>
      </c>
      <c r="Q306" s="12"/>
      <c r="R306" s="12"/>
      <c r="T306">
        <f t="shared" si="14"/>
        <v>2.59</v>
      </c>
      <c r="U306">
        <f t="shared" si="12"/>
        <v>2.85</v>
      </c>
      <c r="V306">
        <f t="shared" si="13"/>
        <v>0.26000000000000023</v>
      </c>
    </row>
    <row r="307" spans="1:23">
      <c r="A307" s="12">
        <v>30</v>
      </c>
      <c r="B307" s="12">
        <v>-10</v>
      </c>
      <c r="C307" s="11">
        <v>38.935523972621638</v>
      </c>
      <c r="D307" s="11">
        <v>-4.0240656975551694</v>
      </c>
      <c r="E307" s="11"/>
      <c r="F307" s="10">
        <v>443</v>
      </c>
      <c r="G307" s="12" t="s">
        <v>13</v>
      </c>
      <c r="H307" s="13"/>
      <c r="I307" s="14">
        <v>2.59</v>
      </c>
      <c r="J307" s="14">
        <v>9.8000000000000007</v>
      </c>
      <c r="K307" s="14"/>
      <c r="L307" s="13">
        <v>3.4</v>
      </c>
      <c r="M307" s="13">
        <v>1.1000000000000001</v>
      </c>
      <c r="P307" s="12" t="s">
        <v>14</v>
      </c>
      <c r="Q307" s="12"/>
      <c r="R307" s="12"/>
      <c r="T307">
        <f t="shared" si="14"/>
        <v>2.59</v>
      </c>
      <c r="U307">
        <f t="shared" si="12"/>
        <v>3.1194368846011491</v>
      </c>
      <c r="V307">
        <f t="shared" si="13"/>
        <v>0.52943688460114924</v>
      </c>
    </row>
    <row r="308" spans="1:23">
      <c r="A308" s="12">
        <v>10</v>
      </c>
      <c r="B308" s="12">
        <v>-30</v>
      </c>
      <c r="C308" s="11">
        <v>12.35821974330851</v>
      </c>
      <c r="D308" s="11">
        <v>-20.44350538737352</v>
      </c>
      <c r="E308" s="11"/>
      <c r="F308" s="10">
        <v>619</v>
      </c>
      <c r="G308" s="12" t="s">
        <v>11</v>
      </c>
      <c r="H308" s="13"/>
      <c r="I308" s="14">
        <v>2.6</v>
      </c>
      <c r="J308" s="14">
        <v>11</v>
      </c>
      <c r="K308" s="14"/>
      <c r="L308" s="13">
        <v>3.7</v>
      </c>
      <c r="M308" s="13">
        <v>0.1</v>
      </c>
      <c r="P308" s="12" t="s">
        <v>14</v>
      </c>
      <c r="Q308" s="12"/>
      <c r="R308" s="12"/>
      <c r="T308">
        <f t="shared" si="14"/>
        <v>2.6</v>
      </c>
      <c r="U308">
        <f t="shared" si="12"/>
        <v>3.5014087480216975</v>
      </c>
      <c r="V308">
        <f t="shared" si="13"/>
        <v>0.90140874802169746</v>
      </c>
    </row>
    <row r="309" spans="1:23">
      <c r="A309" s="12">
        <v>40</v>
      </c>
      <c r="B309" s="12">
        <v>-40</v>
      </c>
      <c r="C309" s="11">
        <v>42.997273962603202</v>
      </c>
      <c r="D309" s="11">
        <v>-35.556358611104976</v>
      </c>
      <c r="E309" s="11"/>
      <c r="F309" s="10">
        <v>707</v>
      </c>
      <c r="G309" s="12" t="s">
        <v>51</v>
      </c>
      <c r="H309" s="13"/>
      <c r="I309" s="14">
        <v>2.61</v>
      </c>
      <c r="J309" s="14" t="s">
        <v>70</v>
      </c>
      <c r="K309" s="14"/>
      <c r="L309" s="13">
        <v>2</v>
      </c>
      <c r="M309" s="13"/>
      <c r="P309" s="12" t="s">
        <v>12</v>
      </c>
      <c r="Q309" s="12"/>
      <c r="R309" s="12" t="s">
        <v>16</v>
      </c>
      <c r="T309">
        <f t="shared" si="14"/>
        <v>2.61</v>
      </c>
      <c r="U309" t="str">
        <f t="shared" si="12"/>
        <v>dead</v>
      </c>
      <c r="V309" t="e">
        <f t="shared" si="13"/>
        <v>#VALUE!</v>
      </c>
    </row>
    <row r="310" spans="1:23">
      <c r="A310" s="9">
        <v>20</v>
      </c>
      <c r="B310" s="9">
        <v>-10</v>
      </c>
      <c r="C310" s="11">
        <v>22.085349303121198</v>
      </c>
      <c r="D310" s="11">
        <v>-9.5621753675044623</v>
      </c>
      <c r="E310" s="11"/>
      <c r="F310" s="12">
        <v>414</v>
      </c>
      <c r="G310" s="12" t="s">
        <v>13</v>
      </c>
      <c r="H310" s="13"/>
      <c r="I310" s="14">
        <v>2.62</v>
      </c>
      <c r="J310" s="14"/>
      <c r="K310" s="14">
        <v>29.4</v>
      </c>
      <c r="L310" s="13">
        <v>3</v>
      </c>
      <c r="M310" s="13">
        <v>1.3</v>
      </c>
      <c r="P310" s="12" t="s">
        <v>14</v>
      </c>
      <c r="Q310" s="12"/>
      <c r="R310" s="12"/>
      <c r="T310">
        <f t="shared" si="14"/>
        <v>2.62</v>
      </c>
      <c r="U310">
        <f t="shared" si="12"/>
        <v>2.94</v>
      </c>
      <c r="V310">
        <f t="shared" si="13"/>
        <v>0.31999999999999984</v>
      </c>
    </row>
    <row r="311" spans="1:23">
      <c r="A311" s="12">
        <v>40</v>
      </c>
      <c r="B311" s="12">
        <v>20</v>
      </c>
      <c r="C311" s="11">
        <v>42.218768942491181</v>
      </c>
      <c r="D311" s="11">
        <v>29.27455042198882</v>
      </c>
      <c r="E311" s="11"/>
      <c r="F311" s="10">
        <v>293</v>
      </c>
      <c r="G311" s="12" t="s">
        <v>13</v>
      </c>
      <c r="H311" s="13"/>
      <c r="I311" s="14">
        <v>2.65</v>
      </c>
      <c r="J311" s="14" t="s">
        <v>70</v>
      </c>
      <c r="K311" s="14"/>
      <c r="L311" s="13">
        <v>2.9</v>
      </c>
      <c r="M311" s="13">
        <v>2</v>
      </c>
      <c r="P311" s="12" t="s">
        <v>14</v>
      </c>
      <c r="Q311" s="12"/>
      <c r="R311" s="12"/>
      <c r="T311">
        <f t="shared" si="14"/>
        <v>2.65</v>
      </c>
      <c r="U311" t="str">
        <f t="shared" si="12"/>
        <v>dead</v>
      </c>
      <c r="V311" t="e">
        <f t="shared" si="13"/>
        <v>#VALUE!</v>
      </c>
      <c r="W311" s="27"/>
    </row>
    <row r="312" spans="1:23">
      <c r="A312" s="12">
        <v>40</v>
      </c>
      <c r="B312" s="12">
        <v>-20</v>
      </c>
      <c r="C312" s="11">
        <v>49.449481850504085</v>
      </c>
      <c r="D312" s="11">
        <v>-10.098958359898518</v>
      </c>
      <c r="E312" s="11"/>
      <c r="F312" s="12">
        <v>504</v>
      </c>
      <c r="G312" s="12" t="s">
        <v>13</v>
      </c>
      <c r="H312" s="13"/>
      <c r="I312" s="14">
        <v>2.65</v>
      </c>
      <c r="J312" s="14"/>
      <c r="K312" s="14">
        <v>25.3</v>
      </c>
      <c r="L312" s="13">
        <v>3.2</v>
      </c>
      <c r="M312" s="13">
        <v>1.5</v>
      </c>
      <c r="P312" s="12" t="s">
        <v>14</v>
      </c>
      <c r="Q312" s="12"/>
      <c r="R312" s="12"/>
      <c r="T312">
        <f t="shared" si="14"/>
        <v>2.65</v>
      </c>
      <c r="U312">
        <f t="shared" si="12"/>
        <v>2.5300000000000002</v>
      </c>
      <c r="V312">
        <f t="shared" si="13"/>
        <v>-0.11999999999999966</v>
      </c>
    </row>
    <row r="313" spans="1:23">
      <c r="A313" s="12">
        <v>20</v>
      </c>
      <c r="B313" s="12">
        <v>0</v>
      </c>
      <c r="C313" s="11">
        <v>29.525739770440893</v>
      </c>
      <c r="D313" s="11">
        <v>6.8449384092072521</v>
      </c>
      <c r="E313" s="11"/>
      <c r="F313" s="12">
        <v>124</v>
      </c>
      <c r="G313" s="12" t="s">
        <v>11</v>
      </c>
      <c r="H313" s="13"/>
      <c r="I313" s="14">
        <v>2.67</v>
      </c>
      <c r="J313" s="14">
        <v>12.2</v>
      </c>
      <c r="K313" s="14"/>
      <c r="L313" s="13">
        <v>3.2</v>
      </c>
      <c r="M313" s="13">
        <v>1.2</v>
      </c>
      <c r="P313" s="12" t="s">
        <v>14</v>
      </c>
      <c r="Q313" s="12"/>
      <c r="R313" s="12"/>
      <c r="T313">
        <f t="shared" si="14"/>
        <v>2.67</v>
      </c>
      <c r="U313">
        <f t="shared" si="12"/>
        <v>3.883380611442246</v>
      </c>
      <c r="V313">
        <f t="shared" si="13"/>
        <v>1.2133806114422461</v>
      </c>
    </row>
    <row r="314" spans="1:23">
      <c r="A314" s="12">
        <v>40</v>
      </c>
      <c r="B314" s="12">
        <v>-10</v>
      </c>
      <c r="C314" s="11">
        <v>43.779331656060187</v>
      </c>
      <c r="D314" s="11">
        <v>-9.7158306253282198</v>
      </c>
      <c r="E314" s="11"/>
      <c r="F314" s="12">
        <v>454</v>
      </c>
      <c r="G314" s="12" t="s">
        <v>13</v>
      </c>
      <c r="H314" s="13"/>
      <c r="I314" s="14">
        <v>2.69</v>
      </c>
      <c r="J314" s="14">
        <v>9.6</v>
      </c>
      <c r="K314" s="14"/>
      <c r="L314" s="13">
        <v>2.2999999999999998</v>
      </c>
      <c r="M314" s="13">
        <v>1.3</v>
      </c>
      <c r="P314" s="12" t="s">
        <v>14</v>
      </c>
      <c r="Q314" s="12"/>
      <c r="R314" s="12" t="s">
        <v>36</v>
      </c>
      <c r="T314">
        <f t="shared" si="14"/>
        <v>2.69</v>
      </c>
      <c r="U314">
        <f t="shared" si="12"/>
        <v>3.0557749073643903</v>
      </c>
      <c r="V314">
        <f t="shared" si="13"/>
        <v>0.36577490736439033</v>
      </c>
    </row>
    <row r="315" spans="1:23">
      <c r="A315" s="12">
        <v>40</v>
      </c>
      <c r="B315" s="12">
        <v>0</v>
      </c>
      <c r="C315" s="11">
        <v>40.363569407803752</v>
      </c>
      <c r="D315" s="11">
        <v>7.678294315441935</v>
      </c>
      <c r="E315" s="11"/>
      <c r="F315" s="12">
        <v>272</v>
      </c>
      <c r="G315" s="12" t="s">
        <v>11</v>
      </c>
      <c r="H315" s="13"/>
      <c r="I315" s="14">
        <v>2.7</v>
      </c>
      <c r="J315" s="14">
        <v>12.3</v>
      </c>
      <c r="K315" s="14"/>
      <c r="L315" s="13">
        <v>3.5</v>
      </c>
      <c r="M315" s="13">
        <v>0.8</v>
      </c>
      <c r="P315" s="12" t="s">
        <v>14</v>
      </c>
      <c r="Q315" s="12"/>
      <c r="R315" s="12"/>
      <c r="T315">
        <f t="shared" si="14"/>
        <v>2.7</v>
      </c>
      <c r="U315">
        <f t="shared" si="12"/>
        <v>3.9152116000606259</v>
      </c>
      <c r="V315">
        <f t="shared" si="13"/>
        <v>1.2152116000606257</v>
      </c>
    </row>
    <row r="316" spans="1:23">
      <c r="A316" s="12">
        <v>40</v>
      </c>
      <c r="B316" s="12">
        <v>30</v>
      </c>
      <c r="C316" s="11">
        <v>49.773513708524909</v>
      </c>
      <c r="D316" s="11">
        <v>30.732767189728435</v>
      </c>
      <c r="E316" s="11"/>
      <c r="F316" s="12">
        <v>328</v>
      </c>
      <c r="G316" s="12" t="s">
        <v>30</v>
      </c>
      <c r="H316" s="13"/>
      <c r="I316" s="14">
        <v>2.71</v>
      </c>
      <c r="J316" s="14"/>
      <c r="K316" s="14">
        <v>10</v>
      </c>
      <c r="L316" s="13">
        <v>3.5</v>
      </c>
      <c r="M316" s="13">
        <v>1.3</v>
      </c>
      <c r="P316" s="12" t="s">
        <v>14</v>
      </c>
      <c r="Q316" s="12"/>
      <c r="R316" s="12"/>
      <c r="T316">
        <f t="shared" si="14"/>
        <v>2.71</v>
      </c>
      <c r="U316">
        <f t="shared" si="12"/>
        <v>1</v>
      </c>
      <c r="V316">
        <f t="shared" si="13"/>
        <v>-1.71</v>
      </c>
    </row>
    <row r="317" spans="1:23">
      <c r="A317" s="12">
        <v>10</v>
      </c>
      <c r="B317" s="12">
        <v>40</v>
      </c>
      <c r="C317" s="11">
        <v>17.956442225570612</v>
      </c>
      <c r="D317" s="11">
        <v>43.611976138150581</v>
      </c>
      <c r="E317" s="11"/>
      <c r="F317" s="12">
        <v>80</v>
      </c>
      <c r="G317" s="12" t="s">
        <v>11</v>
      </c>
      <c r="H317" s="13"/>
      <c r="I317" s="14">
        <v>2.74</v>
      </c>
      <c r="J317" s="14" t="s">
        <v>70</v>
      </c>
      <c r="K317" s="14"/>
      <c r="L317" s="13">
        <v>3.8</v>
      </c>
      <c r="M317" s="13"/>
      <c r="N317" s="32"/>
      <c r="O317" s="32"/>
      <c r="P317" s="12" t="s">
        <v>12</v>
      </c>
      <c r="Q317" s="12"/>
      <c r="R317" s="12"/>
      <c r="S317" s="32" t="s">
        <v>78</v>
      </c>
      <c r="T317">
        <f t="shared" si="14"/>
        <v>2.74</v>
      </c>
      <c r="U317" t="str">
        <f t="shared" si="12"/>
        <v>dead</v>
      </c>
      <c r="V317" t="e">
        <f t="shared" si="13"/>
        <v>#VALUE!</v>
      </c>
    </row>
    <row r="318" spans="1:23">
      <c r="A318" s="12">
        <v>20</v>
      </c>
      <c r="B318" s="12">
        <v>-20</v>
      </c>
      <c r="C318" s="11">
        <v>29.713889649171939</v>
      </c>
      <c r="D318" s="11">
        <v>-12.910675840863741</v>
      </c>
      <c r="E318" s="11"/>
      <c r="F318" s="12">
        <v>536</v>
      </c>
      <c r="G318" s="12" t="s">
        <v>13</v>
      </c>
      <c r="H318" s="13"/>
      <c r="I318" s="14">
        <v>2.77</v>
      </c>
      <c r="J318" s="14">
        <v>9</v>
      </c>
      <c r="K318" s="14"/>
      <c r="L318" s="13">
        <v>2.4</v>
      </c>
      <c r="M318" s="13">
        <v>1.8</v>
      </c>
      <c r="P318" s="12" t="s">
        <v>14</v>
      </c>
      <c r="Q318" s="12"/>
      <c r="R318" s="12"/>
      <c r="T318">
        <f t="shared" si="14"/>
        <v>2.77</v>
      </c>
      <c r="U318">
        <f t="shared" si="12"/>
        <v>2.8647889756541161</v>
      </c>
      <c r="V318">
        <f t="shared" si="13"/>
        <v>9.4788975654116037E-2</v>
      </c>
    </row>
    <row r="319" spans="1:23">
      <c r="A319" s="12">
        <v>20</v>
      </c>
      <c r="B319" s="12">
        <v>-20</v>
      </c>
      <c r="C319" s="11">
        <v>26.831865447207264</v>
      </c>
      <c r="D319" s="11">
        <v>-13.479171223085471</v>
      </c>
      <c r="E319" s="11"/>
      <c r="F319" s="12">
        <v>554</v>
      </c>
      <c r="G319" s="12" t="s">
        <v>13</v>
      </c>
      <c r="H319" s="13"/>
      <c r="I319" s="14">
        <v>2.8</v>
      </c>
      <c r="J319" s="14">
        <v>10</v>
      </c>
      <c r="K319" s="14"/>
      <c r="L319" s="13">
        <v>4.2</v>
      </c>
      <c r="M319" s="13">
        <v>1.1000000000000001</v>
      </c>
      <c r="P319" s="12" t="s">
        <v>14</v>
      </c>
      <c r="Q319" s="12"/>
      <c r="R319" s="12"/>
      <c r="T319">
        <f t="shared" si="14"/>
        <v>2.8</v>
      </c>
      <c r="U319">
        <f t="shared" si="12"/>
        <v>3.183098861837907</v>
      </c>
      <c r="V319">
        <f t="shared" si="13"/>
        <v>0.3830988618379072</v>
      </c>
      <c r="W319" s="27"/>
    </row>
    <row r="320" spans="1:23">
      <c r="A320" s="12">
        <v>30</v>
      </c>
      <c r="B320" s="12">
        <v>0</v>
      </c>
      <c r="C320" s="11">
        <v>34.144984640554</v>
      </c>
      <c r="D320" s="11">
        <v>6.625994983282995</v>
      </c>
      <c r="E320" s="11"/>
      <c r="F320" s="12">
        <v>256</v>
      </c>
      <c r="G320" s="12" t="s">
        <v>21</v>
      </c>
      <c r="H320" s="13">
        <v>8.8000000000000007</v>
      </c>
      <c r="I320" s="14"/>
      <c r="J320" s="14">
        <v>10.7</v>
      </c>
      <c r="K320" s="14"/>
      <c r="L320" s="13">
        <v>4.0999999999999996</v>
      </c>
      <c r="M320" s="13">
        <v>1.3</v>
      </c>
      <c r="P320" s="12" t="s">
        <v>14</v>
      </c>
      <c r="Q320" s="12"/>
      <c r="R320" s="12"/>
      <c r="T320">
        <f t="shared" si="14"/>
        <v>2.8011269984173581</v>
      </c>
      <c r="U320">
        <f t="shared" si="12"/>
        <v>3.4059157821665602</v>
      </c>
      <c r="V320">
        <f t="shared" si="13"/>
        <v>0.60478878374920209</v>
      </c>
    </row>
    <row r="321" spans="1:23">
      <c r="A321" s="12">
        <v>30</v>
      </c>
      <c r="B321" s="12">
        <v>10</v>
      </c>
      <c r="C321" s="11">
        <v>31.999387380366926</v>
      </c>
      <c r="D321" s="11">
        <v>17.176163938322645</v>
      </c>
      <c r="E321" s="11"/>
      <c r="F321" s="10">
        <v>227</v>
      </c>
      <c r="G321" s="12" t="s">
        <v>13</v>
      </c>
      <c r="H321" s="13">
        <v>8.9</v>
      </c>
      <c r="I321" s="14"/>
      <c r="J321" s="14">
        <v>9.3000000000000007</v>
      </c>
      <c r="K321" s="14"/>
      <c r="L321" s="13">
        <v>3.1</v>
      </c>
      <c r="M321" s="13">
        <v>1.1000000000000001</v>
      </c>
      <c r="P321" s="12" t="s">
        <v>14</v>
      </c>
      <c r="Q321" s="12"/>
      <c r="R321" s="12"/>
      <c r="T321">
        <f t="shared" si="14"/>
        <v>2.8329579870357371</v>
      </c>
      <c r="U321">
        <f t="shared" si="12"/>
        <v>2.9602819415092534</v>
      </c>
      <c r="V321">
        <f t="shared" si="13"/>
        <v>0.1273239544735163</v>
      </c>
    </row>
    <row r="322" spans="1:23">
      <c r="A322" s="12">
        <v>0</v>
      </c>
      <c r="B322" s="12">
        <v>-30</v>
      </c>
      <c r="C322" s="11">
        <v>4.2577377029180168</v>
      </c>
      <c r="D322" s="11">
        <v>-22.874209476824216</v>
      </c>
      <c r="E322" s="11"/>
      <c r="F322" s="10">
        <v>605</v>
      </c>
      <c r="G322" s="12" t="s">
        <v>11</v>
      </c>
      <c r="H322" s="13">
        <v>8.9</v>
      </c>
      <c r="I322" s="14"/>
      <c r="J322" s="14">
        <v>10.7</v>
      </c>
      <c r="K322" s="14"/>
      <c r="L322" s="13">
        <v>3.1</v>
      </c>
      <c r="M322" s="13">
        <v>0.5</v>
      </c>
      <c r="P322" s="12" t="s">
        <v>14</v>
      </c>
      <c r="Q322" s="12"/>
      <c r="R322" s="12"/>
      <c r="S322" t="s">
        <v>106</v>
      </c>
      <c r="T322">
        <f t="shared" si="14"/>
        <v>2.8329579870357371</v>
      </c>
      <c r="U322">
        <f t="shared" ref="U322:U385" si="15">IF(J322="dead","dead",J322/PI()+K322/10)</f>
        <v>3.4059157821665602</v>
      </c>
      <c r="V322">
        <f t="shared" ref="V322:V385" si="16">U322-T322</f>
        <v>0.57295779513082312</v>
      </c>
    </row>
    <row r="323" spans="1:23">
      <c r="A323" s="9">
        <v>0</v>
      </c>
      <c r="B323" s="9">
        <v>0</v>
      </c>
      <c r="C323" s="11">
        <v>4.3847909736452664</v>
      </c>
      <c r="D323" s="11">
        <v>9.0804742579218729</v>
      </c>
      <c r="E323" s="11"/>
      <c r="F323" s="12">
        <v>8</v>
      </c>
      <c r="G323" s="12" t="s">
        <v>13</v>
      </c>
      <c r="H323" s="13"/>
      <c r="I323" s="14">
        <v>2.84</v>
      </c>
      <c r="J323" s="14">
        <v>10.1</v>
      </c>
      <c r="K323" s="14"/>
      <c r="L323" s="13">
        <v>4</v>
      </c>
      <c r="M323" s="13">
        <v>1.6</v>
      </c>
      <c r="P323" s="12" t="s">
        <v>14</v>
      </c>
      <c r="Q323" s="12"/>
      <c r="R323" s="12"/>
      <c r="T323">
        <f t="shared" si="14"/>
        <v>2.84</v>
      </c>
      <c r="U323">
        <f t="shared" si="15"/>
        <v>3.214929850456286</v>
      </c>
      <c r="V323">
        <f t="shared" si="16"/>
        <v>0.37492985045628613</v>
      </c>
    </row>
    <row r="324" spans="1:23">
      <c r="A324" s="12">
        <v>30</v>
      </c>
      <c r="B324" s="12">
        <v>-20</v>
      </c>
      <c r="C324" s="11">
        <v>34.082172203010693</v>
      </c>
      <c r="D324" s="11">
        <v>-14.205581311207848</v>
      </c>
      <c r="E324" s="11"/>
      <c r="F324" s="10">
        <v>525</v>
      </c>
      <c r="G324" s="12" t="s">
        <v>11</v>
      </c>
      <c r="H324" s="13"/>
      <c r="I324" s="14">
        <v>2.85</v>
      </c>
      <c r="J324" s="14" t="s">
        <v>70</v>
      </c>
      <c r="K324" s="14"/>
      <c r="L324" s="13">
        <v>3.7</v>
      </c>
      <c r="M324" s="13"/>
      <c r="P324" s="12" t="s">
        <v>12</v>
      </c>
      <c r="Q324" s="12"/>
      <c r="R324" s="12"/>
      <c r="T324">
        <f t="shared" si="14"/>
        <v>2.85</v>
      </c>
      <c r="U324" t="str">
        <f t="shared" si="15"/>
        <v>dead</v>
      </c>
      <c r="V324" t="e">
        <f t="shared" si="16"/>
        <v>#VALUE!</v>
      </c>
    </row>
    <row r="325" spans="1:23">
      <c r="A325" s="12">
        <v>40</v>
      </c>
      <c r="B325" s="12">
        <v>-20</v>
      </c>
      <c r="C325" s="11">
        <v>49.102832546654355</v>
      </c>
      <c r="D325" s="11">
        <v>-16.139938080108806</v>
      </c>
      <c r="E325" s="11"/>
      <c r="F325" s="12">
        <v>508</v>
      </c>
      <c r="G325" s="12" t="s">
        <v>13</v>
      </c>
      <c r="H325" s="13"/>
      <c r="I325" s="14">
        <v>2.89</v>
      </c>
      <c r="J325" s="14">
        <v>10.4</v>
      </c>
      <c r="K325" s="14"/>
      <c r="L325" s="13">
        <v>3.7</v>
      </c>
      <c r="M325" s="13">
        <v>1.3</v>
      </c>
      <c r="P325" s="12" t="s">
        <v>14</v>
      </c>
      <c r="Q325" s="12"/>
      <c r="R325" s="12"/>
      <c r="T325">
        <f t="shared" ref="T325:T388" si="17">H325/PI()+I325</f>
        <v>2.89</v>
      </c>
      <c r="U325">
        <f t="shared" si="15"/>
        <v>3.3104228163114233</v>
      </c>
      <c r="V325">
        <f t="shared" si="16"/>
        <v>0.4204228163114232</v>
      </c>
    </row>
    <row r="326" spans="1:23">
      <c r="A326" s="9">
        <v>0</v>
      </c>
      <c r="B326" s="12">
        <v>10</v>
      </c>
      <c r="C326" s="11">
        <v>6.9886929587789961</v>
      </c>
      <c r="D326" s="11">
        <v>17.927321735838202</v>
      </c>
      <c r="E326" s="11"/>
      <c r="F326" s="10">
        <v>23</v>
      </c>
      <c r="G326" s="12" t="s">
        <v>13</v>
      </c>
      <c r="H326" s="13">
        <v>9.1</v>
      </c>
      <c r="I326" s="14"/>
      <c r="J326" s="14">
        <v>9.3000000000000007</v>
      </c>
      <c r="K326" s="14"/>
      <c r="L326" s="13">
        <v>2.9</v>
      </c>
      <c r="M326" s="13">
        <v>1.1000000000000001</v>
      </c>
      <c r="P326" s="12" t="s">
        <v>14</v>
      </c>
      <c r="Q326" s="12"/>
      <c r="R326" s="12"/>
      <c r="T326">
        <f t="shared" si="17"/>
        <v>2.896619964272495</v>
      </c>
      <c r="U326">
        <f t="shared" si="15"/>
        <v>2.9602819415092534</v>
      </c>
      <c r="V326">
        <f t="shared" si="16"/>
        <v>6.3661977236758371E-2</v>
      </c>
    </row>
    <row r="327" spans="1:23">
      <c r="A327" s="12">
        <v>10</v>
      </c>
      <c r="B327" s="12">
        <v>40</v>
      </c>
      <c r="C327" s="11">
        <v>18.446376209973945</v>
      </c>
      <c r="D327" s="11">
        <v>46.095108950549211</v>
      </c>
      <c r="E327" s="11"/>
      <c r="F327" s="10">
        <v>79</v>
      </c>
      <c r="G327" s="12" t="s">
        <v>11</v>
      </c>
      <c r="H327" s="13">
        <v>9.1</v>
      </c>
      <c r="I327" s="14"/>
      <c r="J327" s="14">
        <v>12</v>
      </c>
      <c r="K327" s="14"/>
      <c r="L327" s="13">
        <v>3</v>
      </c>
      <c r="M327" s="13">
        <v>0.4</v>
      </c>
      <c r="P327" s="12" t="s">
        <v>14</v>
      </c>
      <c r="Q327" s="12"/>
      <c r="R327" s="12"/>
      <c r="T327">
        <f t="shared" si="17"/>
        <v>2.896619964272495</v>
      </c>
      <c r="U327">
        <f t="shared" si="15"/>
        <v>3.8197186342054881</v>
      </c>
      <c r="V327">
        <f t="shared" si="16"/>
        <v>0.92309866993299305</v>
      </c>
    </row>
    <row r="328" spans="1:23">
      <c r="A328" s="12">
        <v>30</v>
      </c>
      <c r="B328" s="12">
        <v>0</v>
      </c>
      <c r="C328" s="11">
        <v>33.495999755650672</v>
      </c>
      <c r="D328" s="11">
        <v>9.0689354720097679</v>
      </c>
      <c r="E328" s="11"/>
      <c r="F328" s="10">
        <v>251</v>
      </c>
      <c r="G328" s="12" t="s">
        <v>13</v>
      </c>
      <c r="H328" s="13"/>
      <c r="I328" s="14">
        <v>2.9</v>
      </c>
      <c r="J328" s="14" t="s">
        <v>70</v>
      </c>
      <c r="K328" s="14"/>
      <c r="L328" s="13">
        <v>1.4</v>
      </c>
      <c r="M328" s="13"/>
      <c r="P328" s="12" t="s">
        <v>12</v>
      </c>
      <c r="Q328" s="12"/>
      <c r="R328" s="12"/>
      <c r="T328">
        <f t="shared" si="17"/>
        <v>2.9</v>
      </c>
      <c r="U328" t="str">
        <f t="shared" si="15"/>
        <v>dead</v>
      </c>
      <c r="V328" t="e">
        <f t="shared" si="16"/>
        <v>#VALUE!</v>
      </c>
    </row>
    <row r="329" spans="1:23">
      <c r="A329" s="12">
        <v>10</v>
      </c>
      <c r="B329" s="12">
        <v>20</v>
      </c>
      <c r="C329" s="11">
        <v>10.120495513001957</v>
      </c>
      <c r="D329" s="11">
        <v>24.04790940749756</v>
      </c>
      <c r="E329" s="11"/>
      <c r="F329" s="10">
        <v>99</v>
      </c>
      <c r="G329" s="12" t="s">
        <v>11</v>
      </c>
      <c r="H329" s="13">
        <v>9.1999999999999993</v>
      </c>
      <c r="I329" s="14"/>
      <c r="J329" s="14">
        <v>13.1</v>
      </c>
      <c r="K329" s="14"/>
      <c r="L329" s="13">
        <v>3.6</v>
      </c>
      <c r="M329" s="13">
        <v>0.2</v>
      </c>
      <c r="P329" s="12" t="s">
        <v>14</v>
      </c>
      <c r="Q329" s="12"/>
      <c r="R329" s="12"/>
      <c r="T329">
        <f t="shared" si="17"/>
        <v>2.928450952890874</v>
      </c>
      <c r="U329">
        <f t="shared" si="15"/>
        <v>4.169859509007658</v>
      </c>
      <c r="V329">
        <f t="shared" si="16"/>
        <v>1.241408556116784</v>
      </c>
    </row>
    <row r="330" spans="1:23">
      <c r="A330" s="12">
        <v>20</v>
      </c>
      <c r="B330" s="12">
        <v>40</v>
      </c>
      <c r="C330" s="11">
        <v>25.791475915445979</v>
      </c>
      <c r="D330" s="11">
        <v>46.638893486177437</v>
      </c>
      <c r="E330" s="11"/>
      <c r="F330" s="12">
        <v>198</v>
      </c>
      <c r="G330" s="12" t="s">
        <v>13</v>
      </c>
      <c r="H330" s="13">
        <v>9.1999999999999993</v>
      </c>
      <c r="I330" s="14"/>
      <c r="J330" s="14" t="s">
        <v>70</v>
      </c>
      <c r="K330" s="14"/>
      <c r="L330" s="13">
        <v>2.8</v>
      </c>
      <c r="M330" s="13"/>
      <c r="P330" s="12" t="s">
        <v>12</v>
      </c>
      <c r="Q330" s="12"/>
      <c r="R330" s="12"/>
      <c r="T330">
        <f t="shared" si="17"/>
        <v>2.928450952890874</v>
      </c>
      <c r="U330" t="str">
        <f t="shared" si="15"/>
        <v>dead</v>
      </c>
      <c r="V330" t="e">
        <f t="shared" si="16"/>
        <v>#VALUE!</v>
      </c>
    </row>
    <row r="331" spans="1:23" s="27" customFormat="1">
      <c r="A331" s="12">
        <v>40</v>
      </c>
      <c r="B331" s="12">
        <v>-20</v>
      </c>
      <c r="C331" s="11">
        <v>47.913619609306409</v>
      </c>
      <c r="D331" s="11">
        <v>-10.317843796857876</v>
      </c>
      <c r="E331" s="11"/>
      <c r="F331" s="12">
        <v>502</v>
      </c>
      <c r="G331" s="12" t="s">
        <v>13</v>
      </c>
      <c r="H331" s="13">
        <v>9.1999999999999993</v>
      </c>
      <c r="I331" s="14"/>
      <c r="J331" s="14">
        <v>9.4</v>
      </c>
      <c r="K331" s="14"/>
      <c r="L331" s="13">
        <v>2.7</v>
      </c>
      <c r="M331" s="13">
        <v>1.7</v>
      </c>
      <c r="N331"/>
      <c r="O331"/>
      <c r="P331" s="12" t="s">
        <v>14</v>
      </c>
      <c r="Q331" s="12"/>
      <c r="R331" s="12"/>
      <c r="S331"/>
      <c r="T331">
        <f t="shared" si="17"/>
        <v>2.928450952890874</v>
      </c>
      <c r="U331">
        <f t="shared" si="15"/>
        <v>2.9921129301276324</v>
      </c>
      <c r="V331">
        <f t="shared" si="16"/>
        <v>6.3661977236758371E-2</v>
      </c>
      <c r="W331"/>
    </row>
    <row r="332" spans="1:23">
      <c r="A332" s="12">
        <v>30</v>
      </c>
      <c r="B332" s="12">
        <v>10</v>
      </c>
      <c r="C332" s="11">
        <v>32.324126605413987</v>
      </c>
      <c r="D332" s="11">
        <v>17.643193787769803</v>
      </c>
      <c r="E332" s="11"/>
      <c r="F332" s="10">
        <v>219</v>
      </c>
      <c r="G332" s="12" t="s">
        <v>13</v>
      </c>
      <c r="H332" s="13"/>
      <c r="I332" s="14">
        <v>2.93</v>
      </c>
      <c r="J332" s="14">
        <v>9.9</v>
      </c>
      <c r="K332" s="14"/>
      <c r="L332" s="13">
        <v>4.2</v>
      </c>
      <c r="M332" s="13">
        <v>1.7</v>
      </c>
      <c r="P332" s="12" t="s">
        <v>14</v>
      </c>
      <c r="Q332" s="12"/>
      <c r="R332" s="12"/>
      <c r="T332">
        <f t="shared" si="17"/>
        <v>2.93</v>
      </c>
      <c r="U332">
        <f t="shared" si="15"/>
        <v>3.1512678732195281</v>
      </c>
      <c r="V332">
        <f t="shared" si="16"/>
        <v>0.2212678732195279</v>
      </c>
    </row>
    <row r="333" spans="1:23">
      <c r="A333" s="12">
        <v>30</v>
      </c>
      <c r="B333" s="12">
        <v>0</v>
      </c>
      <c r="C333" s="11">
        <v>33.861205161092634</v>
      </c>
      <c r="D333" s="11">
        <v>9.3143433199608303</v>
      </c>
      <c r="E333" s="11"/>
      <c r="F333" s="10">
        <v>249</v>
      </c>
      <c r="G333" s="12" t="s">
        <v>13</v>
      </c>
      <c r="H333" s="13"/>
      <c r="I333" s="14">
        <v>2.93</v>
      </c>
      <c r="J333" s="14">
        <v>9.9</v>
      </c>
      <c r="K333" s="14"/>
      <c r="L333" s="13">
        <v>3.8</v>
      </c>
      <c r="M333" s="13">
        <v>1.7</v>
      </c>
      <c r="P333" s="12" t="s">
        <v>14</v>
      </c>
      <c r="Q333" s="12"/>
      <c r="R333" s="12"/>
      <c r="T333">
        <f t="shared" si="17"/>
        <v>2.93</v>
      </c>
      <c r="U333">
        <f t="shared" si="15"/>
        <v>3.1512678732195281</v>
      </c>
      <c r="V333">
        <f t="shared" si="16"/>
        <v>0.2212678732195279</v>
      </c>
    </row>
    <row r="334" spans="1:23">
      <c r="A334" s="12">
        <v>20</v>
      </c>
      <c r="B334" s="12">
        <v>-30</v>
      </c>
      <c r="C334" s="11">
        <v>21.358357107595999</v>
      </c>
      <c r="D334" s="11">
        <v>-22.250979369111008</v>
      </c>
      <c r="E334" s="11"/>
      <c r="F334" s="12">
        <v>634</v>
      </c>
      <c r="G334" s="12" t="s">
        <v>11</v>
      </c>
      <c r="H334" s="13"/>
      <c r="I334" s="14">
        <v>2.94</v>
      </c>
      <c r="J334" s="14" t="s">
        <v>70</v>
      </c>
      <c r="K334" s="14"/>
      <c r="L334" s="13">
        <v>4.0999999999999996</v>
      </c>
      <c r="M334" s="13">
        <v>0.3</v>
      </c>
      <c r="P334" s="12" t="s">
        <v>14</v>
      </c>
      <c r="Q334" s="12"/>
      <c r="R334" s="12"/>
      <c r="T334">
        <f t="shared" si="17"/>
        <v>2.94</v>
      </c>
      <c r="U334" t="str">
        <f t="shared" si="15"/>
        <v>dead</v>
      </c>
      <c r="V334" t="e">
        <f t="shared" si="16"/>
        <v>#VALUE!</v>
      </c>
    </row>
    <row r="335" spans="1:23">
      <c r="A335" s="12">
        <v>20</v>
      </c>
      <c r="B335" s="12">
        <v>-30</v>
      </c>
      <c r="C335" s="11">
        <v>24.416937663290781</v>
      </c>
      <c r="D335" s="11">
        <v>-26.422578527695791</v>
      </c>
      <c r="E335" s="11"/>
      <c r="F335" s="10">
        <v>645</v>
      </c>
      <c r="G335" s="12" t="s">
        <v>13</v>
      </c>
      <c r="H335" s="13"/>
      <c r="I335" s="14">
        <v>2.94</v>
      </c>
      <c r="J335" s="14">
        <v>10.4</v>
      </c>
      <c r="K335" s="14"/>
      <c r="L335" s="13">
        <v>5.4</v>
      </c>
      <c r="M335" s="13">
        <v>2.1</v>
      </c>
      <c r="P335" s="12" t="s">
        <v>14</v>
      </c>
      <c r="Q335" s="12"/>
      <c r="R335" s="12"/>
      <c r="T335">
        <f t="shared" si="17"/>
        <v>2.94</v>
      </c>
      <c r="U335">
        <f t="shared" si="15"/>
        <v>3.3104228163114233</v>
      </c>
      <c r="V335">
        <f t="shared" si="16"/>
        <v>0.37042281631142338</v>
      </c>
    </row>
    <row r="336" spans="1:23" s="27" customFormat="1">
      <c r="A336" s="12">
        <v>40</v>
      </c>
      <c r="B336" s="12">
        <v>-10</v>
      </c>
      <c r="C336" s="11">
        <v>48.306777815709822</v>
      </c>
      <c r="D336" s="11">
        <v>-3.1315489194051551</v>
      </c>
      <c r="E336" s="11"/>
      <c r="F336" s="12">
        <v>468</v>
      </c>
      <c r="G336" s="12" t="s">
        <v>13</v>
      </c>
      <c r="H336" s="13">
        <v>9.3000000000000007</v>
      </c>
      <c r="I336" s="14"/>
      <c r="J336" s="14">
        <v>10.199999999999999</v>
      </c>
      <c r="K336" s="14"/>
      <c r="L336" s="13">
        <v>4</v>
      </c>
      <c r="M336" s="13">
        <v>2.5</v>
      </c>
      <c r="N336"/>
      <c r="O336"/>
      <c r="P336" s="12" t="s">
        <v>14</v>
      </c>
      <c r="Q336" s="12"/>
      <c r="R336" s="12"/>
      <c r="S336"/>
      <c r="T336">
        <f t="shared" si="17"/>
        <v>2.9602819415092534</v>
      </c>
      <c r="U336">
        <f t="shared" si="15"/>
        <v>3.246760839074665</v>
      </c>
      <c r="V336">
        <f t="shared" si="16"/>
        <v>0.28647889756541156</v>
      </c>
      <c r="W336"/>
    </row>
    <row r="337" spans="1:23">
      <c r="A337" s="12">
        <v>40</v>
      </c>
      <c r="B337" s="12">
        <v>-10</v>
      </c>
      <c r="C337" s="11">
        <v>48.401628678836474</v>
      </c>
      <c r="D337" s="11">
        <v>-3.0574023483476909</v>
      </c>
      <c r="E337" s="11"/>
      <c r="F337" s="10">
        <v>469</v>
      </c>
      <c r="G337" s="12" t="s">
        <v>13</v>
      </c>
      <c r="H337" s="13">
        <v>9.3000000000000007</v>
      </c>
      <c r="I337" s="14"/>
      <c r="J337" s="14">
        <v>9.1999999999999993</v>
      </c>
      <c r="K337" s="14"/>
      <c r="L337" s="13">
        <v>2.8</v>
      </c>
      <c r="M337" s="13">
        <v>1.6</v>
      </c>
      <c r="P337" s="12" t="s">
        <v>14</v>
      </c>
      <c r="Q337" s="12"/>
      <c r="R337" s="12"/>
      <c r="T337">
        <f t="shared" si="17"/>
        <v>2.9602819415092534</v>
      </c>
      <c r="U337">
        <f t="shared" si="15"/>
        <v>2.928450952890874</v>
      </c>
      <c r="V337">
        <f t="shared" si="16"/>
        <v>-3.1830988618379408E-2</v>
      </c>
    </row>
    <row r="338" spans="1:23">
      <c r="A338" s="12">
        <v>20</v>
      </c>
      <c r="B338" s="12">
        <v>-30</v>
      </c>
      <c r="C338" s="11">
        <v>29.843176006222272</v>
      </c>
      <c r="D338" s="11">
        <v>-24.727399521404511</v>
      </c>
      <c r="E338" s="11"/>
      <c r="F338" s="10">
        <v>659</v>
      </c>
      <c r="G338" s="12" t="s">
        <v>11</v>
      </c>
      <c r="H338" s="13">
        <v>9.3000000000000007</v>
      </c>
      <c r="I338" s="14"/>
      <c r="J338" s="14" t="s">
        <v>70</v>
      </c>
      <c r="K338" s="14"/>
      <c r="L338" s="13">
        <v>3.3</v>
      </c>
      <c r="M338" s="13"/>
      <c r="P338" s="12" t="s">
        <v>12</v>
      </c>
      <c r="Q338" s="12"/>
      <c r="R338" s="12"/>
      <c r="T338">
        <f t="shared" si="17"/>
        <v>2.9602819415092534</v>
      </c>
      <c r="U338" t="str">
        <f t="shared" si="15"/>
        <v>dead</v>
      </c>
      <c r="V338" t="e">
        <f t="shared" si="16"/>
        <v>#VALUE!</v>
      </c>
    </row>
    <row r="339" spans="1:23">
      <c r="A339" s="9">
        <v>0</v>
      </c>
      <c r="B339" s="12">
        <v>20</v>
      </c>
      <c r="C339" s="11">
        <v>8.9167524089241592</v>
      </c>
      <c r="D339" s="11">
        <v>22.422628010641585</v>
      </c>
      <c r="E339" s="11"/>
      <c r="F339" s="12">
        <v>36</v>
      </c>
      <c r="G339" s="12" t="s">
        <v>13</v>
      </c>
      <c r="H339" s="13">
        <v>9.4</v>
      </c>
      <c r="I339" s="14"/>
      <c r="J339" s="14">
        <v>12.3</v>
      </c>
      <c r="K339" s="14"/>
      <c r="L339" s="13">
        <v>4.5</v>
      </c>
      <c r="M339" s="13">
        <v>0.9</v>
      </c>
      <c r="P339" s="12" t="s">
        <v>14</v>
      </c>
      <c r="Q339" s="12"/>
      <c r="R339" s="12"/>
      <c r="T339">
        <f t="shared" si="17"/>
        <v>2.9921129301276324</v>
      </c>
      <c r="U339">
        <f t="shared" si="15"/>
        <v>3.9152116000606259</v>
      </c>
      <c r="V339">
        <f t="shared" si="16"/>
        <v>0.9230986699329935</v>
      </c>
    </row>
    <row r="340" spans="1:23">
      <c r="A340" s="12">
        <v>40</v>
      </c>
      <c r="B340" s="12">
        <v>40</v>
      </c>
      <c r="C340" s="11">
        <v>41.85837927428328</v>
      </c>
      <c r="D340" s="11">
        <v>49.432158393420885</v>
      </c>
      <c r="E340" s="11"/>
      <c r="F340" s="10">
        <v>365</v>
      </c>
      <c r="G340" s="12" t="s">
        <v>13</v>
      </c>
      <c r="H340" s="13">
        <v>9.4</v>
      </c>
      <c r="I340" s="14"/>
      <c r="J340" s="14">
        <v>9.8000000000000007</v>
      </c>
      <c r="K340" s="14"/>
      <c r="L340" s="13">
        <v>4.2</v>
      </c>
      <c r="M340" s="13">
        <v>1.4</v>
      </c>
      <c r="P340" s="12" t="s">
        <v>14</v>
      </c>
      <c r="Q340" s="12"/>
      <c r="R340" s="12"/>
      <c r="T340">
        <f t="shared" si="17"/>
        <v>2.9921129301276324</v>
      </c>
      <c r="U340">
        <f t="shared" si="15"/>
        <v>3.1194368846011491</v>
      </c>
      <c r="V340">
        <f t="shared" si="16"/>
        <v>0.12732395447351674</v>
      </c>
    </row>
    <row r="341" spans="1:23">
      <c r="A341" s="12">
        <v>40</v>
      </c>
      <c r="B341" s="12">
        <v>-30</v>
      </c>
      <c r="C341" s="11">
        <v>41.859970636357168</v>
      </c>
      <c r="D341" s="11">
        <v>-25.656915812060998</v>
      </c>
      <c r="E341" s="11"/>
      <c r="F341" s="12">
        <v>690</v>
      </c>
      <c r="G341" s="12" t="s">
        <v>13</v>
      </c>
      <c r="H341" s="13">
        <v>9.5</v>
      </c>
      <c r="I341" s="14"/>
      <c r="J341" s="14" t="s">
        <v>70</v>
      </c>
      <c r="K341" s="14"/>
      <c r="L341" s="13">
        <v>5</v>
      </c>
      <c r="M341" s="13">
        <v>0.2</v>
      </c>
      <c r="P341" s="12" t="s">
        <v>14</v>
      </c>
      <c r="Q341" s="12"/>
      <c r="R341" s="12"/>
      <c r="T341">
        <f t="shared" si="17"/>
        <v>3.0239439187460113</v>
      </c>
      <c r="U341" t="str">
        <f t="shared" si="15"/>
        <v>dead</v>
      </c>
      <c r="V341" t="e">
        <f t="shared" si="16"/>
        <v>#VALUE!</v>
      </c>
    </row>
    <row r="342" spans="1:23" s="27" customFormat="1">
      <c r="A342" s="12">
        <v>40</v>
      </c>
      <c r="B342" s="12">
        <v>20</v>
      </c>
      <c r="C342" s="11">
        <v>41.842468171835485</v>
      </c>
      <c r="D342" s="11">
        <v>29.62411282140144</v>
      </c>
      <c r="E342" s="11"/>
      <c r="F342" s="10">
        <v>309</v>
      </c>
      <c r="G342" s="12" t="s">
        <v>13</v>
      </c>
      <c r="H342" s="13"/>
      <c r="I342" s="14">
        <v>3.04</v>
      </c>
      <c r="J342" s="14">
        <v>10.1</v>
      </c>
      <c r="K342" s="14"/>
      <c r="L342" s="13">
        <v>5.0999999999999996</v>
      </c>
      <c r="M342" s="13">
        <v>2</v>
      </c>
      <c r="N342"/>
      <c r="O342"/>
      <c r="P342" s="12" t="s">
        <v>14</v>
      </c>
      <c r="Q342" s="12"/>
      <c r="R342" s="12"/>
      <c r="S342"/>
      <c r="T342">
        <f t="shared" si="17"/>
        <v>3.04</v>
      </c>
      <c r="U342">
        <f t="shared" si="15"/>
        <v>3.214929850456286</v>
      </c>
      <c r="V342">
        <f t="shared" si="16"/>
        <v>0.17492985045628595</v>
      </c>
      <c r="W342"/>
    </row>
    <row r="343" spans="1:23">
      <c r="A343" s="12">
        <v>0</v>
      </c>
      <c r="B343" s="12">
        <v>-20</v>
      </c>
      <c r="C343" s="11">
        <v>1.5226557831048269</v>
      </c>
      <c r="D343" s="11">
        <v>-17.833384923912359</v>
      </c>
      <c r="E343" s="11"/>
      <c r="F343" s="10">
        <v>587</v>
      </c>
      <c r="G343" s="12" t="s">
        <v>11</v>
      </c>
      <c r="H343" s="13"/>
      <c r="I343" s="14">
        <v>3.04</v>
      </c>
      <c r="J343" s="14">
        <v>12.4</v>
      </c>
      <c r="K343" s="14"/>
      <c r="L343" s="13">
        <v>3.9</v>
      </c>
      <c r="M343" s="13">
        <v>0.7</v>
      </c>
      <c r="P343" s="12" t="s">
        <v>14</v>
      </c>
      <c r="Q343" s="12"/>
      <c r="R343" s="12"/>
      <c r="T343">
        <f t="shared" si="17"/>
        <v>3.04</v>
      </c>
      <c r="U343">
        <f t="shared" si="15"/>
        <v>3.9470425886790048</v>
      </c>
      <c r="V343">
        <f t="shared" si="16"/>
        <v>0.90704258867900478</v>
      </c>
    </row>
    <row r="344" spans="1:23">
      <c r="A344" s="12">
        <v>20</v>
      </c>
      <c r="B344" s="12">
        <v>-20</v>
      </c>
      <c r="C344" s="11">
        <v>29.705651689543171</v>
      </c>
      <c r="D344" s="11">
        <v>-12.990784656740539</v>
      </c>
      <c r="E344" s="11"/>
      <c r="F344" s="10">
        <v>537</v>
      </c>
      <c r="G344" s="12" t="s">
        <v>13</v>
      </c>
      <c r="H344" s="13"/>
      <c r="I344" s="14">
        <v>3.08</v>
      </c>
      <c r="J344" s="14">
        <v>10.7</v>
      </c>
      <c r="K344" s="14"/>
      <c r="L344" s="13">
        <v>4.8</v>
      </c>
      <c r="M344" s="13">
        <v>2.2999999999999998</v>
      </c>
      <c r="P344" s="12" t="s">
        <v>14</v>
      </c>
      <c r="Q344" s="12"/>
      <c r="R344" s="12"/>
      <c r="T344">
        <f t="shared" si="17"/>
        <v>3.08</v>
      </c>
      <c r="U344">
        <f t="shared" si="15"/>
        <v>3.4059157821665602</v>
      </c>
      <c r="V344">
        <f t="shared" si="16"/>
        <v>0.32591578216656014</v>
      </c>
    </row>
    <row r="345" spans="1:23">
      <c r="A345" s="9">
        <v>0</v>
      </c>
      <c r="B345" s="12">
        <v>40</v>
      </c>
      <c r="C345" s="11">
        <v>3.8092987432644398</v>
      </c>
      <c r="D345" s="11">
        <v>42.763471683479295</v>
      </c>
      <c r="E345" s="11"/>
      <c r="F345" s="10">
        <v>67</v>
      </c>
      <c r="G345" s="12" t="s">
        <v>11</v>
      </c>
      <c r="H345" s="13">
        <v>9.6999999999999993</v>
      </c>
      <c r="I345" s="14"/>
      <c r="J345" s="14" t="s">
        <v>70</v>
      </c>
      <c r="K345" s="14"/>
      <c r="L345" s="13">
        <v>3.7</v>
      </c>
      <c r="M345" s="13"/>
      <c r="P345" s="12" t="s">
        <v>12</v>
      </c>
      <c r="Q345" s="12"/>
      <c r="R345" s="12"/>
      <c r="T345">
        <f t="shared" si="17"/>
        <v>3.0876058959827692</v>
      </c>
      <c r="U345" t="str">
        <f t="shared" si="15"/>
        <v>dead</v>
      </c>
      <c r="V345" t="e">
        <f t="shared" si="16"/>
        <v>#VALUE!</v>
      </c>
    </row>
    <row r="346" spans="1:23">
      <c r="A346" s="12">
        <v>20</v>
      </c>
      <c r="B346" s="12">
        <v>30</v>
      </c>
      <c r="C346" s="11">
        <v>20.869370276898547</v>
      </c>
      <c r="D346" s="11">
        <v>33.306219653914141</v>
      </c>
      <c r="E346" s="11"/>
      <c r="F346" s="12">
        <v>174</v>
      </c>
      <c r="G346" s="12" t="s">
        <v>13</v>
      </c>
      <c r="H346" s="13">
        <v>9.8000000000000007</v>
      </c>
      <c r="I346" s="14"/>
      <c r="J346" s="14">
        <v>12.4</v>
      </c>
      <c r="K346" s="14"/>
      <c r="L346" s="13">
        <v>4.5999999999999996</v>
      </c>
      <c r="M346" s="13">
        <v>0.9</v>
      </c>
      <c r="P346" s="12" t="s">
        <v>14</v>
      </c>
      <c r="Q346" s="12"/>
      <c r="R346" s="12"/>
      <c r="T346">
        <f t="shared" si="17"/>
        <v>3.1194368846011491</v>
      </c>
      <c r="U346">
        <f t="shared" si="15"/>
        <v>3.9470425886790048</v>
      </c>
      <c r="V346">
        <f t="shared" si="16"/>
        <v>0.82760570407785572</v>
      </c>
    </row>
    <row r="347" spans="1:23">
      <c r="A347" s="12">
        <v>50</v>
      </c>
      <c r="B347" s="12">
        <v>-30</v>
      </c>
      <c r="C347" s="11">
        <v>50.215139710240834</v>
      </c>
      <c r="D347" s="11">
        <v>-27.437723206428444</v>
      </c>
      <c r="E347" s="11"/>
      <c r="F347" s="12">
        <v>2004</v>
      </c>
      <c r="G347" s="12" t="s">
        <v>13</v>
      </c>
      <c r="H347" s="13">
        <v>9.8000000000000007</v>
      </c>
      <c r="I347" s="14"/>
      <c r="J347" s="14">
        <v>9.8000000000000007</v>
      </c>
      <c r="K347" s="14"/>
      <c r="L347" s="13"/>
      <c r="M347" s="13"/>
      <c r="N347">
        <v>9.5</v>
      </c>
      <c r="O347" t="s">
        <v>70</v>
      </c>
      <c r="P347" s="12"/>
      <c r="Q347" s="12"/>
      <c r="R347" s="12" t="s">
        <v>57</v>
      </c>
      <c r="S347" t="s">
        <v>138</v>
      </c>
      <c r="T347">
        <f t="shared" si="17"/>
        <v>3.1194368846011491</v>
      </c>
      <c r="U347">
        <f t="shared" si="15"/>
        <v>3.1194368846011491</v>
      </c>
      <c r="V347">
        <f t="shared" si="16"/>
        <v>0</v>
      </c>
    </row>
    <row r="348" spans="1:23">
      <c r="A348" s="12">
        <v>20</v>
      </c>
      <c r="B348" s="12">
        <v>-30</v>
      </c>
      <c r="C348" s="11">
        <v>24.931124992627893</v>
      </c>
      <c r="D348" s="11">
        <v>-26.215054799407518</v>
      </c>
      <c r="E348" s="11"/>
      <c r="F348" s="12">
        <v>648</v>
      </c>
      <c r="G348" s="12" t="s">
        <v>13</v>
      </c>
      <c r="H348" s="13"/>
      <c r="I348" s="14">
        <v>3.13</v>
      </c>
      <c r="J348" s="14">
        <v>10.3</v>
      </c>
      <c r="K348" s="14"/>
      <c r="L348" s="13">
        <v>4.8</v>
      </c>
      <c r="M348" s="13">
        <v>1.7</v>
      </c>
      <c r="P348" s="12" t="s">
        <v>14</v>
      </c>
      <c r="Q348" s="12"/>
      <c r="R348" s="12"/>
      <c r="T348">
        <f t="shared" si="17"/>
        <v>3.13</v>
      </c>
      <c r="U348">
        <f t="shared" si="15"/>
        <v>3.2785918276930444</v>
      </c>
      <c r="V348">
        <f t="shared" si="16"/>
        <v>0.14859182769304446</v>
      </c>
    </row>
    <row r="349" spans="1:23">
      <c r="A349" s="9">
        <v>20</v>
      </c>
      <c r="B349" s="9">
        <v>-10</v>
      </c>
      <c r="C349" s="11">
        <v>21.573591821388145</v>
      </c>
      <c r="D349" s="11">
        <v>-9.2921288004261342</v>
      </c>
      <c r="E349" s="11"/>
      <c r="F349" s="12">
        <v>412</v>
      </c>
      <c r="G349" s="12" t="s">
        <v>13</v>
      </c>
      <c r="H349" s="13">
        <v>9.9</v>
      </c>
      <c r="I349" s="14"/>
      <c r="J349" s="14">
        <v>10.199999999999999</v>
      </c>
      <c r="K349" s="14"/>
      <c r="L349" s="13">
        <v>2.6</v>
      </c>
      <c r="M349" s="13">
        <v>1.7</v>
      </c>
      <c r="P349" s="12" t="s">
        <v>14</v>
      </c>
      <c r="Q349" s="12"/>
      <c r="R349" s="12"/>
      <c r="T349">
        <f t="shared" si="17"/>
        <v>3.1512678732195281</v>
      </c>
      <c r="U349">
        <f t="shared" si="15"/>
        <v>3.246760839074665</v>
      </c>
      <c r="V349">
        <f t="shared" si="16"/>
        <v>9.5492965855136891E-2</v>
      </c>
    </row>
    <row r="350" spans="1:23">
      <c r="A350" s="12">
        <v>10</v>
      </c>
      <c r="B350" s="12">
        <v>20</v>
      </c>
      <c r="C350" s="11">
        <v>19.562907922607756</v>
      </c>
      <c r="D350" s="11">
        <v>28.425119204591159</v>
      </c>
      <c r="E350" s="11"/>
      <c r="F350" s="12">
        <v>92</v>
      </c>
      <c r="G350" s="12" t="s">
        <v>13</v>
      </c>
      <c r="H350" s="13"/>
      <c r="I350" s="14">
        <v>3.16</v>
      </c>
      <c r="J350" s="14">
        <v>11.5</v>
      </c>
      <c r="K350" s="14"/>
      <c r="L350" s="13">
        <v>3.7</v>
      </c>
      <c r="M350" s="13">
        <v>0.9</v>
      </c>
      <c r="P350" s="12" t="s">
        <v>14</v>
      </c>
      <c r="Q350" s="12"/>
      <c r="R350" s="12"/>
      <c r="T350">
        <f t="shared" si="17"/>
        <v>3.16</v>
      </c>
      <c r="U350">
        <f t="shared" si="15"/>
        <v>3.6605636911135928</v>
      </c>
      <c r="V350">
        <f t="shared" si="16"/>
        <v>0.50056369111359267</v>
      </c>
    </row>
    <row r="351" spans="1:23">
      <c r="A351" s="12">
        <v>20</v>
      </c>
      <c r="B351" s="12">
        <v>-30</v>
      </c>
      <c r="C351" s="11">
        <v>28.195766850388548</v>
      </c>
      <c r="D351" s="11">
        <v>-22.557663531788954</v>
      </c>
      <c r="E351" s="11"/>
      <c r="F351" s="10">
        <v>649</v>
      </c>
      <c r="G351" s="12" t="s">
        <v>43</v>
      </c>
      <c r="H351" s="13"/>
      <c r="I351" s="14">
        <v>3.17</v>
      </c>
      <c r="J351" s="14">
        <v>10.199999999999999</v>
      </c>
      <c r="K351" s="14"/>
      <c r="L351" s="13">
        <v>4</v>
      </c>
      <c r="M351" s="13"/>
      <c r="P351" s="12" t="s">
        <v>12</v>
      </c>
      <c r="Q351" s="12"/>
      <c r="R351" s="12"/>
      <c r="S351" t="s">
        <v>115</v>
      </c>
      <c r="T351">
        <f t="shared" si="17"/>
        <v>3.17</v>
      </c>
      <c r="U351">
        <f t="shared" si="15"/>
        <v>3.246760839074665</v>
      </c>
      <c r="V351">
        <f t="shared" si="16"/>
        <v>7.6760839074665022E-2</v>
      </c>
    </row>
    <row r="352" spans="1:23">
      <c r="A352" s="12">
        <v>40</v>
      </c>
      <c r="B352" s="12">
        <v>-10</v>
      </c>
      <c r="C352" s="11">
        <v>47.761100883618937</v>
      </c>
      <c r="D352" s="11">
        <v>-2.7549647450862382</v>
      </c>
      <c r="E352" s="11"/>
      <c r="F352" s="10">
        <v>459</v>
      </c>
      <c r="G352" s="12" t="s">
        <v>13</v>
      </c>
      <c r="H352" s="13">
        <v>10</v>
      </c>
      <c r="I352" s="14"/>
      <c r="J352" s="14">
        <v>10.199999999999999</v>
      </c>
      <c r="K352" s="14"/>
      <c r="L352" s="13">
        <v>2.9</v>
      </c>
      <c r="M352" s="13">
        <v>2.2000000000000002</v>
      </c>
      <c r="P352" s="12" t="s">
        <v>14</v>
      </c>
      <c r="Q352" s="12"/>
      <c r="R352" s="12"/>
      <c r="T352">
        <f t="shared" si="17"/>
        <v>3.183098861837907</v>
      </c>
      <c r="U352">
        <f t="shared" si="15"/>
        <v>3.246760839074665</v>
      </c>
      <c r="V352">
        <f t="shared" si="16"/>
        <v>6.3661977236757927E-2</v>
      </c>
    </row>
    <row r="353" spans="1:23">
      <c r="A353" s="12">
        <v>50</v>
      </c>
      <c r="B353" s="12">
        <v>-30</v>
      </c>
      <c r="C353" s="11">
        <v>50.215139710240834</v>
      </c>
      <c r="D353" s="11">
        <v>-27.437723206428444</v>
      </c>
      <c r="E353" s="11"/>
      <c r="F353" s="12">
        <v>2009</v>
      </c>
      <c r="G353" s="12" t="s">
        <v>13</v>
      </c>
      <c r="H353" s="13">
        <v>10</v>
      </c>
      <c r="I353" s="14"/>
      <c r="J353" s="14">
        <v>10.5</v>
      </c>
      <c r="K353" s="14"/>
      <c r="L353" s="13"/>
      <c r="M353" s="13"/>
      <c r="N353">
        <v>5.5</v>
      </c>
      <c r="O353">
        <v>1.8</v>
      </c>
      <c r="P353" s="12"/>
      <c r="Q353" s="12"/>
      <c r="R353" s="12" t="s">
        <v>57</v>
      </c>
      <c r="S353" t="s">
        <v>143</v>
      </c>
      <c r="T353">
        <f t="shared" si="17"/>
        <v>3.183098861837907</v>
      </c>
      <c r="U353">
        <f t="shared" si="15"/>
        <v>3.3422538049298023</v>
      </c>
      <c r="V353">
        <f t="shared" si="16"/>
        <v>0.15915494309189526</v>
      </c>
      <c r="W353" s="27"/>
    </row>
    <row r="354" spans="1:23">
      <c r="A354" s="12">
        <v>20</v>
      </c>
      <c r="B354" s="12">
        <v>-20</v>
      </c>
      <c r="C354" s="11">
        <v>29.844011771160329</v>
      </c>
      <c r="D354" s="11">
        <v>-12.893009349392088</v>
      </c>
      <c r="E354" s="11"/>
      <c r="F354" s="10">
        <v>535</v>
      </c>
      <c r="G354" s="12" t="s">
        <v>13</v>
      </c>
      <c r="H354" s="13"/>
      <c r="I354" s="14">
        <v>3.19</v>
      </c>
      <c r="J354" s="14">
        <v>9.6999999999999993</v>
      </c>
      <c r="K354" s="14"/>
      <c r="L354" s="13">
        <v>4.2</v>
      </c>
      <c r="M354" s="13">
        <v>2.6</v>
      </c>
      <c r="P354" s="12" t="s">
        <v>14</v>
      </c>
      <c r="Q354" s="12"/>
      <c r="R354" s="12"/>
      <c r="T354">
        <f t="shared" si="17"/>
        <v>3.19</v>
      </c>
      <c r="U354">
        <f t="shared" si="15"/>
        <v>3.0876058959827692</v>
      </c>
      <c r="V354">
        <f t="shared" si="16"/>
        <v>-0.1023941040172307</v>
      </c>
    </row>
    <row r="355" spans="1:23">
      <c r="A355" s="12">
        <v>40</v>
      </c>
      <c r="B355" s="12">
        <v>20</v>
      </c>
      <c r="C355" s="11">
        <v>41.897873362675597</v>
      </c>
      <c r="D355" s="11">
        <v>29.362703105713361</v>
      </c>
      <c r="E355" s="11"/>
      <c r="F355" s="10">
        <v>305</v>
      </c>
      <c r="G355" s="12" t="s">
        <v>13</v>
      </c>
      <c r="H355" s="13"/>
      <c r="I355" s="14">
        <v>3.21</v>
      </c>
      <c r="J355" s="14">
        <v>10.8</v>
      </c>
      <c r="K355" s="14"/>
      <c r="L355" s="13">
        <v>4.2</v>
      </c>
      <c r="M355" s="13">
        <v>3.3</v>
      </c>
      <c r="P355" s="12" t="s">
        <v>14</v>
      </c>
      <c r="Q355" s="12"/>
      <c r="R355" s="12"/>
      <c r="T355">
        <f t="shared" si="17"/>
        <v>3.21</v>
      </c>
      <c r="U355">
        <f t="shared" si="15"/>
        <v>3.4377467707849396</v>
      </c>
      <c r="V355">
        <f t="shared" si="16"/>
        <v>0.22774677078493966</v>
      </c>
    </row>
    <row r="356" spans="1:23">
      <c r="A356" s="12">
        <v>40</v>
      </c>
      <c r="B356" s="12">
        <v>40</v>
      </c>
      <c r="C356" s="11">
        <v>49.818309622430874</v>
      </c>
      <c r="D356" s="11">
        <v>45.476987183360826</v>
      </c>
      <c r="E356" s="11"/>
      <c r="F356" s="12">
        <v>352</v>
      </c>
      <c r="G356" s="12" t="s">
        <v>13</v>
      </c>
      <c r="H356" s="13">
        <v>10.1</v>
      </c>
      <c r="I356" s="14"/>
      <c r="J356" s="14">
        <v>11.3</v>
      </c>
      <c r="K356" s="14"/>
      <c r="L356" s="13">
        <v>4.7</v>
      </c>
      <c r="M356" s="13">
        <v>1.6</v>
      </c>
      <c r="P356" s="12" t="s">
        <v>14</v>
      </c>
      <c r="Q356" s="12"/>
      <c r="R356" s="12"/>
      <c r="T356">
        <f t="shared" si="17"/>
        <v>3.214929850456286</v>
      </c>
      <c r="U356">
        <f t="shared" si="15"/>
        <v>3.5969017138768349</v>
      </c>
      <c r="V356">
        <f t="shared" si="16"/>
        <v>0.3819718634205489</v>
      </c>
    </row>
    <row r="357" spans="1:23">
      <c r="A357" s="12">
        <v>30</v>
      </c>
      <c r="B357" s="12">
        <v>-30</v>
      </c>
      <c r="C357" s="11">
        <v>33.239457199893131</v>
      </c>
      <c r="D357" s="11">
        <v>-29.354994230359555</v>
      </c>
      <c r="E357" s="11"/>
      <c r="F357" s="12">
        <v>672</v>
      </c>
      <c r="G357" s="12" t="s">
        <v>11</v>
      </c>
      <c r="H357" s="13">
        <v>10.1</v>
      </c>
      <c r="I357" s="14"/>
      <c r="J357" s="14">
        <v>14</v>
      </c>
      <c r="K357" s="14"/>
      <c r="L357" s="13">
        <v>3.8</v>
      </c>
      <c r="M357" s="13">
        <v>0.1</v>
      </c>
      <c r="P357" s="12" t="s">
        <v>14</v>
      </c>
      <c r="Q357" s="12"/>
      <c r="R357" s="12"/>
      <c r="T357">
        <f t="shared" si="17"/>
        <v>3.214929850456286</v>
      </c>
      <c r="U357">
        <f t="shared" si="15"/>
        <v>4.45633840657307</v>
      </c>
      <c r="V357">
        <f t="shared" si="16"/>
        <v>1.241408556116784</v>
      </c>
    </row>
    <row r="358" spans="1:23">
      <c r="A358" s="12">
        <v>20</v>
      </c>
      <c r="B358" s="12">
        <v>-30</v>
      </c>
      <c r="C358" s="11">
        <v>27.398101817478246</v>
      </c>
      <c r="D358" s="11">
        <v>-27.776253972690835</v>
      </c>
      <c r="E358" s="11"/>
      <c r="F358" s="12">
        <v>656</v>
      </c>
      <c r="G358" s="12" t="s">
        <v>11</v>
      </c>
      <c r="H358" s="13">
        <v>10.199999999999999</v>
      </c>
      <c r="I358" s="14"/>
      <c r="J358" s="14" t="s">
        <v>70</v>
      </c>
      <c r="K358" s="14"/>
      <c r="L358" s="13">
        <v>5.0999999999999996</v>
      </c>
      <c r="M358" s="13"/>
      <c r="P358" s="12" t="s">
        <v>12</v>
      </c>
      <c r="Q358" s="12"/>
      <c r="R358" s="12"/>
      <c r="T358">
        <f t="shared" si="17"/>
        <v>3.246760839074665</v>
      </c>
      <c r="U358" t="str">
        <f t="shared" si="15"/>
        <v>dead</v>
      </c>
      <c r="V358" t="e">
        <f t="shared" si="16"/>
        <v>#VALUE!</v>
      </c>
    </row>
    <row r="359" spans="1:23">
      <c r="A359" s="12">
        <v>40</v>
      </c>
      <c r="B359" s="12">
        <v>40</v>
      </c>
      <c r="C359" s="11">
        <v>41.820429060124383</v>
      </c>
      <c r="D359" s="11">
        <v>49.212872474941911</v>
      </c>
      <c r="E359" s="11"/>
      <c r="F359" s="12">
        <v>362</v>
      </c>
      <c r="G359" s="12" t="s">
        <v>13</v>
      </c>
      <c r="H359" s="13">
        <v>10.3</v>
      </c>
      <c r="I359" s="14"/>
      <c r="J359" s="14" t="s">
        <v>70</v>
      </c>
      <c r="K359" s="14"/>
      <c r="L359" s="13">
        <v>3.8</v>
      </c>
      <c r="M359" s="13"/>
      <c r="P359" s="12" t="s">
        <v>12</v>
      </c>
      <c r="Q359" s="12"/>
      <c r="R359" s="12"/>
      <c r="T359">
        <f t="shared" si="17"/>
        <v>3.2785918276930444</v>
      </c>
      <c r="U359" t="str">
        <f t="shared" si="15"/>
        <v>dead</v>
      </c>
      <c r="V359" t="e">
        <f t="shared" si="16"/>
        <v>#VALUE!</v>
      </c>
    </row>
    <row r="360" spans="1:23">
      <c r="A360" s="12">
        <v>20</v>
      </c>
      <c r="B360" s="12">
        <v>-20</v>
      </c>
      <c r="C360" s="11">
        <v>27.449991754626517</v>
      </c>
      <c r="D360" s="11">
        <v>-13.504025262616915</v>
      </c>
      <c r="E360" s="11"/>
      <c r="F360" s="12">
        <v>548</v>
      </c>
      <c r="G360" s="12" t="s">
        <v>13</v>
      </c>
      <c r="H360" s="13">
        <v>10.3</v>
      </c>
      <c r="I360" s="14"/>
      <c r="J360" s="14">
        <v>11.3</v>
      </c>
      <c r="K360" s="14"/>
      <c r="L360" s="13">
        <v>4</v>
      </c>
      <c r="M360" s="13">
        <v>2.1</v>
      </c>
      <c r="P360" s="12" t="s">
        <v>14</v>
      </c>
      <c r="Q360" s="12"/>
      <c r="R360" s="12"/>
      <c r="T360">
        <f t="shared" si="17"/>
        <v>3.2785918276930444</v>
      </c>
      <c r="U360">
        <f t="shared" si="15"/>
        <v>3.5969017138768349</v>
      </c>
      <c r="V360">
        <f t="shared" si="16"/>
        <v>0.31830988618379052</v>
      </c>
    </row>
    <row r="361" spans="1:23">
      <c r="A361" s="12">
        <v>10</v>
      </c>
      <c r="B361" s="12">
        <v>-20</v>
      </c>
      <c r="C361" s="11">
        <v>11.343016541337331</v>
      </c>
      <c r="D361" s="11">
        <v>-19.135918177230341</v>
      </c>
      <c r="E361" s="11"/>
      <c r="F361" s="10">
        <v>579</v>
      </c>
      <c r="G361" s="12" t="s">
        <v>11</v>
      </c>
      <c r="H361" s="13">
        <v>10.3</v>
      </c>
      <c r="I361" s="14"/>
      <c r="J361" s="14">
        <v>12.8</v>
      </c>
      <c r="K361" s="14"/>
      <c r="L361" s="13">
        <v>4</v>
      </c>
      <c r="M361" s="13">
        <v>1.1000000000000001</v>
      </c>
      <c r="P361" s="12" t="s">
        <v>14</v>
      </c>
      <c r="Q361" s="12"/>
      <c r="R361" s="12"/>
      <c r="T361">
        <f t="shared" si="17"/>
        <v>3.2785918276930444</v>
      </c>
      <c r="U361">
        <f t="shared" si="15"/>
        <v>4.0743665431525207</v>
      </c>
      <c r="V361">
        <f t="shared" si="16"/>
        <v>0.79577471545947631</v>
      </c>
    </row>
    <row r="362" spans="1:23">
      <c r="A362" s="12">
        <v>20</v>
      </c>
      <c r="B362" s="12">
        <v>40</v>
      </c>
      <c r="C362" s="11">
        <v>23.615371315622383</v>
      </c>
      <c r="D362" s="11">
        <v>41.380576057366952</v>
      </c>
      <c r="E362" s="11"/>
      <c r="F362" s="12">
        <v>184</v>
      </c>
      <c r="G362" s="12" t="s">
        <v>11</v>
      </c>
      <c r="H362" s="13">
        <v>10.4</v>
      </c>
      <c r="I362" s="14"/>
      <c r="J362" s="14">
        <v>14.5</v>
      </c>
      <c r="K362" s="14"/>
      <c r="L362" s="13">
        <v>4</v>
      </c>
      <c r="M362" s="13">
        <v>0.3</v>
      </c>
      <c r="P362" s="12" t="s">
        <v>14</v>
      </c>
      <c r="Q362" s="12"/>
      <c r="R362" s="12"/>
      <c r="T362">
        <f t="shared" si="17"/>
        <v>3.3104228163114233</v>
      </c>
      <c r="U362">
        <f t="shared" si="15"/>
        <v>4.6154933496649653</v>
      </c>
      <c r="V362">
        <f t="shared" si="16"/>
        <v>1.305070533353542</v>
      </c>
    </row>
    <row r="363" spans="1:23">
      <c r="A363" s="12">
        <v>10</v>
      </c>
      <c r="B363" s="12">
        <v>-20</v>
      </c>
      <c r="C363" s="11">
        <v>18.687857860928503</v>
      </c>
      <c r="D363" s="11">
        <v>-16.25311022221458</v>
      </c>
      <c r="E363" s="11"/>
      <c r="F363" s="12">
        <v>570</v>
      </c>
      <c r="G363" s="12" t="s">
        <v>11</v>
      </c>
      <c r="H363" s="13"/>
      <c r="I363" s="14">
        <v>3.34</v>
      </c>
      <c r="J363" s="14" t="s">
        <v>70</v>
      </c>
      <c r="K363" s="14"/>
      <c r="L363" s="13">
        <v>3.7</v>
      </c>
      <c r="M363" s="13">
        <v>1</v>
      </c>
      <c r="P363" s="12" t="s">
        <v>14</v>
      </c>
      <c r="Q363" s="12"/>
      <c r="R363" s="12"/>
      <c r="T363">
        <f t="shared" si="17"/>
        <v>3.34</v>
      </c>
      <c r="U363" t="str">
        <f t="shared" si="15"/>
        <v>dead</v>
      </c>
      <c r="V363" t="e">
        <f t="shared" si="16"/>
        <v>#VALUE!</v>
      </c>
    </row>
    <row r="364" spans="1:23">
      <c r="A364" s="12">
        <v>30</v>
      </c>
      <c r="B364" s="12">
        <v>0</v>
      </c>
      <c r="C364" s="11">
        <v>29.998157121216444</v>
      </c>
      <c r="D364" s="11">
        <v>0.19197442399690065</v>
      </c>
      <c r="E364" s="11"/>
      <c r="F364" s="12">
        <v>118</v>
      </c>
      <c r="G364" s="12" t="s">
        <v>11</v>
      </c>
      <c r="H364" s="13">
        <v>10.5</v>
      </c>
      <c r="I364" s="14"/>
      <c r="J364" s="14">
        <v>14.4</v>
      </c>
      <c r="K364" s="14"/>
      <c r="L364" s="13">
        <v>3.4</v>
      </c>
      <c r="M364" s="13">
        <v>0.3</v>
      </c>
      <c r="P364" s="12" t="s">
        <v>14</v>
      </c>
      <c r="Q364" s="12"/>
      <c r="R364" s="12"/>
      <c r="T364">
        <f t="shared" si="17"/>
        <v>3.3422538049298023</v>
      </c>
      <c r="U364">
        <f t="shared" si="15"/>
        <v>4.5836623610465859</v>
      </c>
      <c r="V364">
        <f t="shared" si="16"/>
        <v>1.2414085561167836</v>
      </c>
    </row>
    <row r="365" spans="1:23">
      <c r="A365" s="12">
        <v>40</v>
      </c>
      <c r="B365" s="12">
        <v>40</v>
      </c>
      <c r="C365" s="11">
        <v>48.602251723417794</v>
      </c>
      <c r="D365" s="11">
        <v>41.659879439992999</v>
      </c>
      <c r="E365" s="11"/>
      <c r="F365" s="12">
        <v>346</v>
      </c>
      <c r="G365" s="12" t="s">
        <v>13</v>
      </c>
      <c r="H365" s="13">
        <v>10.5</v>
      </c>
      <c r="I365" s="14"/>
      <c r="J365" s="14">
        <v>10.3</v>
      </c>
      <c r="K365" s="14"/>
      <c r="L365" s="13">
        <v>3.3</v>
      </c>
      <c r="M365" s="13">
        <v>1.5</v>
      </c>
      <c r="P365" s="12" t="s">
        <v>14</v>
      </c>
      <c r="Q365" s="12"/>
      <c r="R365" s="12"/>
      <c r="T365">
        <f t="shared" si="17"/>
        <v>3.3422538049298023</v>
      </c>
      <c r="U365">
        <f t="shared" si="15"/>
        <v>3.2785918276930444</v>
      </c>
      <c r="V365">
        <f t="shared" si="16"/>
        <v>-6.3661977236757927E-2</v>
      </c>
    </row>
    <row r="366" spans="1:23">
      <c r="A366" s="12">
        <v>30</v>
      </c>
      <c r="B366" s="12">
        <v>-10</v>
      </c>
      <c r="C366" s="11">
        <v>32.579202742904585</v>
      </c>
      <c r="D366" s="11">
        <v>-4.1813516974227438</v>
      </c>
      <c r="E366" s="11"/>
      <c r="F366" s="12">
        <v>422</v>
      </c>
      <c r="G366" s="12" t="s">
        <v>13</v>
      </c>
      <c r="H366" s="13">
        <v>10.5</v>
      </c>
      <c r="I366" s="14"/>
      <c r="J366" s="14">
        <v>11.9</v>
      </c>
      <c r="K366" s="14"/>
      <c r="L366" s="13">
        <v>4.0999999999999996</v>
      </c>
      <c r="M366" s="13">
        <v>1.8</v>
      </c>
      <c r="P366" s="12" t="s">
        <v>14</v>
      </c>
      <c r="Q366" s="12"/>
      <c r="R366" s="12"/>
      <c r="T366">
        <f t="shared" si="17"/>
        <v>3.3422538049298023</v>
      </c>
      <c r="U366">
        <f t="shared" si="15"/>
        <v>3.7878876455871091</v>
      </c>
      <c r="V366">
        <f t="shared" si="16"/>
        <v>0.44563384065730682</v>
      </c>
    </row>
    <row r="367" spans="1:23">
      <c r="A367" s="12">
        <v>20</v>
      </c>
      <c r="B367" s="12">
        <v>0</v>
      </c>
      <c r="C367" s="11">
        <v>29.939609554551797</v>
      </c>
      <c r="D367" s="11">
        <v>1.0973431109104534</v>
      </c>
      <c r="E367" s="11"/>
      <c r="F367" s="10">
        <v>119</v>
      </c>
      <c r="G367" s="12" t="s">
        <v>11</v>
      </c>
      <c r="H367" s="13">
        <v>10.6</v>
      </c>
      <c r="I367" s="14"/>
      <c r="J367" s="14">
        <v>14</v>
      </c>
      <c r="K367" s="14"/>
      <c r="L367" s="13">
        <v>4.5</v>
      </c>
      <c r="M367" s="13">
        <v>0.2</v>
      </c>
      <c r="P367" s="12" t="s">
        <v>14</v>
      </c>
      <c r="Q367" s="12"/>
      <c r="R367" s="12"/>
      <c r="T367">
        <f t="shared" si="17"/>
        <v>3.3740847935481812</v>
      </c>
      <c r="U367">
        <f t="shared" si="15"/>
        <v>4.45633840657307</v>
      </c>
      <c r="V367">
        <f t="shared" si="16"/>
        <v>1.0822536130248888</v>
      </c>
    </row>
    <row r="368" spans="1:23">
      <c r="A368" s="12">
        <v>40</v>
      </c>
      <c r="B368" s="12">
        <v>40</v>
      </c>
      <c r="C368" s="11">
        <v>41.65028445993098</v>
      </c>
      <c r="D368" s="11">
        <v>45.484737951801335</v>
      </c>
      <c r="E368" s="11"/>
      <c r="F368" s="10">
        <v>357</v>
      </c>
      <c r="G368" s="12" t="s">
        <v>13</v>
      </c>
      <c r="H368" s="13">
        <v>10.7</v>
      </c>
      <c r="I368" s="14"/>
      <c r="J368" s="14">
        <v>12</v>
      </c>
      <c r="K368" s="14"/>
      <c r="L368" s="13">
        <v>4.4000000000000004</v>
      </c>
      <c r="M368" s="13">
        <v>1.2</v>
      </c>
      <c r="P368" s="12" t="s">
        <v>14</v>
      </c>
      <c r="Q368" s="12"/>
      <c r="R368" s="12"/>
      <c r="T368">
        <f t="shared" si="17"/>
        <v>3.4059157821665602</v>
      </c>
      <c r="U368">
        <f t="shared" si="15"/>
        <v>3.8197186342054881</v>
      </c>
      <c r="V368">
        <f t="shared" si="16"/>
        <v>0.41380285203892786</v>
      </c>
    </row>
    <row r="369" spans="1:23">
      <c r="A369" s="12">
        <v>40</v>
      </c>
      <c r="B369" s="12">
        <v>40</v>
      </c>
      <c r="C369" s="11">
        <v>41.480789789383856</v>
      </c>
      <c r="D369" s="11">
        <v>45.681606937067514</v>
      </c>
      <c r="E369" s="11"/>
      <c r="F369" s="10">
        <v>359</v>
      </c>
      <c r="G369" s="12" t="s">
        <v>13</v>
      </c>
      <c r="H369" s="13">
        <v>10.7</v>
      </c>
      <c r="I369" s="14"/>
      <c r="J369" s="14">
        <v>11.3</v>
      </c>
      <c r="K369" s="14"/>
      <c r="L369" s="13">
        <v>4.7</v>
      </c>
      <c r="M369" s="13">
        <v>2</v>
      </c>
      <c r="P369" s="12" t="s">
        <v>14</v>
      </c>
      <c r="Q369" s="12"/>
      <c r="R369" s="12"/>
      <c r="T369">
        <f t="shared" si="17"/>
        <v>3.4059157821665602</v>
      </c>
      <c r="U369">
        <f t="shared" si="15"/>
        <v>3.5969017138768349</v>
      </c>
      <c r="V369">
        <f t="shared" si="16"/>
        <v>0.19098593171027467</v>
      </c>
    </row>
    <row r="370" spans="1:23">
      <c r="A370" s="12">
        <v>40</v>
      </c>
      <c r="B370" s="12">
        <v>-30</v>
      </c>
      <c r="C370" s="11">
        <v>42.307079585689536</v>
      </c>
      <c r="D370" s="11">
        <v>-26.109287362000902</v>
      </c>
      <c r="E370" s="11"/>
      <c r="F370" s="10">
        <v>685</v>
      </c>
      <c r="G370" s="12" t="s">
        <v>13</v>
      </c>
      <c r="H370" s="13"/>
      <c r="I370" s="14">
        <v>3.41</v>
      </c>
      <c r="J370" s="14">
        <v>10.8</v>
      </c>
      <c r="K370" s="14"/>
      <c r="L370" s="13">
        <v>1.7</v>
      </c>
      <c r="M370" s="13">
        <v>0.5</v>
      </c>
      <c r="P370" s="12" t="s">
        <v>14</v>
      </c>
      <c r="Q370" s="12"/>
      <c r="R370" s="12" t="s">
        <v>47</v>
      </c>
      <c r="T370">
        <f t="shared" si="17"/>
        <v>3.41</v>
      </c>
      <c r="U370">
        <f t="shared" si="15"/>
        <v>3.4377467707849396</v>
      </c>
      <c r="V370">
        <f t="shared" si="16"/>
        <v>2.7746770784939478E-2</v>
      </c>
    </row>
    <row r="371" spans="1:23">
      <c r="A371" s="12">
        <v>30</v>
      </c>
      <c r="B371" s="12">
        <v>10</v>
      </c>
      <c r="C371" s="11">
        <v>34.412191184356885</v>
      </c>
      <c r="D371" s="11">
        <v>18.734824536799977</v>
      </c>
      <c r="E371" s="11"/>
      <c r="F371" s="10">
        <v>217</v>
      </c>
      <c r="G371" s="12" t="s">
        <v>11</v>
      </c>
      <c r="H371" s="13">
        <v>10.8</v>
      </c>
      <c r="I371" s="14"/>
      <c r="J371" s="14" t="s">
        <v>70</v>
      </c>
      <c r="K371" s="14"/>
      <c r="L371" s="13">
        <v>2.7</v>
      </c>
      <c r="M371" s="13"/>
      <c r="P371" s="12" t="s">
        <v>12</v>
      </c>
      <c r="Q371" s="12"/>
      <c r="R371" s="12" t="s">
        <v>16</v>
      </c>
      <c r="T371">
        <f t="shared" si="17"/>
        <v>3.4377467707849396</v>
      </c>
      <c r="U371" t="str">
        <f t="shared" si="15"/>
        <v>dead</v>
      </c>
      <c r="V371" t="e">
        <f t="shared" si="16"/>
        <v>#VALUE!</v>
      </c>
    </row>
    <row r="372" spans="1:23">
      <c r="A372" s="12">
        <v>40</v>
      </c>
      <c r="B372" s="12">
        <v>40</v>
      </c>
      <c r="C372" s="11">
        <v>41.910792172547048</v>
      </c>
      <c r="D372" s="11">
        <v>49.305569124146778</v>
      </c>
      <c r="E372" s="11"/>
      <c r="F372" s="12">
        <v>366</v>
      </c>
      <c r="G372" s="12" t="s">
        <v>13</v>
      </c>
      <c r="H372" s="13">
        <v>10.8</v>
      </c>
      <c r="I372" s="14"/>
      <c r="J372" s="14">
        <v>10.8</v>
      </c>
      <c r="K372" s="14"/>
      <c r="L372" s="13">
        <v>4.5</v>
      </c>
      <c r="M372" s="13">
        <v>2.1</v>
      </c>
      <c r="P372" s="12" t="s">
        <v>14</v>
      </c>
      <c r="Q372" s="12"/>
      <c r="R372" s="12"/>
      <c r="T372">
        <f t="shared" si="17"/>
        <v>3.4377467707849396</v>
      </c>
      <c r="U372">
        <f t="shared" si="15"/>
        <v>3.4377467707849396</v>
      </c>
      <c r="V372">
        <f t="shared" si="16"/>
        <v>0</v>
      </c>
    </row>
    <row r="373" spans="1:23">
      <c r="A373" s="12">
        <v>40</v>
      </c>
      <c r="B373" s="12">
        <v>-10</v>
      </c>
      <c r="C373" s="11">
        <v>43.455869235201362</v>
      </c>
      <c r="D373" s="11">
        <v>-9.8309797965071795</v>
      </c>
      <c r="E373" s="11"/>
      <c r="F373" s="10">
        <v>451</v>
      </c>
      <c r="G373" s="12" t="s">
        <v>13</v>
      </c>
      <c r="H373" s="13">
        <v>10.8</v>
      </c>
      <c r="I373" s="14"/>
      <c r="J373" s="14">
        <v>11.8</v>
      </c>
      <c r="K373" s="14"/>
      <c r="L373" s="13">
        <v>3.9</v>
      </c>
      <c r="M373" s="13">
        <v>2</v>
      </c>
      <c r="P373" s="12" t="s">
        <v>14</v>
      </c>
      <c r="Q373" s="12"/>
      <c r="R373" s="12" t="s">
        <v>16</v>
      </c>
      <c r="T373">
        <f t="shared" si="17"/>
        <v>3.4377467707849396</v>
      </c>
      <c r="U373">
        <f t="shared" si="15"/>
        <v>3.7560566569687301</v>
      </c>
      <c r="V373">
        <f t="shared" si="16"/>
        <v>0.31830988618379052</v>
      </c>
    </row>
    <row r="374" spans="1:23">
      <c r="A374" s="12">
        <v>40</v>
      </c>
      <c r="B374" s="12">
        <v>-30</v>
      </c>
      <c r="C374" s="11">
        <v>42.046818434004329</v>
      </c>
      <c r="D374" s="11">
        <v>-25.540917398602279</v>
      </c>
      <c r="E374" s="11"/>
      <c r="F374" s="12">
        <v>692</v>
      </c>
      <c r="G374" s="12" t="s">
        <v>13</v>
      </c>
      <c r="H374" s="13">
        <v>10.8</v>
      </c>
      <c r="I374" s="14"/>
      <c r="J374" s="14" t="s">
        <v>70</v>
      </c>
      <c r="K374" s="14"/>
      <c r="L374" s="13">
        <v>3</v>
      </c>
      <c r="M374" s="13">
        <v>2.2999999999999998</v>
      </c>
      <c r="P374" s="12" t="s">
        <v>14</v>
      </c>
      <c r="Q374" s="12"/>
      <c r="R374" s="12" t="s">
        <v>48</v>
      </c>
      <c r="T374">
        <f t="shared" si="17"/>
        <v>3.4377467707849396</v>
      </c>
      <c r="U374" t="str">
        <f t="shared" si="15"/>
        <v>dead</v>
      </c>
      <c r="V374" t="e">
        <f t="shared" si="16"/>
        <v>#VALUE!</v>
      </c>
    </row>
    <row r="375" spans="1:23">
      <c r="A375" s="12">
        <v>20</v>
      </c>
      <c r="B375" s="12">
        <v>10</v>
      </c>
      <c r="C375" s="11">
        <v>21.785537686445696</v>
      </c>
      <c r="D375" s="11">
        <v>11.947311629411955</v>
      </c>
      <c r="E375" s="11"/>
      <c r="F375" s="12">
        <v>148</v>
      </c>
      <c r="G375" s="12" t="s">
        <v>13</v>
      </c>
      <c r="H375" s="13">
        <v>10.9</v>
      </c>
      <c r="I375" s="14"/>
      <c r="J375" s="14">
        <v>11</v>
      </c>
      <c r="K375" s="14"/>
      <c r="L375" s="13">
        <v>4.5999999999999996</v>
      </c>
      <c r="M375" s="13">
        <v>1.5</v>
      </c>
      <c r="P375" s="12" t="s">
        <v>14</v>
      </c>
      <c r="Q375" s="12"/>
      <c r="R375" s="12"/>
      <c r="T375">
        <f t="shared" si="17"/>
        <v>3.4695777594033186</v>
      </c>
      <c r="U375">
        <f t="shared" si="15"/>
        <v>3.5014087480216975</v>
      </c>
      <c r="V375">
        <f t="shared" si="16"/>
        <v>3.1830988618378964E-2</v>
      </c>
    </row>
    <row r="376" spans="1:23">
      <c r="A376" s="12">
        <v>20</v>
      </c>
      <c r="B376" s="12">
        <v>40</v>
      </c>
      <c r="C376" s="11">
        <v>26.924600108357865</v>
      </c>
      <c r="D376" s="11">
        <v>46.948813808077624</v>
      </c>
      <c r="E376" s="11"/>
      <c r="F376" s="12">
        <v>192</v>
      </c>
      <c r="G376" s="12" t="s">
        <v>13</v>
      </c>
      <c r="H376" s="13">
        <v>10.9</v>
      </c>
      <c r="I376" s="14"/>
      <c r="J376" s="14" t="s">
        <v>70</v>
      </c>
      <c r="K376" s="14"/>
      <c r="L376" s="13">
        <v>3.5</v>
      </c>
      <c r="M376" s="13"/>
      <c r="P376" s="12" t="s">
        <v>12</v>
      </c>
      <c r="Q376" s="12"/>
      <c r="R376" s="12"/>
      <c r="T376">
        <f t="shared" si="17"/>
        <v>3.4695777594033186</v>
      </c>
      <c r="U376" t="str">
        <f t="shared" si="15"/>
        <v>dead</v>
      </c>
      <c r="V376" t="e">
        <f t="shared" si="16"/>
        <v>#VALUE!</v>
      </c>
    </row>
    <row r="377" spans="1:23">
      <c r="A377" s="12">
        <v>20</v>
      </c>
      <c r="B377" s="12">
        <v>10</v>
      </c>
      <c r="C377" s="11">
        <v>22.185225695543657</v>
      </c>
      <c r="D377" s="11">
        <v>12.144973802340447</v>
      </c>
      <c r="E377" s="11"/>
      <c r="F377" s="10">
        <v>151</v>
      </c>
      <c r="G377" s="12" t="s">
        <v>13</v>
      </c>
      <c r="H377" s="13">
        <v>11</v>
      </c>
      <c r="I377" s="14"/>
      <c r="J377" s="14">
        <v>11.6</v>
      </c>
      <c r="K377" s="14"/>
      <c r="L377" s="13">
        <v>4.9000000000000004</v>
      </c>
      <c r="M377" s="13">
        <v>1.4</v>
      </c>
      <c r="P377" s="12" t="s">
        <v>14</v>
      </c>
      <c r="Q377" s="12"/>
      <c r="R377" s="12"/>
      <c r="T377">
        <f t="shared" si="17"/>
        <v>3.5014087480216975</v>
      </c>
      <c r="U377">
        <f t="shared" si="15"/>
        <v>3.6923946797319718</v>
      </c>
      <c r="V377">
        <f t="shared" si="16"/>
        <v>0.19098593171027423</v>
      </c>
    </row>
    <row r="378" spans="1:23">
      <c r="A378" s="12">
        <v>40</v>
      </c>
      <c r="B378" s="12">
        <v>30</v>
      </c>
      <c r="C378" s="11">
        <v>49.095619109009078</v>
      </c>
      <c r="D378" s="11">
        <v>30.432649520164404</v>
      </c>
      <c r="E378" s="11"/>
      <c r="F378" s="12">
        <v>320</v>
      </c>
      <c r="G378" s="12" t="s">
        <v>30</v>
      </c>
      <c r="H378" s="13">
        <v>11</v>
      </c>
      <c r="I378" s="14"/>
      <c r="J378" s="14">
        <v>11.5</v>
      </c>
      <c r="K378" s="14"/>
      <c r="L378" s="13">
        <v>3.8</v>
      </c>
      <c r="M378" s="13">
        <v>0.3</v>
      </c>
      <c r="P378" s="12" t="s">
        <v>14</v>
      </c>
      <c r="Q378" s="12"/>
      <c r="R378" s="12"/>
      <c r="T378">
        <f t="shared" si="17"/>
        <v>3.5014087480216975</v>
      </c>
      <c r="U378">
        <f t="shared" si="15"/>
        <v>3.6605636911135928</v>
      </c>
      <c r="V378">
        <f t="shared" si="16"/>
        <v>0.15915494309189526</v>
      </c>
    </row>
    <row r="379" spans="1:23">
      <c r="A379" s="12">
        <v>20</v>
      </c>
      <c r="B379" s="12">
        <v>-20</v>
      </c>
      <c r="C379" s="11">
        <v>27.646310495894554</v>
      </c>
      <c r="D379" s="11">
        <v>-18.975480802506063</v>
      </c>
      <c r="E379" s="11"/>
      <c r="F379" s="10">
        <v>563</v>
      </c>
      <c r="G379" s="12" t="s">
        <v>13</v>
      </c>
      <c r="H379" s="13">
        <v>11</v>
      </c>
      <c r="I379" s="14"/>
      <c r="J379" s="14">
        <v>11.3</v>
      </c>
      <c r="K379" s="14"/>
      <c r="L379" s="13">
        <v>3.8</v>
      </c>
      <c r="M379" s="13">
        <v>1.4</v>
      </c>
      <c r="P379" s="12" t="s">
        <v>14</v>
      </c>
      <c r="Q379" s="12"/>
      <c r="R379" s="12"/>
      <c r="T379">
        <f t="shared" si="17"/>
        <v>3.5014087480216975</v>
      </c>
      <c r="U379">
        <f t="shared" si="15"/>
        <v>3.5969017138768349</v>
      </c>
      <c r="V379">
        <f t="shared" si="16"/>
        <v>9.5492965855137335E-2</v>
      </c>
    </row>
    <row r="380" spans="1:23">
      <c r="A380" s="12">
        <v>20</v>
      </c>
      <c r="B380" s="12">
        <v>20</v>
      </c>
      <c r="C380" s="11">
        <v>26.105063208120857</v>
      </c>
      <c r="D380" s="11">
        <v>23.112840326777921</v>
      </c>
      <c r="E380" s="11"/>
      <c r="F380" s="10">
        <v>165</v>
      </c>
      <c r="G380" s="12" t="s">
        <v>11</v>
      </c>
      <c r="H380" s="13">
        <v>11.1</v>
      </c>
      <c r="I380" s="14"/>
      <c r="J380" s="14" t="s">
        <v>70</v>
      </c>
      <c r="K380" s="14"/>
      <c r="L380" s="13">
        <v>3.7</v>
      </c>
      <c r="M380" s="13"/>
      <c r="P380" s="12" t="s">
        <v>12</v>
      </c>
      <c r="Q380" s="12"/>
      <c r="R380" s="12"/>
      <c r="T380">
        <f t="shared" si="17"/>
        <v>3.5332397366400765</v>
      </c>
      <c r="U380" t="str">
        <f t="shared" si="15"/>
        <v>dead</v>
      </c>
      <c r="V380" t="e">
        <f t="shared" si="16"/>
        <v>#VALUE!</v>
      </c>
    </row>
    <row r="381" spans="1:23">
      <c r="A381" s="9">
        <v>20</v>
      </c>
      <c r="B381" s="9">
        <v>-10</v>
      </c>
      <c r="C381" s="11">
        <v>22.256082481683858</v>
      </c>
      <c r="D381" s="11">
        <v>-9.5353591675352476</v>
      </c>
      <c r="E381" s="11"/>
      <c r="F381" s="10">
        <v>415</v>
      </c>
      <c r="G381" s="12" t="s">
        <v>13</v>
      </c>
      <c r="H381" s="13">
        <v>11.2</v>
      </c>
      <c r="I381" s="14"/>
      <c r="J381" s="31">
        <v>12.1</v>
      </c>
      <c r="K381" s="31"/>
      <c r="L381" s="13">
        <v>3.4</v>
      </c>
      <c r="M381" s="13">
        <v>1.8</v>
      </c>
      <c r="P381" s="12" t="s">
        <v>14</v>
      </c>
      <c r="Q381" s="12"/>
      <c r="R381" s="12"/>
      <c r="T381">
        <f t="shared" si="17"/>
        <v>3.5650707252584555</v>
      </c>
      <c r="U381">
        <f t="shared" si="15"/>
        <v>3.851549622823867</v>
      </c>
      <c r="V381">
        <f t="shared" si="16"/>
        <v>0.28647889756541156</v>
      </c>
    </row>
    <row r="382" spans="1:23">
      <c r="A382" s="12">
        <v>40</v>
      </c>
      <c r="B382" s="12">
        <v>20</v>
      </c>
      <c r="C382" s="11">
        <v>42.394823115933988</v>
      </c>
      <c r="D382" s="11">
        <v>29.340169159319785</v>
      </c>
      <c r="E382" s="11"/>
      <c r="F382" s="12">
        <v>292</v>
      </c>
      <c r="G382" s="12" t="s">
        <v>13</v>
      </c>
      <c r="H382" s="13"/>
      <c r="I382" s="14">
        <v>3.59</v>
      </c>
      <c r="J382" s="31">
        <v>11.4</v>
      </c>
      <c r="K382" s="31"/>
      <c r="L382" s="13">
        <v>5.0999999999999996</v>
      </c>
      <c r="M382" s="13">
        <v>2.4</v>
      </c>
      <c r="P382" s="12" t="s">
        <v>14</v>
      </c>
      <c r="Q382" s="12"/>
      <c r="R382" s="12"/>
      <c r="T382">
        <f t="shared" si="17"/>
        <v>3.59</v>
      </c>
      <c r="U382">
        <f t="shared" si="15"/>
        <v>3.6287327024952138</v>
      </c>
      <c r="V382">
        <f t="shared" si="16"/>
        <v>3.8732702495213989E-2</v>
      </c>
    </row>
    <row r="383" spans="1:23">
      <c r="A383" s="9">
        <v>0</v>
      </c>
      <c r="B383" s="9">
        <v>0</v>
      </c>
      <c r="C383" s="11">
        <v>4.6490501176979064</v>
      </c>
      <c r="D383" s="11">
        <v>8.685680648742018</v>
      </c>
      <c r="E383" s="11"/>
      <c r="F383" s="10">
        <v>3</v>
      </c>
      <c r="G383" s="12" t="s">
        <v>13</v>
      </c>
      <c r="H383" s="13">
        <v>11.3</v>
      </c>
      <c r="I383" s="14"/>
      <c r="J383" s="31">
        <v>11.1</v>
      </c>
      <c r="K383" s="31"/>
      <c r="L383" s="13">
        <v>3.1</v>
      </c>
      <c r="M383" s="13">
        <v>2.1</v>
      </c>
      <c r="P383" s="12" t="s">
        <v>14</v>
      </c>
      <c r="Q383" s="12"/>
      <c r="R383" s="12"/>
      <c r="T383">
        <f t="shared" si="17"/>
        <v>3.5969017138768349</v>
      </c>
      <c r="U383">
        <f t="shared" si="15"/>
        <v>3.5332397366400765</v>
      </c>
      <c r="V383">
        <f t="shared" si="16"/>
        <v>-6.3661977236758371E-2</v>
      </c>
      <c r="W383" t="s">
        <v>175</v>
      </c>
    </row>
    <row r="384" spans="1:23">
      <c r="A384" s="12">
        <v>30</v>
      </c>
      <c r="B384" s="12">
        <v>-30</v>
      </c>
      <c r="C384" s="11">
        <v>32.358209900513103</v>
      </c>
      <c r="D384" s="11">
        <v>-25.057197451664507</v>
      </c>
      <c r="E384" s="11"/>
      <c r="F384" s="10">
        <v>663</v>
      </c>
      <c r="G384" s="12" t="s">
        <v>11</v>
      </c>
      <c r="H384" s="13">
        <v>11.3</v>
      </c>
      <c r="I384" s="14"/>
      <c r="J384" s="31" t="s">
        <v>70</v>
      </c>
      <c r="K384" s="31"/>
      <c r="L384" s="13">
        <v>4.5999999999999996</v>
      </c>
      <c r="M384" s="13"/>
      <c r="P384" s="12" t="s">
        <v>12</v>
      </c>
      <c r="Q384" s="12"/>
      <c r="R384" s="12"/>
      <c r="T384">
        <f t="shared" si="17"/>
        <v>3.5969017138768349</v>
      </c>
      <c r="U384" t="str">
        <f t="shared" si="15"/>
        <v>dead</v>
      </c>
      <c r="V384" t="e">
        <f t="shared" si="16"/>
        <v>#VALUE!</v>
      </c>
    </row>
    <row r="385" spans="1:23">
      <c r="A385" s="12">
        <v>20</v>
      </c>
      <c r="B385" s="12">
        <v>-20</v>
      </c>
      <c r="C385" s="11">
        <v>26.880206616637487</v>
      </c>
      <c r="D385" s="11">
        <v>-13.466398935188682</v>
      </c>
      <c r="E385" s="11"/>
      <c r="F385" s="10">
        <v>555</v>
      </c>
      <c r="G385" s="12" t="s">
        <v>13</v>
      </c>
      <c r="H385" s="13"/>
      <c r="I385" s="14">
        <v>3.6</v>
      </c>
      <c r="J385" s="31">
        <v>12.1</v>
      </c>
      <c r="K385" s="31"/>
      <c r="L385" s="13">
        <v>2.2000000000000002</v>
      </c>
      <c r="M385" s="13">
        <v>0.9</v>
      </c>
      <c r="P385" s="12" t="s">
        <v>14</v>
      </c>
      <c r="Q385" s="12"/>
      <c r="R385" s="12"/>
      <c r="T385">
        <f t="shared" si="17"/>
        <v>3.6</v>
      </c>
      <c r="U385">
        <f t="shared" si="15"/>
        <v>3.851549622823867</v>
      </c>
      <c r="V385">
        <f t="shared" si="16"/>
        <v>0.25154962282386695</v>
      </c>
    </row>
    <row r="386" spans="1:23">
      <c r="A386" s="12">
        <v>50</v>
      </c>
      <c r="B386" s="12">
        <v>-30</v>
      </c>
      <c r="C386" s="11">
        <v>50.215139710240834</v>
      </c>
      <c r="D386" s="11">
        <v>-27.437723206428444</v>
      </c>
      <c r="E386" s="11"/>
      <c r="F386" s="10">
        <v>701</v>
      </c>
      <c r="G386" s="12" t="s">
        <v>13</v>
      </c>
      <c r="H386" s="13"/>
      <c r="I386" s="14">
        <v>3.61</v>
      </c>
      <c r="J386" s="31">
        <v>12.9</v>
      </c>
      <c r="K386" s="31"/>
      <c r="L386" s="13">
        <v>5.2</v>
      </c>
      <c r="M386" s="13">
        <v>1.8</v>
      </c>
      <c r="P386" s="12" t="s">
        <v>14</v>
      </c>
      <c r="Q386" s="12"/>
      <c r="R386" s="12"/>
      <c r="T386">
        <f t="shared" si="17"/>
        <v>3.61</v>
      </c>
      <c r="U386">
        <f t="shared" ref="U386:U449" si="18">IF(J386="dead","dead",J386/PI()+K386/10)</f>
        <v>4.1061975317709001</v>
      </c>
      <c r="V386">
        <f t="shared" ref="V386:V449" si="19">U386-T386</f>
        <v>0.4961975317709002</v>
      </c>
    </row>
    <row r="387" spans="1:23">
      <c r="A387" s="12">
        <v>10</v>
      </c>
      <c r="B387" s="12">
        <v>20</v>
      </c>
      <c r="C387" s="11">
        <v>19.699163756212034</v>
      </c>
      <c r="D387" s="11">
        <v>20.653488566037861</v>
      </c>
      <c r="E387" s="11"/>
      <c r="F387" s="10">
        <v>105</v>
      </c>
      <c r="G387" s="12" t="s">
        <v>13</v>
      </c>
      <c r="H387" s="13">
        <v>11.4</v>
      </c>
      <c r="I387" s="14"/>
      <c r="J387" s="31">
        <v>11.8</v>
      </c>
      <c r="K387" s="31"/>
      <c r="L387" s="13">
        <v>3.5</v>
      </c>
      <c r="M387" s="13">
        <v>1</v>
      </c>
      <c r="P387" s="12" t="s">
        <v>14</v>
      </c>
      <c r="Q387" s="12"/>
      <c r="R387" s="12"/>
      <c r="T387">
        <f t="shared" si="17"/>
        <v>3.6287327024952138</v>
      </c>
      <c r="U387">
        <f t="shared" si="18"/>
        <v>3.7560566569687301</v>
      </c>
      <c r="V387">
        <f t="shared" si="19"/>
        <v>0.1273239544735163</v>
      </c>
    </row>
    <row r="388" spans="1:23">
      <c r="A388" s="12">
        <v>0</v>
      </c>
      <c r="B388" s="12">
        <v>-30</v>
      </c>
      <c r="C388" s="11">
        <v>9.2331769958039427</v>
      </c>
      <c r="D388" s="11">
        <v>-22.944436741865474</v>
      </c>
      <c r="E388" s="11"/>
      <c r="F388" s="12">
        <v>610</v>
      </c>
      <c r="G388" s="12" t="s">
        <v>13</v>
      </c>
      <c r="H388" s="13">
        <v>11.6</v>
      </c>
      <c r="I388" s="14"/>
      <c r="J388" s="31">
        <v>13.3</v>
      </c>
      <c r="K388" s="31"/>
      <c r="L388" s="13">
        <v>4.7</v>
      </c>
      <c r="M388" s="13">
        <v>1.6</v>
      </c>
      <c r="P388" s="12" t="s">
        <v>14</v>
      </c>
      <c r="Q388" s="12"/>
      <c r="R388" s="12"/>
      <c r="T388">
        <f t="shared" si="17"/>
        <v>3.6923946797319718</v>
      </c>
      <c r="U388">
        <f t="shared" si="18"/>
        <v>4.2335214862444159</v>
      </c>
      <c r="V388">
        <f t="shared" si="19"/>
        <v>0.54112680651244416</v>
      </c>
    </row>
    <row r="389" spans="1:23">
      <c r="A389" s="12">
        <v>20</v>
      </c>
      <c r="B389" s="12">
        <v>-20</v>
      </c>
      <c r="C389" s="11">
        <v>27.221745045931094</v>
      </c>
      <c r="D389" s="11">
        <v>-13.615881680698827</v>
      </c>
      <c r="E389" s="11"/>
      <c r="F389" s="10">
        <v>549</v>
      </c>
      <c r="G389" s="12" t="s">
        <v>13</v>
      </c>
      <c r="H389" s="13">
        <v>11.7</v>
      </c>
      <c r="I389" s="14"/>
      <c r="J389" s="14">
        <v>11.7</v>
      </c>
      <c r="K389" s="14"/>
      <c r="L389" s="13">
        <v>4.2</v>
      </c>
      <c r="M389" s="13">
        <v>2.6</v>
      </c>
      <c r="P389" s="12" t="s">
        <v>14</v>
      </c>
      <c r="Q389" s="12"/>
      <c r="R389" s="12"/>
      <c r="T389">
        <f t="shared" ref="T389:T452" si="20">H389/PI()+I389</f>
        <v>3.7242256683503507</v>
      </c>
      <c r="U389">
        <f t="shared" si="18"/>
        <v>3.7242256683503507</v>
      </c>
      <c r="V389">
        <f t="shared" si="19"/>
        <v>0</v>
      </c>
    </row>
    <row r="390" spans="1:23">
      <c r="A390" s="12">
        <v>20</v>
      </c>
      <c r="B390" s="12">
        <v>40</v>
      </c>
      <c r="C390" s="11">
        <v>22.110566473137055</v>
      </c>
      <c r="D390" s="11">
        <v>42.311365216159018</v>
      </c>
      <c r="E390" s="11"/>
      <c r="F390" s="10">
        <v>183</v>
      </c>
      <c r="G390" s="12" t="s">
        <v>11</v>
      </c>
      <c r="H390" s="13">
        <v>11.8</v>
      </c>
      <c r="I390" s="14"/>
      <c r="J390" s="14" t="s">
        <v>70</v>
      </c>
      <c r="K390" s="14"/>
      <c r="L390" s="13">
        <v>4.2</v>
      </c>
      <c r="M390" s="13"/>
      <c r="P390" s="12" t="s">
        <v>12</v>
      </c>
      <c r="Q390" s="12"/>
      <c r="R390" s="12"/>
      <c r="T390">
        <f t="shared" si="20"/>
        <v>3.7560566569687301</v>
      </c>
      <c r="U390" t="str">
        <f t="shared" si="18"/>
        <v>dead</v>
      </c>
      <c r="V390" t="e">
        <f t="shared" si="19"/>
        <v>#VALUE!</v>
      </c>
    </row>
    <row r="391" spans="1:23">
      <c r="A391" s="12">
        <v>0</v>
      </c>
      <c r="B391" s="12">
        <v>-30</v>
      </c>
      <c r="C391" s="11">
        <v>5.2992375060011847</v>
      </c>
      <c r="D391" s="11">
        <v>-21.210623615793651</v>
      </c>
      <c r="E391" s="11"/>
      <c r="F391" s="12">
        <v>604</v>
      </c>
      <c r="G391" s="12" t="s">
        <v>11</v>
      </c>
      <c r="H391" s="13">
        <v>11.8</v>
      </c>
      <c r="I391" s="14"/>
      <c r="J391" s="14">
        <v>15.3</v>
      </c>
      <c r="K391" s="14"/>
      <c r="L391" s="13">
        <v>4.4000000000000004</v>
      </c>
      <c r="M391" s="13">
        <v>0.5</v>
      </c>
      <c r="P391" s="12" t="s">
        <v>14</v>
      </c>
      <c r="Q391" s="12"/>
      <c r="R391" s="12"/>
      <c r="S391" t="s">
        <v>105</v>
      </c>
      <c r="T391">
        <f t="shared" si="20"/>
        <v>3.7560566569687301</v>
      </c>
      <c r="U391">
        <f t="shared" si="18"/>
        <v>4.8701412586119979</v>
      </c>
      <c r="V391">
        <f t="shared" si="19"/>
        <v>1.1140846016432677</v>
      </c>
    </row>
    <row r="392" spans="1:23">
      <c r="A392" s="9">
        <v>0</v>
      </c>
      <c r="B392" s="12">
        <v>10</v>
      </c>
      <c r="C392" s="11">
        <v>1.739478099313315</v>
      </c>
      <c r="D392" s="11">
        <v>16.785269186132236</v>
      </c>
      <c r="E392" s="11"/>
      <c r="F392" s="12">
        <v>26</v>
      </c>
      <c r="G392" s="12" t="s">
        <v>11</v>
      </c>
      <c r="H392" s="13">
        <v>11.9</v>
      </c>
      <c r="I392" s="14"/>
      <c r="J392" s="14">
        <v>15.4</v>
      </c>
      <c r="K392" s="14"/>
      <c r="L392" s="13">
        <v>4.0999999999999996</v>
      </c>
      <c r="M392" s="13">
        <v>0.3</v>
      </c>
      <c r="P392" s="12" t="s">
        <v>14</v>
      </c>
      <c r="Q392" s="12"/>
      <c r="R392" s="12"/>
      <c r="T392">
        <f t="shared" si="20"/>
        <v>3.7878876455871091</v>
      </c>
      <c r="U392">
        <f t="shared" si="18"/>
        <v>4.9019722472303764</v>
      </c>
      <c r="V392">
        <f t="shared" si="19"/>
        <v>1.1140846016432673</v>
      </c>
    </row>
    <row r="393" spans="1:23">
      <c r="A393" s="12">
        <v>20</v>
      </c>
      <c r="B393" s="12">
        <v>10</v>
      </c>
      <c r="C393" s="11">
        <v>24.483757051699371</v>
      </c>
      <c r="D393" s="11">
        <v>11.324677598118903</v>
      </c>
      <c r="E393" s="11"/>
      <c r="F393" s="12">
        <v>134</v>
      </c>
      <c r="G393" s="12" t="s">
        <v>13</v>
      </c>
      <c r="H393" s="13">
        <v>11.9</v>
      </c>
      <c r="I393" s="14"/>
      <c r="J393" s="14">
        <v>12.9</v>
      </c>
      <c r="K393" s="14"/>
      <c r="L393" s="13">
        <v>4.0999999999999996</v>
      </c>
      <c r="M393" s="13">
        <v>1.4</v>
      </c>
      <c r="P393" s="12" t="s">
        <v>14</v>
      </c>
      <c r="Q393" s="12"/>
      <c r="R393" s="12"/>
      <c r="T393">
        <f t="shared" si="20"/>
        <v>3.7878876455871091</v>
      </c>
      <c r="U393">
        <f t="shared" si="18"/>
        <v>4.1061975317709001</v>
      </c>
      <c r="V393">
        <f t="shared" si="19"/>
        <v>0.31830988618379097</v>
      </c>
    </row>
    <row r="394" spans="1:23" s="27" customFormat="1">
      <c r="A394" s="12">
        <v>20</v>
      </c>
      <c r="B394" s="12">
        <v>40</v>
      </c>
      <c r="C394" s="11">
        <v>27.401715058725056</v>
      </c>
      <c r="D394" s="11">
        <v>42.122407639790886</v>
      </c>
      <c r="E394" s="11"/>
      <c r="F394" s="10">
        <v>185</v>
      </c>
      <c r="G394" s="12" t="s">
        <v>11</v>
      </c>
      <c r="H394" s="13">
        <v>11.9</v>
      </c>
      <c r="I394" s="14"/>
      <c r="J394" s="14" t="s">
        <v>70</v>
      </c>
      <c r="K394" s="14"/>
      <c r="L394" s="13">
        <v>4.4000000000000004</v>
      </c>
      <c r="M394" s="13">
        <v>0.8</v>
      </c>
      <c r="N394"/>
      <c r="O394"/>
      <c r="P394" s="12" t="s">
        <v>14</v>
      </c>
      <c r="Q394" s="12"/>
      <c r="R394" s="12"/>
      <c r="S394"/>
      <c r="T394">
        <f t="shared" si="20"/>
        <v>3.7878876455871091</v>
      </c>
      <c r="U394" t="str">
        <f t="shared" si="18"/>
        <v>dead</v>
      </c>
      <c r="V394" t="e">
        <f t="shared" si="19"/>
        <v>#VALUE!</v>
      </c>
      <c r="W394"/>
    </row>
    <row r="395" spans="1:23">
      <c r="A395" s="12">
        <v>40</v>
      </c>
      <c r="B395" s="12">
        <v>40</v>
      </c>
      <c r="C395" s="11">
        <v>49.32416780950124</v>
      </c>
      <c r="D395" s="11">
        <v>42.156583142446785</v>
      </c>
      <c r="E395" s="11"/>
      <c r="F395" s="12">
        <v>348</v>
      </c>
      <c r="G395" s="12" t="s">
        <v>13</v>
      </c>
      <c r="H395" s="13">
        <v>11.9</v>
      </c>
      <c r="I395" s="14"/>
      <c r="J395" s="14">
        <v>12.3</v>
      </c>
      <c r="K395" s="14"/>
      <c r="L395" s="13">
        <v>5.4</v>
      </c>
      <c r="M395" s="13">
        <v>2.5</v>
      </c>
      <c r="P395" s="12" t="s">
        <v>14</v>
      </c>
      <c r="Q395" s="12"/>
      <c r="R395" s="12"/>
      <c r="T395">
        <f t="shared" si="20"/>
        <v>3.7878876455871091</v>
      </c>
      <c r="U395">
        <f t="shared" si="18"/>
        <v>3.9152116000606259</v>
      </c>
      <c r="V395">
        <f t="shared" si="19"/>
        <v>0.12732395447351674</v>
      </c>
    </row>
    <row r="396" spans="1:23">
      <c r="A396" s="12">
        <v>40</v>
      </c>
      <c r="B396" s="12">
        <v>-10</v>
      </c>
      <c r="C396" s="11">
        <v>48.14</v>
      </c>
      <c r="D396" s="11">
        <v>-3.2216145020781122</v>
      </c>
      <c r="E396" s="11"/>
      <c r="F396" s="10">
        <v>465</v>
      </c>
      <c r="G396" s="12" t="s">
        <v>13</v>
      </c>
      <c r="H396" s="13">
        <v>11.9</v>
      </c>
      <c r="I396" s="14"/>
      <c r="J396" s="14">
        <v>11.7</v>
      </c>
      <c r="K396" s="14"/>
      <c r="L396" s="13">
        <v>4.3</v>
      </c>
      <c r="M396" s="13">
        <v>2.5</v>
      </c>
      <c r="P396" s="12" t="s">
        <v>14</v>
      </c>
      <c r="Q396" s="12"/>
      <c r="R396" s="12"/>
      <c r="T396">
        <f t="shared" si="20"/>
        <v>3.7878876455871091</v>
      </c>
      <c r="U396">
        <f t="shared" si="18"/>
        <v>3.7242256683503507</v>
      </c>
      <c r="V396">
        <f t="shared" si="19"/>
        <v>-6.3661977236758371E-2</v>
      </c>
    </row>
    <row r="397" spans="1:23">
      <c r="A397" s="12">
        <v>20</v>
      </c>
      <c r="B397" s="12">
        <v>-30</v>
      </c>
      <c r="C397" s="11">
        <v>25.2559620379226</v>
      </c>
      <c r="D397" s="11">
        <v>-26.725102513298108</v>
      </c>
      <c r="E397" s="11"/>
      <c r="F397" s="12">
        <v>650</v>
      </c>
      <c r="G397" s="12" t="s">
        <v>43</v>
      </c>
      <c r="H397" s="13"/>
      <c r="I397" s="14">
        <v>3.88</v>
      </c>
      <c r="J397" s="14">
        <v>13.5</v>
      </c>
      <c r="K397" s="14"/>
      <c r="L397" s="13">
        <v>4.7</v>
      </c>
      <c r="M397" s="13">
        <v>2.2999999999999998</v>
      </c>
      <c r="P397" s="12" t="s">
        <v>14</v>
      </c>
      <c r="Q397" s="12"/>
      <c r="R397" s="12"/>
      <c r="T397">
        <f t="shared" si="20"/>
        <v>3.88</v>
      </c>
      <c r="U397">
        <f t="shared" si="18"/>
        <v>4.2971834634811739</v>
      </c>
      <c r="V397">
        <f t="shared" si="19"/>
        <v>0.41718346348117397</v>
      </c>
    </row>
    <row r="398" spans="1:23">
      <c r="A398" s="12">
        <v>30</v>
      </c>
      <c r="B398" s="12">
        <v>-10</v>
      </c>
      <c r="C398" s="11">
        <v>33.758862366994734</v>
      </c>
      <c r="D398" s="11">
        <v>-1.9829056980795468</v>
      </c>
      <c r="E398" s="11"/>
      <c r="F398" s="12">
        <v>426</v>
      </c>
      <c r="G398" s="12" t="s">
        <v>13</v>
      </c>
      <c r="H398" s="13">
        <v>12.2</v>
      </c>
      <c r="I398" s="14"/>
      <c r="J398" s="14">
        <v>12.8</v>
      </c>
      <c r="K398" s="14"/>
      <c r="L398" s="13">
        <v>4.7</v>
      </c>
      <c r="M398" s="13">
        <v>1.5</v>
      </c>
      <c r="P398" s="12" t="s">
        <v>14</v>
      </c>
      <c r="Q398" s="12"/>
      <c r="R398" s="12"/>
      <c r="T398">
        <f t="shared" si="20"/>
        <v>3.883380611442246</v>
      </c>
      <c r="U398">
        <f t="shared" si="18"/>
        <v>4.0743665431525207</v>
      </c>
      <c r="V398">
        <f t="shared" si="19"/>
        <v>0.19098593171027467</v>
      </c>
    </row>
    <row r="399" spans="1:23">
      <c r="A399" s="12">
        <v>20</v>
      </c>
      <c r="B399" s="12">
        <v>40</v>
      </c>
      <c r="C399" s="11">
        <v>26.356224715782488</v>
      </c>
      <c r="D399" s="11">
        <v>46.816216499090665</v>
      </c>
      <c r="E399" s="11"/>
      <c r="F399" s="10">
        <v>189</v>
      </c>
      <c r="G399" s="12" t="s">
        <v>13</v>
      </c>
      <c r="H399" s="13">
        <v>12.3</v>
      </c>
      <c r="I399" s="14"/>
      <c r="J399" s="14">
        <v>12.6</v>
      </c>
      <c r="K399" s="14"/>
      <c r="L399" s="13">
        <v>4.5999999999999996</v>
      </c>
      <c r="M399" s="13">
        <v>3.3</v>
      </c>
      <c r="P399" s="12" t="s">
        <v>14</v>
      </c>
      <c r="Q399" s="12"/>
      <c r="R399" s="12"/>
      <c r="T399">
        <f t="shared" si="20"/>
        <v>3.9152116000606259</v>
      </c>
      <c r="U399">
        <f t="shared" si="18"/>
        <v>4.0107045659157627</v>
      </c>
      <c r="V399">
        <f t="shared" si="19"/>
        <v>9.5492965855136891E-2</v>
      </c>
    </row>
    <row r="400" spans="1:23">
      <c r="A400" s="12">
        <v>30</v>
      </c>
      <c r="B400" s="12">
        <v>-30</v>
      </c>
      <c r="C400" s="11">
        <v>34.480309169145954</v>
      </c>
      <c r="D400" s="11">
        <v>-28.149652124407929</v>
      </c>
      <c r="E400" s="11"/>
      <c r="F400" s="10">
        <v>673</v>
      </c>
      <c r="G400" s="12" t="s">
        <v>21</v>
      </c>
      <c r="H400" s="13">
        <v>12.3</v>
      </c>
      <c r="I400" s="14"/>
      <c r="J400" s="14">
        <v>13.7</v>
      </c>
      <c r="K400" s="14"/>
      <c r="L400" s="13">
        <v>5.4</v>
      </c>
      <c r="M400" s="13">
        <v>1.9</v>
      </c>
      <c r="P400" s="12" t="s">
        <v>14</v>
      </c>
      <c r="Q400" s="12"/>
      <c r="R400" s="12"/>
      <c r="S400" t="s">
        <v>122</v>
      </c>
      <c r="T400">
        <f t="shared" si="20"/>
        <v>3.9152116000606259</v>
      </c>
      <c r="U400">
        <f t="shared" si="18"/>
        <v>4.3608454407179318</v>
      </c>
      <c r="V400">
        <f t="shared" si="19"/>
        <v>0.44563384065730594</v>
      </c>
    </row>
    <row r="401" spans="1:22">
      <c r="A401" s="12">
        <v>40</v>
      </c>
      <c r="B401" s="12">
        <v>-30</v>
      </c>
      <c r="C401" s="11">
        <v>41.913207673811556</v>
      </c>
      <c r="D401" s="11">
        <v>-25.707852741674184</v>
      </c>
      <c r="E401" s="11"/>
      <c r="F401" s="10">
        <v>689</v>
      </c>
      <c r="G401" s="12" t="s">
        <v>13</v>
      </c>
      <c r="H401" s="13">
        <v>12.4</v>
      </c>
      <c r="I401" s="14"/>
      <c r="J401" s="14" t="s">
        <v>70</v>
      </c>
      <c r="K401" s="14"/>
      <c r="L401" s="13"/>
      <c r="M401" s="13"/>
      <c r="P401" s="12" t="s">
        <v>14</v>
      </c>
      <c r="Q401" s="12"/>
      <c r="R401" s="12" t="s">
        <v>47</v>
      </c>
      <c r="T401">
        <f t="shared" si="20"/>
        <v>3.9470425886790048</v>
      </c>
      <c r="U401" t="str">
        <f t="shared" si="18"/>
        <v>dead</v>
      </c>
      <c r="V401" t="e">
        <f t="shared" si="19"/>
        <v>#VALUE!</v>
      </c>
    </row>
    <row r="402" spans="1:22">
      <c r="A402" s="12">
        <v>50</v>
      </c>
      <c r="B402" s="12">
        <v>-30</v>
      </c>
      <c r="C402" s="11">
        <v>50.215139710240834</v>
      </c>
      <c r="D402" s="11">
        <v>-27.437723206428444</v>
      </c>
      <c r="E402" s="11"/>
      <c r="F402" s="12">
        <v>2005</v>
      </c>
      <c r="G402" s="12" t="s">
        <v>13</v>
      </c>
      <c r="H402" s="13">
        <v>12.4</v>
      </c>
      <c r="I402" s="14"/>
      <c r="J402" s="14">
        <v>13</v>
      </c>
      <c r="K402" s="14"/>
      <c r="L402" s="13"/>
      <c r="M402" s="13"/>
      <c r="N402">
        <v>7.5</v>
      </c>
      <c r="O402">
        <v>2.2999999999999998</v>
      </c>
      <c r="P402" s="12"/>
      <c r="Q402" s="12"/>
      <c r="R402" s="12" t="s">
        <v>57</v>
      </c>
      <c r="S402" t="s">
        <v>140</v>
      </c>
      <c r="T402">
        <f t="shared" si="20"/>
        <v>3.9470425886790048</v>
      </c>
      <c r="U402">
        <f t="shared" si="18"/>
        <v>4.1380285203892786</v>
      </c>
      <c r="V402">
        <f t="shared" si="19"/>
        <v>0.19098593171027378</v>
      </c>
    </row>
    <row r="403" spans="1:22">
      <c r="A403" s="12">
        <v>20</v>
      </c>
      <c r="B403" s="12">
        <v>10</v>
      </c>
      <c r="C403" s="11">
        <v>23.776821029099263</v>
      </c>
      <c r="D403" s="11">
        <v>11.15813707184822</v>
      </c>
      <c r="E403" s="11"/>
      <c r="F403" s="12">
        <v>142</v>
      </c>
      <c r="G403" s="12" t="s">
        <v>13</v>
      </c>
      <c r="H403" s="13">
        <v>12.5</v>
      </c>
      <c r="I403" s="14"/>
      <c r="J403" s="14">
        <v>13</v>
      </c>
      <c r="K403" s="14"/>
      <c r="L403" s="13">
        <v>4.8</v>
      </c>
      <c r="M403" s="13">
        <v>1.5</v>
      </c>
      <c r="P403" s="12" t="s">
        <v>14</v>
      </c>
      <c r="Q403" s="12"/>
      <c r="R403" s="12"/>
      <c r="T403">
        <f t="shared" si="20"/>
        <v>3.9788735772973833</v>
      </c>
      <c r="U403">
        <f t="shared" si="18"/>
        <v>4.1380285203892786</v>
      </c>
      <c r="V403">
        <f t="shared" si="19"/>
        <v>0.15915494309189526</v>
      </c>
    </row>
    <row r="404" spans="1:22">
      <c r="A404" s="12">
        <v>40</v>
      </c>
      <c r="B404" s="12">
        <v>30</v>
      </c>
      <c r="C404" s="11">
        <v>41.87688214569787</v>
      </c>
      <c r="D404" s="11">
        <v>35.680861622369804</v>
      </c>
      <c r="E404" s="11"/>
      <c r="F404" s="10">
        <v>343</v>
      </c>
      <c r="G404" s="12" t="s">
        <v>11</v>
      </c>
      <c r="H404" s="13">
        <v>12.7</v>
      </c>
      <c r="I404" s="14"/>
      <c r="J404" s="14" t="s">
        <v>70</v>
      </c>
      <c r="K404" s="14"/>
      <c r="L404" s="13">
        <v>4.5</v>
      </c>
      <c r="M404" s="13"/>
      <c r="P404" s="12" t="s">
        <v>12</v>
      </c>
      <c r="Q404" s="12"/>
      <c r="R404" s="12"/>
      <c r="T404">
        <f t="shared" si="20"/>
        <v>4.0425355545341413</v>
      </c>
      <c r="U404" t="str">
        <f t="shared" si="18"/>
        <v>dead</v>
      </c>
      <c r="V404" t="e">
        <f t="shared" si="19"/>
        <v>#VALUE!</v>
      </c>
    </row>
    <row r="405" spans="1:22">
      <c r="A405" s="12">
        <v>40</v>
      </c>
      <c r="B405" s="12">
        <v>40</v>
      </c>
      <c r="C405" s="11">
        <v>41.6247498349016</v>
      </c>
      <c r="D405" s="11">
        <v>49.400174714973076</v>
      </c>
      <c r="E405" s="11"/>
      <c r="F405" s="10">
        <v>363</v>
      </c>
      <c r="G405" s="12" t="s">
        <v>13</v>
      </c>
      <c r="H405" s="13">
        <v>12.7</v>
      </c>
      <c r="I405" s="14"/>
      <c r="J405" s="14">
        <v>13.2</v>
      </c>
      <c r="K405" s="14"/>
      <c r="L405" s="13">
        <v>4.7</v>
      </c>
      <c r="M405" s="13">
        <v>1.2</v>
      </c>
      <c r="P405" s="12" t="s">
        <v>14</v>
      </c>
      <c r="Q405" s="12"/>
      <c r="R405" s="12"/>
      <c r="T405">
        <f t="shared" si="20"/>
        <v>4.0425355545341413</v>
      </c>
      <c r="U405">
        <f t="shared" si="18"/>
        <v>4.2016904976260365</v>
      </c>
      <c r="V405">
        <f t="shared" si="19"/>
        <v>0.15915494309189526</v>
      </c>
    </row>
    <row r="406" spans="1:22">
      <c r="A406" s="12">
        <v>30</v>
      </c>
      <c r="B406" s="12">
        <v>-10</v>
      </c>
      <c r="C406" s="11">
        <v>33.766064591840596</v>
      </c>
      <c r="D406" s="11">
        <v>-6.9729636066118257</v>
      </c>
      <c r="E406" s="11"/>
      <c r="F406" s="10">
        <v>429</v>
      </c>
      <c r="G406" s="12" t="s">
        <v>13</v>
      </c>
      <c r="H406" s="13">
        <v>12.8</v>
      </c>
      <c r="I406" s="14"/>
      <c r="J406" s="14">
        <v>13.4</v>
      </c>
      <c r="K406" s="14"/>
      <c r="L406" s="13">
        <v>4.7</v>
      </c>
      <c r="M406" s="13">
        <v>1.8</v>
      </c>
      <c r="P406" s="12" t="s">
        <v>14</v>
      </c>
      <c r="Q406" s="12"/>
      <c r="R406" s="12"/>
      <c r="T406">
        <f t="shared" si="20"/>
        <v>4.0743665431525207</v>
      </c>
      <c r="U406">
        <f t="shared" si="18"/>
        <v>4.2653524748627953</v>
      </c>
      <c r="V406">
        <f t="shared" si="19"/>
        <v>0.19098593171027467</v>
      </c>
    </row>
    <row r="407" spans="1:22">
      <c r="A407" s="12">
        <v>20</v>
      </c>
      <c r="B407" s="12">
        <v>-20</v>
      </c>
      <c r="C407" s="11">
        <v>26.978042096895663</v>
      </c>
      <c r="D407" s="11">
        <v>-13.635795974718397</v>
      </c>
      <c r="E407" s="11"/>
      <c r="F407" s="12">
        <v>550</v>
      </c>
      <c r="G407" s="12" t="s">
        <v>13</v>
      </c>
      <c r="H407" s="13">
        <v>12.8</v>
      </c>
      <c r="I407" s="14"/>
      <c r="J407" s="14">
        <v>13.3</v>
      </c>
      <c r="K407" s="14"/>
      <c r="L407" s="13">
        <v>4.2</v>
      </c>
      <c r="M407" s="13">
        <v>3</v>
      </c>
      <c r="P407" s="12" t="s">
        <v>14</v>
      </c>
      <c r="Q407" s="12"/>
      <c r="R407" s="12"/>
      <c r="T407">
        <f t="shared" si="20"/>
        <v>4.0743665431525207</v>
      </c>
      <c r="U407">
        <f t="shared" si="18"/>
        <v>4.2335214862444159</v>
      </c>
      <c r="V407">
        <f t="shared" si="19"/>
        <v>0.15915494309189526</v>
      </c>
    </row>
    <row r="408" spans="1:22">
      <c r="A408" s="12">
        <v>10</v>
      </c>
      <c r="B408" s="12">
        <v>-20</v>
      </c>
      <c r="C408" s="11">
        <v>16.298395004410601</v>
      </c>
      <c r="D408" s="11">
        <v>-11.763555350964374</v>
      </c>
      <c r="E408" s="11"/>
      <c r="F408" s="10">
        <v>573</v>
      </c>
      <c r="G408" s="12" t="s">
        <v>13</v>
      </c>
      <c r="H408" s="13">
        <v>12.8</v>
      </c>
      <c r="I408" s="14"/>
      <c r="J408" s="14">
        <v>13</v>
      </c>
      <c r="K408" s="14"/>
      <c r="L408" s="13">
        <v>2.9</v>
      </c>
      <c r="M408" s="13">
        <v>1.8</v>
      </c>
      <c r="P408" s="12" t="s">
        <v>14</v>
      </c>
      <c r="Q408" s="12"/>
      <c r="R408" s="12"/>
      <c r="T408">
        <f t="shared" si="20"/>
        <v>4.0743665431525207</v>
      </c>
      <c r="U408">
        <f t="shared" si="18"/>
        <v>4.1380285203892786</v>
      </c>
      <c r="V408">
        <f t="shared" si="19"/>
        <v>6.3661977236757927E-2</v>
      </c>
    </row>
    <row r="409" spans="1:22">
      <c r="A409" s="12">
        <v>0</v>
      </c>
      <c r="B409" s="12">
        <v>-30</v>
      </c>
      <c r="C409" s="11">
        <v>9.3944202602946802</v>
      </c>
      <c r="D409" s="11">
        <v>-23.025684932968588</v>
      </c>
      <c r="E409" s="11"/>
      <c r="F409" s="10">
        <v>611</v>
      </c>
      <c r="G409" s="12" t="s">
        <v>13</v>
      </c>
      <c r="H409" s="13">
        <v>12.8</v>
      </c>
      <c r="I409" s="14"/>
      <c r="J409" s="14">
        <v>13.5</v>
      </c>
      <c r="K409" s="14"/>
      <c r="L409" s="13">
        <v>4.8</v>
      </c>
      <c r="M409" s="13">
        <v>1.5</v>
      </c>
      <c r="P409" s="12" t="s">
        <v>14</v>
      </c>
      <c r="Q409" s="12"/>
      <c r="R409" s="12"/>
      <c r="S409" t="s">
        <v>107</v>
      </c>
      <c r="T409">
        <f t="shared" si="20"/>
        <v>4.0743665431525207</v>
      </c>
      <c r="U409">
        <f t="shared" si="18"/>
        <v>4.2971834634811739</v>
      </c>
      <c r="V409">
        <f t="shared" si="19"/>
        <v>0.22281692032865319</v>
      </c>
    </row>
    <row r="410" spans="1:22">
      <c r="A410" s="12">
        <v>20</v>
      </c>
      <c r="B410" s="12">
        <v>-30</v>
      </c>
      <c r="C410" s="11">
        <v>27.351125010598636</v>
      </c>
      <c r="D410" s="11">
        <v>-29.237724897967244</v>
      </c>
      <c r="E410" s="11"/>
      <c r="F410" s="12">
        <v>652</v>
      </c>
      <c r="G410" s="12" t="s">
        <v>11</v>
      </c>
      <c r="H410" s="13">
        <v>12.8</v>
      </c>
      <c r="I410" s="14"/>
      <c r="J410" s="14" t="s">
        <v>70</v>
      </c>
      <c r="K410" s="14"/>
      <c r="L410" s="13">
        <v>4.5</v>
      </c>
      <c r="M410" s="13"/>
      <c r="P410" s="12" t="s">
        <v>12</v>
      </c>
      <c r="Q410" s="12"/>
      <c r="R410" s="12"/>
      <c r="T410">
        <f t="shared" si="20"/>
        <v>4.0743665431525207</v>
      </c>
      <c r="U410" t="str">
        <f t="shared" si="18"/>
        <v>dead</v>
      </c>
      <c r="V410" t="e">
        <f t="shared" si="19"/>
        <v>#VALUE!</v>
      </c>
    </row>
    <row r="411" spans="1:22">
      <c r="A411" s="12">
        <v>40</v>
      </c>
      <c r="B411" s="12">
        <v>20</v>
      </c>
      <c r="C411" s="11">
        <v>42.033215261247165</v>
      </c>
      <c r="D411" s="11">
        <v>29.849072569358412</v>
      </c>
      <c r="E411" s="11"/>
      <c r="F411" s="12">
        <v>316</v>
      </c>
      <c r="G411" s="12" t="s">
        <v>13</v>
      </c>
      <c r="H411" s="13">
        <v>12.9</v>
      </c>
      <c r="I411" s="14"/>
      <c r="J411" s="14">
        <v>13.6</v>
      </c>
      <c r="K411" s="14"/>
      <c r="L411" s="13">
        <v>5.2</v>
      </c>
      <c r="M411" s="13">
        <v>2.2999999999999998</v>
      </c>
      <c r="P411" s="12" t="s">
        <v>14</v>
      </c>
      <c r="Q411" s="12"/>
      <c r="R411" s="12"/>
      <c r="T411">
        <f t="shared" si="20"/>
        <v>4.1061975317709001</v>
      </c>
      <c r="U411">
        <f t="shared" si="18"/>
        <v>4.3290144520995533</v>
      </c>
      <c r="V411">
        <f t="shared" si="19"/>
        <v>0.22281692032865319</v>
      </c>
    </row>
    <row r="412" spans="1:22">
      <c r="A412" s="12">
        <v>40</v>
      </c>
      <c r="B412" s="12">
        <v>40</v>
      </c>
      <c r="C412" s="11">
        <v>41.490106932122359</v>
      </c>
      <c r="D412" s="11">
        <v>45.568717982919232</v>
      </c>
      <c r="E412" s="11"/>
      <c r="F412" s="12">
        <v>358</v>
      </c>
      <c r="G412" s="12" t="s">
        <v>13</v>
      </c>
      <c r="H412" s="13">
        <v>12.9</v>
      </c>
      <c r="I412" s="14"/>
      <c r="J412" s="14" t="s">
        <v>70</v>
      </c>
      <c r="K412" s="14"/>
      <c r="L412" s="13">
        <v>1.6</v>
      </c>
      <c r="M412" s="13"/>
      <c r="P412" s="12" t="s">
        <v>12</v>
      </c>
      <c r="Q412" s="12"/>
      <c r="R412" s="12"/>
      <c r="T412">
        <f t="shared" si="20"/>
        <v>4.1061975317709001</v>
      </c>
      <c r="U412" t="str">
        <f t="shared" si="18"/>
        <v>dead</v>
      </c>
      <c r="V412" t="e">
        <f t="shared" si="19"/>
        <v>#VALUE!</v>
      </c>
    </row>
    <row r="413" spans="1:22">
      <c r="A413" s="12">
        <v>20</v>
      </c>
      <c r="B413" s="12">
        <v>-20</v>
      </c>
      <c r="C413" s="11">
        <v>27.731279138370269</v>
      </c>
      <c r="D413" s="11">
        <v>-18.751193542563861</v>
      </c>
      <c r="E413" s="11"/>
      <c r="F413" s="10">
        <v>561</v>
      </c>
      <c r="G413" s="12" t="s">
        <v>13</v>
      </c>
      <c r="H413" s="13">
        <v>12.9</v>
      </c>
      <c r="I413" s="14"/>
      <c r="J413" s="14">
        <v>13</v>
      </c>
      <c r="K413" s="14"/>
      <c r="L413" s="13">
        <v>4.4000000000000004</v>
      </c>
      <c r="M413" s="13">
        <v>2.5</v>
      </c>
      <c r="P413" s="12" t="s">
        <v>14</v>
      </c>
      <c r="Q413" s="12"/>
      <c r="R413" s="12"/>
      <c r="T413">
        <f t="shared" si="20"/>
        <v>4.1061975317709001</v>
      </c>
      <c r="U413">
        <f t="shared" si="18"/>
        <v>4.1380285203892786</v>
      </c>
      <c r="V413">
        <f t="shared" si="19"/>
        <v>3.183098861837852E-2</v>
      </c>
    </row>
    <row r="414" spans="1:22">
      <c r="A414" s="12">
        <v>30</v>
      </c>
      <c r="B414" s="12">
        <v>10</v>
      </c>
      <c r="C414" s="11">
        <v>35.175231914701541</v>
      </c>
      <c r="D414" s="11">
        <v>13.031544315341126</v>
      </c>
      <c r="E414" s="11"/>
      <c r="F414" s="10">
        <v>233</v>
      </c>
      <c r="G414" s="12" t="s">
        <v>11</v>
      </c>
      <c r="H414" s="13">
        <v>13</v>
      </c>
      <c r="I414" s="14"/>
      <c r="J414" s="14">
        <v>17</v>
      </c>
      <c r="K414" s="14"/>
      <c r="L414" s="13">
        <v>4.5</v>
      </c>
      <c r="M414" s="13">
        <v>0.5</v>
      </c>
      <c r="P414" s="12" t="s">
        <v>14</v>
      </c>
      <c r="Q414" s="12"/>
      <c r="R414" s="12"/>
      <c r="T414">
        <f t="shared" si="20"/>
        <v>4.1380285203892786</v>
      </c>
      <c r="U414">
        <f t="shared" si="18"/>
        <v>5.4112680651244416</v>
      </c>
      <c r="V414">
        <f t="shared" si="19"/>
        <v>1.273239544735163</v>
      </c>
    </row>
    <row r="415" spans="1:22">
      <c r="A415" s="12">
        <v>40</v>
      </c>
      <c r="B415" s="12">
        <v>20</v>
      </c>
      <c r="C415" s="11">
        <v>42.576651627563287</v>
      </c>
      <c r="D415" s="11">
        <v>29.825957146197499</v>
      </c>
      <c r="E415" s="11"/>
      <c r="F415" s="12">
        <v>300</v>
      </c>
      <c r="G415" s="12" t="s">
        <v>13</v>
      </c>
      <c r="H415" s="13">
        <v>13.1</v>
      </c>
      <c r="I415" s="14"/>
      <c r="J415" s="14">
        <v>13.4</v>
      </c>
      <c r="K415" s="14"/>
      <c r="L415" s="13">
        <v>5.5</v>
      </c>
      <c r="M415" s="13">
        <v>1.7</v>
      </c>
      <c r="P415" s="12" t="s">
        <v>14</v>
      </c>
      <c r="Q415" s="12"/>
      <c r="R415" s="12"/>
      <c r="T415">
        <f t="shared" si="20"/>
        <v>4.169859509007658</v>
      </c>
      <c r="U415">
        <f t="shared" si="18"/>
        <v>4.2653524748627953</v>
      </c>
      <c r="V415">
        <f t="shared" si="19"/>
        <v>9.5492965855137335E-2</v>
      </c>
    </row>
    <row r="416" spans="1:22">
      <c r="A416" s="12">
        <v>50</v>
      </c>
      <c r="B416" s="12">
        <v>-30</v>
      </c>
      <c r="C416" s="11">
        <v>50.215139710240834</v>
      </c>
      <c r="D416" s="11">
        <v>-27.437723206428444</v>
      </c>
      <c r="E416" s="11"/>
      <c r="F416" s="12">
        <v>2001</v>
      </c>
      <c r="G416" s="12" t="s">
        <v>13</v>
      </c>
      <c r="H416" s="13">
        <v>13.1</v>
      </c>
      <c r="I416" s="14"/>
      <c r="J416" s="14">
        <v>13.1</v>
      </c>
      <c r="K416" s="14"/>
      <c r="L416" s="13"/>
      <c r="M416" s="13"/>
      <c r="N416">
        <v>2.4</v>
      </c>
      <c r="O416">
        <v>1</v>
      </c>
      <c r="P416" s="12"/>
      <c r="Q416" s="12"/>
      <c r="R416" s="12" t="s">
        <v>57</v>
      </c>
      <c r="S416" t="s">
        <v>135</v>
      </c>
      <c r="T416">
        <f t="shared" si="20"/>
        <v>4.169859509007658</v>
      </c>
      <c r="U416">
        <f t="shared" si="18"/>
        <v>4.169859509007658</v>
      </c>
      <c r="V416">
        <f t="shared" si="19"/>
        <v>0</v>
      </c>
    </row>
    <row r="417" spans="1:23">
      <c r="A417" s="12">
        <v>40</v>
      </c>
      <c r="B417" s="12">
        <v>-10</v>
      </c>
      <c r="C417" s="11">
        <v>47.95645499176517</v>
      </c>
      <c r="D417" s="11">
        <v>-2.6922711229217842</v>
      </c>
      <c r="E417" s="11"/>
      <c r="F417" s="10">
        <v>461</v>
      </c>
      <c r="G417" s="12" t="s">
        <v>13</v>
      </c>
      <c r="H417" s="13">
        <v>13.2</v>
      </c>
      <c r="I417" s="14"/>
      <c r="J417" s="14" t="s">
        <v>70</v>
      </c>
      <c r="K417" s="14"/>
      <c r="L417" s="13">
        <v>4.7</v>
      </c>
      <c r="M417" s="13"/>
      <c r="P417" s="12" t="s">
        <v>12</v>
      </c>
      <c r="Q417" s="12"/>
      <c r="R417" s="12"/>
      <c r="T417">
        <f t="shared" si="20"/>
        <v>4.2016904976260365</v>
      </c>
      <c r="U417" t="str">
        <f t="shared" si="18"/>
        <v>dead</v>
      </c>
      <c r="V417" t="e">
        <f t="shared" si="19"/>
        <v>#VALUE!</v>
      </c>
    </row>
    <row r="418" spans="1:23">
      <c r="A418" s="12">
        <v>20</v>
      </c>
      <c r="B418" s="12">
        <v>30</v>
      </c>
      <c r="C418" s="11">
        <v>25.433323914882696</v>
      </c>
      <c r="D418" s="11">
        <v>34.334182209427858</v>
      </c>
      <c r="E418" s="11"/>
      <c r="F418" s="10">
        <v>171</v>
      </c>
      <c r="G418" s="12" t="s">
        <v>13</v>
      </c>
      <c r="H418" s="13">
        <v>13.3</v>
      </c>
      <c r="I418" s="14"/>
      <c r="J418" s="14">
        <v>13.8</v>
      </c>
      <c r="K418" s="14"/>
      <c r="L418" s="13">
        <v>3.7</v>
      </c>
      <c r="M418" s="13">
        <v>1.7</v>
      </c>
      <c r="P418" s="12" t="s">
        <v>14</v>
      </c>
      <c r="Q418" s="12"/>
      <c r="R418" s="12" t="s">
        <v>25</v>
      </c>
      <c r="T418">
        <f t="shared" si="20"/>
        <v>4.2335214862444159</v>
      </c>
      <c r="U418">
        <f t="shared" si="18"/>
        <v>4.3926764293363121</v>
      </c>
      <c r="V418">
        <f t="shared" si="19"/>
        <v>0.15915494309189615</v>
      </c>
    </row>
    <row r="419" spans="1:23">
      <c r="A419" s="12">
        <v>20</v>
      </c>
      <c r="B419" s="12">
        <v>30</v>
      </c>
      <c r="C419" s="11">
        <v>21.776802246029185</v>
      </c>
      <c r="D419" s="11">
        <v>38.060960604189376</v>
      </c>
      <c r="E419" s="11"/>
      <c r="F419" s="10">
        <v>181</v>
      </c>
      <c r="G419" s="12" t="s">
        <v>11</v>
      </c>
      <c r="H419" s="13">
        <v>13.3</v>
      </c>
      <c r="I419" s="14"/>
      <c r="J419" s="14" t="s">
        <v>70</v>
      </c>
      <c r="K419" s="14"/>
      <c r="L419" s="13">
        <v>4.3</v>
      </c>
      <c r="M419" s="13">
        <v>0.2</v>
      </c>
      <c r="P419" s="12" t="s">
        <v>14</v>
      </c>
      <c r="Q419" s="12"/>
      <c r="R419" s="12"/>
      <c r="T419">
        <f t="shared" si="20"/>
        <v>4.2335214862444159</v>
      </c>
      <c r="U419" t="str">
        <f t="shared" si="18"/>
        <v>dead</v>
      </c>
      <c r="V419" t="e">
        <f t="shared" si="19"/>
        <v>#VALUE!</v>
      </c>
    </row>
    <row r="420" spans="1:23">
      <c r="A420" s="12">
        <v>10</v>
      </c>
      <c r="B420" s="12">
        <v>10</v>
      </c>
      <c r="C420" s="11">
        <v>19.450592034892743</v>
      </c>
      <c r="D420" s="11">
        <v>13.837487484021526</v>
      </c>
      <c r="E420" s="11"/>
      <c r="F420" s="10">
        <v>111</v>
      </c>
      <c r="G420" s="12" t="s">
        <v>13</v>
      </c>
      <c r="H420" s="13">
        <v>13.4</v>
      </c>
      <c r="I420" s="14"/>
      <c r="J420" s="14">
        <v>14.1</v>
      </c>
      <c r="K420" s="14"/>
      <c r="L420" s="13">
        <v>4.9000000000000004</v>
      </c>
      <c r="M420" s="13">
        <v>2.6</v>
      </c>
      <c r="P420" s="12" t="s">
        <v>14</v>
      </c>
      <c r="Q420" s="12"/>
      <c r="R420" s="12"/>
      <c r="T420">
        <f t="shared" si="20"/>
        <v>4.2653524748627953</v>
      </c>
      <c r="U420">
        <f t="shared" si="18"/>
        <v>4.4881693951914485</v>
      </c>
      <c r="V420">
        <f t="shared" si="19"/>
        <v>0.22281692032865319</v>
      </c>
    </row>
    <row r="421" spans="1:23">
      <c r="A421" s="9">
        <v>0</v>
      </c>
      <c r="B421" s="12">
        <v>10</v>
      </c>
      <c r="C421" s="11">
        <v>6.8907652746479302</v>
      </c>
      <c r="D421" s="11">
        <v>17.695625992904336</v>
      </c>
      <c r="E421" s="11"/>
      <c r="F421" s="10">
        <v>21</v>
      </c>
      <c r="G421" s="12" t="s">
        <v>13</v>
      </c>
      <c r="H421" s="13">
        <v>13.5</v>
      </c>
      <c r="I421" s="14"/>
      <c r="J421" s="14">
        <v>14.3</v>
      </c>
      <c r="K421" s="14"/>
      <c r="L421" s="13">
        <v>5.5</v>
      </c>
      <c r="M421" s="13">
        <v>1.6</v>
      </c>
      <c r="P421" s="12" t="s">
        <v>14</v>
      </c>
      <c r="Q421" s="12"/>
      <c r="R421" s="12"/>
      <c r="T421">
        <f t="shared" si="20"/>
        <v>4.2971834634811739</v>
      </c>
      <c r="U421">
        <f t="shared" si="18"/>
        <v>4.5518313724282073</v>
      </c>
      <c r="V421">
        <f t="shared" si="19"/>
        <v>0.25464790894703349</v>
      </c>
    </row>
    <row r="422" spans="1:23">
      <c r="A422" s="9">
        <v>0</v>
      </c>
      <c r="B422" s="12">
        <v>20</v>
      </c>
      <c r="C422" s="11">
        <v>8.4184890926716029</v>
      </c>
      <c r="D422" s="11">
        <v>22.114578302302672</v>
      </c>
      <c r="E422" s="11"/>
      <c r="F422" s="10">
        <v>31</v>
      </c>
      <c r="G422" s="12" t="s">
        <v>13</v>
      </c>
      <c r="H422" s="13">
        <v>13.5</v>
      </c>
      <c r="I422" s="14"/>
      <c r="J422" s="14">
        <v>14.5</v>
      </c>
      <c r="K422" s="14"/>
      <c r="L422" s="13">
        <v>3.7</v>
      </c>
      <c r="M422" s="13">
        <v>1.2</v>
      </c>
      <c r="P422" s="12" t="s">
        <v>14</v>
      </c>
      <c r="Q422" s="12"/>
      <c r="R422" s="12"/>
      <c r="T422">
        <f t="shared" si="20"/>
        <v>4.2971834634811739</v>
      </c>
      <c r="U422">
        <f t="shared" si="18"/>
        <v>4.6154933496649653</v>
      </c>
      <c r="V422">
        <f t="shared" si="19"/>
        <v>0.31830988618379141</v>
      </c>
    </row>
    <row r="423" spans="1:23">
      <c r="A423" s="9">
        <v>0</v>
      </c>
      <c r="B423" s="12">
        <v>30</v>
      </c>
      <c r="C423" s="11">
        <v>3.3916017940016192</v>
      </c>
      <c r="D423" s="11">
        <v>37.779399238189264</v>
      </c>
      <c r="E423" s="11"/>
      <c r="F423" s="10">
        <v>53</v>
      </c>
      <c r="G423" s="12" t="s">
        <v>11</v>
      </c>
      <c r="H423" s="13">
        <v>13.6</v>
      </c>
      <c r="I423" s="14"/>
      <c r="J423" s="14" t="s">
        <v>70</v>
      </c>
      <c r="K423" s="14"/>
      <c r="L423" s="13">
        <v>2.1</v>
      </c>
      <c r="M423" s="13"/>
      <c r="P423" s="12" t="s">
        <v>12</v>
      </c>
      <c r="Q423" s="12"/>
      <c r="R423" s="12"/>
      <c r="T423">
        <f t="shared" si="20"/>
        <v>4.3290144520995533</v>
      </c>
      <c r="U423" t="str">
        <f t="shared" si="18"/>
        <v>dead</v>
      </c>
      <c r="V423" t="e">
        <f t="shared" si="19"/>
        <v>#VALUE!</v>
      </c>
    </row>
    <row r="424" spans="1:23">
      <c r="A424" s="9">
        <v>20</v>
      </c>
      <c r="B424" s="9">
        <v>-10</v>
      </c>
      <c r="C424" s="11">
        <v>28.216300026749987</v>
      </c>
      <c r="D424" s="11">
        <v>-4.6050009323052059</v>
      </c>
      <c r="E424" s="11"/>
      <c r="F424" s="10">
        <v>419</v>
      </c>
      <c r="G424" s="12" t="s">
        <v>13</v>
      </c>
      <c r="H424" s="13">
        <v>13.7</v>
      </c>
      <c r="I424" s="14"/>
      <c r="J424" s="14">
        <v>15.6</v>
      </c>
      <c r="K424" s="14"/>
      <c r="L424" s="13">
        <v>4.7</v>
      </c>
      <c r="M424" s="13">
        <v>1.4</v>
      </c>
      <c r="P424" s="12" t="s">
        <v>14</v>
      </c>
      <c r="Q424" s="12"/>
      <c r="R424" s="12"/>
      <c r="T424">
        <f t="shared" si="20"/>
        <v>4.3608454407179318</v>
      </c>
      <c r="U424">
        <f t="shared" si="18"/>
        <v>4.9656342244671343</v>
      </c>
      <c r="V424">
        <f t="shared" si="19"/>
        <v>0.60478878374920253</v>
      </c>
    </row>
    <row r="425" spans="1:23">
      <c r="A425" s="9">
        <v>0</v>
      </c>
      <c r="B425" s="12">
        <v>10</v>
      </c>
      <c r="C425" s="11">
        <v>6.8333337259313778</v>
      </c>
      <c r="D425" s="11">
        <v>17.877329795601831</v>
      </c>
      <c r="E425" s="11"/>
      <c r="F425" s="12">
        <v>22</v>
      </c>
      <c r="G425" s="12" t="s">
        <v>13</v>
      </c>
      <c r="H425" s="13">
        <v>14</v>
      </c>
      <c r="I425" s="14"/>
      <c r="J425" s="14">
        <v>14.5</v>
      </c>
      <c r="K425" s="14"/>
      <c r="L425" s="13">
        <v>4</v>
      </c>
      <c r="M425" s="13">
        <v>2.6</v>
      </c>
      <c r="P425" s="12" t="s">
        <v>14</v>
      </c>
      <c r="Q425" s="12"/>
      <c r="R425" s="12"/>
      <c r="T425">
        <f>H425/PI()+I425</f>
        <v>4.45633840657307</v>
      </c>
      <c r="U425">
        <f t="shared" si="18"/>
        <v>4.6154933496649653</v>
      </c>
      <c r="V425">
        <f t="shared" si="19"/>
        <v>0.15915494309189526</v>
      </c>
    </row>
    <row r="426" spans="1:23">
      <c r="A426" s="9">
        <v>0</v>
      </c>
      <c r="B426" s="12">
        <v>20</v>
      </c>
      <c r="C426" s="11">
        <v>6.7606422029613356</v>
      </c>
      <c r="D426" s="11">
        <v>30.023064252190451</v>
      </c>
      <c r="E426" s="11"/>
      <c r="F426" s="12">
        <v>44</v>
      </c>
      <c r="G426" s="12" t="s">
        <v>11</v>
      </c>
      <c r="H426" s="13">
        <v>14</v>
      </c>
      <c r="I426" s="14"/>
      <c r="J426" s="14" t="s">
        <v>70</v>
      </c>
      <c r="K426" s="14"/>
      <c r="L426" s="13">
        <v>4.2</v>
      </c>
      <c r="M426" s="13">
        <v>0.2</v>
      </c>
      <c r="P426" s="12" t="s">
        <v>14</v>
      </c>
      <c r="Q426" s="12"/>
      <c r="R426" s="12"/>
      <c r="T426">
        <f t="shared" si="20"/>
        <v>4.45633840657307</v>
      </c>
      <c r="U426" t="str">
        <f t="shared" si="18"/>
        <v>dead</v>
      </c>
      <c r="V426" t="e">
        <f t="shared" si="19"/>
        <v>#VALUE!</v>
      </c>
    </row>
    <row r="427" spans="1:23">
      <c r="A427" s="12">
        <v>20</v>
      </c>
      <c r="B427" s="12">
        <v>10</v>
      </c>
      <c r="C427" s="11">
        <v>24.481330698158807</v>
      </c>
      <c r="D427" s="11">
        <v>11.261086766992761</v>
      </c>
      <c r="E427" s="11"/>
      <c r="F427" s="10">
        <v>133</v>
      </c>
      <c r="G427" s="12" t="s">
        <v>13</v>
      </c>
      <c r="H427" s="13">
        <v>14</v>
      </c>
      <c r="I427" s="14"/>
      <c r="J427" s="14">
        <v>14.9</v>
      </c>
      <c r="K427" s="14"/>
      <c r="L427" s="13">
        <v>8.5</v>
      </c>
      <c r="M427" s="13">
        <v>2.8</v>
      </c>
      <c r="P427" s="12" t="s">
        <v>14</v>
      </c>
      <c r="Q427" s="12"/>
      <c r="R427" s="12"/>
      <c r="T427">
        <f t="shared" si="20"/>
        <v>4.45633840657307</v>
      </c>
      <c r="U427">
        <f t="shared" si="18"/>
        <v>4.7428173041384811</v>
      </c>
      <c r="V427">
        <f t="shared" si="19"/>
        <v>0.28647889756541112</v>
      </c>
    </row>
    <row r="428" spans="1:23">
      <c r="A428" s="12">
        <v>30</v>
      </c>
      <c r="B428" s="12">
        <v>0</v>
      </c>
      <c r="C428" s="11">
        <v>33.991864086035775</v>
      </c>
      <c r="D428" s="11">
        <v>8.9138005024738085</v>
      </c>
      <c r="E428" s="11"/>
      <c r="F428" s="10">
        <v>253</v>
      </c>
      <c r="G428" s="12" t="s">
        <v>13</v>
      </c>
      <c r="H428" s="13">
        <v>14</v>
      </c>
      <c r="I428" s="14"/>
      <c r="J428" s="14">
        <v>14.5</v>
      </c>
      <c r="K428" s="14"/>
      <c r="L428" s="13">
        <v>4</v>
      </c>
      <c r="M428" s="13">
        <v>2.1</v>
      </c>
      <c r="P428" s="12" t="s">
        <v>14</v>
      </c>
      <c r="Q428" s="12"/>
      <c r="R428" s="12"/>
      <c r="T428">
        <f t="shared" si="20"/>
        <v>4.45633840657307</v>
      </c>
      <c r="U428">
        <f t="shared" si="18"/>
        <v>4.6154933496649653</v>
      </c>
      <c r="V428">
        <f t="shared" si="19"/>
        <v>0.15915494309189526</v>
      </c>
    </row>
    <row r="429" spans="1:23">
      <c r="A429" s="12">
        <v>40</v>
      </c>
      <c r="B429" s="12">
        <v>-10</v>
      </c>
      <c r="C429" s="11">
        <v>48.531267151121057</v>
      </c>
      <c r="D429" s="11">
        <v>-2.6387921135671051</v>
      </c>
      <c r="E429" s="11"/>
      <c r="F429" s="10">
        <v>471</v>
      </c>
      <c r="G429" s="12" t="s">
        <v>13</v>
      </c>
      <c r="H429" s="13">
        <v>14</v>
      </c>
      <c r="I429" s="14"/>
      <c r="J429" s="14">
        <v>14.1</v>
      </c>
      <c r="K429" s="14"/>
      <c r="L429" s="13">
        <v>3.8</v>
      </c>
      <c r="M429" s="13">
        <v>2.1</v>
      </c>
      <c r="P429" s="12" t="s">
        <v>14</v>
      </c>
      <c r="Q429" s="12"/>
      <c r="R429" s="12"/>
      <c r="T429">
        <f t="shared" si="20"/>
        <v>4.45633840657307</v>
      </c>
      <c r="U429">
        <f t="shared" si="18"/>
        <v>4.4881693951914485</v>
      </c>
      <c r="V429">
        <f t="shared" si="19"/>
        <v>3.183098861837852E-2</v>
      </c>
    </row>
    <row r="430" spans="1:23" s="27" customFormat="1">
      <c r="A430" s="12">
        <v>10</v>
      </c>
      <c r="B430" s="12">
        <v>30</v>
      </c>
      <c r="C430" s="11">
        <v>13.816394323818171</v>
      </c>
      <c r="D430" s="11">
        <v>30.41139990053043</v>
      </c>
      <c r="E430" s="11"/>
      <c r="F430" s="10">
        <v>85</v>
      </c>
      <c r="G430" s="12" t="s">
        <v>11</v>
      </c>
      <c r="H430" s="13">
        <v>14.2</v>
      </c>
      <c r="I430" s="14"/>
      <c r="J430" s="14" t="s">
        <v>70</v>
      </c>
      <c r="K430" s="14"/>
      <c r="L430" s="13">
        <v>5</v>
      </c>
      <c r="M430" s="13"/>
      <c r="N430"/>
      <c r="O430"/>
      <c r="P430" s="12" t="s">
        <v>12</v>
      </c>
      <c r="Q430" s="12"/>
      <c r="R430" s="12"/>
      <c r="S430"/>
      <c r="T430">
        <f t="shared" si="20"/>
        <v>4.520000383809827</v>
      </c>
      <c r="U430" t="str">
        <f t="shared" si="18"/>
        <v>dead</v>
      </c>
      <c r="V430" t="e">
        <f t="shared" si="19"/>
        <v>#VALUE!</v>
      </c>
      <c r="W430"/>
    </row>
    <row r="431" spans="1:23">
      <c r="A431" s="12">
        <v>20</v>
      </c>
      <c r="B431" s="12">
        <v>40</v>
      </c>
      <c r="C431" s="11">
        <v>26.088068052261637</v>
      </c>
      <c r="D431" s="11">
        <v>46.326438760553302</v>
      </c>
      <c r="E431" s="11"/>
      <c r="F431" s="12">
        <v>186</v>
      </c>
      <c r="G431" s="12" t="s">
        <v>13</v>
      </c>
      <c r="H431" s="13">
        <v>14.3</v>
      </c>
      <c r="I431" s="14"/>
      <c r="J431" s="14">
        <v>15.2</v>
      </c>
      <c r="K431" s="14"/>
      <c r="L431" s="13">
        <v>5</v>
      </c>
      <c r="M431" s="13">
        <v>2</v>
      </c>
      <c r="P431" s="12" t="s">
        <v>14</v>
      </c>
      <c r="Q431" s="12"/>
      <c r="R431" s="12"/>
      <c r="T431">
        <f t="shared" si="20"/>
        <v>4.5518313724282073</v>
      </c>
      <c r="U431">
        <f t="shared" si="18"/>
        <v>4.8383102699936185</v>
      </c>
      <c r="V431">
        <f t="shared" si="19"/>
        <v>0.28647889756541112</v>
      </c>
    </row>
    <row r="432" spans="1:23">
      <c r="A432" s="12">
        <v>10</v>
      </c>
      <c r="B432" s="12">
        <v>40</v>
      </c>
      <c r="C432" s="11">
        <v>12.358481639250277</v>
      </c>
      <c r="D432" s="11">
        <v>45.370549054084215</v>
      </c>
      <c r="E432" s="11"/>
      <c r="F432" s="10">
        <v>75</v>
      </c>
      <c r="G432" s="12" t="s">
        <v>11</v>
      </c>
      <c r="H432" s="13">
        <v>14.4</v>
      </c>
      <c r="I432" s="14"/>
      <c r="J432" s="14">
        <v>17.399999999999999</v>
      </c>
      <c r="K432" s="14"/>
      <c r="L432" s="13">
        <v>3.7</v>
      </c>
      <c r="M432" s="13">
        <v>0.8</v>
      </c>
      <c r="P432" s="12" t="s">
        <v>14</v>
      </c>
      <c r="Q432" s="12"/>
      <c r="R432" s="12"/>
      <c r="T432">
        <f t="shared" si="20"/>
        <v>4.5836623610465859</v>
      </c>
      <c r="U432">
        <f t="shared" si="18"/>
        <v>5.5385920195979574</v>
      </c>
      <c r="V432">
        <f t="shared" si="19"/>
        <v>0.95492965855137157</v>
      </c>
    </row>
    <row r="433" spans="1:23">
      <c r="A433" s="12">
        <v>50</v>
      </c>
      <c r="B433" s="12">
        <v>-30</v>
      </c>
      <c r="C433" s="11">
        <v>50.215139710240834</v>
      </c>
      <c r="D433" s="11">
        <v>-27.437723206428444</v>
      </c>
      <c r="E433" s="11"/>
      <c r="F433" s="12">
        <v>2007</v>
      </c>
      <c r="G433" s="12" t="s">
        <v>13</v>
      </c>
      <c r="H433" s="13">
        <v>14.4</v>
      </c>
      <c r="I433" s="14"/>
      <c r="J433" s="14">
        <v>16</v>
      </c>
      <c r="K433" s="14"/>
      <c r="L433" s="13"/>
      <c r="M433" s="13"/>
      <c r="N433">
        <v>3.5</v>
      </c>
      <c r="O433">
        <v>1.9</v>
      </c>
      <c r="P433" s="12"/>
      <c r="Q433" s="12"/>
      <c r="R433" s="12" t="s">
        <v>57</v>
      </c>
      <c r="S433" t="s">
        <v>141</v>
      </c>
      <c r="T433">
        <f t="shared" si="20"/>
        <v>4.5836623610465859</v>
      </c>
      <c r="U433">
        <f t="shared" si="18"/>
        <v>5.0929581789406511</v>
      </c>
      <c r="V433">
        <f t="shared" si="19"/>
        <v>0.50929581789406519</v>
      </c>
    </row>
    <row r="434" spans="1:23">
      <c r="A434" s="12">
        <v>20</v>
      </c>
      <c r="B434" s="12">
        <v>30</v>
      </c>
      <c r="C434" s="11">
        <v>21.331866296913631</v>
      </c>
      <c r="D434" s="11">
        <v>38.494599001214105</v>
      </c>
      <c r="E434" s="11"/>
      <c r="F434" s="12">
        <v>182</v>
      </c>
      <c r="G434" s="12" t="s">
        <v>11</v>
      </c>
      <c r="H434" s="13">
        <v>14.6</v>
      </c>
      <c r="I434" s="14"/>
      <c r="J434" s="14">
        <v>18.399999999999999</v>
      </c>
      <c r="K434" s="14"/>
      <c r="L434" s="13">
        <v>5.2</v>
      </c>
      <c r="M434" s="13">
        <v>0.2</v>
      </c>
      <c r="P434" s="12" t="s">
        <v>14</v>
      </c>
      <c r="Q434" s="12"/>
      <c r="R434" s="12"/>
      <c r="T434">
        <f t="shared" si="20"/>
        <v>4.6473243382833438</v>
      </c>
      <c r="U434">
        <f t="shared" si="18"/>
        <v>5.856901905781748</v>
      </c>
      <c r="V434">
        <f t="shared" si="19"/>
        <v>1.2095775674984042</v>
      </c>
      <c r="W434" s="27"/>
    </row>
    <row r="435" spans="1:23">
      <c r="A435" s="12">
        <v>30</v>
      </c>
      <c r="B435" s="12">
        <v>-20</v>
      </c>
      <c r="C435" s="11">
        <v>49.938192270330752</v>
      </c>
      <c r="D435" s="11">
        <v>-27.773576332121721</v>
      </c>
      <c r="E435" s="11"/>
      <c r="F435" s="12">
        <v>706</v>
      </c>
      <c r="G435" s="12" t="s">
        <v>13</v>
      </c>
      <c r="H435" s="13">
        <v>14.6</v>
      </c>
      <c r="I435" s="14"/>
      <c r="J435" s="14">
        <v>16.3</v>
      </c>
      <c r="K435" s="14"/>
      <c r="L435" s="13">
        <v>5.2</v>
      </c>
      <c r="M435" s="13">
        <v>1.6</v>
      </c>
      <c r="P435" s="12" t="s">
        <v>14</v>
      </c>
      <c r="Q435" s="12"/>
      <c r="R435" s="12"/>
      <c r="S435" t="s">
        <v>128</v>
      </c>
      <c r="T435">
        <f t="shared" si="20"/>
        <v>4.6473243382833438</v>
      </c>
      <c r="U435">
        <f t="shared" si="18"/>
        <v>5.1884511447957884</v>
      </c>
      <c r="V435">
        <f t="shared" si="19"/>
        <v>0.5411268065124446</v>
      </c>
    </row>
    <row r="436" spans="1:23">
      <c r="A436" s="9">
        <v>0</v>
      </c>
      <c r="B436" s="12">
        <v>20</v>
      </c>
      <c r="C436" s="11">
        <v>9.0445474699669113</v>
      </c>
      <c r="D436" s="11">
        <v>22.938751616505748</v>
      </c>
      <c r="E436" s="11"/>
      <c r="F436" s="12">
        <v>38</v>
      </c>
      <c r="G436" s="12" t="s">
        <v>13</v>
      </c>
      <c r="H436" s="13">
        <v>14.7</v>
      </c>
      <c r="I436" s="14"/>
      <c r="J436" s="14" t="s">
        <v>70</v>
      </c>
      <c r="K436" s="14"/>
      <c r="L436" s="13">
        <v>1.7</v>
      </c>
      <c r="M436" s="13">
        <v>1</v>
      </c>
      <c r="P436" s="12" t="s">
        <v>14</v>
      </c>
      <c r="Q436" s="12"/>
      <c r="R436" s="12" t="s">
        <v>74</v>
      </c>
      <c r="S436" t="s">
        <v>77</v>
      </c>
      <c r="T436">
        <f t="shared" si="20"/>
        <v>4.6791553269017232</v>
      </c>
      <c r="U436" t="str">
        <f t="shared" si="18"/>
        <v>dead</v>
      </c>
      <c r="V436" t="e">
        <f t="shared" si="19"/>
        <v>#VALUE!</v>
      </c>
    </row>
    <row r="437" spans="1:23">
      <c r="A437" s="12">
        <v>20</v>
      </c>
      <c r="B437" s="12">
        <v>0</v>
      </c>
      <c r="C437" s="11">
        <v>27.062223874983264</v>
      </c>
      <c r="D437" s="11">
        <v>8.9744857200630914</v>
      </c>
      <c r="E437" s="11"/>
      <c r="F437" s="12">
        <v>132</v>
      </c>
      <c r="G437" s="12" t="s">
        <v>21</v>
      </c>
      <c r="H437" s="13">
        <v>14.7</v>
      </c>
      <c r="I437" s="14"/>
      <c r="J437" s="14">
        <v>15.4</v>
      </c>
      <c r="K437" s="14"/>
      <c r="L437" s="13">
        <v>6</v>
      </c>
      <c r="M437" s="13">
        <v>2.5</v>
      </c>
      <c r="P437" s="12" t="s">
        <v>14</v>
      </c>
      <c r="Q437" s="12"/>
      <c r="R437" s="12"/>
      <c r="T437">
        <f t="shared" si="20"/>
        <v>4.6791553269017232</v>
      </c>
      <c r="U437">
        <f t="shared" si="18"/>
        <v>4.9019722472303764</v>
      </c>
      <c r="V437">
        <f t="shared" si="19"/>
        <v>0.22281692032865319</v>
      </c>
    </row>
    <row r="438" spans="1:23">
      <c r="A438" s="12">
        <v>10</v>
      </c>
      <c r="B438" s="12">
        <v>-20</v>
      </c>
      <c r="C438" s="11">
        <v>14.058492422108468</v>
      </c>
      <c r="D438" s="11">
        <v>-19.417430088437879</v>
      </c>
      <c r="E438" s="11"/>
      <c r="F438" s="12">
        <v>576</v>
      </c>
      <c r="G438" s="12" t="s">
        <v>11</v>
      </c>
      <c r="H438" s="13">
        <v>14.7</v>
      </c>
      <c r="I438" s="14"/>
      <c r="J438" s="14">
        <v>18</v>
      </c>
      <c r="K438" s="14"/>
      <c r="L438" s="13">
        <v>4.9000000000000004</v>
      </c>
      <c r="M438" s="13">
        <v>0.1</v>
      </c>
      <c r="P438" s="12" t="s">
        <v>14</v>
      </c>
      <c r="Q438" s="12"/>
      <c r="R438" s="12"/>
      <c r="T438">
        <f t="shared" si="20"/>
        <v>4.6791553269017232</v>
      </c>
      <c r="U438">
        <f t="shared" si="18"/>
        <v>5.7295779513082321</v>
      </c>
      <c r="V438">
        <f t="shared" si="19"/>
        <v>1.0504226244065089</v>
      </c>
    </row>
    <row r="439" spans="1:23">
      <c r="A439" s="9">
        <v>0</v>
      </c>
      <c r="B439" s="9">
        <v>0</v>
      </c>
      <c r="C439" s="11">
        <v>4.5347512748652568</v>
      </c>
      <c r="D439" s="11">
        <v>8.6069255682437298</v>
      </c>
      <c r="E439" s="11"/>
      <c r="F439" s="12">
        <v>2</v>
      </c>
      <c r="G439" s="12" t="s">
        <v>13</v>
      </c>
      <c r="H439" s="13">
        <v>14.8</v>
      </c>
      <c r="I439" s="14"/>
      <c r="J439" s="14">
        <v>15.6</v>
      </c>
      <c r="K439" s="14"/>
      <c r="L439" s="13">
        <v>3.8</v>
      </c>
      <c r="M439" s="13">
        <v>2.2000000000000002</v>
      </c>
      <c r="P439" s="12" t="s">
        <v>14</v>
      </c>
      <c r="Q439" s="12"/>
      <c r="R439" s="12"/>
      <c r="T439">
        <f t="shared" si="20"/>
        <v>4.7109863155201026</v>
      </c>
      <c r="U439">
        <f t="shared" si="18"/>
        <v>4.9656342244671343</v>
      </c>
      <c r="V439">
        <f t="shared" si="19"/>
        <v>0.25464790894703171</v>
      </c>
    </row>
    <row r="440" spans="1:23">
      <c r="A440" s="12">
        <v>30</v>
      </c>
      <c r="B440" s="12">
        <v>10</v>
      </c>
      <c r="C440" s="11">
        <v>37.160972634049095</v>
      </c>
      <c r="D440" s="11">
        <v>18.582089236094202</v>
      </c>
      <c r="E440" s="11"/>
      <c r="F440" s="10">
        <v>213</v>
      </c>
      <c r="G440" s="12" t="s">
        <v>11</v>
      </c>
      <c r="H440" s="13">
        <v>14.8</v>
      </c>
      <c r="I440" s="14"/>
      <c r="J440" s="14">
        <v>18.2</v>
      </c>
      <c r="K440" s="14"/>
      <c r="L440" s="13">
        <v>5.0999999999999996</v>
      </c>
      <c r="M440" s="13">
        <v>0.1</v>
      </c>
      <c r="P440" s="12" t="s">
        <v>14</v>
      </c>
      <c r="Q440" s="12"/>
      <c r="R440" s="12"/>
      <c r="T440">
        <f t="shared" si="20"/>
        <v>4.7109863155201026</v>
      </c>
      <c r="U440">
        <f t="shared" si="18"/>
        <v>5.79323992854499</v>
      </c>
      <c r="V440">
        <f t="shared" si="19"/>
        <v>1.0822536130248874</v>
      </c>
    </row>
    <row r="441" spans="1:23">
      <c r="A441" s="12">
        <v>40</v>
      </c>
      <c r="B441" s="12">
        <v>-10</v>
      </c>
      <c r="C441" s="11">
        <v>48.209032601146284</v>
      </c>
      <c r="D441" s="11">
        <v>-3.3401400833263204</v>
      </c>
      <c r="E441" s="11"/>
      <c r="F441" s="12">
        <v>466</v>
      </c>
      <c r="G441" s="12" t="s">
        <v>13</v>
      </c>
      <c r="H441" s="13">
        <v>14.8</v>
      </c>
      <c r="I441" s="14"/>
      <c r="J441" s="14">
        <v>15.7</v>
      </c>
      <c r="K441" s="14"/>
      <c r="L441" s="13">
        <v>4.0999999999999996</v>
      </c>
      <c r="M441" s="13">
        <v>1.6</v>
      </c>
      <c r="P441" s="12" t="s">
        <v>14</v>
      </c>
      <c r="Q441" s="12"/>
      <c r="R441" s="12"/>
      <c r="T441">
        <f t="shared" si="20"/>
        <v>4.7109863155201026</v>
      </c>
      <c r="U441">
        <f t="shared" si="18"/>
        <v>4.9974652130855137</v>
      </c>
      <c r="V441">
        <f t="shared" si="19"/>
        <v>0.28647889756541112</v>
      </c>
    </row>
    <row r="442" spans="1:23">
      <c r="A442" s="12">
        <v>40</v>
      </c>
      <c r="B442" s="12">
        <v>-10</v>
      </c>
      <c r="C442" s="11">
        <v>48.343280774778137</v>
      </c>
      <c r="D442" s="11">
        <v>-3.1961353864910453</v>
      </c>
      <c r="E442" s="11"/>
      <c r="F442" s="10">
        <v>467</v>
      </c>
      <c r="G442" s="12" t="s">
        <v>13</v>
      </c>
      <c r="H442" s="13">
        <v>15.2</v>
      </c>
      <c r="I442" s="14"/>
      <c r="J442" s="14">
        <v>15.9</v>
      </c>
      <c r="K442" s="14"/>
      <c r="L442" s="13">
        <v>5</v>
      </c>
      <c r="M442" s="13">
        <v>2.5</v>
      </c>
      <c r="P442" s="12" t="s">
        <v>14</v>
      </c>
      <c r="Q442" s="12"/>
      <c r="R442" s="12"/>
      <c r="T442">
        <f t="shared" si="20"/>
        <v>4.8383102699936185</v>
      </c>
      <c r="U442">
        <f t="shared" si="18"/>
        <v>5.0611271903222717</v>
      </c>
      <c r="V442">
        <f t="shared" si="19"/>
        <v>0.22281692032865319</v>
      </c>
    </row>
    <row r="443" spans="1:23">
      <c r="A443" s="12">
        <v>20</v>
      </c>
      <c r="B443" s="12">
        <v>40</v>
      </c>
      <c r="C443" s="11">
        <v>26.58482899694452</v>
      </c>
      <c r="D443" s="11">
        <v>47.338911845839178</v>
      </c>
      <c r="E443" s="11"/>
      <c r="F443" s="10">
        <v>193</v>
      </c>
      <c r="G443" s="12" t="s">
        <v>13</v>
      </c>
      <c r="H443" s="13">
        <v>15.3</v>
      </c>
      <c r="I443" s="14"/>
      <c r="J443" s="14">
        <v>13.8</v>
      </c>
      <c r="K443" s="14"/>
      <c r="L443" s="13">
        <v>4.4000000000000004</v>
      </c>
      <c r="M443" s="13">
        <v>2.6</v>
      </c>
      <c r="P443" s="12" t="s">
        <v>14</v>
      </c>
      <c r="Q443" s="12"/>
      <c r="R443" s="12"/>
      <c r="T443">
        <f t="shared" si="20"/>
        <v>4.8701412586119979</v>
      </c>
      <c r="U443">
        <f t="shared" si="18"/>
        <v>4.3926764293363121</v>
      </c>
      <c r="V443">
        <f t="shared" si="19"/>
        <v>-0.47746482927568579</v>
      </c>
    </row>
    <row r="444" spans="1:23">
      <c r="A444" s="12">
        <v>20</v>
      </c>
      <c r="B444" s="12">
        <v>10</v>
      </c>
      <c r="C444" s="11">
        <v>24.319680469471667</v>
      </c>
      <c r="D444" s="11">
        <v>11.740547714722046</v>
      </c>
      <c r="E444" s="11"/>
      <c r="F444" s="12">
        <v>144</v>
      </c>
      <c r="G444" s="12" t="s">
        <v>13</v>
      </c>
      <c r="H444" s="13">
        <v>15.4</v>
      </c>
      <c r="I444" s="14"/>
      <c r="J444" s="14">
        <v>16.8</v>
      </c>
      <c r="K444" s="14"/>
      <c r="L444" s="13">
        <v>3.3</v>
      </c>
      <c r="M444" s="13">
        <v>1.5</v>
      </c>
      <c r="P444" s="12" t="s">
        <v>14</v>
      </c>
      <c r="Q444" s="12"/>
      <c r="R444" s="12"/>
      <c r="T444">
        <f t="shared" si="20"/>
        <v>4.9019722472303764</v>
      </c>
      <c r="U444">
        <f t="shared" si="18"/>
        <v>5.3476060878876837</v>
      </c>
      <c r="V444">
        <f t="shared" si="19"/>
        <v>0.44563384065730727</v>
      </c>
    </row>
    <row r="445" spans="1:23">
      <c r="A445" s="12">
        <v>30</v>
      </c>
      <c r="B445" s="12">
        <v>10</v>
      </c>
      <c r="C445" s="11">
        <v>31.891796831328939</v>
      </c>
      <c r="D445" s="11">
        <v>17.247418530002466</v>
      </c>
      <c r="E445" s="11"/>
      <c r="F445" s="10">
        <v>225</v>
      </c>
      <c r="G445" s="12" t="s">
        <v>13</v>
      </c>
      <c r="H445" s="13">
        <v>15.4</v>
      </c>
      <c r="I445" s="14"/>
      <c r="J445" s="14">
        <v>16.3</v>
      </c>
      <c r="K445" s="14"/>
      <c r="L445" s="13">
        <v>4.3</v>
      </c>
      <c r="M445" s="13">
        <v>2</v>
      </c>
      <c r="P445" s="12" t="s">
        <v>14</v>
      </c>
      <c r="Q445" s="12"/>
      <c r="R445" s="12"/>
      <c r="T445">
        <f t="shared" si="20"/>
        <v>4.9019722472303764</v>
      </c>
      <c r="U445">
        <f t="shared" si="18"/>
        <v>5.1884511447957884</v>
      </c>
      <c r="V445">
        <f t="shared" si="19"/>
        <v>0.28647889756541201</v>
      </c>
    </row>
    <row r="446" spans="1:23">
      <c r="A446" s="12">
        <v>40</v>
      </c>
      <c r="B446" s="12">
        <v>0</v>
      </c>
      <c r="C446" s="11">
        <v>40.677648474707539</v>
      </c>
      <c r="D446" s="11">
        <v>5.5715473870970973</v>
      </c>
      <c r="E446" s="11"/>
      <c r="F446" s="12">
        <v>268</v>
      </c>
      <c r="G446" s="12" t="s">
        <v>13</v>
      </c>
      <c r="H446" s="13">
        <v>15.4</v>
      </c>
      <c r="I446" s="14"/>
      <c r="J446" s="14">
        <v>15.9</v>
      </c>
      <c r="K446" s="14"/>
      <c r="L446" s="13">
        <v>4.9000000000000004</v>
      </c>
      <c r="M446" s="13">
        <v>1.7</v>
      </c>
      <c r="P446" s="12" t="s">
        <v>14</v>
      </c>
      <c r="Q446" s="12"/>
      <c r="R446" s="12"/>
      <c r="T446">
        <f t="shared" si="20"/>
        <v>4.9019722472303764</v>
      </c>
      <c r="U446">
        <f t="shared" si="18"/>
        <v>5.0611271903222717</v>
      </c>
      <c r="V446">
        <f t="shared" si="19"/>
        <v>0.15915494309189526</v>
      </c>
    </row>
    <row r="447" spans="1:23">
      <c r="A447" s="12">
        <v>40</v>
      </c>
      <c r="B447" s="12">
        <v>30</v>
      </c>
      <c r="C447" s="11">
        <v>48.806686210966056</v>
      </c>
      <c r="D447" s="11">
        <v>30.211197469555618</v>
      </c>
      <c r="E447" s="11"/>
      <c r="F447" s="10">
        <v>289</v>
      </c>
      <c r="G447" s="12" t="s">
        <v>30</v>
      </c>
      <c r="H447" s="13">
        <v>15.4</v>
      </c>
      <c r="I447" s="14"/>
      <c r="J447" s="14" t="s">
        <v>70</v>
      </c>
      <c r="K447" s="14"/>
      <c r="L447" s="13">
        <v>3</v>
      </c>
      <c r="M447" s="13"/>
      <c r="P447" s="12" t="s">
        <v>12</v>
      </c>
      <c r="Q447" s="12"/>
      <c r="R447" s="12" t="s">
        <v>16</v>
      </c>
      <c r="T447">
        <f t="shared" si="20"/>
        <v>4.9019722472303764</v>
      </c>
      <c r="U447" t="str">
        <f t="shared" si="18"/>
        <v>dead</v>
      </c>
      <c r="V447" t="e">
        <f t="shared" si="19"/>
        <v>#VALUE!</v>
      </c>
    </row>
    <row r="448" spans="1:23">
      <c r="A448" s="12">
        <v>30</v>
      </c>
      <c r="B448" s="12">
        <v>-20</v>
      </c>
      <c r="C448" s="11">
        <v>31.979589225403007</v>
      </c>
      <c r="D448" s="11">
        <v>-31.226808384339172</v>
      </c>
      <c r="E448" s="11"/>
      <c r="F448" s="12">
        <v>712</v>
      </c>
      <c r="G448" s="12" t="s">
        <v>11</v>
      </c>
      <c r="H448" s="13">
        <v>15.4</v>
      </c>
      <c r="I448" s="14"/>
      <c r="J448" s="14">
        <v>18.7</v>
      </c>
      <c r="K448" s="14"/>
      <c r="L448" s="13">
        <v>4.9000000000000004</v>
      </c>
      <c r="M448" s="13">
        <v>0.7</v>
      </c>
      <c r="P448" s="12" t="s">
        <v>14</v>
      </c>
      <c r="Q448" s="12"/>
      <c r="R448" s="12"/>
      <c r="T448">
        <f t="shared" si="20"/>
        <v>4.9019722472303764</v>
      </c>
      <c r="U448">
        <f t="shared" si="18"/>
        <v>5.9523948716368853</v>
      </c>
      <c r="V448">
        <f t="shared" si="19"/>
        <v>1.0504226244065089</v>
      </c>
    </row>
    <row r="449" spans="1:23">
      <c r="A449" s="12">
        <v>40</v>
      </c>
      <c r="B449" s="12">
        <v>-40</v>
      </c>
      <c r="C449" s="11">
        <v>42.983024702777627</v>
      </c>
      <c r="D449" s="11">
        <v>-35.691965224998938</v>
      </c>
      <c r="E449" s="11"/>
      <c r="F449" s="10">
        <v>705</v>
      </c>
      <c r="G449" s="12" t="s">
        <v>51</v>
      </c>
      <c r="H449" s="13">
        <v>15.6</v>
      </c>
      <c r="I449" s="14"/>
      <c r="J449" s="14" t="s">
        <v>70</v>
      </c>
      <c r="K449" s="14"/>
      <c r="L449" s="13"/>
      <c r="M449" s="13"/>
      <c r="P449" s="12" t="s">
        <v>14</v>
      </c>
      <c r="Q449" s="12"/>
      <c r="R449" s="12" t="s">
        <v>52</v>
      </c>
      <c r="T449">
        <f t="shared" si="20"/>
        <v>4.9656342244671343</v>
      </c>
      <c r="U449" t="str">
        <f t="shared" si="18"/>
        <v>dead</v>
      </c>
      <c r="V449" t="e">
        <f t="shared" si="19"/>
        <v>#VALUE!</v>
      </c>
    </row>
    <row r="450" spans="1:23">
      <c r="A450" s="12">
        <v>20</v>
      </c>
      <c r="B450" s="12">
        <v>10</v>
      </c>
      <c r="C450" s="11">
        <v>23.822225534738159</v>
      </c>
      <c r="D450" s="11">
        <v>11.163807234165036</v>
      </c>
      <c r="E450" s="11"/>
      <c r="F450" s="10">
        <v>143</v>
      </c>
      <c r="G450" s="12" t="s">
        <v>13</v>
      </c>
      <c r="H450" s="13">
        <v>15.8</v>
      </c>
      <c r="I450" s="14"/>
      <c r="J450" s="14">
        <v>17</v>
      </c>
      <c r="K450" s="14"/>
      <c r="L450" s="13">
        <v>5.5</v>
      </c>
      <c r="M450" s="13">
        <v>1.6</v>
      </c>
      <c r="P450" s="12" t="s">
        <v>14</v>
      </c>
      <c r="Q450" s="12"/>
      <c r="R450" s="12"/>
      <c r="T450">
        <f t="shared" si="20"/>
        <v>5.0292962017038931</v>
      </c>
      <c r="U450">
        <f t="shared" ref="U450:U513" si="21">IF(J450="dead","dead",J450/PI()+K450/10)</f>
        <v>5.4112680651244416</v>
      </c>
      <c r="V450">
        <f t="shared" ref="V450:V513" si="22">U450-T450</f>
        <v>0.38197186342054845</v>
      </c>
    </row>
    <row r="451" spans="1:23">
      <c r="A451" s="9">
        <v>20</v>
      </c>
      <c r="B451" s="9">
        <v>-10</v>
      </c>
      <c r="C451" s="11">
        <v>21.622350838410512</v>
      </c>
      <c r="D451" s="11">
        <v>-9.3261221968864305</v>
      </c>
      <c r="E451" s="11"/>
      <c r="F451" s="10">
        <v>413</v>
      </c>
      <c r="G451" s="12" t="s">
        <v>13</v>
      </c>
      <c r="H451" s="13">
        <v>15.8</v>
      </c>
      <c r="I451" s="14"/>
      <c r="J451" s="14">
        <v>16.2</v>
      </c>
      <c r="K451" s="14"/>
      <c r="L451" s="13">
        <v>5.7</v>
      </c>
      <c r="M451" s="13">
        <v>1.5</v>
      </c>
      <c r="P451" s="12" t="s">
        <v>14</v>
      </c>
      <c r="Q451" s="12"/>
      <c r="R451" s="12"/>
      <c r="T451">
        <f t="shared" si="20"/>
        <v>5.0292962017038931</v>
      </c>
      <c r="U451">
        <f t="shared" si="21"/>
        <v>5.156620156177409</v>
      </c>
      <c r="V451">
        <f t="shared" si="22"/>
        <v>0.12732395447351585</v>
      </c>
    </row>
    <row r="452" spans="1:23">
      <c r="A452" s="12">
        <v>40</v>
      </c>
      <c r="B452" s="12">
        <v>-30</v>
      </c>
      <c r="C452" s="11">
        <v>42.086746232082206</v>
      </c>
      <c r="D452" s="11">
        <v>-25.305710651858675</v>
      </c>
      <c r="E452" s="11"/>
      <c r="F452" s="12">
        <v>676</v>
      </c>
      <c r="G452" s="12" t="s">
        <v>13</v>
      </c>
      <c r="H452" s="13">
        <v>15.8</v>
      </c>
      <c r="I452" s="14"/>
      <c r="J452" s="14">
        <v>17.2</v>
      </c>
      <c r="K452" s="14"/>
      <c r="L452" s="13">
        <v>5.8</v>
      </c>
      <c r="M452" s="13">
        <v>2.5</v>
      </c>
      <c r="P452" s="12" t="s">
        <v>14</v>
      </c>
      <c r="Q452" s="12"/>
      <c r="R452" s="12"/>
      <c r="S452" t="s">
        <v>124</v>
      </c>
      <c r="T452">
        <f t="shared" si="20"/>
        <v>5.0292962017038931</v>
      </c>
      <c r="U452">
        <f t="shared" si="21"/>
        <v>5.4749300423611995</v>
      </c>
      <c r="V452">
        <f t="shared" si="22"/>
        <v>0.44563384065730638</v>
      </c>
    </row>
    <row r="453" spans="1:23">
      <c r="A453" s="9">
        <v>0</v>
      </c>
      <c r="B453" s="12">
        <v>30</v>
      </c>
      <c r="C453" s="11">
        <v>2.3642066204640333</v>
      </c>
      <c r="D453" s="11">
        <v>35.450159450819726</v>
      </c>
      <c r="E453" s="11"/>
      <c r="F453" s="12">
        <v>52</v>
      </c>
      <c r="G453" s="12" t="s">
        <v>11</v>
      </c>
      <c r="H453" s="13">
        <v>16</v>
      </c>
      <c r="I453" s="14"/>
      <c r="J453" s="14" t="s">
        <v>70</v>
      </c>
      <c r="K453" s="14"/>
      <c r="L453" s="13">
        <v>5.0999999999999996</v>
      </c>
      <c r="M453" s="13">
        <v>0.3</v>
      </c>
      <c r="P453" s="12" t="s">
        <v>14</v>
      </c>
      <c r="Q453" s="12"/>
      <c r="R453" s="12"/>
      <c r="T453">
        <f t="shared" ref="T453:T516" si="23">H453/PI()+I453</f>
        <v>5.0929581789406511</v>
      </c>
      <c r="U453" t="str">
        <f t="shared" si="21"/>
        <v>dead</v>
      </c>
      <c r="V453" t="e">
        <f t="shared" si="22"/>
        <v>#VALUE!</v>
      </c>
    </row>
    <row r="454" spans="1:23">
      <c r="A454" s="12">
        <v>40</v>
      </c>
      <c r="B454" s="12">
        <v>-10</v>
      </c>
      <c r="C454" s="11">
        <v>48.415466708767497</v>
      </c>
      <c r="D454" s="11">
        <v>-2.6060994319050623</v>
      </c>
      <c r="E454" s="11"/>
      <c r="F454" s="12">
        <v>464</v>
      </c>
      <c r="G454" s="12" t="s">
        <v>13</v>
      </c>
      <c r="H454" s="13">
        <v>16</v>
      </c>
      <c r="I454" s="14"/>
      <c r="J454" s="14">
        <v>17.600000000000001</v>
      </c>
      <c r="K454" s="14"/>
      <c r="L454" s="13">
        <v>5.0999999999999996</v>
      </c>
      <c r="M454" s="13">
        <v>1</v>
      </c>
      <c r="P454" s="12" t="s">
        <v>14</v>
      </c>
      <c r="Q454" s="12"/>
      <c r="R454" s="12"/>
      <c r="T454">
        <f t="shared" si="23"/>
        <v>5.0929581789406511</v>
      </c>
      <c r="U454">
        <f t="shared" si="21"/>
        <v>5.6022539968347163</v>
      </c>
      <c r="V454">
        <f t="shared" si="22"/>
        <v>0.50929581789406519</v>
      </c>
      <c r="W454" s="27"/>
    </row>
    <row r="455" spans="1:23">
      <c r="A455" s="9">
        <v>0</v>
      </c>
      <c r="B455" s="12">
        <v>40</v>
      </c>
      <c r="C455" s="11">
        <v>7.3835974736291741</v>
      </c>
      <c r="D455" s="11">
        <v>42.457339298042783</v>
      </c>
      <c r="E455" s="11"/>
      <c r="F455" s="10">
        <v>65</v>
      </c>
      <c r="G455" s="12" t="s">
        <v>11</v>
      </c>
      <c r="H455" s="13">
        <v>16.100000000000001</v>
      </c>
      <c r="I455" s="14"/>
      <c r="J455" s="14" t="s">
        <v>70</v>
      </c>
      <c r="K455" s="14"/>
      <c r="L455" s="13">
        <v>5.0999999999999996</v>
      </c>
      <c r="M455" s="13">
        <v>0.4</v>
      </c>
      <c r="P455" s="12" t="s">
        <v>14</v>
      </c>
      <c r="Q455" s="12"/>
      <c r="R455" s="12"/>
      <c r="T455">
        <f t="shared" si="23"/>
        <v>5.1247891675590305</v>
      </c>
      <c r="U455" t="str">
        <f t="shared" si="21"/>
        <v>dead</v>
      </c>
      <c r="V455" t="e">
        <f t="shared" si="22"/>
        <v>#VALUE!</v>
      </c>
    </row>
    <row r="456" spans="1:23">
      <c r="A456" s="9">
        <v>0</v>
      </c>
      <c r="B456" s="9">
        <v>0</v>
      </c>
      <c r="C456" s="11">
        <v>4.4670921285436664</v>
      </c>
      <c r="D456" s="11">
        <v>9.0144389993630316</v>
      </c>
      <c r="E456" s="11"/>
      <c r="F456" s="10">
        <v>9</v>
      </c>
      <c r="G456" s="12" t="s">
        <v>13</v>
      </c>
      <c r="H456" s="13">
        <v>16.2</v>
      </c>
      <c r="I456" s="14"/>
      <c r="J456" s="14">
        <v>17</v>
      </c>
      <c r="K456" s="14"/>
      <c r="L456" s="13">
        <v>6</v>
      </c>
      <c r="M456" s="13">
        <v>2.2000000000000002</v>
      </c>
      <c r="P456" s="12" t="s">
        <v>14</v>
      </c>
      <c r="Q456" s="12"/>
      <c r="R456" s="12" t="s">
        <v>15</v>
      </c>
      <c r="T456">
        <f t="shared" si="23"/>
        <v>5.156620156177409</v>
      </c>
      <c r="U456">
        <f t="shared" si="21"/>
        <v>5.4112680651244416</v>
      </c>
      <c r="V456">
        <f t="shared" si="22"/>
        <v>0.2546479089470326</v>
      </c>
    </row>
    <row r="457" spans="1:23">
      <c r="A457" s="12">
        <v>20</v>
      </c>
      <c r="B457" s="12">
        <v>-30</v>
      </c>
      <c r="C457" s="11">
        <v>24.934351111620828</v>
      </c>
      <c r="D457" s="11">
        <v>-25.745850793369321</v>
      </c>
      <c r="E457" s="11"/>
      <c r="F457" s="10">
        <v>641</v>
      </c>
      <c r="G457" s="12" t="s">
        <v>13</v>
      </c>
      <c r="H457" s="13">
        <v>16.2</v>
      </c>
      <c r="I457" s="14"/>
      <c r="J457" s="14">
        <v>16.3</v>
      </c>
      <c r="K457" s="14"/>
      <c r="L457" s="13">
        <v>6.4</v>
      </c>
      <c r="M457" s="13">
        <v>2</v>
      </c>
      <c r="P457" s="12" t="s">
        <v>14</v>
      </c>
      <c r="Q457" s="12"/>
      <c r="R457" s="12"/>
      <c r="T457">
        <f t="shared" si="23"/>
        <v>5.156620156177409</v>
      </c>
      <c r="U457">
        <f t="shared" si="21"/>
        <v>5.1884511447957884</v>
      </c>
      <c r="V457">
        <f t="shared" si="22"/>
        <v>3.1830988618379408E-2</v>
      </c>
    </row>
    <row r="458" spans="1:23">
      <c r="A458" s="9">
        <v>0</v>
      </c>
      <c r="B458" s="12">
        <v>40</v>
      </c>
      <c r="C458" s="11">
        <v>3.513090536807443</v>
      </c>
      <c r="D458" s="11">
        <v>47.808975077844821</v>
      </c>
      <c r="E458" s="11"/>
      <c r="F458" s="10">
        <v>69</v>
      </c>
      <c r="G458" s="12" t="s">
        <v>11</v>
      </c>
      <c r="H458" s="13">
        <v>16.3</v>
      </c>
      <c r="I458" s="14"/>
      <c r="J458" s="14">
        <v>19.600000000000001</v>
      </c>
      <c r="K458" s="14"/>
      <c r="L458" s="13">
        <v>5.4</v>
      </c>
      <c r="M458" s="13">
        <v>0.4</v>
      </c>
      <c r="P458" s="12" t="s">
        <v>14</v>
      </c>
      <c r="Q458" s="12"/>
      <c r="R458" s="12"/>
      <c r="T458">
        <f t="shared" si="23"/>
        <v>5.1884511447957884</v>
      </c>
      <c r="U458">
        <f t="shared" si="21"/>
        <v>6.2388737692022982</v>
      </c>
      <c r="V458">
        <f t="shared" si="22"/>
        <v>1.0504226244065098</v>
      </c>
    </row>
    <row r="459" spans="1:23">
      <c r="A459" s="12">
        <v>40</v>
      </c>
      <c r="B459" s="12">
        <v>20</v>
      </c>
      <c r="C459" s="11">
        <v>41.946733044397213</v>
      </c>
      <c r="D459" s="11">
        <v>29.300277929498005</v>
      </c>
      <c r="E459" s="11"/>
      <c r="F459" s="12">
        <v>304</v>
      </c>
      <c r="G459" s="12" t="s">
        <v>13</v>
      </c>
      <c r="H459" s="13">
        <v>16.3</v>
      </c>
      <c r="I459" s="14"/>
      <c r="J459" s="14">
        <v>17.5</v>
      </c>
      <c r="K459" s="14"/>
      <c r="L459" s="13">
        <v>6.6</v>
      </c>
      <c r="M459" s="13">
        <v>2.5</v>
      </c>
      <c r="P459" s="12" t="s">
        <v>14</v>
      </c>
      <c r="Q459" s="12"/>
      <c r="R459" s="12"/>
      <c r="T459">
        <f t="shared" si="23"/>
        <v>5.1884511447957884</v>
      </c>
      <c r="U459">
        <f t="shared" si="21"/>
        <v>5.5704230082163368</v>
      </c>
      <c r="V459">
        <f t="shared" si="22"/>
        <v>0.38197186342054845</v>
      </c>
    </row>
    <row r="460" spans="1:23">
      <c r="A460" s="12">
        <v>20</v>
      </c>
      <c r="B460" s="12">
        <v>-20</v>
      </c>
      <c r="C460" s="11">
        <v>27.802826060536908</v>
      </c>
      <c r="D460" s="11">
        <v>-18.540553137267075</v>
      </c>
      <c r="E460" s="11"/>
      <c r="F460" s="12">
        <v>560</v>
      </c>
      <c r="G460" s="12" t="s">
        <v>13</v>
      </c>
      <c r="H460" s="13">
        <v>16.399999999999999</v>
      </c>
      <c r="I460" s="14"/>
      <c r="J460" s="14">
        <v>17.8</v>
      </c>
      <c r="K460" s="14"/>
      <c r="L460" s="13">
        <v>6</v>
      </c>
      <c r="M460" s="13">
        <v>1.4</v>
      </c>
      <c r="P460" s="12" t="s">
        <v>14</v>
      </c>
      <c r="Q460" s="12"/>
      <c r="R460" s="12"/>
      <c r="T460">
        <f t="shared" si="23"/>
        <v>5.2202821334141669</v>
      </c>
      <c r="U460">
        <f t="shared" si="21"/>
        <v>5.6659159740714742</v>
      </c>
      <c r="V460">
        <f t="shared" si="22"/>
        <v>0.44563384065730727</v>
      </c>
    </row>
    <row r="461" spans="1:23">
      <c r="A461" s="12">
        <v>40</v>
      </c>
      <c r="B461" s="12">
        <v>-20</v>
      </c>
      <c r="C461" s="11">
        <v>48.78592455891193</v>
      </c>
      <c r="D461" s="11">
        <v>-16.38334783989626</v>
      </c>
      <c r="E461" s="11"/>
      <c r="F461" s="10">
        <v>505</v>
      </c>
      <c r="G461" s="12" t="s">
        <v>13</v>
      </c>
      <c r="H461" s="13">
        <v>16.5</v>
      </c>
      <c r="I461" s="14"/>
      <c r="J461" s="14">
        <v>17.5</v>
      </c>
      <c r="K461" s="14"/>
      <c r="L461" s="13">
        <v>5.6</v>
      </c>
      <c r="M461" s="13">
        <v>2.2999999999999998</v>
      </c>
      <c r="P461" s="12" t="s">
        <v>14</v>
      </c>
      <c r="Q461" s="12"/>
      <c r="R461" s="12"/>
      <c r="T461">
        <f t="shared" si="23"/>
        <v>5.2521131220325463</v>
      </c>
      <c r="U461">
        <f t="shared" si="21"/>
        <v>5.5704230082163368</v>
      </c>
      <c r="V461">
        <f t="shared" si="22"/>
        <v>0.31830988618379052</v>
      </c>
    </row>
    <row r="462" spans="1:23">
      <c r="A462" s="12">
        <v>20</v>
      </c>
      <c r="B462" s="12">
        <v>-30</v>
      </c>
      <c r="C462" s="11">
        <v>28.221146721837993</v>
      </c>
      <c r="D462" s="11">
        <v>-27.58417965338192</v>
      </c>
      <c r="E462" s="11"/>
      <c r="F462" s="10">
        <v>657</v>
      </c>
      <c r="G462" s="12" t="s">
        <v>11</v>
      </c>
      <c r="H462" s="13">
        <v>16.5</v>
      </c>
      <c r="I462" s="14"/>
      <c r="J462" s="14">
        <v>21.7</v>
      </c>
      <c r="K462" s="14"/>
      <c r="L462" s="13">
        <v>6.5</v>
      </c>
      <c r="M462" s="13">
        <v>0.7</v>
      </c>
      <c r="P462" s="12" t="s">
        <v>14</v>
      </c>
      <c r="Q462" s="12"/>
      <c r="R462" s="12"/>
      <c r="S462" t="s">
        <v>117</v>
      </c>
      <c r="T462">
        <f t="shared" si="23"/>
        <v>5.2521131220325463</v>
      </c>
      <c r="U462">
        <f t="shared" si="21"/>
        <v>6.9073245301882578</v>
      </c>
      <c r="V462">
        <f t="shared" si="22"/>
        <v>1.6552114081557114</v>
      </c>
    </row>
    <row r="463" spans="1:23">
      <c r="A463" s="12">
        <v>40</v>
      </c>
      <c r="B463" s="12">
        <v>0</v>
      </c>
      <c r="C463" s="11">
        <v>40.777857411188769</v>
      </c>
      <c r="D463" s="11">
        <v>5.4966859039304499</v>
      </c>
      <c r="E463" s="11"/>
      <c r="F463" s="10">
        <v>269</v>
      </c>
      <c r="G463" s="12" t="s">
        <v>13</v>
      </c>
      <c r="H463" s="13">
        <v>16.7</v>
      </c>
      <c r="I463" s="14"/>
      <c r="J463" s="14">
        <v>17.399999999999999</v>
      </c>
      <c r="K463" s="14"/>
      <c r="L463" s="13">
        <v>5.0999999999999996</v>
      </c>
      <c r="M463" s="13">
        <v>1.9</v>
      </c>
      <c r="P463" s="12" t="s">
        <v>14</v>
      </c>
      <c r="Q463" s="12"/>
      <c r="R463" s="12"/>
      <c r="T463">
        <f t="shared" si="23"/>
        <v>5.3157750992693042</v>
      </c>
      <c r="U463">
        <f t="shared" si="21"/>
        <v>5.5385920195979574</v>
      </c>
      <c r="V463">
        <f t="shared" si="22"/>
        <v>0.22281692032865319</v>
      </c>
    </row>
    <row r="464" spans="1:23">
      <c r="A464" s="12">
        <v>30</v>
      </c>
      <c r="B464" s="12">
        <v>-10</v>
      </c>
      <c r="C464" s="11">
        <v>33.65070084480169</v>
      </c>
      <c r="D464" s="11">
        <v>-1.9024386240178419</v>
      </c>
      <c r="E464" s="11"/>
      <c r="F464" s="10">
        <v>427</v>
      </c>
      <c r="G464" s="12" t="s">
        <v>13</v>
      </c>
      <c r="H464" s="13">
        <v>16.8</v>
      </c>
      <c r="I464" s="14"/>
      <c r="J464" s="14">
        <v>17.8</v>
      </c>
      <c r="K464" s="14"/>
      <c r="L464" s="13">
        <v>5.7</v>
      </c>
      <c r="M464" s="13">
        <v>1.8</v>
      </c>
      <c r="P464" s="12" t="s">
        <v>14</v>
      </c>
      <c r="Q464" s="12"/>
      <c r="R464" s="12"/>
      <c r="T464">
        <f t="shared" si="23"/>
        <v>5.3476060878876837</v>
      </c>
      <c r="U464">
        <f t="shared" si="21"/>
        <v>5.6659159740714742</v>
      </c>
      <c r="V464">
        <f t="shared" si="22"/>
        <v>0.31830988618379052</v>
      </c>
    </row>
    <row r="465" spans="1:23">
      <c r="A465" s="12">
        <v>40</v>
      </c>
      <c r="B465" s="12">
        <v>30</v>
      </c>
      <c r="C465" s="11">
        <v>48.274236971404648</v>
      </c>
      <c r="D465" s="11">
        <v>30.59705673902403</v>
      </c>
      <c r="E465" s="11"/>
      <c r="F465" s="12">
        <v>338</v>
      </c>
      <c r="G465" s="12" t="s">
        <v>30</v>
      </c>
      <c r="H465" s="13">
        <v>17.2</v>
      </c>
      <c r="I465" s="14"/>
      <c r="J465" s="14" t="s">
        <v>70</v>
      </c>
      <c r="K465" s="14"/>
      <c r="L465" s="13">
        <v>3.4</v>
      </c>
      <c r="M465" s="13">
        <v>1.8</v>
      </c>
      <c r="P465" s="12" t="s">
        <v>14</v>
      </c>
      <c r="Q465" s="12"/>
      <c r="R465" s="12" t="s">
        <v>32</v>
      </c>
      <c r="T465">
        <f t="shared" si="23"/>
        <v>5.4749300423611995</v>
      </c>
      <c r="U465" t="str">
        <f t="shared" si="21"/>
        <v>dead</v>
      </c>
      <c r="V465" t="e">
        <f t="shared" si="22"/>
        <v>#VALUE!</v>
      </c>
      <c r="W465" s="27"/>
    </row>
    <row r="466" spans="1:23">
      <c r="A466" s="12">
        <v>40</v>
      </c>
      <c r="B466" s="12">
        <v>-10</v>
      </c>
      <c r="C466" s="11">
        <v>47.207444046148773</v>
      </c>
      <c r="D466" s="11">
        <v>-0.39246814470738367</v>
      </c>
      <c r="E466" s="11"/>
      <c r="F466" s="12">
        <v>456</v>
      </c>
      <c r="G466" s="12" t="s">
        <v>11</v>
      </c>
      <c r="H466" s="13">
        <v>17.2</v>
      </c>
      <c r="I466" s="14"/>
      <c r="J466" s="14" t="s">
        <v>70</v>
      </c>
      <c r="K466" s="14"/>
      <c r="L466" s="13">
        <v>5.01</v>
      </c>
      <c r="M466" s="13"/>
      <c r="P466" s="12" t="s">
        <v>12</v>
      </c>
      <c r="Q466" s="12"/>
      <c r="R466" s="12"/>
      <c r="T466">
        <f t="shared" si="23"/>
        <v>5.4749300423611995</v>
      </c>
      <c r="U466" t="str">
        <f t="shared" si="21"/>
        <v>dead</v>
      </c>
      <c r="V466" t="e">
        <f t="shared" si="22"/>
        <v>#VALUE!</v>
      </c>
    </row>
    <row r="467" spans="1:23">
      <c r="A467" s="12">
        <v>40</v>
      </c>
      <c r="B467" s="12">
        <v>-30</v>
      </c>
      <c r="C467" s="11">
        <v>47.825175149350287</v>
      </c>
      <c r="D467" s="11">
        <v>-23.723873104039001</v>
      </c>
      <c r="E467" s="11"/>
      <c r="F467" s="10">
        <v>697</v>
      </c>
      <c r="G467" s="12" t="s">
        <v>13</v>
      </c>
      <c r="H467" s="13">
        <v>17.2</v>
      </c>
      <c r="I467" s="14"/>
      <c r="J467" s="14">
        <v>18</v>
      </c>
      <c r="K467" s="14"/>
      <c r="L467" s="13">
        <v>5.5</v>
      </c>
      <c r="M467" s="13">
        <v>1.9</v>
      </c>
      <c r="P467" s="12" t="s">
        <v>14</v>
      </c>
      <c r="Q467" s="12"/>
      <c r="R467" s="12"/>
      <c r="T467">
        <f t="shared" si="23"/>
        <v>5.4749300423611995</v>
      </c>
      <c r="U467">
        <f t="shared" si="21"/>
        <v>5.7295779513082321</v>
      </c>
      <c r="V467">
        <f t="shared" si="22"/>
        <v>0.2546479089470326</v>
      </c>
    </row>
    <row r="468" spans="1:23">
      <c r="A468" s="12">
        <v>20</v>
      </c>
      <c r="B468" s="12">
        <v>20</v>
      </c>
      <c r="C468" s="11">
        <v>26.023388160580492</v>
      </c>
      <c r="D468" s="11">
        <v>28.859083961886746</v>
      </c>
      <c r="E468" s="11"/>
      <c r="F468" s="12">
        <v>168</v>
      </c>
      <c r="G468" s="12" t="s">
        <v>11</v>
      </c>
      <c r="H468" s="13">
        <v>17.3</v>
      </c>
      <c r="I468" s="14"/>
      <c r="J468" s="14" t="s">
        <v>70</v>
      </c>
      <c r="K468" s="14"/>
      <c r="L468" s="13">
        <v>3.7</v>
      </c>
      <c r="M468" s="13"/>
      <c r="P468" s="12" t="s">
        <v>12</v>
      </c>
      <c r="Q468" s="12"/>
      <c r="R468" s="12" t="s">
        <v>16</v>
      </c>
      <c r="T468">
        <f t="shared" si="23"/>
        <v>5.5067610309795789</v>
      </c>
      <c r="U468" t="str">
        <f t="shared" si="21"/>
        <v>dead</v>
      </c>
      <c r="V468" t="e">
        <f t="shared" si="22"/>
        <v>#VALUE!</v>
      </c>
    </row>
    <row r="469" spans="1:23">
      <c r="A469" s="12">
        <v>30</v>
      </c>
      <c r="B469" s="12">
        <v>10</v>
      </c>
      <c r="C469" s="11">
        <v>32.410464545492722</v>
      </c>
      <c r="D469" s="11">
        <v>17.503890892824881</v>
      </c>
      <c r="E469" s="11"/>
      <c r="F469" s="12">
        <v>220</v>
      </c>
      <c r="G469" s="12" t="s">
        <v>13</v>
      </c>
      <c r="H469" s="13">
        <v>17.3</v>
      </c>
      <c r="I469" s="14"/>
      <c r="J469" s="14">
        <v>18.7</v>
      </c>
      <c r="K469" s="14"/>
      <c r="L469" s="13">
        <v>5.6</v>
      </c>
      <c r="M469" s="13">
        <v>2.2999999999999998</v>
      </c>
      <c r="P469" s="12" t="s">
        <v>14</v>
      </c>
      <c r="Q469" s="12"/>
      <c r="R469" s="12"/>
      <c r="T469">
        <f t="shared" si="23"/>
        <v>5.5067610309795789</v>
      </c>
      <c r="U469">
        <f t="shared" si="21"/>
        <v>5.9523948716368853</v>
      </c>
      <c r="V469">
        <f t="shared" si="22"/>
        <v>0.44563384065730638</v>
      </c>
    </row>
    <row r="470" spans="1:23">
      <c r="A470" s="12">
        <v>30</v>
      </c>
      <c r="B470" s="12">
        <v>10</v>
      </c>
      <c r="C470" s="11">
        <v>39.735868630954577</v>
      </c>
      <c r="D470" s="11">
        <v>10.432588542307032</v>
      </c>
      <c r="E470" s="11"/>
      <c r="F470" s="12">
        <v>240</v>
      </c>
      <c r="G470" s="12" t="s">
        <v>11</v>
      </c>
      <c r="H470" s="13">
        <v>17.399999999999999</v>
      </c>
      <c r="I470" s="14"/>
      <c r="J470" s="14" t="s">
        <v>70</v>
      </c>
      <c r="K470" s="14"/>
      <c r="L470" s="13">
        <v>5.0999999999999996</v>
      </c>
      <c r="M470" s="13">
        <v>0.3</v>
      </c>
      <c r="P470" s="12" t="s">
        <v>14</v>
      </c>
      <c r="Q470" s="12"/>
      <c r="R470" s="12"/>
      <c r="T470">
        <f t="shared" si="23"/>
        <v>5.5385920195979574</v>
      </c>
      <c r="U470" t="str">
        <f t="shared" si="21"/>
        <v>dead</v>
      </c>
      <c r="V470" t="e">
        <f t="shared" si="22"/>
        <v>#VALUE!</v>
      </c>
    </row>
    <row r="471" spans="1:23">
      <c r="A471" s="12">
        <v>40</v>
      </c>
      <c r="B471" s="12">
        <v>-10</v>
      </c>
      <c r="C471" s="11">
        <v>46.774147756904384</v>
      </c>
      <c r="D471" s="11">
        <v>-3.4593030086586767</v>
      </c>
      <c r="E471" s="11"/>
      <c r="F471" s="10">
        <v>457</v>
      </c>
      <c r="G471" s="12" t="s">
        <v>13</v>
      </c>
      <c r="H471" s="13">
        <v>17.399999999999999</v>
      </c>
      <c r="I471" s="14"/>
      <c r="J471" s="14">
        <v>17.7</v>
      </c>
      <c r="K471" s="14"/>
      <c r="L471" s="13">
        <v>4.2</v>
      </c>
      <c r="M471" s="13">
        <v>2.1</v>
      </c>
      <c r="P471" s="12" t="s">
        <v>14</v>
      </c>
      <c r="Q471" s="12"/>
      <c r="R471" s="12"/>
      <c r="S471" t="s">
        <v>91</v>
      </c>
      <c r="T471">
        <f t="shared" si="23"/>
        <v>5.5385920195979574</v>
      </c>
      <c r="U471">
        <f t="shared" si="21"/>
        <v>5.6340849854530948</v>
      </c>
      <c r="V471">
        <f t="shared" si="22"/>
        <v>9.5492965855137335E-2</v>
      </c>
    </row>
    <row r="472" spans="1:23">
      <c r="A472" s="12">
        <v>40</v>
      </c>
      <c r="B472" s="12">
        <v>-50</v>
      </c>
      <c r="C472" s="11">
        <v>44.836810606651362</v>
      </c>
      <c r="D472" s="11">
        <v>-49.251965367173881</v>
      </c>
      <c r="E472" s="11"/>
      <c r="F472" s="10">
        <v>825</v>
      </c>
      <c r="G472" s="12" t="s">
        <v>11</v>
      </c>
      <c r="H472" s="13">
        <v>17.5</v>
      </c>
      <c r="I472" s="14"/>
      <c r="J472" s="14">
        <v>17.899999999999999</v>
      </c>
      <c r="K472" s="14"/>
      <c r="L472" s="13">
        <v>4.4000000000000004</v>
      </c>
      <c r="M472" s="13">
        <v>1.6</v>
      </c>
      <c r="P472" s="12" t="s">
        <v>14</v>
      </c>
      <c r="Q472" s="12"/>
      <c r="R472" s="12"/>
      <c r="T472">
        <f t="shared" si="23"/>
        <v>5.5704230082163368</v>
      </c>
      <c r="U472">
        <f t="shared" si="21"/>
        <v>5.6977469626898527</v>
      </c>
      <c r="V472">
        <f t="shared" si="22"/>
        <v>0.12732395447351585</v>
      </c>
      <c r="W472" s="27"/>
    </row>
    <row r="473" spans="1:23">
      <c r="A473" s="12">
        <v>30</v>
      </c>
      <c r="B473" s="12">
        <v>-20</v>
      </c>
      <c r="C473" s="11">
        <v>30.138860708753782</v>
      </c>
      <c r="D473" s="11">
        <v>-12.93973330059718</v>
      </c>
      <c r="E473" s="11"/>
      <c r="F473" s="10">
        <v>533</v>
      </c>
      <c r="G473" s="12" t="s">
        <v>13</v>
      </c>
      <c r="H473" s="13">
        <v>17.600000000000001</v>
      </c>
      <c r="I473" s="14"/>
      <c r="J473" s="14">
        <v>17.899999999999999</v>
      </c>
      <c r="K473" s="14"/>
      <c r="L473" s="13">
        <v>5.2</v>
      </c>
      <c r="M473" s="13">
        <v>2.7</v>
      </c>
      <c r="P473" s="12" t="s">
        <v>14</v>
      </c>
      <c r="Q473" s="12"/>
      <c r="R473" s="12"/>
      <c r="S473" t="s">
        <v>98</v>
      </c>
      <c r="T473">
        <f t="shared" si="23"/>
        <v>5.6022539968347163</v>
      </c>
      <c r="U473">
        <f t="shared" si="21"/>
        <v>5.6977469626898527</v>
      </c>
      <c r="V473">
        <f t="shared" si="22"/>
        <v>9.5492965855136447E-2</v>
      </c>
    </row>
    <row r="474" spans="1:23">
      <c r="A474" s="9">
        <v>0</v>
      </c>
      <c r="B474" s="12">
        <v>40</v>
      </c>
      <c r="C474" s="11">
        <v>6.7995243082631154</v>
      </c>
      <c r="D474" s="11">
        <v>42.379869731107441</v>
      </c>
      <c r="E474" s="11"/>
      <c r="F474" s="12">
        <v>66</v>
      </c>
      <c r="G474" s="12" t="s">
        <v>11</v>
      </c>
      <c r="H474" s="13">
        <v>17.7</v>
      </c>
      <c r="I474" s="14"/>
      <c r="J474" s="14" t="s">
        <v>70</v>
      </c>
      <c r="K474" s="14"/>
      <c r="L474" s="13">
        <v>5.5</v>
      </c>
      <c r="M474" s="13">
        <v>1</v>
      </c>
      <c r="P474" s="12" t="s">
        <v>14</v>
      </c>
      <c r="Q474" s="12"/>
      <c r="R474" s="12"/>
      <c r="T474">
        <f t="shared" si="23"/>
        <v>5.6340849854530948</v>
      </c>
      <c r="U474" t="str">
        <f t="shared" si="21"/>
        <v>dead</v>
      </c>
      <c r="V474" t="e">
        <f t="shared" si="22"/>
        <v>#VALUE!</v>
      </c>
    </row>
    <row r="475" spans="1:23">
      <c r="A475" s="12">
        <v>0</v>
      </c>
      <c r="B475" s="12">
        <v>30</v>
      </c>
      <c r="C475" s="11">
        <v>8.9931143600748431</v>
      </c>
      <c r="D475" s="11">
        <v>32.377960013936693</v>
      </c>
      <c r="E475" s="11"/>
      <c r="F475" s="12">
        <v>84</v>
      </c>
      <c r="G475" s="12" t="s">
        <v>11</v>
      </c>
      <c r="H475" s="13">
        <v>17.7</v>
      </c>
      <c r="I475" s="14"/>
      <c r="J475" s="14" t="s">
        <v>70</v>
      </c>
      <c r="K475" s="14"/>
      <c r="L475" s="13">
        <v>5.0999999999999996</v>
      </c>
      <c r="M475" s="13">
        <v>0.3</v>
      </c>
      <c r="P475" s="12" t="s">
        <v>14</v>
      </c>
      <c r="Q475" s="12"/>
      <c r="R475" s="12"/>
      <c r="T475">
        <f t="shared" si="23"/>
        <v>5.6340849854530948</v>
      </c>
      <c r="U475" t="str">
        <f t="shared" si="21"/>
        <v>dead</v>
      </c>
      <c r="V475" t="e">
        <f t="shared" si="22"/>
        <v>#VALUE!</v>
      </c>
    </row>
    <row r="476" spans="1:23">
      <c r="A476" s="12">
        <v>10</v>
      </c>
      <c r="B476" s="12">
        <v>-30</v>
      </c>
      <c r="C476" s="11">
        <v>10.053751892067991</v>
      </c>
      <c r="D476" s="11">
        <v>-22.868215606397772</v>
      </c>
      <c r="E476" s="11"/>
      <c r="F476" s="10">
        <v>615</v>
      </c>
      <c r="G476" s="12" t="s">
        <v>11</v>
      </c>
      <c r="H476" s="13">
        <v>17.7</v>
      </c>
      <c r="I476" s="14"/>
      <c r="J476" s="14" t="s">
        <v>70</v>
      </c>
      <c r="K476" s="14"/>
      <c r="L476" s="13">
        <v>5.6</v>
      </c>
      <c r="M476" s="13">
        <v>1</v>
      </c>
      <c r="P476" s="12" t="s">
        <v>14</v>
      </c>
      <c r="Q476" s="12"/>
      <c r="R476" s="12"/>
      <c r="T476">
        <f t="shared" si="23"/>
        <v>5.6340849854530948</v>
      </c>
      <c r="U476" t="str">
        <f t="shared" si="21"/>
        <v>dead</v>
      </c>
      <c r="V476" t="e">
        <f t="shared" si="22"/>
        <v>#VALUE!</v>
      </c>
    </row>
    <row r="477" spans="1:23">
      <c r="A477" s="12">
        <v>40</v>
      </c>
      <c r="B477" s="12">
        <v>0</v>
      </c>
      <c r="C477" s="11">
        <v>41.100623071933988</v>
      </c>
      <c r="D477" s="11">
        <v>5.1944273126372771</v>
      </c>
      <c r="E477" s="11"/>
      <c r="F477" s="10">
        <v>267</v>
      </c>
      <c r="G477" s="12" t="s">
        <v>13</v>
      </c>
      <c r="H477" s="13">
        <v>17.8</v>
      </c>
      <c r="I477" s="14"/>
      <c r="J477" s="14">
        <v>20</v>
      </c>
      <c r="K477" s="14"/>
      <c r="L477" s="13">
        <v>5.0999999999999996</v>
      </c>
      <c r="M477" s="13">
        <v>1.9</v>
      </c>
      <c r="P477" s="12" t="s">
        <v>14</v>
      </c>
      <c r="Q477" s="12"/>
      <c r="R477" s="12"/>
      <c r="T477">
        <f t="shared" si="23"/>
        <v>5.6659159740714742</v>
      </c>
      <c r="U477">
        <f t="shared" si="21"/>
        <v>6.366197723675814</v>
      </c>
      <c r="V477">
        <f t="shared" si="22"/>
        <v>0.70028174960433986</v>
      </c>
    </row>
    <row r="478" spans="1:23">
      <c r="A478" s="12">
        <v>40</v>
      </c>
      <c r="B478" s="12">
        <v>40</v>
      </c>
      <c r="C478" s="11">
        <v>46.208042528020819</v>
      </c>
      <c r="D478" s="11">
        <v>45.883966224469788</v>
      </c>
      <c r="E478" s="11"/>
      <c r="F478" s="10">
        <v>353</v>
      </c>
      <c r="G478" s="12" t="s">
        <v>11</v>
      </c>
      <c r="H478" s="13">
        <v>17.899999999999999</v>
      </c>
      <c r="I478" s="14"/>
      <c r="J478" s="14">
        <v>22.3</v>
      </c>
      <c r="K478" s="14"/>
      <c r="L478" s="13">
        <v>6.8</v>
      </c>
      <c r="M478" s="13">
        <v>0.8</v>
      </c>
      <c r="P478" s="12" t="s">
        <v>14</v>
      </c>
      <c r="Q478" s="12"/>
      <c r="R478" s="12"/>
      <c r="T478">
        <f t="shared" si="23"/>
        <v>5.6977469626898527</v>
      </c>
      <c r="U478">
        <f t="shared" si="21"/>
        <v>7.0983104618985324</v>
      </c>
      <c r="V478">
        <f t="shared" si="22"/>
        <v>1.4005634992086797</v>
      </c>
    </row>
    <row r="479" spans="1:23">
      <c r="A479" s="12">
        <v>40</v>
      </c>
      <c r="B479" s="12">
        <v>-10</v>
      </c>
      <c r="C479" s="11">
        <v>48.186840600406832</v>
      </c>
      <c r="D479" s="11">
        <v>-2.4773681582814722</v>
      </c>
      <c r="E479" s="11"/>
      <c r="F479" s="10">
        <v>463</v>
      </c>
      <c r="G479" s="12" t="s">
        <v>13</v>
      </c>
      <c r="H479" s="13">
        <v>17.899999999999999</v>
      </c>
      <c r="I479" s="14"/>
      <c r="J479" s="14">
        <v>18.8</v>
      </c>
      <c r="K479" s="14"/>
      <c r="L479" s="13">
        <v>5.3</v>
      </c>
      <c r="M479" s="13">
        <v>1.9</v>
      </c>
      <c r="P479" s="12" t="s">
        <v>14</v>
      </c>
      <c r="Q479" s="12"/>
      <c r="R479" s="12"/>
      <c r="T479">
        <f t="shared" si="23"/>
        <v>5.6977469626898527</v>
      </c>
      <c r="U479">
        <f t="shared" si="21"/>
        <v>5.9842258602552647</v>
      </c>
      <c r="V479">
        <f t="shared" si="22"/>
        <v>0.28647889756541201</v>
      </c>
    </row>
    <row r="480" spans="1:23">
      <c r="A480" s="12">
        <v>30</v>
      </c>
      <c r="B480" s="12">
        <v>10</v>
      </c>
      <c r="C480" s="11">
        <v>31.896743692831674</v>
      </c>
      <c r="D480" s="11">
        <v>17.510168004924175</v>
      </c>
      <c r="E480" s="11"/>
      <c r="F480" s="12">
        <v>1001</v>
      </c>
      <c r="G480" s="12" t="s">
        <v>13</v>
      </c>
      <c r="H480" s="13">
        <v>17.899999999999999</v>
      </c>
      <c r="I480" s="14"/>
      <c r="J480" s="14">
        <v>18.2</v>
      </c>
      <c r="K480" s="14"/>
      <c r="L480" s="13">
        <v>6</v>
      </c>
      <c r="M480" s="13">
        <v>2.1</v>
      </c>
      <c r="P480" s="12" t="s">
        <v>14</v>
      </c>
      <c r="Q480" s="12"/>
      <c r="R480" s="12" t="s">
        <v>65</v>
      </c>
      <c r="S480" t="s">
        <v>88</v>
      </c>
      <c r="T480">
        <f t="shared" si="23"/>
        <v>5.6977469626898527</v>
      </c>
      <c r="U480">
        <f t="shared" si="21"/>
        <v>5.79323992854499</v>
      </c>
      <c r="V480">
        <f t="shared" si="22"/>
        <v>9.5492965855137335E-2</v>
      </c>
    </row>
    <row r="481" spans="1:23">
      <c r="A481" s="12">
        <v>20</v>
      </c>
      <c r="B481" s="12">
        <v>40</v>
      </c>
      <c r="C481" s="11">
        <v>26.109179631508535</v>
      </c>
      <c r="D481" s="11">
        <v>46.690405386070509</v>
      </c>
      <c r="E481" s="11"/>
      <c r="F481" s="12">
        <v>188</v>
      </c>
      <c r="G481" s="12" t="s">
        <v>13</v>
      </c>
      <c r="H481" s="13">
        <v>18</v>
      </c>
      <c r="I481" s="14"/>
      <c r="J481" s="14">
        <v>19</v>
      </c>
      <c r="K481" s="14"/>
      <c r="L481" s="13">
        <v>6.7</v>
      </c>
      <c r="M481" s="13">
        <v>2</v>
      </c>
      <c r="P481" s="12" t="s">
        <v>14</v>
      </c>
      <c r="Q481" s="12"/>
      <c r="R481" s="12"/>
      <c r="T481">
        <f t="shared" si="23"/>
        <v>5.7295779513082321</v>
      </c>
      <c r="U481">
        <f t="shared" si="21"/>
        <v>6.0478878374920226</v>
      </c>
      <c r="V481">
        <f t="shared" si="22"/>
        <v>0.31830988618379052</v>
      </c>
    </row>
    <row r="482" spans="1:23">
      <c r="A482" s="12">
        <v>40</v>
      </c>
      <c r="B482" s="12">
        <v>40</v>
      </c>
      <c r="C482" s="11">
        <v>49.59543713340743</v>
      </c>
      <c r="D482" s="11">
        <v>42.182825894791982</v>
      </c>
      <c r="E482" s="11"/>
      <c r="F482" s="10">
        <v>349</v>
      </c>
      <c r="G482" s="12" t="s">
        <v>13</v>
      </c>
      <c r="H482" s="13">
        <v>18</v>
      </c>
      <c r="I482" s="14"/>
      <c r="J482" s="14">
        <v>19</v>
      </c>
      <c r="K482" s="14"/>
      <c r="L482" s="13">
        <v>6.8</v>
      </c>
      <c r="M482" s="13">
        <v>2.5</v>
      </c>
      <c r="P482" s="12" t="s">
        <v>14</v>
      </c>
      <c r="Q482" s="12"/>
      <c r="R482" s="12"/>
      <c r="T482">
        <f t="shared" si="23"/>
        <v>5.7295779513082321</v>
      </c>
      <c r="U482">
        <f t="shared" si="21"/>
        <v>6.0478878374920226</v>
      </c>
      <c r="V482">
        <f t="shared" si="22"/>
        <v>0.31830988618379052</v>
      </c>
    </row>
    <row r="483" spans="1:23">
      <c r="A483" s="12">
        <v>40</v>
      </c>
      <c r="B483" s="12">
        <v>0</v>
      </c>
      <c r="C483" s="11">
        <v>41.045795804813331</v>
      </c>
      <c r="D483" s="11">
        <v>5.0799175683089572</v>
      </c>
      <c r="E483" s="11"/>
      <c r="F483" s="12">
        <v>266</v>
      </c>
      <c r="G483" s="12" t="s">
        <v>13</v>
      </c>
      <c r="H483" s="13">
        <v>18.100000000000001</v>
      </c>
      <c r="I483" s="14"/>
      <c r="J483" s="14">
        <v>19.7</v>
      </c>
      <c r="K483" s="14"/>
      <c r="L483" s="13">
        <v>4.3</v>
      </c>
      <c r="M483" s="13">
        <v>1.6</v>
      </c>
      <c r="P483" s="12" t="s">
        <v>14</v>
      </c>
      <c r="Q483" s="12"/>
      <c r="R483" s="12"/>
      <c r="T483">
        <f t="shared" si="23"/>
        <v>5.7614089399266115</v>
      </c>
      <c r="U483">
        <f t="shared" si="21"/>
        <v>6.2707047578206758</v>
      </c>
      <c r="V483">
        <f t="shared" si="22"/>
        <v>0.50929581789406431</v>
      </c>
    </row>
    <row r="484" spans="1:23">
      <c r="A484" s="12">
        <v>50</v>
      </c>
      <c r="B484" s="12">
        <v>-30</v>
      </c>
      <c r="C484" s="11">
        <v>50.277366863519219</v>
      </c>
      <c r="D484" s="11">
        <v>-27.783751864123932</v>
      </c>
      <c r="E484" s="11"/>
      <c r="F484" s="10">
        <v>703</v>
      </c>
      <c r="G484" s="12" t="s">
        <v>13</v>
      </c>
      <c r="H484" s="13">
        <v>18.2</v>
      </c>
      <c r="I484" s="14"/>
      <c r="J484" s="14">
        <v>19.2</v>
      </c>
      <c r="K484" s="14"/>
      <c r="L484" s="13">
        <v>6.6</v>
      </c>
      <c r="M484" s="13">
        <v>3.4</v>
      </c>
      <c r="P484" s="12" t="s">
        <v>14</v>
      </c>
      <c r="Q484" s="12"/>
      <c r="R484" s="12"/>
      <c r="T484">
        <f t="shared" si="23"/>
        <v>5.79323992854499</v>
      </c>
      <c r="U484">
        <f t="shared" si="21"/>
        <v>6.1115498147287806</v>
      </c>
      <c r="V484">
        <f t="shared" si="22"/>
        <v>0.31830988618379052</v>
      </c>
    </row>
    <row r="485" spans="1:23">
      <c r="A485" s="9">
        <v>0</v>
      </c>
      <c r="B485" s="12">
        <v>20</v>
      </c>
      <c r="C485" s="11">
        <v>8.8119505183786533</v>
      </c>
      <c r="D485" s="11">
        <v>22.148121984815155</v>
      </c>
      <c r="E485" s="11"/>
      <c r="F485" s="12">
        <v>34</v>
      </c>
      <c r="G485" s="12" t="s">
        <v>13</v>
      </c>
      <c r="H485" s="13">
        <v>18.399999999999999</v>
      </c>
      <c r="I485" s="14"/>
      <c r="J485" s="14">
        <v>21</v>
      </c>
      <c r="K485" s="14"/>
      <c r="L485" s="13">
        <v>4.3</v>
      </c>
      <c r="M485" s="13">
        <v>0.9</v>
      </c>
      <c r="P485" s="12" t="s">
        <v>14</v>
      </c>
      <c r="Q485" s="12"/>
      <c r="R485" s="12"/>
      <c r="T485">
        <f t="shared" si="23"/>
        <v>5.856901905781748</v>
      </c>
      <c r="U485">
        <f t="shared" si="21"/>
        <v>6.6845076098596046</v>
      </c>
      <c r="V485">
        <f t="shared" si="22"/>
        <v>0.82760570407785661</v>
      </c>
    </row>
    <row r="486" spans="1:23">
      <c r="A486" s="12">
        <v>30</v>
      </c>
      <c r="B486" s="12">
        <v>10</v>
      </c>
      <c r="C486" s="11">
        <v>32.249368886906424</v>
      </c>
      <c r="D486" s="11">
        <v>17.100131104581216</v>
      </c>
      <c r="E486" s="11"/>
      <c r="F486" s="10">
        <v>229</v>
      </c>
      <c r="G486" s="12" t="s">
        <v>13</v>
      </c>
      <c r="H486" s="13">
        <v>18.399999999999999</v>
      </c>
      <c r="I486" s="14"/>
      <c r="J486" s="14">
        <v>20.2</v>
      </c>
      <c r="K486" s="14"/>
      <c r="L486" s="13">
        <v>5.6</v>
      </c>
      <c r="M486" s="13">
        <v>1.5</v>
      </c>
      <c r="P486" s="12" t="s">
        <v>14</v>
      </c>
      <c r="Q486" s="12"/>
      <c r="R486" s="12"/>
      <c r="T486">
        <f t="shared" si="23"/>
        <v>5.856901905781748</v>
      </c>
      <c r="U486">
        <f t="shared" si="21"/>
        <v>6.429859700912572</v>
      </c>
      <c r="V486">
        <f t="shared" si="22"/>
        <v>0.57295779513082401</v>
      </c>
    </row>
    <row r="487" spans="1:23">
      <c r="A487" s="12">
        <v>20</v>
      </c>
      <c r="B487" s="12">
        <v>10</v>
      </c>
      <c r="C487" s="11">
        <v>24.256321189866224</v>
      </c>
      <c r="D487" s="11">
        <v>10.97345114030658</v>
      </c>
      <c r="E487" s="11"/>
      <c r="F487" s="12">
        <v>136</v>
      </c>
      <c r="G487" s="12" t="s">
        <v>13</v>
      </c>
      <c r="H487" s="13">
        <v>18.5</v>
      </c>
      <c r="I487" s="14"/>
      <c r="J487" s="14">
        <v>18.100000000000001</v>
      </c>
      <c r="K487" s="14"/>
      <c r="L487" s="13">
        <v>6.6</v>
      </c>
      <c r="M487" s="13">
        <v>2.6</v>
      </c>
      <c r="P487" s="12" t="s">
        <v>14</v>
      </c>
      <c r="Q487" s="12"/>
      <c r="R487" s="12"/>
      <c r="T487">
        <f t="shared" si="23"/>
        <v>5.8887328944001274</v>
      </c>
      <c r="U487">
        <f t="shared" si="21"/>
        <v>5.7614089399266115</v>
      </c>
      <c r="V487">
        <f t="shared" si="22"/>
        <v>-0.12732395447351585</v>
      </c>
    </row>
    <row r="488" spans="1:23">
      <c r="A488" s="9">
        <v>10</v>
      </c>
      <c r="B488" s="9">
        <v>-10</v>
      </c>
      <c r="C488" s="11">
        <v>12.525669415854443</v>
      </c>
      <c r="D488" s="11">
        <v>-2.7854252820381808</v>
      </c>
      <c r="E488" s="11"/>
      <c r="F488" s="10">
        <v>407</v>
      </c>
      <c r="G488" s="12" t="s">
        <v>11</v>
      </c>
      <c r="H488" s="13">
        <v>18.7</v>
      </c>
      <c r="I488" s="14"/>
      <c r="J488" s="14" t="s">
        <v>70</v>
      </c>
      <c r="K488" s="14"/>
      <c r="L488" s="13">
        <v>5.6</v>
      </c>
      <c r="M488" s="13"/>
      <c r="P488" s="12" t="s">
        <v>12</v>
      </c>
      <c r="Q488" s="12"/>
      <c r="R488" s="12"/>
      <c r="T488">
        <f t="shared" si="23"/>
        <v>5.9523948716368853</v>
      </c>
      <c r="U488" t="str">
        <f t="shared" si="21"/>
        <v>dead</v>
      </c>
      <c r="V488" t="e">
        <f t="shared" si="22"/>
        <v>#VALUE!</v>
      </c>
    </row>
    <row r="489" spans="1:23">
      <c r="A489" s="12">
        <v>20</v>
      </c>
      <c r="B489" s="12">
        <v>10</v>
      </c>
      <c r="C489" s="11">
        <v>21.951670549920319</v>
      </c>
      <c r="D489" s="11">
        <v>12.184686375306248</v>
      </c>
      <c r="E489" s="11"/>
      <c r="F489" s="10">
        <v>149</v>
      </c>
      <c r="G489" s="12" t="s">
        <v>13</v>
      </c>
      <c r="H489" s="13">
        <v>18.8</v>
      </c>
      <c r="I489" s="14"/>
      <c r="J489" s="14">
        <v>18.399999999999999</v>
      </c>
      <c r="K489" s="14"/>
      <c r="L489" s="13">
        <v>5.6</v>
      </c>
      <c r="M489" s="13">
        <v>2.2000000000000002</v>
      </c>
      <c r="P489" s="12" t="s">
        <v>14</v>
      </c>
      <c r="Q489" s="12"/>
      <c r="R489" s="12"/>
      <c r="T489">
        <f t="shared" si="23"/>
        <v>5.9842258602552647</v>
      </c>
      <c r="U489">
        <f t="shared" si="21"/>
        <v>5.856901905781748</v>
      </c>
      <c r="V489">
        <f t="shared" si="22"/>
        <v>-0.12732395447351674</v>
      </c>
    </row>
    <row r="490" spans="1:23">
      <c r="A490" s="12">
        <v>30</v>
      </c>
      <c r="B490" s="12">
        <v>40</v>
      </c>
      <c r="C490" s="11">
        <v>30.571213760692721</v>
      </c>
      <c r="D490" s="11">
        <v>48.901788563302368</v>
      </c>
      <c r="E490" s="11"/>
      <c r="F490" s="10">
        <v>199</v>
      </c>
      <c r="G490" s="12" t="s">
        <v>13</v>
      </c>
      <c r="H490" s="13">
        <v>18.8</v>
      </c>
      <c r="I490" s="14"/>
      <c r="J490" s="14">
        <v>18.8</v>
      </c>
      <c r="K490" s="14"/>
      <c r="L490" s="13">
        <v>6.9</v>
      </c>
      <c r="M490" s="13">
        <v>2.5</v>
      </c>
      <c r="P490" s="12" t="s">
        <v>14</v>
      </c>
      <c r="Q490" s="12"/>
      <c r="R490" s="12"/>
      <c r="T490">
        <f t="shared" si="23"/>
        <v>5.9842258602552647</v>
      </c>
      <c r="U490">
        <f t="shared" si="21"/>
        <v>5.9842258602552647</v>
      </c>
      <c r="V490">
        <f t="shared" si="22"/>
        <v>0</v>
      </c>
    </row>
    <row r="491" spans="1:23">
      <c r="A491" s="12">
        <v>30</v>
      </c>
      <c r="B491" s="12">
        <v>20</v>
      </c>
      <c r="C491" s="11">
        <v>30.124602273945477</v>
      </c>
      <c r="D491" s="11">
        <v>24.75836886688365</v>
      </c>
      <c r="E491" s="11"/>
      <c r="F491" s="10">
        <v>207</v>
      </c>
      <c r="G491" s="12" t="s">
        <v>11</v>
      </c>
      <c r="H491" s="13">
        <v>18.899999999999999</v>
      </c>
      <c r="I491" s="14"/>
      <c r="J491" s="14" t="s">
        <v>70</v>
      </c>
      <c r="K491" s="14"/>
      <c r="L491" s="13">
        <v>6.3</v>
      </c>
      <c r="M491" s="13">
        <v>0.3</v>
      </c>
      <c r="P491" s="12" t="s">
        <v>14</v>
      </c>
      <c r="Q491" s="12"/>
      <c r="R491" s="12"/>
      <c r="T491">
        <f t="shared" si="23"/>
        <v>6.0160568488736432</v>
      </c>
      <c r="U491" t="str">
        <f t="shared" si="21"/>
        <v>dead</v>
      </c>
      <c r="V491" t="e">
        <f t="shared" si="22"/>
        <v>#VALUE!</v>
      </c>
    </row>
    <row r="492" spans="1:23" s="27" customFormat="1">
      <c r="A492" s="12">
        <v>40</v>
      </c>
      <c r="B492" s="12">
        <v>-10</v>
      </c>
      <c r="C492" s="11">
        <v>47.831262169247523</v>
      </c>
      <c r="D492" s="11">
        <v>-2.5663546562123978</v>
      </c>
      <c r="E492" s="11"/>
      <c r="F492" s="12">
        <v>458</v>
      </c>
      <c r="G492" s="12" t="s">
        <v>13</v>
      </c>
      <c r="H492" s="13">
        <v>18.899999999999999</v>
      </c>
      <c r="I492" s="14"/>
      <c r="J492" s="14">
        <v>19.899999999999999</v>
      </c>
      <c r="K492" s="14"/>
      <c r="L492" s="13">
        <v>5.4</v>
      </c>
      <c r="M492" s="13">
        <v>1.9</v>
      </c>
      <c r="N492"/>
      <c r="O492"/>
      <c r="P492" s="12" t="s">
        <v>14</v>
      </c>
      <c r="Q492" s="12"/>
      <c r="R492" s="12"/>
      <c r="S492"/>
      <c r="T492">
        <f t="shared" si="23"/>
        <v>6.0160568488736432</v>
      </c>
      <c r="U492">
        <f t="shared" si="21"/>
        <v>6.3343667350574338</v>
      </c>
      <c r="V492">
        <f t="shared" si="22"/>
        <v>0.31830988618379052</v>
      </c>
      <c r="W492"/>
    </row>
    <row r="493" spans="1:23">
      <c r="A493" s="12">
        <v>20</v>
      </c>
      <c r="B493" s="12">
        <v>30</v>
      </c>
      <c r="C493" s="11">
        <v>20.851731153255873</v>
      </c>
      <c r="D493" s="11">
        <v>33.616571920780075</v>
      </c>
      <c r="E493" s="11"/>
      <c r="F493" s="10">
        <v>177</v>
      </c>
      <c r="G493" s="12" t="s">
        <v>13</v>
      </c>
      <c r="H493" s="13">
        <v>19.2</v>
      </c>
      <c r="I493" s="14"/>
      <c r="J493" s="14">
        <v>21.6</v>
      </c>
      <c r="K493" s="14"/>
      <c r="L493" s="13">
        <v>5.6</v>
      </c>
      <c r="M493" s="13">
        <v>2.7</v>
      </c>
      <c r="P493" s="12" t="s">
        <v>14</v>
      </c>
      <c r="Q493" s="12"/>
      <c r="R493" s="12"/>
      <c r="T493">
        <f t="shared" si="23"/>
        <v>6.1115498147287806</v>
      </c>
      <c r="U493">
        <f t="shared" si="21"/>
        <v>6.8754935415698792</v>
      </c>
      <c r="V493">
        <f t="shared" si="22"/>
        <v>0.76394372684109868</v>
      </c>
    </row>
    <row r="494" spans="1:23">
      <c r="A494" s="12">
        <v>20</v>
      </c>
      <c r="B494" s="12">
        <v>-20</v>
      </c>
      <c r="C494" s="11">
        <v>26.95918370245057</v>
      </c>
      <c r="D494" s="11">
        <v>-13.567563635531844</v>
      </c>
      <c r="E494" s="11"/>
      <c r="F494" s="12">
        <v>552</v>
      </c>
      <c r="G494" s="12" t="s">
        <v>13</v>
      </c>
      <c r="H494" s="13">
        <v>19.3</v>
      </c>
      <c r="I494" s="14"/>
      <c r="J494" s="14">
        <v>20.7</v>
      </c>
      <c r="K494" s="14"/>
      <c r="L494" s="13">
        <v>6.6</v>
      </c>
      <c r="M494" s="13">
        <v>3.5</v>
      </c>
      <c r="P494" s="12" t="s">
        <v>14</v>
      </c>
      <c r="Q494" s="12"/>
      <c r="R494" s="12" t="s">
        <v>40</v>
      </c>
      <c r="T494">
        <f t="shared" si="23"/>
        <v>6.1433808033471609</v>
      </c>
      <c r="U494">
        <f t="shared" si="21"/>
        <v>6.5890146440044672</v>
      </c>
      <c r="V494">
        <f t="shared" si="22"/>
        <v>0.44563384065730638</v>
      </c>
    </row>
    <row r="495" spans="1:23">
      <c r="A495" s="12">
        <v>40</v>
      </c>
      <c r="B495" s="12">
        <v>-30</v>
      </c>
      <c r="C495" s="11">
        <v>42.713143904854235</v>
      </c>
      <c r="D495" s="11">
        <v>-25.766937840350597</v>
      </c>
      <c r="E495" s="11"/>
      <c r="F495" s="10">
        <v>681</v>
      </c>
      <c r="G495" s="12" t="s">
        <v>13</v>
      </c>
      <c r="H495" s="13">
        <v>19.399999999999999</v>
      </c>
      <c r="I495" s="14"/>
      <c r="J495" s="14">
        <v>20.3</v>
      </c>
      <c r="K495" s="14"/>
      <c r="L495" s="13">
        <v>5.0999999999999996</v>
      </c>
      <c r="M495" s="13">
        <v>1.9</v>
      </c>
      <c r="P495" s="12" t="s">
        <v>14</v>
      </c>
      <c r="Q495" s="12"/>
      <c r="R495" s="12"/>
      <c r="T495">
        <f t="shared" si="23"/>
        <v>6.1752117919655385</v>
      </c>
      <c r="U495">
        <f t="shared" si="21"/>
        <v>6.4616906895309514</v>
      </c>
      <c r="V495">
        <f t="shared" si="22"/>
        <v>0.28647889756541289</v>
      </c>
    </row>
    <row r="496" spans="1:23">
      <c r="A496" s="12">
        <v>40</v>
      </c>
      <c r="B496" s="12">
        <v>-30</v>
      </c>
      <c r="C496" s="11">
        <v>42.241277722406934</v>
      </c>
      <c r="D496" s="11">
        <v>-25.786425470262586</v>
      </c>
      <c r="E496" s="11"/>
      <c r="F496" s="10">
        <v>687</v>
      </c>
      <c r="G496" s="12" t="s">
        <v>13</v>
      </c>
      <c r="H496" s="13">
        <v>19.399999999999999</v>
      </c>
      <c r="I496" s="14"/>
      <c r="J496" s="14" t="s">
        <v>70</v>
      </c>
      <c r="K496" s="31"/>
      <c r="L496" s="13">
        <v>2.8</v>
      </c>
      <c r="M496" s="13"/>
      <c r="P496" s="12" t="s">
        <v>12</v>
      </c>
      <c r="Q496" s="12"/>
      <c r="R496" s="12"/>
      <c r="T496">
        <f t="shared" si="23"/>
        <v>6.1752117919655385</v>
      </c>
      <c r="U496" t="str">
        <f t="shared" si="21"/>
        <v>dead</v>
      </c>
      <c r="V496" t="e">
        <f t="shared" si="22"/>
        <v>#VALUE!</v>
      </c>
    </row>
    <row r="497" spans="1:22">
      <c r="A497" s="12">
        <v>40</v>
      </c>
      <c r="B497" s="12">
        <v>-30</v>
      </c>
      <c r="C497" s="11">
        <v>41.972325866754147</v>
      </c>
      <c r="D497" s="11">
        <v>-25.582787237594637</v>
      </c>
      <c r="E497" s="11"/>
      <c r="F497" s="10">
        <v>691</v>
      </c>
      <c r="G497" s="12" t="s">
        <v>13</v>
      </c>
      <c r="H497" s="13">
        <v>19.399999999999999</v>
      </c>
      <c r="I497" s="14"/>
      <c r="J497" s="14" t="s">
        <v>70</v>
      </c>
      <c r="K497" s="14"/>
      <c r="L497" s="13">
        <v>5</v>
      </c>
      <c r="M497" s="13">
        <v>3.4</v>
      </c>
      <c r="P497" s="12" t="s">
        <v>14</v>
      </c>
      <c r="Q497" s="12"/>
      <c r="R497" s="12"/>
      <c r="T497">
        <f t="shared" si="23"/>
        <v>6.1752117919655385</v>
      </c>
      <c r="U497" t="str">
        <f t="shared" si="21"/>
        <v>dead</v>
      </c>
      <c r="V497" t="e">
        <f t="shared" si="22"/>
        <v>#VALUE!</v>
      </c>
    </row>
    <row r="498" spans="1:22">
      <c r="A498" s="12">
        <v>40</v>
      </c>
      <c r="B498" s="12">
        <v>-30</v>
      </c>
      <c r="C498" s="11">
        <v>48.14767037396004</v>
      </c>
      <c r="D498" s="11">
        <v>-23.593335497569491</v>
      </c>
      <c r="E498" s="11"/>
      <c r="F498" s="10">
        <v>699</v>
      </c>
      <c r="G498" s="12" t="s">
        <v>13</v>
      </c>
      <c r="H498" s="13">
        <v>19.5</v>
      </c>
      <c r="I498" s="14"/>
      <c r="J498" s="14">
        <v>20.5</v>
      </c>
      <c r="K498" s="14"/>
      <c r="L498" s="13">
        <v>6.2</v>
      </c>
      <c r="M498" s="13">
        <v>2.5</v>
      </c>
      <c r="P498" s="12" t="s">
        <v>14</v>
      </c>
      <c r="Q498" s="12"/>
      <c r="R498" s="12"/>
      <c r="T498">
        <f t="shared" si="23"/>
        <v>6.2070427805839179</v>
      </c>
      <c r="U498">
        <f t="shared" si="21"/>
        <v>6.5253526667677093</v>
      </c>
      <c r="V498">
        <f t="shared" si="22"/>
        <v>0.31830988618379141</v>
      </c>
    </row>
    <row r="499" spans="1:22">
      <c r="A499" s="12">
        <v>30</v>
      </c>
      <c r="B499" s="12">
        <v>-30</v>
      </c>
      <c r="C499" s="11">
        <v>31.465226941117038</v>
      </c>
      <c r="D499" s="11">
        <v>-21.375939682916666</v>
      </c>
      <c r="E499" s="11"/>
      <c r="F499" s="12">
        <v>660</v>
      </c>
      <c r="G499" s="12" t="s">
        <v>21</v>
      </c>
      <c r="H499" s="13">
        <v>19.7</v>
      </c>
      <c r="I499" s="14"/>
      <c r="J499" s="14">
        <v>21</v>
      </c>
      <c r="K499" s="14"/>
      <c r="L499" s="13">
        <v>7.1</v>
      </c>
      <c r="M499" s="13">
        <v>1</v>
      </c>
      <c r="P499" s="12" t="s">
        <v>14</v>
      </c>
      <c r="Q499" s="12"/>
      <c r="R499" s="12"/>
      <c r="S499" t="s">
        <v>118</v>
      </c>
      <c r="T499">
        <f t="shared" si="23"/>
        <v>6.2707047578206758</v>
      </c>
      <c r="U499">
        <f t="shared" si="21"/>
        <v>6.6845076098596046</v>
      </c>
      <c r="V499">
        <f t="shared" si="22"/>
        <v>0.41380285203892875</v>
      </c>
    </row>
    <row r="500" spans="1:22">
      <c r="A500" s="12">
        <v>10</v>
      </c>
      <c r="B500" s="12">
        <v>40</v>
      </c>
      <c r="C500" s="11">
        <v>10.849723576956984</v>
      </c>
      <c r="D500" s="11">
        <v>47.732583098932928</v>
      </c>
      <c r="E500" s="11"/>
      <c r="F500" s="10">
        <v>73</v>
      </c>
      <c r="G500" s="12" t="s">
        <v>11</v>
      </c>
      <c r="H500" s="13">
        <v>19.899999999999999</v>
      </c>
      <c r="I500" s="14"/>
      <c r="J500" s="14" t="s">
        <v>70</v>
      </c>
      <c r="K500" s="14"/>
      <c r="L500" s="13">
        <v>5.4</v>
      </c>
      <c r="M500" s="13"/>
      <c r="P500" s="12" t="s">
        <v>12</v>
      </c>
      <c r="Q500" s="12"/>
      <c r="R500" s="12"/>
      <c r="T500">
        <f t="shared" si="23"/>
        <v>6.3343667350574338</v>
      </c>
      <c r="U500" t="str">
        <f t="shared" si="21"/>
        <v>dead</v>
      </c>
      <c r="V500" t="e">
        <f t="shared" si="22"/>
        <v>#VALUE!</v>
      </c>
    </row>
    <row r="501" spans="1:22">
      <c r="A501" s="12">
        <v>40</v>
      </c>
      <c r="B501" s="12">
        <v>20</v>
      </c>
      <c r="C501" s="11">
        <v>42.049845489303813</v>
      </c>
      <c r="D501" s="11">
        <v>29.65374661382328</v>
      </c>
      <c r="E501" s="11"/>
      <c r="F501" s="12">
        <v>310</v>
      </c>
      <c r="G501" s="12" t="s">
        <v>13</v>
      </c>
      <c r="H501" s="13"/>
      <c r="I501" s="14">
        <v>6.35</v>
      </c>
      <c r="J501" s="14">
        <v>23.3</v>
      </c>
      <c r="K501" s="14"/>
      <c r="L501" s="13">
        <v>5.9</v>
      </c>
      <c r="M501" s="13">
        <v>2</v>
      </c>
      <c r="P501" s="12" t="s">
        <v>14</v>
      </c>
      <c r="Q501" s="12"/>
      <c r="R501" s="12"/>
      <c r="T501">
        <f t="shared" si="23"/>
        <v>6.35</v>
      </c>
      <c r="U501">
        <f t="shared" si="21"/>
        <v>7.416620348082323</v>
      </c>
      <c r="V501">
        <f t="shared" si="22"/>
        <v>1.0666203480823233</v>
      </c>
    </row>
    <row r="502" spans="1:22">
      <c r="A502" s="12">
        <v>20</v>
      </c>
      <c r="B502" s="12">
        <v>-30</v>
      </c>
      <c r="C502" s="11">
        <v>24.491891167551483</v>
      </c>
      <c r="D502" s="11">
        <v>-26.074597689551354</v>
      </c>
      <c r="E502" s="11"/>
      <c r="F502" s="10">
        <v>643</v>
      </c>
      <c r="G502" s="12" t="s">
        <v>13</v>
      </c>
      <c r="H502" s="13">
        <v>20.100000000000001</v>
      </c>
      <c r="I502" s="14"/>
      <c r="J502" s="14">
        <v>22</v>
      </c>
      <c r="K502" s="14"/>
      <c r="L502" s="13">
        <v>6.4</v>
      </c>
      <c r="M502" s="13">
        <v>3.6</v>
      </c>
      <c r="P502" s="12" t="s">
        <v>14</v>
      </c>
      <c r="Q502" s="12"/>
      <c r="R502" s="12"/>
      <c r="T502">
        <f t="shared" si="23"/>
        <v>6.3980287122941935</v>
      </c>
      <c r="U502">
        <f t="shared" si="21"/>
        <v>7.0028174960433951</v>
      </c>
      <c r="V502">
        <f t="shared" si="22"/>
        <v>0.60478878374920164</v>
      </c>
    </row>
    <row r="503" spans="1:22">
      <c r="A503" s="12">
        <v>20</v>
      </c>
      <c r="B503" s="12">
        <v>40</v>
      </c>
      <c r="C503" s="11">
        <v>26.363027006017866</v>
      </c>
      <c r="D503" s="11">
        <v>46.658527413827123</v>
      </c>
      <c r="E503" s="11"/>
      <c r="F503" s="10">
        <v>187</v>
      </c>
      <c r="G503" s="12" t="s">
        <v>13</v>
      </c>
      <c r="H503" s="13">
        <v>20.3</v>
      </c>
      <c r="I503" s="14"/>
      <c r="J503" s="14">
        <v>22</v>
      </c>
      <c r="K503" s="14"/>
      <c r="L503" s="13">
        <v>6.6</v>
      </c>
      <c r="M503" s="13">
        <v>2.1</v>
      </c>
      <c r="P503" s="12" t="s">
        <v>14</v>
      </c>
      <c r="Q503" s="12"/>
      <c r="R503" s="12"/>
      <c r="T503">
        <f t="shared" si="23"/>
        <v>6.4616906895309514</v>
      </c>
      <c r="U503">
        <f t="shared" si="21"/>
        <v>7.0028174960433951</v>
      </c>
      <c r="V503">
        <f t="shared" si="22"/>
        <v>0.54112680651244371</v>
      </c>
    </row>
    <row r="504" spans="1:22">
      <c r="A504" s="12">
        <v>40</v>
      </c>
      <c r="B504" s="12">
        <v>-30</v>
      </c>
      <c r="C504" s="11">
        <v>42.059526159725067</v>
      </c>
      <c r="D504" s="11">
        <v>-25.726284030932</v>
      </c>
      <c r="E504" s="11"/>
      <c r="F504" s="12">
        <v>688</v>
      </c>
      <c r="G504" s="12" t="s">
        <v>13</v>
      </c>
      <c r="H504" s="13">
        <v>20.3</v>
      </c>
      <c r="I504" s="14"/>
      <c r="J504" s="14">
        <v>19.8</v>
      </c>
      <c r="K504" s="14"/>
      <c r="L504" s="13">
        <v>5.0999999999999996</v>
      </c>
      <c r="M504" s="13">
        <v>1.8</v>
      </c>
      <c r="P504" s="12" t="s">
        <v>14</v>
      </c>
      <c r="Q504" s="12"/>
      <c r="R504" s="12"/>
      <c r="T504">
        <f t="shared" si="23"/>
        <v>6.4616906895309514</v>
      </c>
      <c r="U504">
        <f t="shared" si="21"/>
        <v>6.3025357464390561</v>
      </c>
      <c r="V504">
        <f t="shared" si="22"/>
        <v>-0.15915494309189526</v>
      </c>
    </row>
    <row r="505" spans="1:22">
      <c r="A505" s="12">
        <v>10</v>
      </c>
      <c r="B505" s="12">
        <v>40</v>
      </c>
      <c r="C505" s="11">
        <v>14.923433426844973</v>
      </c>
      <c r="D505" s="11">
        <v>45.147948312514899</v>
      </c>
      <c r="E505" s="11"/>
      <c r="F505" s="10">
        <v>77</v>
      </c>
      <c r="G505" s="12" t="s">
        <v>11</v>
      </c>
      <c r="H505" s="13">
        <v>20.5</v>
      </c>
      <c r="I505" s="14"/>
      <c r="J505" s="14" t="s">
        <v>70</v>
      </c>
      <c r="K505" s="14"/>
      <c r="L505" s="13">
        <v>5.0999999999999996</v>
      </c>
      <c r="M505" s="13"/>
      <c r="P505" s="12" t="s">
        <v>12</v>
      </c>
      <c r="Q505" s="12"/>
      <c r="R505" s="12"/>
      <c r="T505">
        <f t="shared" si="23"/>
        <v>6.5253526667677093</v>
      </c>
      <c r="U505" t="str">
        <f t="shared" si="21"/>
        <v>dead</v>
      </c>
      <c r="V505" t="e">
        <f t="shared" si="22"/>
        <v>#VALUE!</v>
      </c>
    </row>
    <row r="506" spans="1:22">
      <c r="A506" s="12">
        <v>20</v>
      </c>
      <c r="B506" s="12">
        <v>10</v>
      </c>
      <c r="C506" s="11">
        <v>21.916912528638999</v>
      </c>
      <c r="D506" s="11">
        <v>12.382501619525305</v>
      </c>
      <c r="E506" s="11"/>
      <c r="F506" s="12">
        <v>152</v>
      </c>
      <c r="G506" s="12" t="s">
        <v>13</v>
      </c>
      <c r="H506" s="13">
        <v>20.5</v>
      </c>
      <c r="I506" s="14"/>
      <c r="J506" s="14">
        <v>21.2</v>
      </c>
      <c r="K506" s="14"/>
      <c r="L506" s="13">
        <v>6.4</v>
      </c>
      <c r="M506" s="13">
        <v>2</v>
      </c>
      <c r="P506" s="12" t="s">
        <v>14</v>
      </c>
      <c r="Q506" s="12"/>
      <c r="R506" s="12"/>
      <c r="T506">
        <f t="shared" si="23"/>
        <v>6.5253526667677093</v>
      </c>
      <c r="U506">
        <f t="shared" si="21"/>
        <v>6.7481695870963625</v>
      </c>
      <c r="V506">
        <f t="shared" si="22"/>
        <v>0.22281692032865319</v>
      </c>
    </row>
    <row r="507" spans="1:22">
      <c r="A507" s="12">
        <v>40</v>
      </c>
      <c r="B507" s="12">
        <v>-10</v>
      </c>
      <c r="C507" s="11">
        <v>43.452236059635894</v>
      </c>
      <c r="D507" s="11">
        <v>-9.6493346487751737</v>
      </c>
      <c r="E507" s="11"/>
      <c r="F507" s="12">
        <v>450</v>
      </c>
      <c r="G507" s="12" t="s">
        <v>13</v>
      </c>
      <c r="H507" s="13">
        <v>20.5</v>
      </c>
      <c r="I507" s="14"/>
      <c r="J507" s="14">
        <v>23.2</v>
      </c>
      <c r="K507" s="14"/>
      <c r="L507" s="13">
        <v>6.2</v>
      </c>
      <c r="M507" s="13">
        <v>2.4</v>
      </c>
      <c r="P507" s="12" t="s">
        <v>14</v>
      </c>
      <c r="Q507" s="12"/>
      <c r="R507" s="12"/>
      <c r="T507">
        <f t="shared" si="23"/>
        <v>6.5253526667677093</v>
      </c>
      <c r="U507">
        <f t="shared" si="21"/>
        <v>7.3847893594639435</v>
      </c>
      <c r="V507">
        <f t="shared" si="22"/>
        <v>0.85943669269623424</v>
      </c>
    </row>
    <row r="508" spans="1:22">
      <c r="A508" s="12">
        <v>20</v>
      </c>
      <c r="B508" s="12">
        <v>-20</v>
      </c>
      <c r="C508" s="11">
        <v>27.40438838957202</v>
      </c>
      <c r="D508" s="11">
        <v>-13.093778944794197</v>
      </c>
      <c r="E508" s="11"/>
      <c r="F508" s="10">
        <v>541</v>
      </c>
      <c r="G508" s="12" t="s">
        <v>13</v>
      </c>
      <c r="H508" s="13">
        <v>20.6</v>
      </c>
      <c r="I508" s="14"/>
      <c r="J508" s="14">
        <v>21.1</v>
      </c>
      <c r="K508" s="14"/>
      <c r="L508" s="13">
        <v>5.9</v>
      </c>
      <c r="M508" s="13">
        <v>2.1</v>
      </c>
      <c r="P508" s="12" t="s">
        <v>14</v>
      </c>
      <c r="Q508" s="12"/>
      <c r="R508" s="12"/>
      <c r="T508">
        <f t="shared" si="23"/>
        <v>6.5571836553860887</v>
      </c>
      <c r="U508">
        <f t="shared" si="21"/>
        <v>6.716338598477984</v>
      </c>
      <c r="V508">
        <f t="shared" si="22"/>
        <v>0.15915494309189526</v>
      </c>
    </row>
    <row r="509" spans="1:22">
      <c r="A509" s="12">
        <v>30</v>
      </c>
      <c r="B509" s="12">
        <v>10</v>
      </c>
      <c r="C509" s="11">
        <v>31.641290490894413</v>
      </c>
      <c r="D509" s="11">
        <v>17.868740859374537</v>
      </c>
      <c r="E509" s="11"/>
      <c r="F509" s="10">
        <v>223</v>
      </c>
      <c r="G509" s="12" t="s">
        <v>13</v>
      </c>
      <c r="H509" s="13">
        <v>20.7</v>
      </c>
      <c r="I509" s="14"/>
      <c r="J509" s="14">
        <v>21.5</v>
      </c>
      <c r="K509" s="14"/>
      <c r="L509" s="13">
        <v>5.8</v>
      </c>
      <c r="M509" s="13">
        <v>1.9</v>
      </c>
      <c r="P509" s="12" t="s">
        <v>14</v>
      </c>
      <c r="Q509" s="12"/>
      <c r="R509" s="12"/>
      <c r="T509">
        <f t="shared" si="23"/>
        <v>6.5890146440044672</v>
      </c>
      <c r="U509">
        <f t="shared" si="21"/>
        <v>6.8436625529514998</v>
      </c>
      <c r="V509">
        <f t="shared" si="22"/>
        <v>0.2546479089470326</v>
      </c>
    </row>
    <row r="510" spans="1:22">
      <c r="A510" s="12">
        <v>30</v>
      </c>
      <c r="B510" s="12">
        <v>20</v>
      </c>
      <c r="C510" s="11">
        <v>35.189947767486714</v>
      </c>
      <c r="D510" s="11">
        <v>23.205377071540834</v>
      </c>
      <c r="E510" s="11"/>
      <c r="F510" s="12">
        <v>212</v>
      </c>
      <c r="G510" s="12" t="s">
        <v>13</v>
      </c>
      <c r="H510" s="13">
        <v>21.3</v>
      </c>
      <c r="I510" s="14"/>
      <c r="J510" s="14">
        <v>24.2</v>
      </c>
      <c r="K510" s="14"/>
      <c r="L510" s="13">
        <v>6</v>
      </c>
      <c r="M510" s="13">
        <v>1.4</v>
      </c>
      <c r="P510" s="12" t="s">
        <v>14</v>
      </c>
      <c r="Q510" s="12"/>
      <c r="R510" s="12"/>
      <c r="T510">
        <f t="shared" si="23"/>
        <v>6.7800005757147419</v>
      </c>
      <c r="U510">
        <f t="shared" si="21"/>
        <v>7.7030992456477341</v>
      </c>
      <c r="V510">
        <f t="shared" si="22"/>
        <v>0.92309866993299217</v>
      </c>
    </row>
    <row r="511" spans="1:22">
      <c r="A511" s="12">
        <v>30</v>
      </c>
      <c r="B511" s="12">
        <v>0</v>
      </c>
      <c r="C511" s="11">
        <v>34.51042732397022</v>
      </c>
      <c r="D511" s="11">
        <v>5.862593186959022</v>
      </c>
      <c r="E511" s="11"/>
      <c r="F511" s="12">
        <v>258</v>
      </c>
      <c r="G511" s="12" t="s">
        <v>21</v>
      </c>
      <c r="H511" s="13">
        <v>21.3</v>
      </c>
      <c r="I511" s="14"/>
      <c r="J511" s="14">
        <v>22.5</v>
      </c>
      <c r="K511" s="14"/>
      <c r="L511" s="13">
        <v>8.3000000000000007</v>
      </c>
      <c r="M511" s="13">
        <v>2.7</v>
      </c>
      <c r="P511" s="12" t="s">
        <v>14</v>
      </c>
      <c r="Q511" s="12"/>
      <c r="R511" s="12"/>
      <c r="T511">
        <f t="shared" si="23"/>
        <v>6.7800005757147419</v>
      </c>
      <c r="U511">
        <f t="shared" si="21"/>
        <v>7.1619724391352904</v>
      </c>
      <c r="V511">
        <f t="shared" si="22"/>
        <v>0.38197186342054845</v>
      </c>
    </row>
    <row r="512" spans="1:22">
      <c r="A512" s="12">
        <v>30</v>
      </c>
      <c r="B512" s="12">
        <v>-10</v>
      </c>
      <c r="C512" s="11">
        <v>32.773001461476369</v>
      </c>
      <c r="D512" s="11">
        <v>-3.8493421389108899</v>
      </c>
      <c r="E512" s="11"/>
      <c r="F512" s="10">
        <v>425</v>
      </c>
      <c r="G512" s="12" t="s">
        <v>13</v>
      </c>
      <c r="H512" s="13">
        <v>21.4</v>
      </c>
      <c r="I512" s="14"/>
      <c r="J512" s="14">
        <v>22</v>
      </c>
      <c r="K512" s="14"/>
      <c r="L512" s="13">
        <v>6.9</v>
      </c>
      <c r="M512" s="13">
        <v>1.9</v>
      </c>
      <c r="P512" s="12" t="s">
        <v>14</v>
      </c>
      <c r="Q512" s="12"/>
      <c r="R512" s="12"/>
      <c r="T512">
        <f t="shared" si="23"/>
        <v>6.8118315643331204</v>
      </c>
      <c r="U512">
        <f t="shared" si="21"/>
        <v>7.0028174960433951</v>
      </c>
      <c r="V512">
        <f t="shared" si="22"/>
        <v>0.19098593171027467</v>
      </c>
    </row>
    <row r="513" spans="1:23">
      <c r="A513" s="12">
        <v>40</v>
      </c>
      <c r="B513" s="12">
        <v>0</v>
      </c>
      <c r="C513" s="11">
        <v>40.901352263515584</v>
      </c>
      <c r="D513" s="11">
        <v>5.4891725706855805</v>
      </c>
      <c r="E513" s="11"/>
      <c r="F513" s="12">
        <v>270</v>
      </c>
      <c r="G513" s="12" t="s">
        <v>13</v>
      </c>
      <c r="H513" s="13">
        <v>21.6</v>
      </c>
      <c r="I513" s="14"/>
      <c r="J513" s="14">
        <v>23.2</v>
      </c>
      <c r="K513" s="14"/>
      <c r="L513" s="13">
        <v>5.8</v>
      </c>
      <c r="M513" s="13">
        <v>2.1</v>
      </c>
      <c r="P513" s="12" t="s">
        <v>14</v>
      </c>
      <c r="Q513" s="12"/>
      <c r="R513" s="12"/>
      <c r="T513">
        <f t="shared" si="23"/>
        <v>6.8754935415698792</v>
      </c>
      <c r="U513">
        <f t="shared" si="21"/>
        <v>7.3847893594639435</v>
      </c>
      <c r="V513">
        <f t="shared" si="22"/>
        <v>0.50929581789406431</v>
      </c>
    </row>
    <row r="514" spans="1:23">
      <c r="A514" s="9">
        <v>0</v>
      </c>
      <c r="B514" s="12">
        <v>30</v>
      </c>
      <c r="C514" s="11">
        <v>3.1837218938327423</v>
      </c>
      <c r="D514" s="11">
        <v>39.876639929895845</v>
      </c>
      <c r="E514" s="11"/>
      <c r="F514" s="12">
        <v>54</v>
      </c>
      <c r="G514" s="12" t="s">
        <v>11</v>
      </c>
      <c r="H514" s="13">
        <v>21.8</v>
      </c>
      <c r="I514" s="14"/>
      <c r="J514" s="14" t="s">
        <v>70</v>
      </c>
      <c r="K514" s="14"/>
      <c r="L514" s="13">
        <v>4.8</v>
      </c>
      <c r="M514" s="13"/>
      <c r="P514" s="12" t="s">
        <v>12</v>
      </c>
      <c r="Q514" s="12"/>
      <c r="R514" s="12"/>
      <c r="S514" t="s">
        <v>78</v>
      </c>
      <c r="T514">
        <f t="shared" si="23"/>
        <v>6.9391555188066372</v>
      </c>
      <c r="U514" t="str">
        <f t="shared" ref="U514:U577" si="24">IF(J514="dead","dead",J514/PI()+K514/10)</f>
        <v>dead</v>
      </c>
      <c r="V514" t="e">
        <f t="shared" ref="V514:V577" si="25">U514-T514</f>
        <v>#VALUE!</v>
      </c>
    </row>
    <row r="515" spans="1:23">
      <c r="A515" s="12">
        <v>40</v>
      </c>
      <c r="B515" s="12">
        <v>40</v>
      </c>
      <c r="C515" s="11">
        <v>41.733447275510564</v>
      </c>
      <c r="D515" s="11">
        <v>49.442807106641339</v>
      </c>
      <c r="E515" s="11"/>
      <c r="F515" s="12">
        <v>364</v>
      </c>
      <c r="G515" s="12" t="s">
        <v>13</v>
      </c>
      <c r="H515" s="13">
        <v>21.8</v>
      </c>
      <c r="I515" s="14"/>
      <c r="J515" s="14">
        <v>22.5</v>
      </c>
      <c r="K515" s="14"/>
      <c r="L515" s="13">
        <v>6.9</v>
      </c>
      <c r="M515" s="13">
        <v>3.4</v>
      </c>
      <c r="P515" s="12" t="s">
        <v>14</v>
      </c>
      <c r="Q515" s="12"/>
      <c r="R515" s="12"/>
      <c r="T515">
        <f t="shared" si="23"/>
        <v>6.9391555188066372</v>
      </c>
      <c r="U515">
        <f t="shared" si="24"/>
        <v>7.1619724391352904</v>
      </c>
      <c r="V515">
        <f t="shared" si="25"/>
        <v>0.22281692032865319</v>
      </c>
    </row>
    <row r="516" spans="1:23">
      <c r="A516" s="12">
        <v>30</v>
      </c>
      <c r="B516" s="12">
        <v>-10</v>
      </c>
      <c r="C516" s="11">
        <v>31.683064910093709</v>
      </c>
      <c r="D516" s="11">
        <v>-7.3137031604296894</v>
      </c>
      <c r="E516" s="11"/>
      <c r="F516" s="10">
        <v>421</v>
      </c>
      <c r="G516" s="12" t="s">
        <v>21</v>
      </c>
      <c r="H516" s="13">
        <v>21.8</v>
      </c>
      <c r="I516" s="14"/>
      <c r="J516" s="14">
        <v>22</v>
      </c>
      <c r="K516" s="14"/>
      <c r="L516" s="13">
        <v>7.6</v>
      </c>
      <c r="M516" s="13">
        <v>3.5</v>
      </c>
      <c r="P516" s="12" t="s">
        <v>14</v>
      </c>
      <c r="Q516" s="12"/>
      <c r="R516" s="12"/>
      <c r="T516">
        <f t="shared" si="23"/>
        <v>6.9391555188066372</v>
      </c>
      <c r="U516">
        <f t="shared" si="24"/>
        <v>7.0028174960433951</v>
      </c>
      <c r="V516">
        <f t="shared" si="25"/>
        <v>6.3661977236757927E-2</v>
      </c>
    </row>
    <row r="517" spans="1:23">
      <c r="A517" s="12">
        <v>30</v>
      </c>
      <c r="B517" s="12">
        <v>-10</v>
      </c>
      <c r="C517" s="11">
        <v>33.019969865726083</v>
      </c>
      <c r="D517" s="11">
        <v>-9.3524821819996067</v>
      </c>
      <c r="E517" s="11"/>
      <c r="F517" s="12">
        <v>428</v>
      </c>
      <c r="G517" s="12" t="s">
        <v>21</v>
      </c>
      <c r="H517" s="13">
        <v>22.1</v>
      </c>
      <c r="I517" s="14"/>
      <c r="J517" s="14">
        <v>23.9</v>
      </c>
      <c r="K517" s="14"/>
      <c r="L517" s="13">
        <v>8.9</v>
      </c>
      <c r="M517" s="13">
        <v>3</v>
      </c>
      <c r="P517" s="12" t="s">
        <v>14</v>
      </c>
      <c r="Q517" s="12"/>
      <c r="R517" s="12"/>
      <c r="T517">
        <f t="shared" ref="T517:T580" si="26">H517/PI()+I517</f>
        <v>7.0346484846617745</v>
      </c>
      <c r="U517">
        <f t="shared" si="24"/>
        <v>7.6076062797925967</v>
      </c>
      <c r="V517">
        <f t="shared" si="25"/>
        <v>0.57295779513082223</v>
      </c>
      <c r="W517" s="27"/>
    </row>
    <row r="518" spans="1:23">
      <c r="A518" s="12">
        <v>20</v>
      </c>
      <c r="B518" s="12">
        <v>-20</v>
      </c>
      <c r="C518" s="11">
        <v>27.385008708664767</v>
      </c>
      <c r="D518" s="11">
        <v>-13.380176729038922</v>
      </c>
      <c r="E518" s="11"/>
      <c r="F518" s="10">
        <v>547</v>
      </c>
      <c r="G518" s="12" t="s">
        <v>13</v>
      </c>
      <c r="H518" s="13">
        <v>22.1</v>
      </c>
      <c r="I518" s="14"/>
      <c r="J518" s="14">
        <v>22.1</v>
      </c>
      <c r="K518" s="14"/>
      <c r="L518" s="13">
        <v>7.1</v>
      </c>
      <c r="M518" s="13">
        <v>3.4</v>
      </c>
      <c r="P518" s="12" t="s">
        <v>14</v>
      </c>
      <c r="Q518" s="12"/>
      <c r="R518" s="12"/>
      <c r="T518">
        <f t="shared" si="26"/>
        <v>7.0346484846617745</v>
      </c>
      <c r="U518">
        <f t="shared" si="24"/>
        <v>7.0346484846617745</v>
      </c>
      <c r="V518">
        <f t="shared" si="25"/>
        <v>0</v>
      </c>
    </row>
    <row r="519" spans="1:23">
      <c r="A519" s="12">
        <v>40</v>
      </c>
      <c r="B519" s="12">
        <v>-30</v>
      </c>
      <c r="C519" s="11">
        <v>42.268491342012091</v>
      </c>
      <c r="D519" s="11">
        <v>-25.487961387525822</v>
      </c>
      <c r="E519" s="11"/>
      <c r="F519" s="10">
        <v>677</v>
      </c>
      <c r="G519" s="12" t="s">
        <v>13</v>
      </c>
      <c r="H519" s="13">
        <v>22.1</v>
      </c>
      <c r="I519" s="14"/>
      <c r="J519" s="14" t="s">
        <v>70</v>
      </c>
      <c r="K519" s="14"/>
      <c r="L519" s="13">
        <v>5.2</v>
      </c>
      <c r="M519" s="13">
        <v>2.2000000000000002</v>
      </c>
      <c r="P519" s="12" t="s">
        <v>14</v>
      </c>
      <c r="Q519" s="12"/>
      <c r="R519" s="12"/>
      <c r="T519">
        <f t="shared" si="26"/>
        <v>7.0346484846617745</v>
      </c>
      <c r="U519" t="str">
        <f t="shared" si="24"/>
        <v>dead</v>
      </c>
      <c r="V519" t="e">
        <f t="shared" si="25"/>
        <v>#VALUE!</v>
      </c>
    </row>
    <row r="520" spans="1:23">
      <c r="A520" s="12">
        <v>40</v>
      </c>
      <c r="B520" s="12">
        <v>-50</v>
      </c>
      <c r="C520" s="11">
        <v>41.216872835862169</v>
      </c>
      <c r="D520" s="11">
        <v>-41.229683089800275</v>
      </c>
      <c r="E520" s="11"/>
      <c r="F520" s="10">
        <v>823</v>
      </c>
      <c r="G520" s="12" t="s">
        <v>11</v>
      </c>
      <c r="H520" s="13">
        <v>22.1</v>
      </c>
      <c r="I520" s="14"/>
      <c r="J520" s="14">
        <v>25.6</v>
      </c>
      <c r="K520" s="14"/>
      <c r="L520" s="13">
        <v>7.3</v>
      </c>
      <c r="M520" s="13">
        <v>1.4</v>
      </c>
      <c r="P520" s="12" t="s">
        <v>14</v>
      </c>
      <c r="Q520" s="12"/>
      <c r="R520" s="12"/>
      <c r="T520">
        <f t="shared" si="26"/>
        <v>7.0346484846617745</v>
      </c>
      <c r="U520">
        <f t="shared" si="24"/>
        <v>8.1487330863050413</v>
      </c>
      <c r="V520">
        <f t="shared" si="25"/>
        <v>1.1140846016432668</v>
      </c>
    </row>
    <row r="521" spans="1:23">
      <c r="A521" s="12">
        <v>0</v>
      </c>
      <c r="B521" s="12">
        <v>-20</v>
      </c>
      <c r="C521" s="11">
        <v>7.8356849124416224</v>
      </c>
      <c r="D521" s="11">
        <v>-16.883817396832569</v>
      </c>
      <c r="E521" s="11"/>
      <c r="F521" s="10">
        <v>581</v>
      </c>
      <c r="G521" s="12" t="s">
        <v>13</v>
      </c>
      <c r="H521" s="13">
        <v>22.3</v>
      </c>
      <c r="I521" s="14"/>
      <c r="J521" s="14">
        <v>24.3</v>
      </c>
      <c r="K521" s="14"/>
      <c r="L521" s="13">
        <v>6.3</v>
      </c>
      <c r="M521" s="13">
        <v>1.5</v>
      </c>
      <c r="P521" s="12" t="s">
        <v>14</v>
      </c>
      <c r="Q521" s="12"/>
      <c r="R521" s="12"/>
      <c r="S521" t="s">
        <v>102</v>
      </c>
      <c r="T521">
        <f t="shared" si="26"/>
        <v>7.0983104618985324</v>
      </c>
      <c r="U521">
        <f t="shared" si="24"/>
        <v>7.7349302342661135</v>
      </c>
      <c r="V521">
        <f t="shared" si="25"/>
        <v>0.63661977236758105</v>
      </c>
    </row>
    <row r="522" spans="1:23">
      <c r="A522" s="12">
        <v>20</v>
      </c>
      <c r="B522" s="12">
        <v>-30</v>
      </c>
      <c r="C522" s="11">
        <v>29.747392448829025</v>
      </c>
      <c r="D522" s="11">
        <v>-29.646693186014126</v>
      </c>
      <c r="E522" s="11"/>
      <c r="F522" s="12">
        <v>658</v>
      </c>
      <c r="G522" s="12" t="s">
        <v>11</v>
      </c>
      <c r="H522" s="13">
        <v>22.5</v>
      </c>
      <c r="I522" s="14"/>
      <c r="J522" s="14" t="s">
        <v>70</v>
      </c>
      <c r="K522" s="14"/>
      <c r="L522" s="13">
        <v>7.1</v>
      </c>
      <c r="M522" s="13">
        <v>0.7</v>
      </c>
      <c r="P522" s="12" t="s">
        <v>14</v>
      </c>
      <c r="Q522" s="12"/>
      <c r="R522" s="12"/>
      <c r="T522">
        <f t="shared" si="26"/>
        <v>7.1619724391352904</v>
      </c>
      <c r="U522" t="str">
        <f t="shared" si="24"/>
        <v>dead</v>
      </c>
      <c r="V522" t="e">
        <f t="shared" si="25"/>
        <v>#VALUE!</v>
      </c>
    </row>
    <row r="523" spans="1:23">
      <c r="A523" s="12">
        <v>30</v>
      </c>
      <c r="B523" s="12">
        <v>10</v>
      </c>
      <c r="C523" s="11">
        <v>32.261169715280353</v>
      </c>
      <c r="D523" s="11">
        <v>17.237390451276372</v>
      </c>
      <c r="E523" s="11"/>
      <c r="F523" s="12">
        <v>228</v>
      </c>
      <c r="G523" s="12" t="s">
        <v>13</v>
      </c>
      <c r="H523" s="13">
        <v>22.9</v>
      </c>
      <c r="I523" s="14"/>
      <c r="J523" s="14">
        <v>23.1</v>
      </c>
      <c r="K523" s="14"/>
      <c r="L523" s="13">
        <v>4.3</v>
      </c>
      <c r="M523" s="13">
        <v>2.9</v>
      </c>
      <c r="P523" s="12" t="s">
        <v>14</v>
      </c>
      <c r="Q523" s="12"/>
      <c r="R523" s="12"/>
      <c r="T523">
        <f t="shared" si="26"/>
        <v>7.2892963936088062</v>
      </c>
      <c r="U523">
        <f t="shared" si="24"/>
        <v>7.352958370845565</v>
      </c>
      <c r="V523">
        <f t="shared" si="25"/>
        <v>6.3661977236758815E-2</v>
      </c>
    </row>
    <row r="524" spans="1:23">
      <c r="A524" s="12">
        <v>30</v>
      </c>
      <c r="B524" s="12">
        <v>-10</v>
      </c>
      <c r="C524" s="11">
        <v>36.224931257984402</v>
      </c>
      <c r="D524" s="11">
        <v>-1.8300026932038236</v>
      </c>
      <c r="E524" s="11"/>
      <c r="F524" s="10">
        <v>435</v>
      </c>
      <c r="G524" s="12" t="s">
        <v>13</v>
      </c>
      <c r="H524" s="13">
        <v>23</v>
      </c>
      <c r="I524" s="14"/>
      <c r="J524" s="14">
        <v>23.7</v>
      </c>
      <c r="K524" s="14"/>
      <c r="L524" s="13">
        <v>6.4</v>
      </c>
      <c r="M524" s="13">
        <v>2.2000000000000002</v>
      </c>
      <c r="P524" s="12" t="s">
        <v>14</v>
      </c>
      <c r="Q524" s="12"/>
      <c r="R524" s="12"/>
      <c r="T524">
        <f t="shared" si="26"/>
        <v>7.3211273822271856</v>
      </c>
      <c r="U524">
        <f t="shared" si="24"/>
        <v>7.5439443025558388</v>
      </c>
      <c r="V524">
        <f t="shared" si="25"/>
        <v>0.22281692032865319</v>
      </c>
    </row>
    <row r="525" spans="1:23">
      <c r="A525" s="12">
        <v>30</v>
      </c>
      <c r="B525" s="12">
        <v>-10</v>
      </c>
      <c r="C525" s="11">
        <v>38.599978655638978</v>
      </c>
      <c r="D525" s="11">
        <v>-2.2961801529803694</v>
      </c>
      <c r="E525" s="11"/>
      <c r="F525" s="10">
        <v>439</v>
      </c>
      <c r="G525" s="12" t="s">
        <v>11</v>
      </c>
      <c r="H525" s="13">
        <v>23.1</v>
      </c>
      <c r="I525" s="14"/>
      <c r="J525" s="14" t="s">
        <v>70</v>
      </c>
      <c r="K525" s="14"/>
      <c r="L525" s="13">
        <v>7.9</v>
      </c>
      <c r="M525" s="13"/>
      <c r="P525" s="12" t="s">
        <v>12</v>
      </c>
      <c r="Q525" s="12"/>
      <c r="R525" s="12"/>
      <c r="T525">
        <f t="shared" si="26"/>
        <v>7.352958370845565</v>
      </c>
      <c r="U525" t="str">
        <f t="shared" si="24"/>
        <v>dead</v>
      </c>
      <c r="V525" t="e">
        <f t="shared" si="25"/>
        <v>#VALUE!</v>
      </c>
    </row>
    <row r="526" spans="1:23" s="27" customFormat="1">
      <c r="A526" s="12">
        <v>40</v>
      </c>
      <c r="B526" s="12">
        <v>-30</v>
      </c>
      <c r="C526" s="11">
        <v>42.242981371580008</v>
      </c>
      <c r="D526" s="11">
        <v>-25.944872339684423</v>
      </c>
      <c r="E526" s="11"/>
      <c r="F526" s="12">
        <v>686</v>
      </c>
      <c r="G526" s="12" t="s">
        <v>13</v>
      </c>
      <c r="H526" s="13">
        <v>23.1</v>
      </c>
      <c r="I526" s="14"/>
      <c r="J526" s="14">
        <v>25.2</v>
      </c>
      <c r="K526" s="14"/>
      <c r="L526" s="13">
        <v>5.9</v>
      </c>
      <c r="M526" s="13">
        <v>1.6</v>
      </c>
      <c r="N526"/>
      <c r="O526"/>
      <c r="P526" s="12" t="s">
        <v>14</v>
      </c>
      <c r="Q526" s="12"/>
      <c r="R526" s="12"/>
      <c r="S526"/>
      <c r="T526">
        <f t="shared" si="26"/>
        <v>7.352958370845565</v>
      </c>
      <c r="U526">
        <f t="shared" si="24"/>
        <v>8.0214091318315255</v>
      </c>
      <c r="V526">
        <f t="shared" si="25"/>
        <v>0.66845076098596046</v>
      </c>
      <c r="W526"/>
    </row>
    <row r="527" spans="1:23" s="27" customFormat="1">
      <c r="A527" s="12">
        <v>30</v>
      </c>
      <c r="B527" s="12">
        <v>-20</v>
      </c>
      <c r="C527" s="11">
        <v>39.721062829151542</v>
      </c>
      <c r="D527" s="11">
        <v>-19.98610504925314</v>
      </c>
      <c r="E527" s="11"/>
      <c r="F527" s="12">
        <v>514</v>
      </c>
      <c r="G527" s="12" t="s">
        <v>21</v>
      </c>
      <c r="H527" s="13">
        <v>23.3</v>
      </c>
      <c r="I527" s="14"/>
      <c r="J527" s="14">
        <v>24.2</v>
      </c>
      <c r="K527" s="14"/>
      <c r="L527" s="13">
        <v>7</v>
      </c>
      <c r="M527" s="13">
        <v>1.4</v>
      </c>
      <c r="N527"/>
      <c r="O527"/>
      <c r="P527" s="12" t="s">
        <v>14</v>
      </c>
      <c r="Q527" s="12"/>
      <c r="R527" s="12"/>
      <c r="S527" t="s">
        <v>96</v>
      </c>
      <c r="T527">
        <f t="shared" si="26"/>
        <v>7.416620348082323</v>
      </c>
      <c r="U527">
        <f t="shared" si="24"/>
        <v>7.7030992456477341</v>
      </c>
      <c r="V527">
        <f t="shared" si="25"/>
        <v>0.28647889756541112</v>
      </c>
      <c r="W527"/>
    </row>
    <row r="528" spans="1:23" s="27" customFormat="1">
      <c r="A528" s="12">
        <v>30</v>
      </c>
      <c r="B528" s="12">
        <v>0</v>
      </c>
      <c r="C528" s="11">
        <v>34.025777339984387</v>
      </c>
      <c r="D528" s="11">
        <v>9.7119086697301942</v>
      </c>
      <c r="E528" s="11"/>
      <c r="F528" s="10">
        <v>245</v>
      </c>
      <c r="G528" s="12" t="s">
        <v>13</v>
      </c>
      <c r="H528" s="13">
        <v>23.4</v>
      </c>
      <c r="I528" s="14"/>
      <c r="J528" s="14">
        <v>24.2</v>
      </c>
      <c r="K528" s="14"/>
      <c r="L528" s="13">
        <v>6.6</v>
      </c>
      <c r="M528" s="13">
        <v>3.4</v>
      </c>
      <c r="N528"/>
      <c r="O528"/>
      <c r="P528" s="12" t="s">
        <v>14</v>
      </c>
      <c r="Q528" s="12"/>
      <c r="R528" s="12"/>
      <c r="S528"/>
      <c r="T528">
        <f t="shared" si="26"/>
        <v>7.4484513367007015</v>
      </c>
      <c r="U528">
        <f t="shared" si="24"/>
        <v>7.7030992456477341</v>
      </c>
      <c r="V528">
        <f t="shared" si="25"/>
        <v>0.2546479089470326</v>
      </c>
      <c r="W528"/>
    </row>
    <row r="529" spans="1:22">
      <c r="A529" s="12">
        <v>40</v>
      </c>
      <c r="B529" s="12">
        <v>0</v>
      </c>
      <c r="C529" s="11">
        <v>40.620282470305909</v>
      </c>
      <c r="D529" s="11">
        <v>5.3511991162202692</v>
      </c>
      <c r="E529" s="11"/>
      <c r="F529" s="12">
        <v>264</v>
      </c>
      <c r="G529" s="12" t="s">
        <v>13</v>
      </c>
      <c r="H529" s="13">
        <v>23.4</v>
      </c>
      <c r="I529" s="14"/>
      <c r="J529" s="14">
        <v>25.1</v>
      </c>
      <c r="K529" s="14"/>
      <c r="L529" s="13">
        <v>8.1</v>
      </c>
      <c r="M529" s="13">
        <v>1.8</v>
      </c>
      <c r="P529" s="12" t="s">
        <v>14</v>
      </c>
      <c r="Q529" s="12"/>
      <c r="R529" s="12"/>
      <c r="T529">
        <f t="shared" si="26"/>
        <v>7.4484513367007015</v>
      </c>
      <c r="U529">
        <f t="shared" si="24"/>
        <v>7.989578143213147</v>
      </c>
      <c r="V529">
        <f t="shared" si="25"/>
        <v>0.54112680651244549</v>
      </c>
    </row>
    <row r="530" spans="1:22">
      <c r="A530" s="12">
        <v>40</v>
      </c>
      <c r="B530" s="12">
        <v>40</v>
      </c>
      <c r="C530" s="11">
        <v>45.361908717962699</v>
      </c>
      <c r="D530" s="11">
        <v>45.727565735937873</v>
      </c>
      <c r="E530" s="11"/>
      <c r="F530" s="12">
        <v>354</v>
      </c>
      <c r="G530" s="12" t="s">
        <v>11</v>
      </c>
      <c r="H530" s="13">
        <v>23.4</v>
      </c>
      <c r="I530" s="14"/>
      <c r="J530" s="14">
        <v>27.5</v>
      </c>
      <c r="K530" s="14"/>
      <c r="L530" s="13">
        <v>7.9</v>
      </c>
      <c r="M530" s="13">
        <v>0.8</v>
      </c>
      <c r="P530" s="12" t="s">
        <v>14</v>
      </c>
      <c r="Q530" s="12"/>
      <c r="R530" s="12"/>
      <c r="T530">
        <f t="shared" si="26"/>
        <v>7.4484513367007015</v>
      </c>
      <c r="U530">
        <f t="shared" si="24"/>
        <v>8.753521870054243</v>
      </c>
      <c r="V530">
        <f t="shared" si="25"/>
        <v>1.3050705333535415</v>
      </c>
    </row>
    <row r="531" spans="1:22">
      <c r="A531" s="12">
        <v>10</v>
      </c>
      <c r="B531" s="12">
        <v>20</v>
      </c>
      <c r="C531" s="11">
        <v>12.124794924736131</v>
      </c>
      <c r="D531" s="11">
        <v>29.575586041234914</v>
      </c>
      <c r="E531" s="11"/>
      <c r="F531" s="10">
        <v>97</v>
      </c>
      <c r="G531" s="12" t="s">
        <v>11</v>
      </c>
      <c r="H531" s="13">
        <v>23.5</v>
      </c>
      <c r="I531" s="14"/>
      <c r="J531" s="14" t="s">
        <v>70</v>
      </c>
      <c r="K531" s="14"/>
      <c r="L531" s="13">
        <v>4.7</v>
      </c>
      <c r="M531" s="13">
        <v>0.7</v>
      </c>
      <c r="P531" s="12" t="s">
        <v>14</v>
      </c>
      <c r="Q531" s="12"/>
      <c r="R531" s="12"/>
      <c r="T531">
        <f t="shared" si="26"/>
        <v>7.4802823253190809</v>
      </c>
      <c r="U531" t="str">
        <f t="shared" si="24"/>
        <v>dead</v>
      </c>
      <c r="V531" t="e">
        <f t="shared" si="25"/>
        <v>#VALUE!</v>
      </c>
    </row>
    <row r="532" spans="1:22">
      <c r="A532" s="12">
        <v>40</v>
      </c>
      <c r="B532" s="12">
        <v>-10</v>
      </c>
      <c r="C532" s="11">
        <v>43.482322601613816</v>
      </c>
      <c r="D532" s="11">
        <v>-9.5600803501892919</v>
      </c>
      <c r="E532" s="11"/>
      <c r="F532" s="12">
        <v>452</v>
      </c>
      <c r="G532" s="12" t="s">
        <v>13</v>
      </c>
      <c r="H532" s="13">
        <v>23.5</v>
      </c>
      <c r="I532" s="14"/>
      <c r="J532" s="14">
        <v>26.3</v>
      </c>
      <c r="K532" s="14"/>
      <c r="L532" s="13">
        <v>5.3</v>
      </c>
      <c r="M532" s="13">
        <v>2</v>
      </c>
      <c r="P532" s="12" t="s">
        <v>14</v>
      </c>
      <c r="Q532" s="12"/>
      <c r="R532" s="12"/>
      <c r="T532">
        <f t="shared" si="26"/>
        <v>7.4802823253190809</v>
      </c>
      <c r="U532">
        <f t="shared" si="24"/>
        <v>8.3715500066336954</v>
      </c>
      <c r="V532">
        <f t="shared" si="25"/>
        <v>0.89126768131461453</v>
      </c>
    </row>
    <row r="533" spans="1:22">
      <c r="A533" s="12">
        <v>20</v>
      </c>
      <c r="B533" s="12">
        <v>-30</v>
      </c>
      <c r="C533" s="11">
        <v>25.627680224719889</v>
      </c>
      <c r="D533" s="11">
        <v>-20.929365257955382</v>
      </c>
      <c r="E533" s="11"/>
      <c r="F533" s="10">
        <v>635</v>
      </c>
      <c r="G533" s="12" t="s">
        <v>11</v>
      </c>
      <c r="H533" s="13">
        <v>23.5</v>
      </c>
      <c r="I533" s="14"/>
      <c r="J533" s="14" t="s">
        <v>70</v>
      </c>
      <c r="K533" s="14"/>
      <c r="L533" s="13">
        <v>7.4</v>
      </c>
      <c r="M533" s="13"/>
      <c r="P533" s="12" t="s">
        <v>12</v>
      </c>
      <c r="Q533" s="12"/>
      <c r="R533" s="12"/>
      <c r="T533">
        <f t="shared" si="26"/>
        <v>7.4802823253190809</v>
      </c>
      <c r="U533" t="str">
        <f t="shared" si="24"/>
        <v>dead</v>
      </c>
      <c r="V533" t="e">
        <f t="shared" si="25"/>
        <v>#VALUE!</v>
      </c>
    </row>
    <row r="534" spans="1:22">
      <c r="A534" s="12">
        <v>20</v>
      </c>
      <c r="B534" s="12">
        <v>30</v>
      </c>
      <c r="C534" s="11">
        <v>20.557772508087009</v>
      </c>
      <c r="D534" s="11">
        <v>33.493865215873384</v>
      </c>
      <c r="E534" s="11"/>
      <c r="F534" s="10">
        <v>173</v>
      </c>
      <c r="G534" s="12" t="s">
        <v>13</v>
      </c>
      <c r="H534" s="13">
        <v>23.6</v>
      </c>
      <c r="I534" s="14"/>
      <c r="J534" s="14">
        <v>24.1</v>
      </c>
      <c r="K534" s="14"/>
      <c r="L534" s="13">
        <v>7.7</v>
      </c>
      <c r="M534" s="13">
        <v>1.3</v>
      </c>
      <c r="P534" s="12" t="s">
        <v>14</v>
      </c>
      <c r="Q534" s="12"/>
      <c r="R534" s="12"/>
      <c r="T534">
        <f t="shared" si="26"/>
        <v>7.5121133139374603</v>
      </c>
      <c r="U534">
        <f t="shared" si="24"/>
        <v>7.6712682570293556</v>
      </c>
      <c r="V534">
        <f t="shared" si="25"/>
        <v>0.15915494309189526</v>
      </c>
    </row>
    <row r="535" spans="1:22">
      <c r="A535" s="12">
        <v>20</v>
      </c>
      <c r="B535" s="12">
        <v>30</v>
      </c>
      <c r="C535" s="11">
        <v>21.000976199357556</v>
      </c>
      <c r="D535" s="11">
        <v>33.607899668472051</v>
      </c>
      <c r="E535" s="11"/>
      <c r="F535" s="12">
        <v>178</v>
      </c>
      <c r="G535" s="12" t="s">
        <v>13</v>
      </c>
      <c r="H535" s="13">
        <v>24.1</v>
      </c>
      <c r="I535" s="14"/>
      <c r="J535" s="14">
        <v>25.5</v>
      </c>
      <c r="K535" s="14"/>
      <c r="L535" s="13">
        <v>9.1999999999999993</v>
      </c>
      <c r="M535" s="13">
        <v>1.1000000000000001</v>
      </c>
      <c r="P535" s="12" t="s">
        <v>14</v>
      </c>
      <c r="Q535" s="12"/>
      <c r="R535" s="12" t="s">
        <v>26</v>
      </c>
      <c r="T535">
        <f t="shared" si="26"/>
        <v>7.6712682570293556</v>
      </c>
      <c r="U535">
        <f t="shared" si="24"/>
        <v>8.1169020976866619</v>
      </c>
      <c r="V535">
        <f t="shared" si="25"/>
        <v>0.44563384065730638</v>
      </c>
    </row>
    <row r="536" spans="1:22">
      <c r="A536" s="12">
        <v>40</v>
      </c>
      <c r="B536" s="12">
        <v>-20</v>
      </c>
      <c r="C536" s="11">
        <v>47.835224083829708</v>
      </c>
      <c r="D536" s="11">
        <v>-10.273612054147605</v>
      </c>
      <c r="E536" s="11"/>
      <c r="F536" s="10">
        <v>501</v>
      </c>
      <c r="G536" s="12" t="s">
        <v>13</v>
      </c>
      <c r="H536" s="13">
        <v>24.2</v>
      </c>
      <c r="I536" s="14"/>
      <c r="J536" s="14">
        <v>26</v>
      </c>
      <c r="K536" s="14"/>
      <c r="L536" s="13">
        <v>7.6</v>
      </c>
      <c r="M536" s="13">
        <v>2.2000000000000002</v>
      </c>
      <c r="P536" s="12" t="s">
        <v>14</v>
      </c>
      <c r="Q536" s="12"/>
      <c r="R536" s="12" t="s">
        <v>37</v>
      </c>
      <c r="T536">
        <f t="shared" si="26"/>
        <v>7.7030992456477341</v>
      </c>
      <c r="U536">
        <f t="shared" si="24"/>
        <v>8.2760570407785572</v>
      </c>
      <c r="V536">
        <f t="shared" si="25"/>
        <v>0.57295779513082312</v>
      </c>
    </row>
    <row r="537" spans="1:22">
      <c r="A537" s="12">
        <v>30</v>
      </c>
      <c r="B537" s="12">
        <v>10</v>
      </c>
      <c r="C537" s="11">
        <v>31.685505222718554</v>
      </c>
      <c r="D537" s="11">
        <v>18.033487314002659</v>
      </c>
      <c r="E537" s="11"/>
      <c r="F537" s="12">
        <v>222</v>
      </c>
      <c r="G537" s="12" t="s">
        <v>13</v>
      </c>
      <c r="H537" s="13">
        <v>24.4</v>
      </c>
      <c r="I537" s="14"/>
      <c r="J537" s="14">
        <v>25.7</v>
      </c>
      <c r="K537" s="14"/>
      <c r="L537" s="13">
        <v>7.2</v>
      </c>
      <c r="M537" s="13">
        <v>2.8</v>
      </c>
      <c r="P537" s="12" t="s">
        <v>14</v>
      </c>
      <c r="Q537" s="12"/>
      <c r="R537" s="12"/>
      <c r="T537">
        <f t="shared" si="26"/>
        <v>7.766761222884492</v>
      </c>
      <c r="U537">
        <f t="shared" si="24"/>
        <v>8.1805640749234207</v>
      </c>
      <c r="V537">
        <f t="shared" si="25"/>
        <v>0.41380285203892875</v>
      </c>
    </row>
    <row r="538" spans="1:22">
      <c r="A538" s="12">
        <v>0</v>
      </c>
      <c r="B538" s="12">
        <v>-50</v>
      </c>
      <c r="C538" s="11">
        <v>6.1188161453040522</v>
      </c>
      <c r="D538" s="11">
        <v>-45.461356231381316</v>
      </c>
      <c r="E538" s="11"/>
      <c r="F538" s="12">
        <v>808</v>
      </c>
      <c r="G538" s="12" t="s">
        <v>11</v>
      </c>
      <c r="H538" s="13">
        <v>24.5</v>
      </c>
      <c r="I538" s="14"/>
      <c r="J538" s="14">
        <v>25.7</v>
      </c>
      <c r="K538" s="14"/>
      <c r="L538" s="13">
        <v>7.3</v>
      </c>
      <c r="M538" s="13">
        <v>1.8</v>
      </c>
      <c r="P538" s="12" t="s">
        <v>14</v>
      </c>
      <c r="Q538" s="12"/>
      <c r="R538" s="12"/>
      <c r="T538">
        <f t="shared" si="26"/>
        <v>7.7985922115028714</v>
      </c>
      <c r="U538">
        <f t="shared" si="24"/>
        <v>8.1805640749234207</v>
      </c>
      <c r="V538">
        <f t="shared" si="25"/>
        <v>0.38197186342054934</v>
      </c>
    </row>
    <row r="539" spans="1:22">
      <c r="A539" s="9">
        <v>0</v>
      </c>
      <c r="B539" s="9">
        <v>0</v>
      </c>
      <c r="C539" s="11">
        <v>4.6543320396682057</v>
      </c>
      <c r="D539" s="11">
        <v>9.1054419762351273</v>
      </c>
      <c r="E539" s="11"/>
      <c r="F539" s="10">
        <v>11</v>
      </c>
      <c r="G539" s="12" t="s">
        <v>13</v>
      </c>
      <c r="H539" s="13">
        <v>24.8</v>
      </c>
      <c r="I539" s="14"/>
      <c r="J539" s="14">
        <v>25.9</v>
      </c>
      <c r="K539" s="14"/>
      <c r="L539" s="13">
        <v>6.6</v>
      </c>
      <c r="M539" s="13">
        <v>3.9</v>
      </c>
      <c r="P539" s="12" t="s">
        <v>14</v>
      </c>
      <c r="Q539" s="12"/>
      <c r="R539" s="12"/>
      <c r="T539">
        <f t="shared" si="26"/>
        <v>7.8940851773580096</v>
      </c>
      <c r="U539">
        <f t="shared" si="24"/>
        <v>8.2442260521601778</v>
      </c>
      <c r="V539">
        <f t="shared" si="25"/>
        <v>0.35014087480216816</v>
      </c>
    </row>
    <row r="540" spans="1:22">
      <c r="A540" s="12">
        <v>30</v>
      </c>
      <c r="B540" s="12">
        <v>-10</v>
      </c>
      <c r="C540" s="11">
        <v>35.335404450103319</v>
      </c>
      <c r="D540" s="11">
        <v>-8.6005542683319032</v>
      </c>
      <c r="E540" s="11"/>
      <c r="F540" s="12">
        <v>432</v>
      </c>
      <c r="G540" s="12" t="s">
        <v>21</v>
      </c>
      <c r="H540" s="13">
        <v>24.9</v>
      </c>
      <c r="I540" s="14"/>
      <c r="J540" s="14">
        <v>26.3</v>
      </c>
      <c r="K540" s="14"/>
      <c r="L540" s="13">
        <v>8.1</v>
      </c>
      <c r="M540" s="13">
        <v>2.5</v>
      </c>
      <c r="P540" s="12" t="s">
        <v>14</v>
      </c>
      <c r="Q540" s="12"/>
      <c r="R540" s="12"/>
      <c r="T540">
        <f t="shared" si="26"/>
        <v>7.9259161659763873</v>
      </c>
      <c r="U540">
        <f t="shared" si="24"/>
        <v>8.3715500066336954</v>
      </c>
      <c r="V540">
        <f t="shared" si="25"/>
        <v>0.44563384065730816</v>
      </c>
    </row>
    <row r="541" spans="1:22">
      <c r="A541" s="12">
        <v>50</v>
      </c>
      <c r="B541" s="12">
        <v>-30</v>
      </c>
      <c r="C541" s="11">
        <v>50.215139710240834</v>
      </c>
      <c r="D541" s="11">
        <v>-27.437723206428444</v>
      </c>
      <c r="E541" s="11"/>
      <c r="F541" s="12">
        <v>2003</v>
      </c>
      <c r="G541" s="12" t="s">
        <v>13</v>
      </c>
      <c r="H541" s="13">
        <v>25</v>
      </c>
      <c r="I541" s="14"/>
      <c r="J541" s="14">
        <v>25.5</v>
      </c>
      <c r="K541" s="14"/>
      <c r="L541" s="13"/>
      <c r="M541" s="13"/>
      <c r="N541">
        <v>7</v>
      </c>
      <c r="O541">
        <v>2.2000000000000002</v>
      </c>
      <c r="P541" s="12"/>
      <c r="Q541" s="12"/>
      <c r="R541" s="12" t="s">
        <v>57</v>
      </c>
      <c r="S541" t="s">
        <v>137</v>
      </c>
      <c r="T541">
        <f t="shared" si="26"/>
        <v>7.9577471545947667</v>
      </c>
      <c r="U541">
        <f t="shared" si="24"/>
        <v>8.1169020976866619</v>
      </c>
      <c r="V541">
        <f t="shared" si="25"/>
        <v>0.15915494309189526</v>
      </c>
    </row>
    <row r="542" spans="1:22">
      <c r="A542" s="12">
        <v>30</v>
      </c>
      <c r="B542" s="12">
        <v>0</v>
      </c>
      <c r="C542" s="11">
        <v>30.928387507289877</v>
      </c>
      <c r="D542" s="11">
        <v>8.0276987045174106</v>
      </c>
      <c r="E542" s="11"/>
      <c r="F542" s="10">
        <v>127</v>
      </c>
      <c r="G542" s="12" t="s">
        <v>21</v>
      </c>
      <c r="H542" s="13">
        <v>25.5</v>
      </c>
      <c r="I542" s="14"/>
      <c r="J542" s="14" t="s">
        <v>70</v>
      </c>
      <c r="K542" s="14"/>
      <c r="L542" s="13">
        <v>8.1</v>
      </c>
      <c r="M542" s="13"/>
      <c r="P542" s="12" t="s">
        <v>12</v>
      </c>
      <c r="Q542" s="12"/>
      <c r="R542" s="12"/>
      <c r="T542">
        <f t="shared" si="26"/>
        <v>8.1169020976866619</v>
      </c>
      <c r="U542" t="str">
        <f t="shared" si="24"/>
        <v>dead</v>
      </c>
      <c r="V542" t="e">
        <f t="shared" si="25"/>
        <v>#VALUE!</v>
      </c>
    </row>
    <row r="543" spans="1:22">
      <c r="A543" s="12">
        <v>40</v>
      </c>
      <c r="B543" s="12">
        <v>-10</v>
      </c>
      <c r="C543" s="11">
        <v>47.995502870026861</v>
      </c>
      <c r="D543" s="11">
        <v>-2.519998265064773</v>
      </c>
      <c r="E543" s="11"/>
      <c r="F543" s="12">
        <v>460</v>
      </c>
      <c r="G543" s="12" t="s">
        <v>13</v>
      </c>
      <c r="H543" s="13">
        <v>25.5</v>
      </c>
      <c r="I543" s="14"/>
      <c r="J543" s="14">
        <v>29</v>
      </c>
      <c r="K543" s="14"/>
      <c r="L543" s="13">
        <v>6.6</v>
      </c>
      <c r="M543" s="13">
        <v>2.2999999999999998</v>
      </c>
      <c r="P543" s="12" t="s">
        <v>14</v>
      </c>
      <c r="Q543" s="12"/>
      <c r="R543" s="12"/>
      <c r="T543">
        <f t="shared" si="26"/>
        <v>8.1169020976866619</v>
      </c>
      <c r="U543">
        <f t="shared" si="24"/>
        <v>9.2309866993299305</v>
      </c>
      <c r="V543">
        <f t="shared" si="25"/>
        <v>1.1140846016432686</v>
      </c>
    </row>
    <row r="544" spans="1:22">
      <c r="A544" s="9">
        <v>0</v>
      </c>
      <c r="B544" s="9">
        <v>0</v>
      </c>
      <c r="C544" s="11">
        <v>4.5413373125291585</v>
      </c>
      <c r="D544" s="11">
        <v>8.7497993503386731</v>
      </c>
      <c r="E544" s="11"/>
      <c r="F544" s="12">
        <v>4</v>
      </c>
      <c r="G544" s="12" t="s">
        <v>13</v>
      </c>
      <c r="H544" s="13">
        <v>26</v>
      </c>
      <c r="I544" s="14"/>
      <c r="J544" s="14">
        <v>28</v>
      </c>
      <c r="K544" s="14"/>
      <c r="L544" s="13">
        <v>8.3000000000000007</v>
      </c>
      <c r="M544" s="13">
        <v>3.2</v>
      </c>
      <c r="N544" s="32"/>
      <c r="O544" s="32"/>
      <c r="P544" s="12" t="s">
        <v>14</v>
      </c>
      <c r="Q544" s="12"/>
      <c r="R544" s="12"/>
      <c r="S544" s="32" t="s">
        <v>72</v>
      </c>
      <c r="T544">
        <f t="shared" si="26"/>
        <v>8.2760570407785572</v>
      </c>
      <c r="U544">
        <f t="shared" si="24"/>
        <v>8.91267681314614</v>
      </c>
      <c r="V544">
        <f t="shared" si="25"/>
        <v>0.63661977236758283</v>
      </c>
    </row>
    <row r="545" spans="1:22">
      <c r="A545" s="12">
        <v>30</v>
      </c>
      <c r="B545" s="12">
        <v>-50</v>
      </c>
      <c r="C545" s="11">
        <v>39.579541004681793</v>
      </c>
      <c r="D545" s="11">
        <v>-40.455647048992972</v>
      </c>
      <c r="E545" s="11"/>
      <c r="F545" s="12">
        <v>822</v>
      </c>
      <c r="G545" s="12" t="s">
        <v>11</v>
      </c>
      <c r="H545" s="13">
        <v>26.3</v>
      </c>
      <c r="I545" s="14"/>
      <c r="J545" s="14">
        <v>29.3</v>
      </c>
      <c r="K545" s="14"/>
      <c r="L545" s="13">
        <v>7.3</v>
      </c>
      <c r="M545" s="13">
        <v>1.7</v>
      </c>
      <c r="P545" s="12" t="s">
        <v>14</v>
      </c>
      <c r="Q545" s="12"/>
      <c r="R545" s="12"/>
      <c r="T545">
        <f t="shared" si="26"/>
        <v>8.3715500066336954</v>
      </c>
      <c r="U545">
        <f t="shared" si="24"/>
        <v>9.326479665185067</v>
      </c>
      <c r="V545">
        <f t="shared" si="25"/>
        <v>0.95492965855137157</v>
      </c>
    </row>
    <row r="546" spans="1:22">
      <c r="A546" s="12">
        <v>20</v>
      </c>
      <c r="B546" s="12">
        <v>10</v>
      </c>
      <c r="C546" s="11">
        <v>24.431560707957821</v>
      </c>
      <c r="D546" s="11">
        <v>11.484658013701774</v>
      </c>
      <c r="E546" s="11"/>
      <c r="F546" s="10">
        <v>135</v>
      </c>
      <c r="G546" s="12" t="s">
        <v>13</v>
      </c>
      <c r="H546" s="13">
        <v>26.6</v>
      </c>
      <c r="I546" s="14"/>
      <c r="J546" s="14">
        <v>27.1</v>
      </c>
      <c r="K546" s="14"/>
      <c r="L546" s="13">
        <v>7.1</v>
      </c>
      <c r="M546" s="13">
        <v>2.7</v>
      </c>
      <c r="P546" s="12" t="s">
        <v>14</v>
      </c>
      <c r="Q546" s="12"/>
      <c r="R546" s="12"/>
      <c r="T546">
        <f t="shared" si="26"/>
        <v>8.4670429724888319</v>
      </c>
      <c r="U546">
        <f t="shared" si="24"/>
        <v>8.6261979155807271</v>
      </c>
      <c r="V546">
        <f t="shared" si="25"/>
        <v>0.15915494309189526</v>
      </c>
    </row>
    <row r="547" spans="1:22">
      <c r="A547" s="12">
        <v>10</v>
      </c>
      <c r="B547" s="12">
        <v>20</v>
      </c>
      <c r="C547" s="11">
        <v>10.313090442493955</v>
      </c>
      <c r="D547" s="11">
        <v>24.787177197988377</v>
      </c>
      <c r="E547" s="11"/>
      <c r="F547" s="12">
        <v>98</v>
      </c>
      <c r="G547" s="12" t="s">
        <v>11</v>
      </c>
      <c r="H547" s="13">
        <v>26.8</v>
      </c>
      <c r="I547" s="14"/>
      <c r="J547" s="14" t="s">
        <v>70</v>
      </c>
      <c r="K547" s="14"/>
      <c r="L547" s="13">
        <v>3.9</v>
      </c>
      <c r="M547" s="13"/>
      <c r="P547" s="12" t="s">
        <v>12</v>
      </c>
      <c r="Q547" s="12"/>
      <c r="R547" s="12" t="s">
        <v>16</v>
      </c>
      <c r="T547">
        <f t="shared" si="26"/>
        <v>8.5307049497255907</v>
      </c>
      <c r="U547" t="str">
        <f t="shared" si="24"/>
        <v>dead</v>
      </c>
      <c r="V547" t="e">
        <f t="shared" si="25"/>
        <v>#VALUE!</v>
      </c>
    </row>
    <row r="548" spans="1:22">
      <c r="A548" s="12">
        <v>40</v>
      </c>
      <c r="B548" s="12">
        <v>20</v>
      </c>
      <c r="C548" s="11">
        <v>42.499091903781498</v>
      </c>
      <c r="D548" s="11">
        <v>29.730277569567264</v>
      </c>
      <c r="E548" s="11"/>
      <c r="F548" s="10">
        <v>299</v>
      </c>
      <c r="G548" s="12" t="s">
        <v>13</v>
      </c>
      <c r="H548" s="13">
        <v>26.8</v>
      </c>
      <c r="I548" s="14"/>
      <c r="J548" s="14">
        <v>28.1</v>
      </c>
      <c r="K548" s="14"/>
      <c r="L548" s="13">
        <v>7.3</v>
      </c>
      <c r="M548" s="13">
        <v>1.9</v>
      </c>
      <c r="P548" s="12" t="s">
        <v>14</v>
      </c>
      <c r="Q548" s="12"/>
      <c r="R548" s="12"/>
      <c r="T548">
        <f t="shared" si="26"/>
        <v>8.5307049497255907</v>
      </c>
      <c r="U548">
        <f t="shared" si="24"/>
        <v>8.9445078017645194</v>
      </c>
      <c r="V548">
        <f t="shared" si="25"/>
        <v>0.41380285203892875</v>
      </c>
    </row>
    <row r="549" spans="1:22">
      <c r="A549" s="12">
        <v>40</v>
      </c>
      <c r="B549" s="12">
        <v>40</v>
      </c>
      <c r="C549" s="11">
        <v>49.006355480452719</v>
      </c>
      <c r="D549" s="11">
        <v>42.140623873727854</v>
      </c>
      <c r="E549" s="11"/>
      <c r="F549" s="10">
        <v>347</v>
      </c>
      <c r="G549" s="12" t="s">
        <v>13</v>
      </c>
      <c r="H549" s="13">
        <v>26.9</v>
      </c>
      <c r="I549" s="14"/>
      <c r="J549" s="14">
        <v>29.2</v>
      </c>
      <c r="K549" s="14"/>
      <c r="L549" s="13">
        <v>8.6</v>
      </c>
      <c r="M549" s="13">
        <v>2.2999999999999998</v>
      </c>
      <c r="P549" s="12" t="s">
        <v>14</v>
      </c>
      <c r="Q549" s="12"/>
      <c r="R549" s="12"/>
      <c r="T549">
        <f t="shared" si="26"/>
        <v>8.5625359383439683</v>
      </c>
      <c r="U549">
        <f t="shared" si="24"/>
        <v>9.2946486765666876</v>
      </c>
      <c r="V549">
        <f t="shared" si="25"/>
        <v>0.73211273822271927</v>
      </c>
    </row>
    <row r="550" spans="1:22">
      <c r="A550" s="12">
        <v>10</v>
      </c>
      <c r="B550" s="12">
        <v>-30</v>
      </c>
      <c r="C550" s="11">
        <v>18.162512928283768</v>
      </c>
      <c r="D550" s="11">
        <v>-24.107753797548693</v>
      </c>
      <c r="E550" s="11"/>
      <c r="F550" s="10">
        <v>625</v>
      </c>
      <c r="G550" s="12" t="s">
        <v>11</v>
      </c>
      <c r="H550" s="13">
        <v>27.5</v>
      </c>
      <c r="I550" s="14"/>
      <c r="J550" s="14" t="s">
        <v>70</v>
      </c>
      <c r="K550" s="14"/>
      <c r="L550" s="13">
        <v>7.2</v>
      </c>
      <c r="M550" s="13">
        <v>0.9</v>
      </c>
      <c r="P550" s="12" t="s">
        <v>14</v>
      </c>
      <c r="Q550" s="12"/>
      <c r="R550" s="12"/>
      <c r="T550">
        <f t="shared" si="26"/>
        <v>8.753521870054243</v>
      </c>
      <c r="U550" t="str">
        <f t="shared" si="24"/>
        <v>dead</v>
      </c>
      <c r="V550" t="e">
        <f t="shared" si="25"/>
        <v>#VALUE!</v>
      </c>
    </row>
    <row r="551" spans="1:22">
      <c r="A551" s="9">
        <v>0</v>
      </c>
      <c r="B551" s="12">
        <v>20</v>
      </c>
      <c r="C551" s="11">
        <v>7.614100830171675</v>
      </c>
      <c r="D551" s="11">
        <v>23.664419264764746</v>
      </c>
      <c r="E551" s="11"/>
      <c r="F551" s="10">
        <v>39</v>
      </c>
      <c r="G551" s="12" t="s">
        <v>11</v>
      </c>
      <c r="H551" s="13">
        <v>27.6</v>
      </c>
      <c r="I551" s="14"/>
      <c r="J551" s="14" t="s">
        <v>70</v>
      </c>
      <c r="K551" s="14"/>
      <c r="L551" s="13">
        <v>5.2</v>
      </c>
      <c r="M551" s="13"/>
      <c r="P551" s="12" t="s">
        <v>12</v>
      </c>
      <c r="Q551" s="12"/>
      <c r="R551" s="12"/>
      <c r="T551">
        <f t="shared" si="26"/>
        <v>8.7853528586726242</v>
      </c>
      <c r="U551" t="str">
        <f t="shared" si="24"/>
        <v>dead</v>
      </c>
      <c r="V551" t="e">
        <f t="shared" si="25"/>
        <v>#VALUE!</v>
      </c>
    </row>
    <row r="552" spans="1:22">
      <c r="A552" s="12">
        <v>10</v>
      </c>
      <c r="B552" s="12">
        <v>10</v>
      </c>
      <c r="C552" s="11">
        <v>16.471613120300947</v>
      </c>
      <c r="D552" s="11">
        <v>13.888537465570909</v>
      </c>
      <c r="E552" s="11"/>
      <c r="F552" s="12">
        <v>112</v>
      </c>
      <c r="G552" s="12" t="s">
        <v>13</v>
      </c>
      <c r="H552" s="13">
        <v>27.6</v>
      </c>
      <c r="I552" s="14"/>
      <c r="J552" s="14">
        <v>30</v>
      </c>
      <c r="K552" s="14"/>
      <c r="L552" s="13">
        <v>6.3</v>
      </c>
      <c r="M552" s="13">
        <v>1.8</v>
      </c>
      <c r="P552" s="12" t="s">
        <v>14</v>
      </c>
      <c r="Q552" s="12"/>
      <c r="R552" s="12"/>
      <c r="T552">
        <f t="shared" si="26"/>
        <v>8.7853528586726242</v>
      </c>
      <c r="U552">
        <f t="shared" si="24"/>
        <v>9.5492965855137211</v>
      </c>
      <c r="V552">
        <f t="shared" si="25"/>
        <v>0.7639437268410969</v>
      </c>
    </row>
    <row r="553" spans="1:22">
      <c r="A553" s="12">
        <v>50</v>
      </c>
      <c r="B553" s="12">
        <v>-30</v>
      </c>
      <c r="C553" s="11">
        <v>50.189114493623592</v>
      </c>
      <c r="D553" s="11">
        <v>-27.790330927717896</v>
      </c>
      <c r="E553" s="11"/>
      <c r="F553" s="12">
        <v>704</v>
      </c>
      <c r="G553" s="12" t="s">
        <v>13</v>
      </c>
      <c r="H553" s="13">
        <v>27.8</v>
      </c>
      <c r="I553" s="14"/>
      <c r="J553" s="14">
        <v>28.5</v>
      </c>
      <c r="K553" s="14"/>
      <c r="L553" s="13">
        <v>6.9</v>
      </c>
      <c r="M553" s="13">
        <v>2.2999999999999998</v>
      </c>
      <c r="P553" s="12" t="s">
        <v>14</v>
      </c>
      <c r="Q553" s="12"/>
      <c r="R553" s="12"/>
      <c r="T553">
        <f t="shared" si="26"/>
        <v>8.8490148359093812</v>
      </c>
      <c r="U553">
        <f t="shared" si="24"/>
        <v>9.0718317562380353</v>
      </c>
      <c r="V553">
        <f t="shared" si="25"/>
        <v>0.22281692032865408</v>
      </c>
    </row>
    <row r="554" spans="1:22">
      <c r="A554" s="9">
        <v>20</v>
      </c>
      <c r="B554" s="9">
        <v>-10</v>
      </c>
      <c r="C554" s="11">
        <v>21.766250392445837</v>
      </c>
      <c r="D554" s="11">
        <v>-9.5225324628643904</v>
      </c>
      <c r="E554" s="11"/>
      <c r="F554" s="10">
        <v>411</v>
      </c>
      <c r="G554" s="12" t="s">
        <v>13</v>
      </c>
      <c r="H554" s="13">
        <v>28.3</v>
      </c>
      <c r="I554" s="14"/>
      <c r="J554" s="14" t="s">
        <v>70</v>
      </c>
      <c r="K554" s="14"/>
      <c r="L554" s="13">
        <v>4.4000000000000004</v>
      </c>
      <c r="M554" s="13">
        <v>2.2000000000000002</v>
      </c>
      <c r="P554" s="12" t="s">
        <v>14</v>
      </c>
      <c r="Q554" s="12"/>
      <c r="R554" s="12"/>
      <c r="T554">
        <f t="shared" si="26"/>
        <v>9.0081697790012765</v>
      </c>
      <c r="U554" t="str">
        <f t="shared" si="24"/>
        <v>dead</v>
      </c>
      <c r="V554" t="e">
        <f t="shared" si="25"/>
        <v>#VALUE!</v>
      </c>
    </row>
    <row r="555" spans="1:22">
      <c r="A555" s="12">
        <v>10</v>
      </c>
      <c r="B555" s="12">
        <v>-50</v>
      </c>
      <c r="C555" s="11">
        <v>16.681584647994701</v>
      </c>
      <c r="D555" s="11">
        <v>-45.752622038059769</v>
      </c>
      <c r="E555" s="11"/>
      <c r="F555" s="12">
        <v>816</v>
      </c>
      <c r="G555" s="12" t="s">
        <v>11</v>
      </c>
      <c r="H555" s="13">
        <v>28.3</v>
      </c>
      <c r="I555" s="14"/>
      <c r="J555" s="14">
        <v>27.5</v>
      </c>
      <c r="K555" s="14"/>
      <c r="L555" s="13">
        <v>5.2</v>
      </c>
      <c r="M555" s="13">
        <v>2.6</v>
      </c>
      <c r="P555" s="12" t="s">
        <v>14</v>
      </c>
      <c r="Q555" s="12"/>
      <c r="R555" s="12" t="s">
        <v>55</v>
      </c>
      <c r="T555">
        <f t="shared" si="26"/>
        <v>9.0081697790012765</v>
      </c>
      <c r="U555">
        <f t="shared" si="24"/>
        <v>8.753521870054243</v>
      </c>
      <c r="V555">
        <f t="shared" si="25"/>
        <v>-0.25464790894703349</v>
      </c>
    </row>
    <row r="556" spans="1:22">
      <c r="A556" s="12">
        <v>20</v>
      </c>
      <c r="B556" s="12">
        <v>40</v>
      </c>
      <c r="C556" s="11">
        <v>25.842201321935772</v>
      </c>
      <c r="D556" s="11">
        <v>46.937837106330178</v>
      </c>
      <c r="E556" s="11"/>
      <c r="F556" s="10">
        <v>197</v>
      </c>
      <c r="G556" s="12" t="s">
        <v>13</v>
      </c>
      <c r="H556" s="13">
        <v>28.4</v>
      </c>
      <c r="I556" s="14"/>
      <c r="J556" s="14">
        <v>28.3</v>
      </c>
      <c r="K556" s="14"/>
      <c r="L556" s="13">
        <v>10.8</v>
      </c>
      <c r="M556" s="13">
        <v>3.7</v>
      </c>
      <c r="P556" s="12" t="s">
        <v>14</v>
      </c>
      <c r="Q556" s="12"/>
      <c r="R556" s="12"/>
      <c r="T556">
        <f t="shared" si="26"/>
        <v>9.0400007676196541</v>
      </c>
      <c r="U556">
        <f t="shared" si="24"/>
        <v>9.0081697790012765</v>
      </c>
      <c r="V556">
        <f t="shared" si="25"/>
        <v>-3.1830988618377631E-2</v>
      </c>
    </row>
    <row r="557" spans="1:22">
      <c r="A557" s="12">
        <v>30</v>
      </c>
      <c r="B557" s="12">
        <v>10</v>
      </c>
      <c r="C557" s="11">
        <v>31.863786000705463</v>
      </c>
      <c r="D557" s="11">
        <v>17.937307162087787</v>
      </c>
      <c r="E557" s="11"/>
      <c r="F557" s="10">
        <v>221</v>
      </c>
      <c r="G557" s="12" t="s">
        <v>13</v>
      </c>
      <c r="H557" s="13">
        <v>28.7</v>
      </c>
      <c r="I557" s="14"/>
      <c r="J557" s="14">
        <v>25</v>
      </c>
      <c r="K557" s="14"/>
      <c r="L557" s="13">
        <v>7.4</v>
      </c>
      <c r="M557" s="13">
        <v>1.7</v>
      </c>
      <c r="P557" s="12" t="s">
        <v>14</v>
      </c>
      <c r="Q557" s="12"/>
      <c r="R557" s="12"/>
      <c r="T557">
        <f t="shared" si="26"/>
        <v>9.1354937334747923</v>
      </c>
      <c r="U557">
        <f t="shared" si="24"/>
        <v>7.9577471545947667</v>
      </c>
      <c r="V557">
        <f t="shared" si="25"/>
        <v>-1.1777465788800257</v>
      </c>
    </row>
    <row r="558" spans="1:22">
      <c r="A558" s="12">
        <v>10</v>
      </c>
      <c r="B558" s="12">
        <v>-50</v>
      </c>
      <c r="C558" s="11">
        <v>14.848486988509565</v>
      </c>
      <c r="D558" s="11">
        <v>-47.855632099558299</v>
      </c>
      <c r="E558" s="11"/>
      <c r="F558" s="10">
        <v>815</v>
      </c>
      <c r="G558" s="12" t="s">
        <v>11</v>
      </c>
      <c r="H558" s="13">
        <v>29.3</v>
      </c>
      <c r="I558" s="14"/>
      <c r="J558" s="14">
        <v>30.4</v>
      </c>
      <c r="K558" s="14"/>
      <c r="L558" s="13">
        <v>8.5</v>
      </c>
      <c r="M558" s="13">
        <v>1.7</v>
      </c>
      <c r="P558" s="12" t="s">
        <v>14</v>
      </c>
      <c r="Q558" s="12"/>
      <c r="R558" s="12"/>
      <c r="T558">
        <f t="shared" si="26"/>
        <v>9.326479665185067</v>
      </c>
      <c r="U558">
        <f t="shared" si="24"/>
        <v>9.6766205399872369</v>
      </c>
      <c r="V558">
        <f t="shared" si="25"/>
        <v>0.35014087480216993</v>
      </c>
    </row>
    <row r="559" spans="1:22">
      <c r="A559" s="12">
        <v>30</v>
      </c>
      <c r="B559" s="12">
        <v>0</v>
      </c>
      <c r="C559" s="11">
        <v>35.804963619066001</v>
      </c>
      <c r="D559" s="11">
        <v>9.125</v>
      </c>
      <c r="E559" s="11"/>
      <c r="F559" s="10">
        <v>243</v>
      </c>
      <c r="G559" s="12" t="s">
        <v>11</v>
      </c>
      <c r="H559" s="13">
        <v>29.4</v>
      </c>
      <c r="I559" s="14"/>
      <c r="J559" s="14" t="s">
        <v>70</v>
      </c>
      <c r="K559" s="14"/>
      <c r="L559" s="13">
        <v>6.5</v>
      </c>
      <c r="M559" s="13"/>
      <c r="P559" s="12" t="s">
        <v>12</v>
      </c>
      <c r="Q559" s="12"/>
      <c r="R559" s="12"/>
      <c r="T559">
        <f t="shared" si="26"/>
        <v>9.3583106538034464</v>
      </c>
      <c r="U559" t="str">
        <f t="shared" si="24"/>
        <v>dead</v>
      </c>
      <c r="V559" t="e">
        <f t="shared" si="25"/>
        <v>#VALUE!</v>
      </c>
    </row>
    <row r="560" spans="1:22">
      <c r="A560" s="12">
        <v>30</v>
      </c>
      <c r="B560" s="12">
        <v>0</v>
      </c>
      <c r="C560" s="11">
        <v>33.450797670107235</v>
      </c>
      <c r="D560" s="11">
        <v>6.101552428508481</v>
      </c>
      <c r="E560" s="11"/>
      <c r="F560" s="10">
        <v>257</v>
      </c>
      <c r="G560" s="12" t="s">
        <v>21</v>
      </c>
      <c r="H560" s="13">
        <v>29.5</v>
      </c>
      <c r="I560" s="14"/>
      <c r="J560" s="14">
        <v>31.3</v>
      </c>
      <c r="K560" s="14"/>
      <c r="L560" s="13">
        <v>10</v>
      </c>
      <c r="M560" s="13">
        <v>4.2</v>
      </c>
      <c r="P560" s="12" t="s">
        <v>14</v>
      </c>
      <c r="Q560" s="12"/>
      <c r="R560" s="12"/>
      <c r="T560">
        <f t="shared" si="26"/>
        <v>9.3901416424218258</v>
      </c>
      <c r="U560">
        <f t="shared" si="24"/>
        <v>9.963099437552648</v>
      </c>
      <c r="V560">
        <f t="shared" si="25"/>
        <v>0.57295779513082223</v>
      </c>
    </row>
    <row r="561" spans="1:22">
      <c r="A561" s="12">
        <v>30</v>
      </c>
      <c r="B561" s="12">
        <v>-10</v>
      </c>
      <c r="C561" s="11">
        <v>34.217457461745369</v>
      </c>
      <c r="D561" s="11">
        <v>-7.32809023481785</v>
      </c>
      <c r="E561" s="11"/>
      <c r="F561" s="12">
        <v>430</v>
      </c>
      <c r="G561" s="12" t="s">
        <v>13</v>
      </c>
      <c r="H561" s="13">
        <v>29.5</v>
      </c>
      <c r="I561" s="14"/>
      <c r="J561" s="14">
        <v>29.7</v>
      </c>
      <c r="K561" s="14"/>
      <c r="L561" s="13">
        <v>8.6</v>
      </c>
      <c r="M561" s="13">
        <v>3.3</v>
      </c>
      <c r="P561" s="12" t="s">
        <v>14</v>
      </c>
      <c r="Q561" s="12"/>
      <c r="R561" s="12" t="s">
        <v>35</v>
      </c>
      <c r="T561">
        <f t="shared" si="26"/>
        <v>9.3901416424218258</v>
      </c>
      <c r="U561">
        <f t="shared" si="24"/>
        <v>9.4538036196585828</v>
      </c>
      <c r="V561">
        <f t="shared" si="25"/>
        <v>6.3661977236757039E-2</v>
      </c>
    </row>
    <row r="562" spans="1:22">
      <c r="A562" s="12">
        <v>50</v>
      </c>
      <c r="B562" s="12">
        <v>-30</v>
      </c>
      <c r="C562" s="11">
        <v>50.122764376874976</v>
      </c>
      <c r="D562" s="11">
        <v>-27.684136505344721</v>
      </c>
      <c r="E562" s="11"/>
      <c r="F562" s="12">
        <v>702</v>
      </c>
      <c r="G562" s="12" t="s">
        <v>13</v>
      </c>
      <c r="H562" s="13">
        <v>29.7</v>
      </c>
      <c r="I562" s="14"/>
      <c r="J562" s="14">
        <v>30.3</v>
      </c>
      <c r="K562" s="14"/>
      <c r="L562" s="13">
        <v>11</v>
      </c>
      <c r="M562" s="13">
        <v>4.0999999999999996</v>
      </c>
      <c r="P562" s="12" t="s">
        <v>14</v>
      </c>
      <c r="Q562" s="12"/>
      <c r="R562" s="12" t="s">
        <v>50</v>
      </c>
      <c r="T562">
        <f t="shared" si="26"/>
        <v>9.4538036196585828</v>
      </c>
      <c r="U562">
        <f t="shared" si="24"/>
        <v>9.6447895513688575</v>
      </c>
      <c r="V562">
        <f t="shared" si="25"/>
        <v>0.19098593171027467</v>
      </c>
    </row>
    <row r="563" spans="1:22">
      <c r="A563" s="12">
        <v>20</v>
      </c>
      <c r="B563" s="12">
        <v>-30</v>
      </c>
      <c r="C563" s="11">
        <v>24.978339189507665</v>
      </c>
      <c r="D563" s="11">
        <v>-25.942333102777518</v>
      </c>
      <c r="E563" s="11"/>
      <c r="F563" s="10">
        <v>647</v>
      </c>
      <c r="G563" s="12" t="s">
        <v>13</v>
      </c>
      <c r="H563" s="13">
        <v>30</v>
      </c>
      <c r="I563" s="14"/>
      <c r="J563" s="31">
        <v>31.2</v>
      </c>
      <c r="K563" s="14"/>
      <c r="L563" s="13">
        <v>7.9</v>
      </c>
      <c r="M563" s="13">
        <v>3.3</v>
      </c>
      <c r="P563" s="12" t="s">
        <v>14</v>
      </c>
      <c r="Q563" s="12"/>
      <c r="R563" s="12"/>
      <c r="T563">
        <f t="shared" si="26"/>
        <v>9.5492965855137211</v>
      </c>
      <c r="U563">
        <f t="shared" si="24"/>
        <v>9.9312684489342686</v>
      </c>
      <c r="V563">
        <f t="shared" si="25"/>
        <v>0.38197186342054756</v>
      </c>
    </row>
    <row r="564" spans="1:22">
      <c r="A564" s="9">
        <v>0</v>
      </c>
      <c r="B564" s="12">
        <v>10</v>
      </c>
      <c r="C564" s="11">
        <v>9.9838034761087275</v>
      </c>
      <c r="D564" s="11">
        <v>12.319943463236516</v>
      </c>
      <c r="E564" s="11"/>
      <c r="F564" s="12">
        <v>18</v>
      </c>
      <c r="G564" s="12" t="s">
        <v>11</v>
      </c>
      <c r="H564" s="13">
        <v>30.5</v>
      </c>
      <c r="I564" s="14"/>
      <c r="J564" s="31" t="s">
        <v>70</v>
      </c>
      <c r="K564" s="14"/>
      <c r="L564" s="13">
        <v>7.6</v>
      </c>
      <c r="M564" s="13"/>
      <c r="P564" s="12" t="s">
        <v>12</v>
      </c>
      <c r="Q564" s="12"/>
      <c r="R564" s="12"/>
      <c r="T564">
        <f t="shared" si="26"/>
        <v>9.7084515286056163</v>
      </c>
      <c r="U564" t="str">
        <f t="shared" si="24"/>
        <v>dead</v>
      </c>
      <c r="V564" t="e">
        <f t="shared" si="25"/>
        <v>#VALUE!</v>
      </c>
    </row>
    <row r="565" spans="1:22">
      <c r="A565" s="12">
        <v>40</v>
      </c>
      <c r="B565" s="12">
        <v>-50</v>
      </c>
      <c r="C565" s="11">
        <v>46.484910842853935</v>
      </c>
      <c r="D565" s="11">
        <v>-41.761911280466606</v>
      </c>
      <c r="E565" s="11"/>
      <c r="F565" s="12">
        <v>830</v>
      </c>
      <c r="G565" s="12" t="s">
        <v>11</v>
      </c>
      <c r="H565" s="13">
        <v>31</v>
      </c>
      <c r="I565" s="14"/>
      <c r="J565" s="31">
        <v>33.9</v>
      </c>
      <c r="K565" s="14"/>
      <c r="L565" s="13">
        <v>6.6</v>
      </c>
      <c r="M565" s="13">
        <v>1.8</v>
      </c>
      <c r="P565" s="12" t="s">
        <v>14</v>
      </c>
      <c r="Q565" s="12"/>
      <c r="R565" s="12"/>
      <c r="T565">
        <f t="shared" si="26"/>
        <v>9.8676064716975116</v>
      </c>
      <c r="U565">
        <f t="shared" si="24"/>
        <v>10.790705141630504</v>
      </c>
      <c r="V565">
        <f t="shared" si="25"/>
        <v>0.92309866993299217</v>
      </c>
    </row>
    <row r="566" spans="1:22">
      <c r="A566" s="12">
        <v>30</v>
      </c>
      <c r="B566" s="12">
        <v>-10</v>
      </c>
      <c r="C566" s="11">
        <v>34.096027688842931</v>
      </c>
      <c r="D566" s="11">
        <v>-6.9396714311873886</v>
      </c>
      <c r="E566" s="11"/>
      <c r="F566" s="10">
        <v>431</v>
      </c>
      <c r="G566" s="12" t="s">
        <v>13</v>
      </c>
      <c r="H566" s="13">
        <v>31.2</v>
      </c>
      <c r="I566" s="14"/>
      <c r="J566" s="14" t="s">
        <v>70</v>
      </c>
      <c r="K566" s="14"/>
      <c r="L566" s="13">
        <v>3.4</v>
      </c>
      <c r="M566" s="13"/>
      <c r="P566" s="12" t="s">
        <v>12</v>
      </c>
      <c r="Q566" s="12"/>
      <c r="R566" s="12"/>
      <c r="T566">
        <f t="shared" si="26"/>
        <v>9.9312684489342686</v>
      </c>
      <c r="U566" t="str">
        <f t="shared" si="24"/>
        <v>dead</v>
      </c>
      <c r="V566" t="e">
        <f t="shared" si="25"/>
        <v>#VALUE!</v>
      </c>
    </row>
    <row r="567" spans="1:22">
      <c r="A567" s="12">
        <v>30</v>
      </c>
      <c r="B567" s="12">
        <v>10</v>
      </c>
      <c r="C567" s="11">
        <v>33.173371849837416</v>
      </c>
      <c r="D567" s="11">
        <v>11.088136496632174</v>
      </c>
      <c r="E567" s="11"/>
      <c r="F567" s="12">
        <v>236</v>
      </c>
      <c r="G567" s="12" t="s">
        <v>11</v>
      </c>
      <c r="H567" s="13">
        <v>31.4</v>
      </c>
      <c r="I567" s="14"/>
      <c r="J567" s="14" t="s">
        <v>70</v>
      </c>
      <c r="K567" s="14"/>
      <c r="L567" s="13">
        <v>1.6</v>
      </c>
      <c r="M567" s="13"/>
      <c r="P567" s="12" t="s">
        <v>12</v>
      </c>
      <c r="Q567" s="12"/>
      <c r="R567" s="12" t="s">
        <v>16</v>
      </c>
      <c r="T567">
        <f t="shared" si="26"/>
        <v>9.9949304261710274</v>
      </c>
      <c r="U567" t="str">
        <f t="shared" si="24"/>
        <v>dead</v>
      </c>
      <c r="V567" t="e">
        <f t="shared" si="25"/>
        <v>#VALUE!</v>
      </c>
    </row>
    <row r="568" spans="1:22">
      <c r="A568" s="12">
        <v>10</v>
      </c>
      <c r="B568" s="12">
        <v>-50</v>
      </c>
      <c r="C568" s="11">
        <v>13.313416888113256</v>
      </c>
      <c r="D568" s="11">
        <v>-46.262995010997308</v>
      </c>
      <c r="E568" s="11"/>
      <c r="F568" s="10">
        <v>813</v>
      </c>
      <c r="G568" s="12" t="s">
        <v>11</v>
      </c>
      <c r="H568" s="13">
        <v>31.6</v>
      </c>
      <c r="I568" s="14"/>
      <c r="J568" s="14">
        <v>32.299999999999997</v>
      </c>
      <c r="K568" s="14"/>
      <c r="L568" s="13">
        <v>7.9</v>
      </c>
      <c r="M568" s="13">
        <v>3.4</v>
      </c>
      <c r="P568" s="12" t="s">
        <v>14</v>
      </c>
      <c r="Q568" s="12"/>
      <c r="R568" s="12"/>
      <c r="T568">
        <f t="shared" si="26"/>
        <v>10.058592403407786</v>
      </c>
      <c r="U568">
        <f t="shared" si="24"/>
        <v>10.281409323736439</v>
      </c>
      <c r="V568">
        <f t="shared" si="25"/>
        <v>0.2228169203286523</v>
      </c>
    </row>
    <row r="569" spans="1:22">
      <c r="A569" s="12">
        <v>30</v>
      </c>
      <c r="B569" s="12">
        <v>0</v>
      </c>
      <c r="C569" s="11">
        <v>32.364956775153857</v>
      </c>
      <c r="D569" s="11">
        <v>6.71362375685269</v>
      </c>
      <c r="E569" s="11"/>
      <c r="F569" s="10">
        <v>255</v>
      </c>
      <c r="G569" s="12" t="s">
        <v>21</v>
      </c>
      <c r="H569" s="13">
        <v>31.8</v>
      </c>
      <c r="I569" s="14"/>
      <c r="J569" s="14">
        <v>33.4</v>
      </c>
      <c r="K569" s="14"/>
      <c r="L569" s="13">
        <v>10.199999999999999</v>
      </c>
      <c r="M569" s="13">
        <v>3.3</v>
      </c>
      <c r="P569" s="12" t="s">
        <v>14</v>
      </c>
      <c r="Q569" s="12"/>
      <c r="R569" s="12"/>
      <c r="T569">
        <f t="shared" si="26"/>
        <v>10.122254380644543</v>
      </c>
      <c r="U569">
        <f t="shared" si="24"/>
        <v>10.631550198538608</v>
      </c>
      <c r="V569">
        <f t="shared" si="25"/>
        <v>0.50929581789406519</v>
      </c>
    </row>
    <row r="570" spans="1:22">
      <c r="A570" s="12">
        <v>20</v>
      </c>
      <c r="B570" s="12">
        <v>-30</v>
      </c>
      <c r="C570" s="11">
        <v>24.426142049030712</v>
      </c>
      <c r="D570" s="11">
        <v>-26.190396396226696</v>
      </c>
      <c r="E570" s="11"/>
      <c r="F570" s="12">
        <v>644</v>
      </c>
      <c r="G570" s="12" t="s">
        <v>13</v>
      </c>
      <c r="H570" s="13">
        <v>32.299999999999997</v>
      </c>
      <c r="I570" s="14"/>
      <c r="J570" s="14">
        <v>33.200000000000003</v>
      </c>
      <c r="K570" s="14"/>
      <c r="L570" s="13">
        <v>7.9</v>
      </c>
      <c r="M570" s="13">
        <v>2.7</v>
      </c>
      <c r="P570" s="12" t="s">
        <v>14</v>
      </c>
      <c r="Q570" s="12"/>
      <c r="R570" s="12"/>
      <c r="T570">
        <f t="shared" si="26"/>
        <v>10.281409323736439</v>
      </c>
      <c r="U570">
        <f t="shared" si="24"/>
        <v>10.567888221301851</v>
      </c>
      <c r="V570">
        <f t="shared" si="25"/>
        <v>0.28647889756541289</v>
      </c>
    </row>
    <row r="571" spans="1:22">
      <c r="A571" s="9">
        <v>20</v>
      </c>
      <c r="B571" s="9">
        <v>-10</v>
      </c>
      <c r="C571" s="11">
        <v>28.096502686916914</v>
      </c>
      <c r="D571" s="11">
        <v>-4.7002215407223211</v>
      </c>
      <c r="E571" s="11"/>
      <c r="F571" s="12">
        <v>418</v>
      </c>
      <c r="G571" s="12" t="s">
        <v>13</v>
      </c>
      <c r="H571" s="13">
        <v>32.4</v>
      </c>
      <c r="I571" s="14"/>
      <c r="J571" s="14">
        <v>30.4</v>
      </c>
      <c r="K571" s="14"/>
      <c r="L571" s="13">
        <v>6.1</v>
      </c>
      <c r="M571" s="13">
        <v>2.4</v>
      </c>
      <c r="P571" s="12" t="s">
        <v>14</v>
      </c>
      <c r="Q571" s="12"/>
      <c r="R571" s="12"/>
      <c r="S571" t="s">
        <v>89</v>
      </c>
      <c r="T571">
        <f t="shared" si="26"/>
        <v>10.313240312354818</v>
      </c>
      <c r="U571">
        <f t="shared" si="24"/>
        <v>9.6766205399872369</v>
      </c>
      <c r="V571">
        <f t="shared" si="25"/>
        <v>-0.63661977236758105</v>
      </c>
    </row>
    <row r="572" spans="1:22">
      <c r="A572" s="12">
        <v>20</v>
      </c>
      <c r="B572" s="12">
        <v>0</v>
      </c>
      <c r="C572" s="11">
        <v>23.975649436810265</v>
      </c>
      <c r="D572" s="11">
        <v>3.1623743541191063</v>
      </c>
      <c r="E572" s="28"/>
      <c r="F572" s="33">
        <v>121</v>
      </c>
      <c r="G572" s="18" t="s">
        <v>21</v>
      </c>
      <c r="H572" s="19">
        <v>32.5</v>
      </c>
      <c r="I572" s="20"/>
      <c r="J572" s="20">
        <v>33.1</v>
      </c>
      <c r="K572" s="20"/>
      <c r="L572" s="19">
        <v>9.9</v>
      </c>
      <c r="M572" s="19">
        <v>2.6</v>
      </c>
      <c r="P572" s="18" t="s">
        <v>14</v>
      </c>
      <c r="Q572" s="18"/>
      <c r="R572" s="18"/>
      <c r="T572">
        <f t="shared" si="26"/>
        <v>10.345071300973197</v>
      </c>
      <c r="U572">
        <f t="shared" si="24"/>
        <v>10.536057232683472</v>
      </c>
      <c r="V572">
        <f t="shared" si="25"/>
        <v>0.19098593171027467</v>
      </c>
    </row>
    <row r="573" spans="1:22">
      <c r="A573" s="12">
        <v>30</v>
      </c>
      <c r="B573" s="12">
        <v>-10</v>
      </c>
      <c r="C573" s="11">
        <v>35.122213435174388</v>
      </c>
      <c r="D573" s="11">
        <v>-6.1890554677341747</v>
      </c>
      <c r="E573" s="11"/>
      <c r="F573" s="10">
        <v>433</v>
      </c>
      <c r="G573" s="12" t="s">
        <v>21</v>
      </c>
      <c r="H573" s="13">
        <v>32.5</v>
      </c>
      <c r="I573" s="14"/>
      <c r="J573" s="14">
        <v>34</v>
      </c>
      <c r="K573" s="14"/>
      <c r="L573" s="13">
        <v>9.1999999999999993</v>
      </c>
      <c r="M573" s="13">
        <v>3.3</v>
      </c>
      <c r="P573" s="12" t="s">
        <v>14</v>
      </c>
      <c r="Q573" s="12"/>
      <c r="R573" s="12"/>
      <c r="T573">
        <f t="shared" si="26"/>
        <v>10.345071300973197</v>
      </c>
      <c r="U573">
        <f t="shared" si="24"/>
        <v>10.822536130248883</v>
      </c>
      <c r="V573">
        <f t="shared" si="25"/>
        <v>0.47746482927568579</v>
      </c>
    </row>
    <row r="574" spans="1:22">
      <c r="A574" s="9">
        <v>0</v>
      </c>
      <c r="B574" s="12">
        <v>10</v>
      </c>
      <c r="C574" s="11">
        <v>6.8999120717316238</v>
      </c>
      <c r="D574" s="11">
        <v>17.634595918383937</v>
      </c>
      <c r="E574" s="11"/>
      <c r="F574" s="12">
        <v>20</v>
      </c>
      <c r="G574" s="12" t="s">
        <v>13</v>
      </c>
      <c r="H574" s="13">
        <v>32.700000000000003</v>
      </c>
      <c r="I574" s="14"/>
      <c r="J574" s="14">
        <v>35.9</v>
      </c>
      <c r="K574" s="14"/>
      <c r="L574" s="13">
        <v>8.1999999999999993</v>
      </c>
      <c r="M574" s="13">
        <v>2.7</v>
      </c>
      <c r="P574" s="12" t="s">
        <v>14</v>
      </c>
      <c r="Q574" s="12"/>
      <c r="R574" s="12"/>
      <c r="T574">
        <f t="shared" si="26"/>
        <v>10.408733278209956</v>
      </c>
      <c r="U574">
        <f t="shared" si="24"/>
        <v>11.427324913998085</v>
      </c>
      <c r="V574">
        <f t="shared" si="25"/>
        <v>1.0185916357881286</v>
      </c>
    </row>
    <row r="575" spans="1:22">
      <c r="A575" s="12">
        <v>20</v>
      </c>
      <c r="B575" s="12">
        <v>30</v>
      </c>
      <c r="C575" s="11">
        <v>20.652257610790159</v>
      </c>
      <c r="D575" s="11">
        <v>33.794183372901976</v>
      </c>
      <c r="E575" s="11"/>
      <c r="F575" s="12">
        <v>176</v>
      </c>
      <c r="G575" s="12" t="s">
        <v>13</v>
      </c>
      <c r="H575" s="13">
        <v>32.799999999999997</v>
      </c>
      <c r="I575" s="14"/>
      <c r="J575" s="14">
        <v>35.299999999999997</v>
      </c>
      <c r="K575" s="14"/>
      <c r="L575" s="13">
        <v>9.9</v>
      </c>
      <c r="M575" s="13">
        <v>2.8</v>
      </c>
      <c r="P575" s="12" t="s">
        <v>14</v>
      </c>
      <c r="Q575" s="12"/>
      <c r="R575" s="12"/>
      <c r="T575">
        <f t="shared" si="26"/>
        <v>10.440564266828334</v>
      </c>
      <c r="U575">
        <f t="shared" si="24"/>
        <v>11.23633898228781</v>
      </c>
      <c r="V575">
        <f t="shared" si="25"/>
        <v>0.79577471545947631</v>
      </c>
    </row>
    <row r="576" spans="1:22">
      <c r="A576" s="12">
        <v>30</v>
      </c>
      <c r="B576" s="12">
        <v>10</v>
      </c>
      <c r="C576" s="11">
        <v>34.695315057578405</v>
      </c>
      <c r="D576" s="11">
        <v>13.584665518456774</v>
      </c>
      <c r="E576" s="11"/>
      <c r="F576" s="12">
        <v>232</v>
      </c>
      <c r="G576" s="12" t="s">
        <v>11</v>
      </c>
      <c r="H576" s="13">
        <v>32.799999999999997</v>
      </c>
      <c r="I576" s="14"/>
      <c r="J576" s="14" t="s">
        <v>70</v>
      </c>
      <c r="K576" s="14"/>
      <c r="L576" s="13">
        <v>8.3000000000000007</v>
      </c>
      <c r="M576" s="13"/>
      <c r="P576" s="12" t="s">
        <v>12</v>
      </c>
      <c r="Q576" s="12"/>
      <c r="R576" s="12"/>
      <c r="T576">
        <f t="shared" si="26"/>
        <v>10.440564266828334</v>
      </c>
      <c r="U576" t="str">
        <f t="shared" si="24"/>
        <v>dead</v>
      </c>
      <c r="V576" t="e">
        <f t="shared" si="25"/>
        <v>#VALUE!</v>
      </c>
    </row>
    <row r="577" spans="1:23">
      <c r="A577" s="12">
        <v>40</v>
      </c>
      <c r="B577" s="12">
        <v>-50</v>
      </c>
      <c r="C577" s="11">
        <v>44.973961314677979</v>
      </c>
      <c r="D577" s="11">
        <v>-49.889621268789163</v>
      </c>
      <c r="E577" s="11"/>
      <c r="F577" s="10">
        <v>827</v>
      </c>
      <c r="G577" s="12" t="s">
        <v>11</v>
      </c>
      <c r="H577" s="13">
        <v>32.799999999999997</v>
      </c>
      <c r="I577" s="14"/>
      <c r="J577" s="14">
        <v>33.9</v>
      </c>
      <c r="K577" s="14"/>
      <c r="L577" s="13">
        <v>8.8000000000000007</v>
      </c>
      <c r="M577" s="13">
        <v>4.4000000000000004</v>
      </c>
      <c r="P577" s="12" t="s">
        <v>14</v>
      </c>
      <c r="Q577" s="12"/>
      <c r="R577" s="12"/>
      <c r="T577">
        <f t="shared" si="26"/>
        <v>10.440564266828334</v>
      </c>
      <c r="U577">
        <f t="shared" si="24"/>
        <v>10.790705141630504</v>
      </c>
      <c r="V577">
        <f t="shared" si="25"/>
        <v>0.35014087480216993</v>
      </c>
    </row>
    <row r="578" spans="1:23">
      <c r="A578" s="12">
        <v>20</v>
      </c>
      <c r="B578" s="12">
        <v>-50</v>
      </c>
      <c r="C578" s="11">
        <v>26.290903973680571</v>
      </c>
      <c r="D578" s="11">
        <v>-49.394254844072186</v>
      </c>
      <c r="E578" s="11"/>
      <c r="F578" s="12">
        <v>820</v>
      </c>
      <c r="G578" s="12" t="s">
        <v>11</v>
      </c>
      <c r="H578" s="13">
        <v>33</v>
      </c>
      <c r="I578" s="14"/>
      <c r="J578" s="14">
        <v>33.299999999999997</v>
      </c>
      <c r="K578" s="14"/>
      <c r="L578" s="13">
        <v>9.1999999999999993</v>
      </c>
      <c r="M578" s="13">
        <v>4.9000000000000004</v>
      </c>
      <c r="P578" s="12" t="s">
        <v>14</v>
      </c>
      <c r="Q578" s="12"/>
      <c r="R578" s="12"/>
      <c r="T578">
        <f t="shared" si="26"/>
        <v>10.504226244065093</v>
      </c>
      <c r="U578">
        <f t="shared" ref="U578:U641" si="27">IF(J578="dead","dead",J578/PI()+K578/10)</f>
        <v>10.599719209920229</v>
      </c>
      <c r="V578">
        <f t="shared" ref="V578:V641" si="28">U578-T578</f>
        <v>9.5492965855136447E-2</v>
      </c>
    </row>
    <row r="579" spans="1:23">
      <c r="A579" s="12">
        <v>20</v>
      </c>
      <c r="B579" s="12">
        <v>40</v>
      </c>
      <c r="C579" s="11">
        <v>26.645579839866279</v>
      </c>
      <c r="D579" s="11">
        <v>47.052118021698369</v>
      </c>
      <c r="E579" s="11"/>
      <c r="F579" s="10">
        <v>191</v>
      </c>
      <c r="G579" s="12" t="s">
        <v>13</v>
      </c>
      <c r="H579" s="13">
        <v>33.200000000000003</v>
      </c>
      <c r="I579" s="14"/>
      <c r="J579" s="14">
        <v>33.799999999999997</v>
      </c>
      <c r="K579" s="14"/>
      <c r="L579" s="13">
        <v>9.5</v>
      </c>
      <c r="M579" s="13">
        <v>3.6</v>
      </c>
      <c r="P579" s="12" t="s">
        <v>14</v>
      </c>
      <c r="Q579" s="12"/>
      <c r="R579" s="12"/>
      <c r="T579">
        <f t="shared" si="26"/>
        <v>10.567888221301851</v>
      </c>
      <c r="U579">
        <f t="shared" si="27"/>
        <v>10.758874153012124</v>
      </c>
      <c r="V579">
        <f t="shared" si="28"/>
        <v>0.19098593171027289</v>
      </c>
    </row>
    <row r="580" spans="1:23">
      <c r="A580" s="9">
        <v>20</v>
      </c>
      <c r="B580" s="9">
        <v>-10</v>
      </c>
      <c r="C580" s="11">
        <v>27.496033648053988</v>
      </c>
      <c r="D580" s="11">
        <v>-9.3665763902395547</v>
      </c>
      <c r="E580" s="11"/>
      <c r="F580" s="12">
        <v>420</v>
      </c>
      <c r="G580" s="12" t="s">
        <v>11</v>
      </c>
      <c r="H580" s="13">
        <v>33.4</v>
      </c>
      <c r="I580" s="14"/>
      <c r="J580" s="14" t="s">
        <v>70</v>
      </c>
      <c r="K580" s="14"/>
      <c r="L580" s="13">
        <v>7.7</v>
      </c>
      <c r="M580" s="13">
        <v>0.7</v>
      </c>
      <c r="P580" s="12" t="s">
        <v>14</v>
      </c>
      <c r="Q580" s="12"/>
      <c r="R580" s="12"/>
      <c r="T580">
        <f t="shared" si="26"/>
        <v>10.631550198538608</v>
      </c>
      <c r="U580" t="str">
        <f t="shared" si="27"/>
        <v>dead</v>
      </c>
      <c r="V580" t="e">
        <f t="shared" si="28"/>
        <v>#VALUE!</v>
      </c>
    </row>
    <row r="581" spans="1:23">
      <c r="A581" s="9">
        <v>0</v>
      </c>
      <c r="B581" s="12">
        <v>40</v>
      </c>
      <c r="C581" s="11">
        <v>2.0941290288313348</v>
      </c>
      <c r="D581" s="11">
        <v>41.357580003610096</v>
      </c>
      <c r="E581" s="11"/>
      <c r="F581" s="12">
        <v>68</v>
      </c>
      <c r="G581" s="12" t="s">
        <v>11</v>
      </c>
      <c r="H581" s="13">
        <v>33.5</v>
      </c>
      <c r="I581" s="14"/>
      <c r="J581" s="14" t="s">
        <v>70</v>
      </c>
      <c r="K581" s="14"/>
      <c r="L581" s="13">
        <v>2.2000000000000002</v>
      </c>
      <c r="M581" s="13"/>
      <c r="P581" s="12" t="s">
        <v>12</v>
      </c>
      <c r="Q581" s="12"/>
      <c r="R581" s="12" t="s">
        <v>16</v>
      </c>
      <c r="T581">
        <f t="shared" ref="T581:T644" si="29">H581/PI()+I581</f>
        <v>10.663381187156988</v>
      </c>
      <c r="U581" t="str">
        <f t="shared" si="27"/>
        <v>dead</v>
      </c>
      <c r="V581" t="e">
        <f t="shared" si="28"/>
        <v>#VALUE!</v>
      </c>
    </row>
    <row r="582" spans="1:23">
      <c r="A582" s="12">
        <v>20</v>
      </c>
      <c r="B582" s="12">
        <v>30</v>
      </c>
      <c r="C582" s="11">
        <v>20.978472868674029</v>
      </c>
      <c r="D582" s="11">
        <v>33.95872605775331</v>
      </c>
      <c r="E582" s="11"/>
      <c r="F582" s="10">
        <v>179</v>
      </c>
      <c r="G582" s="12" t="s">
        <v>13</v>
      </c>
      <c r="H582" s="13">
        <v>33.5</v>
      </c>
      <c r="I582" s="14"/>
      <c r="J582" s="14" t="s">
        <v>70</v>
      </c>
      <c r="K582" s="14"/>
      <c r="L582" s="13">
        <v>6.8</v>
      </c>
      <c r="M582" s="13"/>
      <c r="P582" s="12" t="s">
        <v>12</v>
      </c>
      <c r="Q582" s="12"/>
      <c r="R582" s="12" t="s">
        <v>16</v>
      </c>
      <c r="T582">
        <f t="shared" si="29"/>
        <v>10.663381187156988</v>
      </c>
      <c r="U582" t="str">
        <f t="shared" si="27"/>
        <v>dead</v>
      </c>
      <c r="V582" t="e">
        <f t="shared" si="28"/>
        <v>#VALUE!</v>
      </c>
      <c r="W582" s="27"/>
    </row>
    <row r="583" spans="1:23">
      <c r="A583" s="12">
        <v>30</v>
      </c>
      <c r="B583" s="12">
        <v>10</v>
      </c>
      <c r="C583" s="11">
        <v>31.896743692831674</v>
      </c>
      <c r="D583" s="11">
        <v>17.510168004924175</v>
      </c>
      <c r="E583" s="11"/>
      <c r="F583" s="12">
        <v>1000</v>
      </c>
      <c r="G583" s="12" t="s">
        <v>13</v>
      </c>
      <c r="H583" s="13">
        <v>34.5</v>
      </c>
      <c r="I583" s="14"/>
      <c r="J583" s="14">
        <v>34.4</v>
      </c>
      <c r="K583" s="14"/>
      <c r="L583" s="13">
        <v>7.6</v>
      </c>
      <c r="M583" s="13">
        <v>3.4</v>
      </c>
      <c r="P583" s="12" t="s">
        <v>14</v>
      </c>
      <c r="Q583" s="12"/>
      <c r="R583" s="12" t="s">
        <v>65</v>
      </c>
      <c r="S583" t="s">
        <v>87</v>
      </c>
      <c r="T583">
        <f t="shared" si="29"/>
        <v>10.981691073340778</v>
      </c>
      <c r="U583">
        <f t="shared" si="27"/>
        <v>10.949860084722399</v>
      </c>
      <c r="V583">
        <f t="shared" si="28"/>
        <v>-3.1830988618379408E-2</v>
      </c>
    </row>
    <row r="584" spans="1:23">
      <c r="A584" s="9">
        <v>0</v>
      </c>
      <c r="B584" s="12">
        <v>10</v>
      </c>
      <c r="C584" s="11">
        <v>6.9093167736498451</v>
      </c>
      <c r="D584" s="11">
        <v>17.281193390808802</v>
      </c>
      <c r="E584" s="11"/>
      <c r="F584" s="10">
        <v>19</v>
      </c>
      <c r="G584" s="12" t="s">
        <v>13</v>
      </c>
      <c r="H584" s="13">
        <v>34.700000000000003</v>
      </c>
      <c r="I584" s="14"/>
      <c r="J584" s="14" t="s">
        <v>70</v>
      </c>
      <c r="K584" s="14"/>
      <c r="L584" s="13">
        <v>5</v>
      </c>
      <c r="M584" s="13"/>
      <c r="P584" s="12" t="s">
        <v>12</v>
      </c>
      <c r="Q584" s="12"/>
      <c r="R584" s="12" t="s">
        <v>16</v>
      </c>
      <c r="T584">
        <f t="shared" si="29"/>
        <v>11.045353050577537</v>
      </c>
      <c r="U584" t="str">
        <f t="shared" si="27"/>
        <v>dead</v>
      </c>
      <c r="V584" t="e">
        <f t="shared" si="28"/>
        <v>#VALUE!</v>
      </c>
    </row>
    <row r="585" spans="1:23">
      <c r="A585" s="12">
        <v>40</v>
      </c>
      <c r="B585" s="12">
        <v>10</v>
      </c>
      <c r="C585" s="11">
        <v>49.999878153155805</v>
      </c>
      <c r="D585" s="11">
        <v>19.930186971695527</v>
      </c>
      <c r="E585" s="11"/>
      <c r="F585" s="10">
        <v>285</v>
      </c>
      <c r="G585" s="12" t="s">
        <v>11</v>
      </c>
      <c r="H585" s="13">
        <v>34.700000000000003</v>
      </c>
      <c r="I585" s="14"/>
      <c r="J585" s="14" t="s">
        <v>70</v>
      </c>
      <c r="K585" s="14"/>
      <c r="L585" s="13">
        <v>7.4</v>
      </c>
      <c r="M585" s="13">
        <v>1.6</v>
      </c>
      <c r="P585" s="12" t="s">
        <v>14</v>
      </c>
      <c r="Q585" s="12"/>
      <c r="R585" s="12"/>
      <c r="T585">
        <f t="shared" si="29"/>
        <v>11.045353050577537</v>
      </c>
      <c r="U585" t="str">
        <f t="shared" si="27"/>
        <v>dead</v>
      </c>
      <c r="V585" t="e">
        <f t="shared" si="28"/>
        <v>#VALUE!</v>
      </c>
    </row>
    <row r="586" spans="1:23">
      <c r="A586" s="12">
        <v>40</v>
      </c>
      <c r="B586" s="12">
        <v>-50</v>
      </c>
      <c r="C586" s="11">
        <v>43.173974312698384</v>
      </c>
      <c r="D586" s="11">
        <v>-48.816052805101094</v>
      </c>
      <c r="E586" s="11"/>
      <c r="F586" s="12">
        <v>824</v>
      </c>
      <c r="G586" s="12" t="s">
        <v>11</v>
      </c>
      <c r="H586" s="13">
        <v>34.799999999999997</v>
      </c>
      <c r="I586" s="14"/>
      <c r="J586" s="14">
        <v>36</v>
      </c>
      <c r="K586" s="14"/>
      <c r="L586" s="13">
        <v>8.3000000000000007</v>
      </c>
      <c r="M586" s="13">
        <v>3.2</v>
      </c>
      <c r="P586" s="12" t="s">
        <v>14</v>
      </c>
      <c r="Q586" s="12"/>
      <c r="R586" s="12"/>
      <c r="T586">
        <f t="shared" si="29"/>
        <v>11.077184039195915</v>
      </c>
      <c r="U586">
        <f t="shared" si="27"/>
        <v>11.459155902616464</v>
      </c>
      <c r="V586">
        <f t="shared" si="28"/>
        <v>0.38197186342054934</v>
      </c>
    </row>
    <row r="587" spans="1:23">
      <c r="A587" s="12">
        <v>20</v>
      </c>
      <c r="B587" s="12">
        <v>10</v>
      </c>
      <c r="C587" s="11">
        <v>23.904153440943681</v>
      </c>
      <c r="D587" s="11">
        <v>10.785104816809508</v>
      </c>
      <c r="E587" s="11"/>
      <c r="F587" s="10">
        <v>139</v>
      </c>
      <c r="G587" s="12" t="s">
        <v>13</v>
      </c>
      <c r="H587" s="13">
        <v>35</v>
      </c>
      <c r="I587" s="14"/>
      <c r="J587" s="14">
        <v>36.299999999999997</v>
      </c>
      <c r="K587" s="14"/>
      <c r="L587" s="13">
        <v>1.6</v>
      </c>
      <c r="M587" s="13">
        <v>0.4</v>
      </c>
      <c r="P587" s="12" t="s">
        <v>14</v>
      </c>
      <c r="Q587" s="12"/>
      <c r="R587" s="12"/>
      <c r="T587">
        <f t="shared" si="29"/>
        <v>11.140846016432674</v>
      </c>
      <c r="U587">
        <f t="shared" si="27"/>
        <v>11.554648868471601</v>
      </c>
      <c r="V587">
        <f t="shared" si="28"/>
        <v>0.41380285203892697</v>
      </c>
    </row>
    <row r="588" spans="1:23">
      <c r="A588" s="12">
        <v>40</v>
      </c>
      <c r="B588" s="12">
        <v>20</v>
      </c>
      <c r="C588" s="11">
        <v>48.295744434881712</v>
      </c>
      <c r="D588" s="11">
        <v>26.804126363721846</v>
      </c>
      <c r="E588" s="11"/>
      <c r="F588" s="12">
        <v>288</v>
      </c>
      <c r="G588" s="12" t="s">
        <v>11</v>
      </c>
      <c r="H588" s="13">
        <v>35</v>
      </c>
      <c r="I588" s="14"/>
      <c r="J588" s="14" t="s">
        <v>70</v>
      </c>
      <c r="K588" s="14"/>
      <c r="L588" s="13">
        <v>9.8000000000000007</v>
      </c>
      <c r="M588" s="13"/>
      <c r="P588" s="12" t="s">
        <v>12</v>
      </c>
      <c r="Q588" s="12"/>
      <c r="R588" s="12"/>
      <c r="T588">
        <f t="shared" si="29"/>
        <v>11.140846016432674</v>
      </c>
      <c r="U588" t="str">
        <f t="shared" si="27"/>
        <v>dead</v>
      </c>
      <c r="V588" t="e">
        <f t="shared" si="28"/>
        <v>#VALUE!</v>
      </c>
    </row>
    <row r="589" spans="1:23">
      <c r="A589" s="12">
        <v>30</v>
      </c>
      <c r="B589" s="12">
        <v>0</v>
      </c>
      <c r="C589" s="11">
        <v>31.285787071530518</v>
      </c>
      <c r="D589" s="11">
        <v>8.1996042694799964</v>
      </c>
      <c r="E589" s="11"/>
      <c r="F589" s="12">
        <v>128</v>
      </c>
      <c r="G589" s="12" t="s">
        <v>21</v>
      </c>
      <c r="H589" s="13">
        <v>35.1</v>
      </c>
      <c r="I589" s="14"/>
      <c r="J589" s="14">
        <v>38</v>
      </c>
      <c r="K589" s="14"/>
      <c r="L589" s="13">
        <v>11</v>
      </c>
      <c r="M589" s="13">
        <v>3.2</v>
      </c>
      <c r="P589" s="12" t="s">
        <v>14</v>
      </c>
      <c r="Q589" s="12"/>
      <c r="R589" s="12"/>
      <c r="T589">
        <f t="shared" si="29"/>
        <v>11.172677005051053</v>
      </c>
      <c r="U589">
        <f t="shared" si="27"/>
        <v>12.095775674984045</v>
      </c>
      <c r="V589">
        <f t="shared" si="28"/>
        <v>0.92309866993299217</v>
      </c>
    </row>
    <row r="590" spans="1:23">
      <c r="A590" s="12">
        <v>10</v>
      </c>
      <c r="B590" s="12">
        <v>-20</v>
      </c>
      <c r="C590" s="11">
        <v>16.117883851958656</v>
      </c>
      <c r="D590" s="11">
        <v>-12.281271204847481</v>
      </c>
      <c r="E590" s="11"/>
      <c r="F590" s="10">
        <v>575</v>
      </c>
      <c r="G590" s="12" t="s">
        <v>13</v>
      </c>
      <c r="H590" s="13">
        <v>35.200000000000003</v>
      </c>
      <c r="I590" s="14"/>
      <c r="J590" s="14">
        <v>36.1</v>
      </c>
      <c r="K590" s="14"/>
      <c r="L590" s="13">
        <v>7.3</v>
      </c>
      <c r="M590" s="13">
        <v>4.3</v>
      </c>
      <c r="P590" s="12" t="s">
        <v>14</v>
      </c>
      <c r="Q590" s="12"/>
      <c r="R590" s="12"/>
      <c r="T590">
        <f t="shared" si="29"/>
        <v>11.204507993669433</v>
      </c>
      <c r="U590">
        <f t="shared" si="27"/>
        <v>11.490986891234844</v>
      </c>
      <c r="V590">
        <f t="shared" si="28"/>
        <v>0.28647889756541112</v>
      </c>
    </row>
    <row r="591" spans="1:23">
      <c r="A591" s="9">
        <v>0</v>
      </c>
      <c r="B591" s="12">
        <v>20</v>
      </c>
      <c r="C591" s="11">
        <v>6.0918837271439479</v>
      </c>
      <c r="D591" s="11">
        <v>26.624873784077607</v>
      </c>
      <c r="E591" s="11"/>
      <c r="F591" s="10">
        <v>41</v>
      </c>
      <c r="G591" s="12" t="s">
        <v>11</v>
      </c>
      <c r="H591" s="13">
        <v>35.4</v>
      </c>
      <c r="I591" s="14"/>
      <c r="J591" s="14" t="s">
        <v>70</v>
      </c>
      <c r="K591" s="14"/>
      <c r="L591" s="13">
        <v>4</v>
      </c>
      <c r="M591" s="13"/>
      <c r="P591" s="12" t="s">
        <v>12</v>
      </c>
      <c r="Q591" s="12"/>
      <c r="R591" s="12" t="s">
        <v>16</v>
      </c>
      <c r="T591">
        <f t="shared" si="29"/>
        <v>11.26816997090619</v>
      </c>
      <c r="U591" t="str">
        <f t="shared" si="27"/>
        <v>dead</v>
      </c>
      <c r="V591" t="e">
        <f t="shared" si="28"/>
        <v>#VALUE!</v>
      </c>
    </row>
    <row r="592" spans="1:23">
      <c r="A592" s="12">
        <v>40</v>
      </c>
      <c r="B592" s="12">
        <v>0</v>
      </c>
      <c r="C592" s="11">
        <v>49.011636361915841</v>
      </c>
      <c r="D592" s="11">
        <v>7.869739433638161</v>
      </c>
      <c r="E592" s="11"/>
      <c r="F592" s="12">
        <v>278</v>
      </c>
      <c r="G592" s="12" t="s">
        <v>11</v>
      </c>
      <c r="H592" s="13">
        <v>36</v>
      </c>
      <c r="I592" s="14"/>
      <c r="J592" s="14" t="s">
        <v>70</v>
      </c>
      <c r="K592" s="14"/>
      <c r="L592" s="13">
        <v>10</v>
      </c>
      <c r="M592" s="13"/>
      <c r="P592" s="12" t="s">
        <v>12</v>
      </c>
      <c r="Q592" s="12"/>
      <c r="R592" s="12"/>
      <c r="T592">
        <f t="shared" si="29"/>
        <v>11.459155902616464</v>
      </c>
      <c r="U592" t="str">
        <f t="shared" si="27"/>
        <v>dead</v>
      </c>
      <c r="V592" t="e">
        <f t="shared" si="28"/>
        <v>#VALUE!</v>
      </c>
    </row>
    <row r="593" spans="1:23">
      <c r="A593" s="12">
        <v>20</v>
      </c>
      <c r="B593" s="12">
        <v>-20</v>
      </c>
      <c r="C593" s="11">
        <v>27.816973727695228</v>
      </c>
      <c r="D593" s="11">
        <v>-18.819040245306269</v>
      </c>
      <c r="E593" s="11"/>
      <c r="F593" s="12">
        <v>562</v>
      </c>
      <c r="G593" s="12" t="s">
        <v>13</v>
      </c>
      <c r="H593" s="13">
        <v>36</v>
      </c>
      <c r="I593" s="14"/>
      <c r="J593" s="14">
        <v>36.6</v>
      </c>
      <c r="K593" s="14"/>
      <c r="L593" s="13">
        <v>9.1999999999999993</v>
      </c>
      <c r="M593" s="13">
        <v>3.3</v>
      </c>
      <c r="P593" s="12" t="s">
        <v>14</v>
      </c>
      <c r="Q593" s="12"/>
      <c r="R593" s="12"/>
      <c r="T593">
        <f t="shared" si="29"/>
        <v>11.459155902616464</v>
      </c>
      <c r="U593">
        <f t="shared" si="27"/>
        <v>11.650141834326739</v>
      </c>
      <c r="V593">
        <f t="shared" si="28"/>
        <v>0.19098593171027467</v>
      </c>
    </row>
    <row r="594" spans="1:23">
      <c r="A594" s="12">
        <v>0</v>
      </c>
      <c r="B594" s="12">
        <v>-50</v>
      </c>
      <c r="C594" s="11">
        <v>8.2400703001238895</v>
      </c>
      <c r="D594" s="11">
        <v>-43.791443979738325</v>
      </c>
      <c r="E594" s="11"/>
      <c r="F594" s="10">
        <v>809</v>
      </c>
      <c r="G594" s="12" t="s">
        <v>11</v>
      </c>
      <c r="H594" s="13">
        <v>36.200000000000003</v>
      </c>
      <c r="I594" s="14"/>
      <c r="J594" s="14">
        <v>36.6</v>
      </c>
      <c r="K594" s="14"/>
      <c r="L594" s="13">
        <v>9.3000000000000007</v>
      </c>
      <c r="M594" s="13">
        <v>4.3</v>
      </c>
      <c r="P594" s="12" t="s">
        <v>14</v>
      </c>
      <c r="Q594" s="12"/>
      <c r="R594" s="12"/>
      <c r="T594">
        <f t="shared" si="29"/>
        <v>11.522817879853223</v>
      </c>
      <c r="U594">
        <f t="shared" si="27"/>
        <v>11.650141834326739</v>
      </c>
      <c r="V594">
        <f t="shared" si="28"/>
        <v>0.12732395447351585</v>
      </c>
    </row>
    <row r="595" spans="1:23">
      <c r="A595" s="12">
        <v>30</v>
      </c>
      <c r="B595" s="12">
        <v>-10</v>
      </c>
      <c r="C595" s="11">
        <v>32.700022916406624</v>
      </c>
      <c r="D595" s="11">
        <v>-4.0462839688971055</v>
      </c>
      <c r="E595" s="11"/>
      <c r="F595" s="10">
        <v>423</v>
      </c>
      <c r="G595" s="12" t="s">
        <v>13</v>
      </c>
      <c r="H595" s="13">
        <v>36.5</v>
      </c>
      <c r="I595" s="14"/>
      <c r="J595" s="14">
        <v>37</v>
      </c>
      <c r="K595" s="14"/>
      <c r="L595" s="13">
        <v>8.1</v>
      </c>
      <c r="M595" s="13">
        <v>3.1</v>
      </c>
      <c r="P595" s="12" t="s">
        <v>14</v>
      </c>
      <c r="Q595" s="12"/>
      <c r="R595" s="12" t="s">
        <v>34</v>
      </c>
      <c r="T595">
        <f t="shared" si="29"/>
        <v>11.618310845708359</v>
      </c>
      <c r="U595">
        <f t="shared" si="27"/>
        <v>11.777465788800255</v>
      </c>
      <c r="V595">
        <f t="shared" si="28"/>
        <v>0.15915494309189526</v>
      </c>
    </row>
    <row r="596" spans="1:23">
      <c r="A596" s="12">
        <v>20</v>
      </c>
      <c r="B596" s="12">
        <v>10</v>
      </c>
      <c r="C596" s="11">
        <v>27.91934640397676</v>
      </c>
      <c r="D596" s="11">
        <v>12.973972118584976</v>
      </c>
      <c r="E596" s="11"/>
      <c r="F596" s="12">
        <v>160</v>
      </c>
      <c r="G596" s="12" t="s">
        <v>21</v>
      </c>
      <c r="H596" s="13">
        <v>36.6</v>
      </c>
      <c r="I596" s="14"/>
      <c r="J596" s="14">
        <v>39.299999999999997</v>
      </c>
      <c r="K596" s="14"/>
      <c r="L596" s="13">
        <v>11.5</v>
      </c>
      <c r="M596" s="13">
        <v>2.8</v>
      </c>
      <c r="P596" s="12" t="s">
        <v>14</v>
      </c>
      <c r="Q596" s="12"/>
      <c r="R596" s="12"/>
      <c r="T596">
        <f t="shared" si="29"/>
        <v>11.650141834326739</v>
      </c>
      <c r="U596">
        <f t="shared" si="27"/>
        <v>12.509578527022972</v>
      </c>
      <c r="V596">
        <f t="shared" si="28"/>
        <v>0.85943669269623335</v>
      </c>
    </row>
    <row r="597" spans="1:23">
      <c r="A597" s="12">
        <v>40</v>
      </c>
      <c r="B597" s="12">
        <v>-30</v>
      </c>
      <c r="C597" s="11">
        <v>48.053490775127813</v>
      </c>
      <c r="D597" s="11">
        <v>-23.804467220567812</v>
      </c>
      <c r="E597" s="11"/>
      <c r="F597" s="12">
        <v>698</v>
      </c>
      <c r="G597" s="12" t="s">
        <v>13</v>
      </c>
      <c r="H597" s="13">
        <v>36.700000000000003</v>
      </c>
      <c r="I597" s="14"/>
      <c r="J597" s="14" t="s">
        <v>70</v>
      </c>
      <c r="K597" s="14"/>
      <c r="L597" s="13">
        <v>6.4</v>
      </c>
      <c r="M597" s="13"/>
      <c r="P597" s="12" t="s">
        <v>12</v>
      </c>
      <c r="Q597" s="12"/>
      <c r="R597" s="12"/>
      <c r="S597" t="s">
        <v>127</v>
      </c>
      <c r="T597">
        <f t="shared" si="29"/>
        <v>11.681972822945118</v>
      </c>
      <c r="U597" t="str">
        <f t="shared" si="27"/>
        <v>dead</v>
      </c>
      <c r="V597" t="e">
        <f t="shared" si="28"/>
        <v>#VALUE!</v>
      </c>
    </row>
    <row r="598" spans="1:23">
      <c r="A598" s="12">
        <v>30</v>
      </c>
      <c r="B598" s="12">
        <v>20</v>
      </c>
      <c r="C598" s="11">
        <v>35.139414580817089</v>
      </c>
      <c r="D598" s="11">
        <v>25.434778538862901</v>
      </c>
      <c r="E598" s="11"/>
      <c r="F598" s="12">
        <v>208</v>
      </c>
      <c r="G598" s="12" t="s">
        <v>11</v>
      </c>
      <c r="H598" s="13">
        <v>37</v>
      </c>
      <c r="I598" s="14"/>
      <c r="J598" s="14" t="s">
        <v>70</v>
      </c>
      <c r="K598" s="14"/>
      <c r="L598" s="13">
        <v>4.3</v>
      </c>
      <c r="M598" s="13"/>
      <c r="P598" s="12" t="s">
        <v>12</v>
      </c>
      <c r="Q598" s="12"/>
      <c r="R598" s="12" t="s">
        <v>16</v>
      </c>
      <c r="T598">
        <f t="shared" si="29"/>
        <v>11.777465788800255</v>
      </c>
      <c r="U598" t="str">
        <f t="shared" si="27"/>
        <v>dead</v>
      </c>
      <c r="V598" t="e">
        <f t="shared" si="28"/>
        <v>#VALUE!</v>
      </c>
    </row>
    <row r="599" spans="1:23">
      <c r="A599" s="12">
        <v>0</v>
      </c>
      <c r="B599" s="12">
        <v>-50</v>
      </c>
      <c r="C599" s="11">
        <v>7.1191281745700135</v>
      </c>
      <c r="D599" s="11">
        <v>-48.272737003280334</v>
      </c>
      <c r="E599" s="11"/>
      <c r="F599" s="10">
        <v>807</v>
      </c>
      <c r="G599" s="12" t="s">
        <v>11</v>
      </c>
      <c r="H599" s="13">
        <v>37.4</v>
      </c>
      <c r="I599" s="14"/>
      <c r="J599" s="14">
        <v>38.4</v>
      </c>
      <c r="K599" s="14"/>
      <c r="L599" s="13">
        <v>11.2</v>
      </c>
      <c r="M599" s="13">
        <v>5.0999999999999996</v>
      </c>
      <c r="P599" s="12" t="s">
        <v>14</v>
      </c>
      <c r="Q599" s="12"/>
      <c r="R599" s="12"/>
      <c r="T599">
        <f t="shared" si="29"/>
        <v>11.904789743273771</v>
      </c>
      <c r="U599">
        <f t="shared" si="27"/>
        <v>12.223099629457561</v>
      </c>
      <c r="V599">
        <f t="shared" si="28"/>
        <v>0.31830988618379052</v>
      </c>
    </row>
    <row r="600" spans="1:23">
      <c r="A600" s="12">
        <v>20</v>
      </c>
      <c r="B600" s="12">
        <v>0</v>
      </c>
      <c r="C600" s="11">
        <v>22.479514615325314</v>
      </c>
      <c r="D600" s="11">
        <v>3.6348324957813607</v>
      </c>
      <c r="E600" s="11"/>
      <c r="F600" s="12">
        <v>122</v>
      </c>
      <c r="G600" s="12" t="s">
        <v>21</v>
      </c>
      <c r="H600" s="13">
        <v>37.6</v>
      </c>
      <c r="I600" s="14"/>
      <c r="J600" s="14">
        <v>38.5</v>
      </c>
      <c r="K600" s="14"/>
      <c r="L600" s="13">
        <v>10.5</v>
      </c>
      <c r="M600" s="13">
        <v>3.2</v>
      </c>
      <c r="P600" s="12" t="s">
        <v>14</v>
      </c>
      <c r="Q600" s="12"/>
      <c r="R600" s="12"/>
      <c r="T600">
        <f t="shared" si="29"/>
        <v>11.968451720510529</v>
      </c>
      <c r="U600">
        <f t="shared" si="27"/>
        <v>12.254930618075941</v>
      </c>
      <c r="V600">
        <f t="shared" si="28"/>
        <v>0.28647889756541112</v>
      </c>
    </row>
    <row r="601" spans="1:23">
      <c r="A601" s="12">
        <v>0</v>
      </c>
      <c r="B601" s="12">
        <v>-50</v>
      </c>
      <c r="C601" s="11">
        <v>2.6202140931912341</v>
      </c>
      <c r="D601" s="11">
        <v>-43.363162197942096</v>
      </c>
      <c r="E601" s="11"/>
      <c r="F601" s="10">
        <v>803</v>
      </c>
      <c r="G601" s="12" t="s">
        <v>11</v>
      </c>
      <c r="H601" s="13">
        <v>37.700000000000003</v>
      </c>
      <c r="I601" s="14"/>
      <c r="J601" s="14">
        <v>38.9</v>
      </c>
      <c r="K601" s="14"/>
      <c r="L601" s="13">
        <v>11.4</v>
      </c>
      <c r="M601" s="13">
        <v>5</v>
      </c>
      <c r="P601" s="12" t="s">
        <v>14</v>
      </c>
      <c r="Q601" s="12"/>
      <c r="R601" s="12"/>
      <c r="T601">
        <f t="shared" si="29"/>
        <v>12.000282709128909</v>
      </c>
      <c r="U601">
        <f t="shared" si="27"/>
        <v>12.382254572549456</v>
      </c>
      <c r="V601">
        <f t="shared" si="28"/>
        <v>0.38197186342054756</v>
      </c>
    </row>
    <row r="602" spans="1:23">
      <c r="A602" s="12">
        <v>30</v>
      </c>
      <c r="B602" s="12">
        <v>0</v>
      </c>
      <c r="C602" s="11">
        <v>35.396556682889127</v>
      </c>
      <c r="D602" s="11">
        <v>9.324486168716339</v>
      </c>
      <c r="E602" s="11"/>
      <c r="F602" s="12">
        <v>244</v>
      </c>
      <c r="G602" s="12" t="s">
        <v>11</v>
      </c>
      <c r="H602" s="13">
        <v>37.9</v>
      </c>
      <c r="I602" s="14"/>
      <c r="J602" s="14" t="s">
        <v>70</v>
      </c>
      <c r="K602" s="14"/>
      <c r="L602" s="13">
        <v>9</v>
      </c>
      <c r="M602" s="13"/>
      <c r="P602" s="12" t="s">
        <v>12</v>
      </c>
      <c r="Q602" s="12"/>
      <c r="R602" s="12"/>
      <c r="T602">
        <f t="shared" si="29"/>
        <v>12.063944686365666</v>
      </c>
      <c r="U602" t="str">
        <f t="shared" si="27"/>
        <v>dead</v>
      </c>
      <c r="V602" t="e">
        <f t="shared" si="28"/>
        <v>#VALUE!</v>
      </c>
    </row>
    <row r="603" spans="1:23">
      <c r="A603" s="12">
        <v>10</v>
      </c>
      <c r="B603" s="12">
        <v>-50</v>
      </c>
      <c r="C603" s="11">
        <v>11.166274455480494</v>
      </c>
      <c r="D603" s="11">
        <v>-48.442375846327636</v>
      </c>
      <c r="E603" s="11"/>
      <c r="F603" s="10">
        <v>811</v>
      </c>
      <c r="G603" s="12" t="s">
        <v>11</v>
      </c>
      <c r="H603" s="13">
        <v>37.9</v>
      </c>
      <c r="I603" s="14"/>
      <c r="J603" s="14">
        <v>37.4</v>
      </c>
      <c r="K603" s="14"/>
      <c r="L603" s="13">
        <v>10.6</v>
      </c>
      <c r="M603" s="13">
        <v>6.1</v>
      </c>
      <c r="P603" s="12" t="s">
        <v>14</v>
      </c>
      <c r="Q603" s="12"/>
      <c r="R603" s="12"/>
      <c r="T603">
        <f t="shared" si="29"/>
        <v>12.063944686365666</v>
      </c>
      <c r="U603">
        <f t="shared" si="27"/>
        <v>11.904789743273771</v>
      </c>
      <c r="V603">
        <f t="shared" si="28"/>
        <v>-0.15915494309189526</v>
      </c>
    </row>
    <row r="604" spans="1:23">
      <c r="A604" s="9">
        <v>10</v>
      </c>
      <c r="B604" s="9">
        <v>-20</v>
      </c>
      <c r="C604" s="11">
        <v>17.002655475487977</v>
      </c>
      <c r="D604" s="11">
        <v>-10.07550079607055</v>
      </c>
      <c r="E604" s="11"/>
      <c r="F604" s="10">
        <v>409</v>
      </c>
      <c r="G604" s="12" t="s">
        <v>13</v>
      </c>
      <c r="H604" s="13">
        <v>38</v>
      </c>
      <c r="I604" s="14"/>
      <c r="J604" s="14" t="s">
        <v>70</v>
      </c>
      <c r="K604" s="14"/>
      <c r="L604" s="13">
        <v>2.8</v>
      </c>
      <c r="M604" s="13"/>
      <c r="P604" s="12" t="s">
        <v>12</v>
      </c>
      <c r="Q604" s="12"/>
      <c r="R604" s="12" t="s">
        <v>16</v>
      </c>
      <c r="T604">
        <f t="shared" si="29"/>
        <v>12.095775674984045</v>
      </c>
      <c r="U604" t="str">
        <f t="shared" si="27"/>
        <v>dead</v>
      </c>
      <c r="V604" t="e">
        <f t="shared" si="28"/>
        <v>#VALUE!</v>
      </c>
    </row>
    <row r="605" spans="1:23">
      <c r="A605" s="12">
        <v>10</v>
      </c>
      <c r="B605" s="12">
        <v>20</v>
      </c>
      <c r="C605" s="11">
        <v>19.288186164934192</v>
      </c>
      <c r="D605" s="11">
        <v>28.62802262785867</v>
      </c>
      <c r="E605" s="11"/>
      <c r="F605" s="10">
        <v>91</v>
      </c>
      <c r="G605" s="12" t="s">
        <v>13</v>
      </c>
      <c r="H605" s="13">
        <v>38.200000000000003</v>
      </c>
      <c r="I605" s="14"/>
      <c r="J605" s="14">
        <v>38.700000000000003</v>
      </c>
      <c r="K605" s="14"/>
      <c r="L605" s="13">
        <v>7.4</v>
      </c>
      <c r="M605" s="13">
        <v>2.8</v>
      </c>
      <c r="P605" s="12" t="s">
        <v>14</v>
      </c>
      <c r="Q605" s="12"/>
      <c r="R605" s="12" t="s">
        <v>18</v>
      </c>
      <c r="T605">
        <f t="shared" si="29"/>
        <v>12.159437652220806</v>
      </c>
      <c r="U605">
        <f t="shared" si="27"/>
        <v>12.318592595312701</v>
      </c>
      <c r="V605">
        <f t="shared" si="28"/>
        <v>0.15915494309189526</v>
      </c>
    </row>
    <row r="606" spans="1:23">
      <c r="A606" s="12">
        <v>40</v>
      </c>
      <c r="B606" s="12">
        <v>-20</v>
      </c>
      <c r="C606" s="11">
        <v>49.112968455015206</v>
      </c>
      <c r="D606" s="11">
        <v>-16.596689013277626</v>
      </c>
      <c r="E606" s="11"/>
      <c r="F606" s="10">
        <v>507</v>
      </c>
      <c r="G606" s="12" t="s">
        <v>13</v>
      </c>
      <c r="H606" s="13">
        <v>38.200000000000003</v>
      </c>
      <c r="I606" s="14"/>
      <c r="J606" s="14" t="s">
        <v>70</v>
      </c>
      <c r="K606" s="14"/>
      <c r="L606" s="13">
        <v>7.8</v>
      </c>
      <c r="M606" s="13"/>
      <c r="P606" s="12" t="s">
        <v>12</v>
      </c>
      <c r="Q606" s="12"/>
      <c r="R606" s="12"/>
      <c r="T606">
        <f t="shared" si="29"/>
        <v>12.159437652220806</v>
      </c>
      <c r="U606" t="str">
        <f t="shared" si="27"/>
        <v>dead</v>
      </c>
      <c r="V606" t="e">
        <f t="shared" si="28"/>
        <v>#VALUE!</v>
      </c>
    </row>
    <row r="607" spans="1:23">
      <c r="A607" s="12">
        <v>50</v>
      </c>
      <c r="B607" s="12">
        <v>-30</v>
      </c>
      <c r="C607" s="11">
        <v>50.215139710240834</v>
      </c>
      <c r="D607" s="11">
        <v>-27.437723206428444</v>
      </c>
      <c r="E607" s="11"/>
      <c r="F607" s="12">
        <v>2008</v>
      </c>
      <c r="G607" s="12" t="s">
        <v>13</v>
      </c>
      <c r="H607" s="13">
        <v>38.4</v>
      </c>
      <c r="I607" s="14"/>
      <c r="J607" s="14">
        <v>38.799999999999997</v>
      </c>
      <c r="K607" s="14"/>
      <c r="L607" s="13"/>
      <c r="M607" s="13"/>
      <c r="N607">
        <v>8</v>
      </c>
      <c r="O607">
        <v>3.7</v>
      </c>
      <c r="P607" s="12"/>
      <c r="Q607" s="12"/>
      <c r="R607" s="12" t="s">
        <v>57</v>
      </c>
      <c r="S607" t="s">
        <v>142</v>
      </c>
      <c r="T607">
        <f t="shared" si="29"/>
        <v>12.223099629457561</v>
      </c>
      <c r="U607">
        <f t="shared" si="27"/>
        <v>12.350423583931077</v>
      </c>
      <c r="V607">
        <f t="shared" si="28"/>
        <v>0.12732395447351585</v>
      </c>
      <c r="W607" s="27"/>
    </row>
    <row r="608" spans="1:23" s="27" customFormat="1">
      <c r="A608" s="9">
        <v>0</v>
      </c>
      <c r="B608" s="9">
        <v>0</v>
      </c>
      <c r="C608" s="11">
        <v>9.4845444850729379</v>
      </c>
      <c r="D608" s="11">
        <v>3.8616039870230532</v>
      </c>
      <c r="E608" s="11"/>
      <c r="F608" s="10">
        <v>17</v>
      </c>
      <c r="G608" s="12" t="s">
        <v>11</v>
      </c>
      <c r="H608" s="13">
        <v>39.200000000000003</v>
      </c>
      <c r="I608" s="14"/>
      <c r="J608" s="14" t="s">
        <v>70</v>
      </c>
      <c r="K608" s="14"/>
      <c r="L608" s="13">
        <v>9.4</v>
      </c>
      <c r="M608" s="13"/>
      <c r="N608"/>
      <c r="O608"/>
      <c r="P608" s="12" t="s">
        <v>12</v>
      </c>
      <c r="Q608" s="12"/>
      <c r="R608" s="12"/>
      <c r="S608"/>
      <c r="T608">
        <f t="shared" si="29"/>
        <v>12.477747538404596</v>
      </c>
      <c r="U608" t="str">
        <f t="shared" si="27"/>
        <v>dead</v>
      </c>
      <c r="V608" t="e">
        <f t="shared" si="28"/>
        <v>#VALUE!</v>
      </c>
      <c r="W608"/>
    </row>
    <row r="609" spans="1:22">
      <c r="A609" s="12">
        <v>10</v>
      </c>
      <c r="B609" s="12">
        <v>40</v>
      </c>
      <c r="C609" s="11">
        <v>12.792044209999499</v>
      </c>
      <c r="D609" s="11">
        <v>41.998943053065361</v>
      </c>
      <c r="E609" s="11"/>
      <c r="F609" s="12">
        <v>82</v>
      </c>
      <c r="G609" s="12" t="s">
        <v>11</v>
      </c>
      <c r="H609" s="13">
        <v>39.299999999999997</v>
      </c>
      <c r="I609" s="14"/>
      <c r="J609" s="14" t="s">
        <v>70</v>
      </c>
      <c r="K609" s="14"/>
      <c r="L609" s="13">
        <v>8.4</v>
      </c>
      <c r="M609" s="13"/>
      <c r="P609" s="12" t="s">
        <v>12</v>
      </c>
      <c r="Q609" s="12"/>
      <c r="R609" s="12"/>
      <c r="T609">
        <f t="shared" si="29"/>
        <v>12.509578527022972</v>
      </c>
      <c r="U609" t="str">
        <f t="shared" si="27"/>
        <v>dead</v>
      </c>
      <c r="V609" t="e">
        <f t="shared" si="28"/>
        <v>#VALUE!</v>
      </c>
    </row>
    <row r="610" spans="1:22">
      <c r="A610" s="12">
        <v>20</v>
      </c>
      <c r="B610" s="12">
        <v>40</v>
      </c>
      <c r="C610" s="11">
        <v>26.125615719030783</v>
      </c>
      <c r="D610" s="11">
        <v>47.274402522734292</v>
      </c>
      <c r="E610" s="11"/>
      <c r="F610" s="10">
        <v>195</v>
      </c>
      <c r="G610" s="12" t="s">
        <v>13</v>
      </c>
      <c r="H610" s="13">
        <v>39.4</v>
      </c>
      <c r="I610" s="14"/>
      <c r="J610" s="14">
        <v>38.200000000000003</v>
      </c>
      <c r="K610" s="14"/>
      <c r="L610" s="13">
        <v>9.6999999999999993</v>
      </c>
      <c r="M610" s="13">
        <v>4.2</v>
      </c>
      <c r="P610" s="12" t="s">
        <v>14</v>
      </c>
      <c r="Q610" s="12"/>
      <c r="R610" s="12"/>
      <c r="T610">
        <f t="shared" si="29"/>
        <v>12.541409515641352</v>
      </c>
      <c r="U610">
        <f t="shared" si="27"/>
        <v>12.159437652220806</v>
      </c>
      <c r="V610">
        <f t="shared" si="28"/>
        <v>-0.38197186342054579</v>
      </c>
    </row>
    <row r="611" spans="1:22">
      <c r="A611" s="12">
        <v>0</v>
      </c>
      <c r="B611" s="12">
        <v>-40</v>
      </c>
      <c r="C611" s="11">
        <v>8.2807998791533848</v>
      </c>
      <c r="D611" s="11">
        <v>-36.859816733933989</v>
      </c>
      <c r="E611" s="11"/>
      <c r="F611" s="12">
        <v>726</v>
      </c>
      <c r="G611" s="12" t="s">
        <v>11</v>
      </c>
      <c r="H611" s="13">
        <v>39.5</v>
      </c>
      <c r="I611" s="14"/>
      <c r="J611" s="14" t="s">
        <v>70</v>
      </c>
      <c r="K611" s="14"/>
      <c r="L611" s="13">
        <v>9</v>
      </c>
      <c r="M611" s="13">
        <v>1.8</v>
      </c>
      <c r="P611" s="12" t="s">
        <v>14</v>
      </c>
      <c r="Q611" s="12"/>
      <c r="R611" s="12"/>
      <c r="T611">
        <f t="shared" si="29"/>
        <v>12.573240504259733</v>
      </c>
      <c r="U611" t="str">
        <f t="shared" si="27"/>
        <v>dead</v>
      </c>
      <c r="V611" t="e">
        <f t="shared" si="28"/>
        <v>#VALUE!</v>
      </c>
    </row>
    <row r="612" spans="1:22">
      <c r="A612" s="12">
        <v>0</v>
      </c>
      <c r="B612" s="12">
        <v>-50</v>
      </c>
      <c r="C612" s="11">
        <v>3.6412415325252461</v>
      </c>
      <c r="D612" s="11">
        <v>-45.488733073516883</v>
      </c>
      <c r="E612" s="11"/>
      <c r="F612" s="12">
        <v>804</v>
      </c>
      <c r="G612" s="12" t="s">
        <v>11</v>
      </c>
      <c r="H612" s="13">
        <v>39.5</v>
      </c>
      <c r="I612" s="14"/>
      <c r="J612" s="14">
        <v>39.9</v>
      </c>
      <c r="K612" s="14"/>
      <c r="L612" s="13">
        <v>12.6</v>
      </c>
      <c r="M612" s="13">
        <v>6.4</v>
      </c>
      <c r="P612" s="12" t="s">
        <v>14</v>
      </c>
      <c r="Q612" s="12"/>
      <c r="R612" s="12" t="s">
        <v>54</v>
      </c>
      <c r="T612">
        <f t="shared" si="29"/>
        <v>12.573240504259733</v>
      </c>
      <c r="U612">
        <f t="shared" si="27"/>
        <v>12.700564458733249</v>
      </c>
      <c r="V612">
        <f t="shared" si="28"/>
        <v>0.12732395447351585</v>
      </c>
    </row>
    <row r="613" spans="1:22">
      <c r="A613" s="12">
        <v>30</v>
      </c>
      <c r="B613" s="12">
        <v>40</v>
      </c>
      <c r="C613" s="11">
        <v>37.972624291761235</v>
      </c>
      <c r="D613" s="11">
        <v>45.943877191462981</v>
      </c>
      <c r="E613" s="11"/>
      <c r="F613" s="12">
        <v>200</v>
      </c>
      <c r="G613" s="12" t="s">
        <v>13</v>
      </c>
      <c r="H613" s="13">
        <v>39.700000000000003</v>
      </c>
      <c r="I613" s="14"/>
      <c r="J613" s="14">
        <v>40.6</v>
      </c>
      <c r="K613" s="14"/>
      <c r="L613" s="13">
        <v>10.7</v>
      </c>
      <c r="M613" s="13">
        <v>2.9</v>
      </c>
      <c r="P613" s="12" t="s">
        <v>14</v>
      </c>
      <c r="Q613" s="12"/>
      <c r="R613" s="12"/>
      <c r="T613">
        <f t="shared" si="29"/>
        <v>12.636902481496492</v>
      </c>
      <c r="U613">
        <f t="shared" si="27"/>
        <v>12.923381379061903</v>
      </c>
      <c r="V613">
        <f t="shared" si="28"/>
        <v>0.28647889756541112</v>
      </c>
    </row>
    <row r="614" spans="1:22">
      <c r="A614" s="12">
        <v>10</v>
      </c>
      <c r="B614" s="12">
        <v>-20</v>
      </c>
      <c r="C614" s="11">
        <v>11.930988836250952</v>
      </c>
      <c r="D614" s="11">
        <v>-17.142613284958919</v>
      </c>
      <c r="E614" s="11"/>
      <c r="F614" s="12">
        <v>578</v>
      </c>
      <c r="G614" s="12" t="s">
        <v>11</v>
      </c>
      <c r="H614" s="13">
        <v>40</v>
      </c>
      <c r="I614" s="14"/>
      <c r="J614" s="14" t="s">
        <v>70</v>
      </c>
      <c r="K614" s="14"/>
      <c r="L614" s="13">
        <v>6.4</v>
      </c>
      <c r="M614" s="13"/>
      <c r="P614" s="12" t="s">
        <v>12</v>
      </c>
      <c r="Q614" s="12"/>
      <c r="R614" s="12" t="s">
        <v>16</v>
      </c>
      <c r="T614">
        <f t="shared" si="29"/>
        <v>12.732395447351628</v>
      </c>
      <c r="U614" t="str">
        <f t="shared" si="27"/>
        <v>dead</v>
      </c>
      <c r="V614" t="e">
        <f t="shared" si="28"/>
        <v>#VALUE!</v>
      </c>
    </row>
    <row r="615" spans="1:22">
      <c r="A615" s="12">
        <v>0</v>
      </c>
      <c r="B615" s="12">
        <v>-30</v>
      </c>
      <c r="C615" s="11">
        <v>9.3207208494274312</v>
      </c>
      <c r="D615" s="11">
        <v>-23.663665790959932</v>
      </c>
      <c r="E615" s="11"/>
      <c r="F615" s="10">
        <v>607</v>
      </c>
      <c r="G615" s="12" t="s">
        <v>11</v>
      </c>
      <c r="H615" s="13">
        <v>40</v>
      </c>
      <c r="I615" s="14"/>
      <c r="J615" s="14" t="s">
        <v>70</v>
      </c>
      <c r="K615" s="14"/>
      <c r="L615" s="13">
        <v>10.5</v>
      </c>
      <c r="M615" s="13"/>
      <c r="P615" s="12" t="s">
        <v>12</v>
      </c>
      <c r="Q615" s="12"/>
      <c r="R615" s="12"/>
      <c r="T615">
        <f t="shared" si="29"/>
        <v>12.732395447351628</v>
      </c>
      <c r="U615" t="str">
        <f t="shared" si="27"/>
        <v>dead</v>
      </c>
      <c r="V615" t="e">
        <f t="shared" si="28"/>
        <v>#VALUE!</v>
      </c>
    </row>
    <row r="616" spans="1:22">
      <c r="A616" s="9">
        <v>0</v>
      </c>
      <c r="B616" s="12">
        <v>20</v>
      </c>
      <c r="C616" s="11">
        <v>6.420031139275026</v>
      </c>
      <c r="D616" s="11">
        <v>24.873068865790739</v>
      </c>
      <c r="E616" s="11"/>
      <c r="F616" s="12">
        <v>40</v>
      </c>
      <c r="G616" s="12" t="s">
        <v>11</v>
      </c>
      <c r="H616" s="13">
        <v>40.4</v>
      </c>
      <c r="I616" s="14"/>
      <c r="J616" s="14" t="s">
        <v>70</v>
      </c>
      <c r="K616" s="14"/>
      <c r="L616" s="13">
        <v>8.1999999999999993</v>
      </c>
      <c r="M616" s="13"/>
      <c r="P616" s="12" t="s">
        <v>12</v>
      </c>
      <c r="Q616" s="12"/>
      <c r="R616" s="12" t="s">
        <v>16</v>
      </c>
      <c r="T616">
        <f t="shared" si="29"/>
        <v>12.859719401825144</v>
      </c>
      <c r="U616" t="str">
        <f t="shared" si="27"/>
        <v>dead</v>
      </c>
      <c r="V616" t="e">
        <f t="shared" si="28"/>
        <v>#VALUE!</v>
      </c>
    </row>
    <row r="617" spans="1:22">
      <c r="A617" s="12">
        <v>30</v>
      </c>
      <c r="B617" s="12">
        <v>40</v>
      </c>
      <c r="C617" s="11">
        <v>37.195101814616379</v>
      </c>
      <c r="D617" s="11">
        <v>45.587027258299045</v>
      </c>
      <c r="E617" s="11"/>
      <c r="F617" s="10">
        <v>203</v>
      </c>
      <c r="G617" s="12" t="s">
        <v>13</v>
      </c>
      <c r="H617" s="13">
        <v>40.4</v>
      </c>
      <c r="I617" s="14"/>
      <c r="J617" s="14">
        <v>42.2</v>
      </c>
      <c r="K617" s="14"/>
      <c r="L617" s="13">
        <v>8.3000000000000007</v>
      </c>
      <c r="M617" s="13">
        <v>1.9</v>
      </c>
      <c r="P617" s="12" t="s">
        <v>14</v>
      </c>
      <c r="Q617" s="12"/>
      <c r="R617" s="12"/>
      <c r="T617">
        <f t="shared" si="29"/>
        <v>12.859719401825144</v>
      </c>
      <c r="U617">
        <f t="shared" si="27"/>
        <v>13.432677196955968</v>
      </c>
      <c r="V617">
        <f t="shared" si="28"/>
        <v>0.57295779513082401</v>
      </c>
    </row>
    <row r="618" spans="1:22">
      <c r="A618" s="12">
        <v>0</v>
      </c>
      <c r="B618" s="12">
        <v>-50</v>
      </c>
      <c r="C618" s="11">
        <v>1.3122807443575066</v>
      </c>
      <c r="D618" s="11">
        <v>-43.563093337977357</v>
      </c>
      <c r="E618" s="11"/>
      <c r="F618" s="10">
        <v>801</v>
      </c>
      <c r="G618" s="12" t="s">
        <v>11</v>
      </c>
      <c r="H618" s="13">
        <v>40.5</v>
      </c>
      <c r="I618" s="14"/>
      <c r="J618" s="14">
        <v>42.8</v>
      </c>
      <c r="K618" s="14"/>
      <c r="L618" s="13">
        <v>12.3</v>
      </c>
      <c r="M618" s="13">
        <v>3.4</v>
      </c>
      <c r="P618" s="12" t="s">
        <v>14</v>
      </c>
      <c r="Q618" s="12"/>
      <c r="R618" s="12" t="s">
        <v>16</v>
      </c>
      <c r="T618">
        <f t="shared" si="29"/>
        <v>12.891550390443523</v>
      </c>
      <c r="U618">
        <f t="shared" si="27"/>
        <v>13.623663128666241</v>
      </c>
      <c r="V618">
        <f t="shared" si="28"/>
        <v>0.7321127382227175</v>
      </c>
    </row>
    <row r="619" spans="1:22">
      <c r="A619" s="12">
        <v>10</v>
      </c>
      <c r="B619" s="12">
        <v>20</v>
      </c>
      <c r="C619" s="11">
        <v>19.074849547210579</v>
      </c>
      <c r="D619" s="11">
        <v>28.29398063364512</v>
      </c>
      <c r="E619" s="11"/>
      <c r="F619" s="12">
        <v>94</v>
      </c>
      <c r="G619" s="12" t="s">
        <v>13</v>
      </c>
      <c r="H619" s="13">
        <v>40.6</v>
      </c>
      <c r="I619" s="14"/>
      <c r="J619" s="14">
        <v>42.8</v>
      </c>
      <c r="K619" s="14"/>
      <c r="L619" s="13">
        <v>6.4</v>
      </c>
      <c r="M619" s="13">
        <v>3.1</v>
      </c>
      <c r="P619" s="12" t="s">
        <v>14</v>
      </c>
      <c r="Q619" s="12"/>
      <c r="R619" s="12" t="s">
        <v>19</v>
      </c>
      <c r="T619">
        <f t="shared" si="29"/>
        <v>12.923381379061903</v>
      </c>
      <c r="U619">
        <f t="shared" si="27"/>
        <v>13.623663128666241</v>
      </c>
      <c r="V619">
        <f t="shared" si="28"/>
        <v>0.70028174960433809</v>
      </c>
    </row>
    <row r="620" spans="1:22">
      <c r="A620" s="12">
        <v>40</v>
      </c>
      <c r="B620" s="12">
        <v>20</v>
      </c>
      <c r="C620" s="11">
        <v>42.20210713056332</v>
      </c>
      <c r="D620" s="11">
        <v>29.671270938933304</v>
      </c>
      <c r="E620" s="11"/>
      <c r="F620" s="12">
        <v>302</v>
      </c>
      <c r="G620" s="12" t="s">
        <v>13</v>
      </c>
      <c r="H620" s="13">
        <v>40.6</v>
      </c>
      <c r="I620" s="14"/>
      <c r="J620" s="14">
        <v>40.9</v>
      </c>
      <c r="K620" s="14"/>
      <c r="L620" s="13">
        <v>8</v>
      </c>
      <c r="M620" s="13">
        <v>4</v>
      </c>
      <c r="P620" s="12" t="s">
        <v>14</v>
      </c>
      <c r="Q620" s="12"/>
      <c r="R620" s="12"/>
      <c r="T620">
        <f t="shared" si="29"/>
        <v>12.923381379061903</v>
      </c>
      <c r="U620">
        <f t="shared" si="27"/>
        <v>13.018874344917039</v>
      </c>
      <c r="V620">
        <f t="shared" si="28"/>
        <v>9.5492965855136447E-2</v>
      </c>
    </row>
    <row r="621" spans="1:22">
      <c r="A621" s="12">
        <v>20</v>
      </c>
      <c r="B621" s="12">
        <v>20</v>
      </c>
      <c r="C621" s="11">
        <v>30.004333579254549</v>
      </c>
      <c r="D621" s="11">
        <v>27.592263592948925</v>
      </c>
      <c r="E621" s="11"/>
      <c r="F621" s="10">
        <v>169</v>
      </c>
      <c r="G621" s="12" t="s">
        <v>11</v>
      </c>
      <c r="H621" s="13">
        <v>41</v>
      </c>
      <c r="I621" s="14"/>
      <c r="J621" s="14" t="s">
        <v>70</v>
      </c>
      <c r="K621" s="14"/>
      <c r="L621" s="13">
        <v>9.9</v>
      </c>
      <c r="M621" s="13"/>
      <c r="P621" s="12" t="s">
        <v>12</v>
      </c>
      <c r="Q621" s="12"/>
      <c r="R621" s="12"/>
      <c r="T621">
        <f t="shared" si="29"/>
        <v>13.050705333535419</v>
      </c>
      <c r="U621" t="str">
        <f t="shared" si="27"/>
        <v>dead</v>
      </c>
      <c r="V621" t="e">
        <f t="shared" si="28"/>
        <v>#VALUE!</v>
      </c>
    </row>
    <row r="622" spans="1:22">
      <c r="A622" s="12">
        <v>30</v>
      </c>
      <c r="B622" s="12">
        <v>10</v>
      </c>
      <c r="C622" s="11">
        <v>34.753410149350231</v>
      </c>
      <c r="D622" s="11">
        <v>11.281629054000154</v>
      </c>
      <c r="E622" s="11"/>
      <c r="F622" s="12">
        <v>238</v>
      </c>
      <c r="G622" s="12" t="s">
        <v>11</v>
      </c>
      <c r="H622" s="13">
        <v>41</v>
      </c>
      <c r="I622" s="14"/>
      <c r="J622" s="14" t="s">
        <v>70</v>
      </c>
      <c r="K622" s="14"/>
      <c r="L622" s="13">
        <v>8.1</v>
      </c>
      <c r="M622" s="13"/>
      <c r="P622" s="12" t="s">
        <v>12</v>
      </c>
      <c r="Q622" s="12"/>
      <c r="R622" s="12"/>
      <c r="T622">
        <f t="shared" si="29"/>
        <v>13.050705333535419</v>
      </c>
      <c r="U622" t="str">
        <f t="shared" si="27"/>
        <v>dead</v>
      </c>
      <c r="V622" t="e">
        <f t="shared" si="28"/>
        <v>#VALUE!</v>
      </c>
    </row>
    <row r="623" spans="1:22">
      <c r="A623" s="9">
        <v>0</v>
      </c>
      <c r="B623" s="9">
        <v>0</v>
      </c>
      <c r="C623" s="11">
        <v>2.9719342653964747</v>
      </c>
      <c r="D623" s="11">
        <v>8.7986707237015302</v>
      </c>
      <c r="E623" s="11"/>
      <c r="F623" s="10">
        <v>1</v>
      </c>
      <c r="G623" s="12" t="s">
        <v>11</v>
      </c>
      <c r="H623" s="13">
        <v>41.2</v>
      </c>
      <c r="I623" s="14"/>
      <c r="J623" s="14" t="s">
        <v>70</v>
      </c>
      <c r="K623" s="14"/>
      <c r="L623" s="13">
        <v>9</v>
      </c>
      <c r="M623" s="13"/>
      <c r="N623" s="32"/>
      <c r="O623" s="32"/>
      <c r="P623" s="12" t="s">
        <v>12</v>
      </c>
      <c r="Q623" s="12"/>
      <c r="R623" s="12"/>
      <c r="S623" s="32"/>
      <c r="T623">
        <f t="shared" si="29"/>
        <v>13.114367310772177</v>
      </c>
      <c r="U623" s="32" t="str">
        <f t="shared" si="27"/>
        <v>dead</v>
      </c>
      <c r="V623" t="e">
        <f t="shared" si="28"/>
        <v>#VALUE!</v>
      </c>
    </row>
    <row r="624" spans="1:22">
      <c r="A624" s="9">
        <v>0</v>
      </c>
      <c r="B624" s="12">
        <v>40</v>
      </c>
      <c r="C624" s="11">
        <v>4.8306923269049742</v>
      </c>
      <c r="D624" s="11">
        <v>46.320372558966213</v>
      </c>
      <c r="E624" s="11"/>
      <c r="F624" s="12">
        <v>70</v>
      </c>
      <c r="G624" s="12" t="s">
        <v>11</v>
      </c>
      <c r="H624" s="13">
        <v>41.3</v>
      </c>
      <c r="I624" s="14"/>
      <c r="J624" s="14">
        <v>44.5</v>
      </c>
      <c r="K624" s="14"/>
      <c r="L624" s="13">
        <v>9.6999999999999993</v>
      </c>
      <c r="M624" s="13">
        <v>1.2</v>
      </c>
      <c r="P624" s="12" t="s">
        <v>14</v>
      </c>
      <c r="Q624" s="12"/>
      <c r="R624" s="12"/>
      <c r="T624">
        <f t="shared" si="29"/>
        <v>13.146198299390555</v>
      </c>
      <c r="U624">
        <f t="shared" si="27"/>
        <v>14.164789935178685</v>
      </c>
      <c r="V624">
        <f t="shared" si="28"/>
        <v>1.0185916357881304</v>
      </c>
    </row>
    <row r="625" spans="1:23">
      <c r="A625" s="12">
        <v>40</v>
      </c>
      <c r="B625" s="12">
        <v>-30</v>
      </c>
      <c r="C625" s="11">
        <v>42.374703444130603</v>
      </c>
      <c r="D625" s="11">
        <v>-25.665581582664061</v>
      </c>
      <c r="E625" s="11"/>
      <c r="F625" s="12">
        <v>678</v>
      </c>
      <c r="G625" s="12" t="s">
        <v>13</v>
      </c>
      <c r="H625" s="13">
        <v>41.5</v>
      </c>
      <c r="I625" s="14"/>
      <c r="J625" s="14" t="s">
        <v>70</v>
      </c>
      <c r="K625" s="14"/>
      <c r="L625" s="13">
        <v>4.3</v>
      </c>
      <c r="M625" s="13"/>
      <c r="P625" s="12" t="s">
        <v>12</v>
      </c>
      <c r="Q625" s="12"/>
      <c r="R625" s="12" t="s">
        <v>16</v>
      </c>
      <c r="T625">
        <f t="shared" si="29"/>
        <v>13.209860276627314</v>
      </c>
      <c r="U625" t="str">
        <f t="shared" si="27"/>
        <v>dead</v>
      </c>
      <c r="V625" t="e">
        <f t="shared" si="28"/>
        <v>#VALUE!</v>
      </c>
    </row>
    <row r="626" spans="1:23">
      <c r="A626" s="12">
        <v>50</v>
      </c>
      <c r="B626" s="12">
        <v>-30</v>
      </c>
      <c r="C626" s="11">
        <v>50.215139710240834</v>
      </c>
      <c r="D626" s="11">
        <v>-27.437723206428444</v>
      </c>
      <c r="E626" s="11"/>
      <c r="F626" s="12">
        <v>2006</v>
      </c>
      <c r="G626" s="12" t="s">
        <v>13</v>
      </c>
      <c r="H626" s="13">
        <v>41.5</v>
      </c>
      <c r="I626" s="14"/>
      <c r="J626" s="14">
        <v>42</v>
      </c>
      <c r="K626" s="14"/>
      <c r="L626" s="13"/>
      <c r="M626" s="13"/>
      <c r="N626">
        <v>3.5</v>
      </c>
      <c r="O626">
        <v>2.1</v>
      </c>
      <c r="P626" s="12"/>
      <c r="Q626" s="12"/>
      <c r="R626" s="12" t="s">
        <v>57</v>
      </c>
      <c r="S626" t="s">
        <v>139</v>
      </c>
      <c r="T626">
        <f t="shared" si="29"/>
        <v>13.209860276627314</v>
      </c>
      <c r="U626">
        <f t="shared" si="27"/>
        <v>13.369015219719209</v>
      </c>
      <c r="V626">
        <f t="shared" si="28"/>
        <v>0.15915494309189526</v>
      </c>
    </row>
    <row r="627" spans="1:23">
      <c r="A627" s="9">
        <v>0</v>
      </c>
      <c r="B627" s="12">
        <v>20</v>
      </c>
      <c r="C627" s="11">
        <v>8.5072670275945281</v>
      </c>
      <c r="D627" s="11">
        <v>22.715015234064623</v>
      </c>
      <c r="E627" s="11"/>
      <c r="F627" s="10">
        <v>33</v>
      </c>
      <c r="G627" s="12" t="s">
        <v>13</v>
      </c>
      <c r="H627" s="13">
        <v>42.7</v>
      </c>
      <c r="I627" s="14"/>
      <c r="J627" s="14">
        <v>43</v>
      </c>
      <c r="K627" s="14"/>
      <c r="L627" s="13">
        <v>5.8</v>
      </c>
      <c r="M627" s="13">
        <v>1.9</v>
      </c>
      <c r="P627" s="12" t="s">
        <v>14</v>
      </c>
      <c r="Q627" s="12"/>
      <c r="R627" s="12" t="s">
        <v>15</v>
      </c>
      <c r="T627">
        <f t="shared" si="29"/>
        <v>13.591832140047863</v>
      </c>
      <c r="U627">
        <f t="shared" si="27"/>
        <v>13.687325105903</v>
      </c>
      <c r="V627">
        <f t="shared" si="28"/>
        <v>9.5492965855136447E-2</v>
      </c>
    </row>
    <row r="628" spans="1:23">
      <c r="A628" s="12">
        <v>0</v>
      </c>
      <c r="B628" s="12">
        <v>-50</v>
      </c>
      <c r="C628" s="11">
        <v>4.3793029065855924</v>
      </c>
      <c r="D628" s="11">
        <v>-46.242416534010111</v>
      </c>
      <c r="E628" s="11"/>
      <c r="F628" s="10">
        <v>805</v>
      </c>
      <c r="G628" s="12" t="s">
        <v>11</v>
      </c>
      <c r="H628" s="13">
        <v>43.4</v>
      </c>
      <c r="I628" s="14"/>
      <c r="J628" s="14">
        <v>44.9</v>
      </c>
      <c r="K628" s="14"/>
      <c r="L628" s="13">
        <v>11.5</v>
      </c>
      <c r="M628" s="13">
        <v>5.2</v>
      </c>
      <c r="P628" s="12" t="s">
        <v>14</v>
      </c>
      <c r="Q628" s="12"/>
      <c r="R628" s="12" t="s">
        <v>16</v>
      </c>
      <c r="T628">
        <f t="shared" si="29"/>
        <v>13.814649060376516</v>
      </c>
      <c r="U628">
        <f t="shared" si="27"/>
        <v>14.292113889652201</v>
      </c>
      <c r="V628">
        <f t="shared" si="28"/>
        <v>0.47746482927568579</v>
      </c>
    </row>
    <row r="629" spans="1:23">
      <c r="A629" s="12">
        <v>40</v>
      </c>
      <c r="B629" s="12">
        <v>-10</v>
      </c>
      <c r="C629" s="11">
        <v>43.624437901391879</v>
      </c>
      <c r="D629" s="11">
        <v>-9.6637710616945149</v>
      </c>
      <c r="E629" s="11"/>
      <c r="F629" s="10">
        <v>453</v>
      </c>
      <c r="G629" s="12" t="s">
        <v>13</v>
      </c>
      <c r="H629" s="13">
        <v>43.5</v>
      </c>
      <c r="I629" s="14"/>
      <c r="J629" s="14" t="s">
        <v>70</v>
      </c>
      <c r="K629" s="14"/>
      <c r="L629" s="13">
        <v>3.9</v>
      </c>
      <c r="M629" s="13"/>
      <c r="P629" s="12" t="s">
        <v>12</v>
      </c>
      <c r="Q629" s="12"/>
      <c r="R629" s="12"/>
      <c r="T629">
        <f t="shared" si="29"/>
        <v>13.846480048994895</v>
      </c>
      <c r="U629" t="str">
        <f t="shared" si="27"/>
        <v>dead</v>
      </c>
      <c r="V629" t="e">
        <f t="shared" si="28"/>
        <v>#VALUE!</v>
      </c>
    </row>
    <row r="630" spans="1:23">
      <c r="A630" s="12">
        <v>30</v>
      </c>
      <c r="B630" s="12">
        <v>10</v>
      </c>
      <c r="C630" s="11">
        <v>33.238191204915331</v>
      </c>
      <c r="D630" s="11">
        <v>10.433176194765108</v>
      </c>
      <c r="E630" s="11"/>
      <c r="F630" s="10">
        <v>237</v>
      </c>
      <c r="G630" s="12" t="s">
        <v>11</v>
      </c>
      <c r="H630" s="13">
        <v>43.7</v>
      </c>
      <c r="I630" s="14"/>
      <c r="J630" s="14" t="s">
        <v>70</v>
      </c>
      <c r="K630" s="14"/>
      <c r="L630" s="13">
        <v>10.3</v>
      </c>
      <c r="M630" s="13">
        <v>1.5</v>
      </c>
      <c r="P630" s="12" t="s">
        <v>14</v>
      </c>
      <c r="Q630" s="12"/>
      <c r="R630" s="12"/>
      <c r="T630">
        <f t="shared" si="29"/>
        <v>13.910142026231654</v>
      </c>
      <c r="U630" t="str">
        <f t="shared" si="27"/>
        <v>dead</v>
      </c>
      <c r="V630" t="e">
        <f t="shared" si="28"/>
        <v>#VALUE!</v>
      </c>
    </row>
    <row r="631" spans="1:23">
      <c r="A631" s="12">
        <v>10</v>
      </c>
      <c r="B631" s="12">
        <v>-20</v>
      </c>
      <c r="C631" s="11">
        <v>16.067810813301975</v>
      </c>
      <c r="D631" s="11">
        <v>-11.937817404696471</v>
      </c>
      <c r="E631" s="11"/>
      <c r="F631" s="12">
        <v>574</v>
      </c>
      <c r="G631" s="12" t="s">
        <v>13</v>
      </c>
      <c r="H631" s="13">
        <v>44.7</v>
      </c>
      <c r="I631" s="14"/>
      <c r="J631" s="14">
        <v>46</v>
      </c>
      <c r="K631" s="14"/>
      <c r="L631" s="13">
        <v>10.199999999999999</v>
      </c>
      <c r="M631" s="13">
        <v>2.8</v>
      </c>
      <c r="P631" s="12" t="s">
        <v>14</v>
      </c>
      <c r="Q631" s="12"/>
      <c r="R631" s="12"/>
      <c r="T631">
        <f t="shared" si="29"/>
        <v>14.228451912415444</v>
      </c>
      <c r="U631">
        <f t="shared" si="27"/>
        <v>14.642254764454371</v>
      </c>
      <c r="V631">
        <f t="shared" si="28"/>
        <v>0.41380285203892697</v>
      </c>
    </row>
    <row r="632" spans="1:23">
      <c r="A632" s="12">
        <v>50</v>
      </c>
      <c r="B632" s="12">
        <v>-30</v>
      </c>
      <c r="C632" s="11">
        <v>50.215139710240834</v>
      </c>
      <c r="D632" s="11">
        <v>-27.437723206428444</v>
      </c>
      <c r="E632" s="11"/>
      <c r="F632" s="12">
        <v>2002</v>
      </c>
      <c r="G632" s="12" t="s">
        <v>13</v>
      </c>
      <c r="H632" s="13">
        <v>44.8</v>
      </c>
      <c r="I632" s="14"/>
      <c r="J632" s="14">
        <v>44.8</v>
      </c>
      <c r="K632" s="14"/>
      <c r="L632" s="13"/>
      <c r="M632" s="13"/>
      <c r="N632">
        <v>6</v>
      </c>
      <c r="O632">
        <v>2.1</v>
      </c>
      <c r="P632" s="12"/>
      <c r="Q632" s="12"/>
      <c r="R632" s="12" t="s">
        <v>57</v>
      </c>
      <c r="S632" t="s">
        <v>136</v>
      </c>
      <c r="T632">
        <f t="shared" si="29"/>
        <v>14.260282901033822</v>
      </c>
      <c r="U632">
        <f t="shared" si="27"/>
        <v>14.260282901033822</v>
      </c>
      <c r="V632">
        <f t="shared" si="28"/>
        <v>0</v>
      </c>
    </row>
    <row r="633" spans="1:23">
      <c r="A633" s="12">
        <v>30</v>
      </c>
      <c r="B633" s="12">
        <v>10</v>
      </c>
      <c r="C633" s="11">
        <v>32.689872970198586</v>
      </c>
      <c r="D633" s="11">
        <v>12.689139352703059</v>
      </c>
      <c r="E633" s="11"/>
      <c r="F633" s="10">
        <v>235</v>
      </c>
      <c r="G633" s="12" t="s">
        <v>11</v>
      </c>
      <c r="H633" s="13">
        <v>45.2</v>
      </c>
      <c r="I633" s="14"/>
      <c r="J633" s="14" t="s">
        <v>70</v>
      </c>
      <c r="K633" s="14"/>
      <c r="L633" s="13">
        <v>7.6</v>
      </c>
      <c r="M633" s="13"/>
      <c r="P633" s="12" t="s">
        <v>12</v>
      </c>
      <c r="Q633" s="12"/>
      <c r="R633" s="12" t="s">
        <v>16</v>
      </c>
      <c r="T633">
        <f t="shared" si="29"/>
        <v>14.38760685550734</v>
      </c>
      <c r="U633" t="str">
        <f t="shared" si="27"/>
        <v>dead</v>
      </c>
      <c r="V633" t="e">
        <f t="shared" si="28"/>
        <v>#VALUE!</v>
      </c>
    </row>
    <row r="634" spans="1:23">
      <c r="A634" s="12">
        <v>40</v>
      </c>
      <c r="B634" s="12">
        <v>20</v>
      </c>
      <c r="C634" s="11">
        <v>41.081628906778029</v>
      </c>
      <c r="D634" s="11">
        <v>27.390527773607346</v>
      </c>
      <c r="E634" s="11"/>
      <c r="F634" s="10">
        <v>303</v>
      </c>
      <c r="G634" s="12" t="s">
        <v>11</v>
      </c>
      <c r="H634" s="13">
        <v>45.4</v>
      </c>
      <c r="I634" s="14"/>
      <c r="J634" s="14" t="s">
        <v>70</v>
      </c>
      <c r="K634" s="14"/>
      <c r="L634" s="13">
        <v>7.5</v>
      </c>
      <c r="M634" s="13"/>
      <c r="P634" s="12" t="s">
        <v>12</v>
      </c>
      <c r="Q634" s="12"/>
      <c r="R634" s="12" t="s">
        <v>16</v>
      </c>
      <c r="T634">
        <f t="shared" si="29"/>
        <v>14.451268832744097</v>
      </c>
      <c r="U634" t="str">
        <f t="shared" si="27"/>
        <v>dead</v>
      </c>
      <c r="V634" t="e">
        <f t="shared" si="28"/>
        <v>#VALUE!</v>
      </c>
    </row>
    <row r="635" spans="1:23">
      <c r="A635" s="9">
        <v>0</v>
      </c>
      <c r="B635" s="12">
        <v>30</v>
      </c>
      <c r="C635" s="11">
        <v>3.7176452813807801</v>
      </c>
      <c r="D635" s="11">
        <v>39.488579054457183</v>
      </c>
      <c r="E635" s="11"/>
      <c r="F635" s="10">
        <v>55</v>
      </c>
      <c r="G635" s="12" t="s">
        <v>11</v>
      </c>
      <c r="H635" s="13">
        <v>46.4</v>
      </c>
      <c r="I635" s="14"/>
      <c r="J635" s="14" t="s">
        <v>70</v>
      </c>
      <c r="K635" s="14"/>
      <c r="L635" s="13">
        <v>12</v>
      </c>
      <c r="M635" s="13"/>
      <c r="P635" s="12" t="s">
        <v>12</v>
      </c>
      <c r="Q635" s="12"/>
      <c r="R635" s="12"/>
      <c r="T635">
        <f t="shared" si="29"/>
        <v>14.769578718927887</v>
      </c>
      <c r="U635" t="str">
        <f t="shared" si="27"/>
        <v>dead</v>
      </c>
      <c r="V635" t="e">
        <f t="shared" si="28"/>
        <v>#VALUE!</v>
      </c>
    </row>
    <row r="636" spans="1:23">
      <c r="A636" s="12">
        <v>40</v>
      </c>
      <c r="B636" s="12">
        <v>0</v>
      </c>
      <c r="C636" s="11">
        <v>40.876130854070112</v>
      </c>
      <c r="D636" s="11">
        <v>5.1789633141256459</v>
      </c>
      <c r="E636" s="11"/>
      <c r="F636" s="10">
        <v>265</v>
      </c>
      <c r="G636" s="12" t="s">
        <v>13</v>
      </c>
      <c r="H636" s="13">
        <v>46.9</v>
      </c>
      <c r="I636" s="14"/>
      <c r="J636" s="14" t="s">
        <v>70</v>
      </c>
      <c r="K636" s="14"/>
      <c r="L636" s="13">
        <v>6.6</v>
      </c>
      <c r="M636" s="13">
        <v>4.4000000000000004</v>
      </c>
      <c r="P636" s="12" t="s">
        <v>14</v>
      </c>
      <c r="Q636" s="12"/>
      <c r="R636" s="12" t="s">
        <v>28</v>
      </c>
      <c r="T636">
        <f t="shared" si="29"/>
        <v>14.928733662019782</v>
      </c>
      <c r="U636" t="str">
        <f t="shared" si="27"/>
        <v>dead</v>
      </c>
      <c r="V636" t="e">
        <f t="shared" si="28"/>
        <v>#VALUE!</v>
      </c>
    </row>
    <row r="637" spans="1:23">
      <c r="A637" s="12">
        <v>30</v>
      </c>
      <c r="B637" s="12">
        <v>-20</v>
      </c>
      <c r="C637" s="11">
        <v>31.451980341886681</v>
      </c>
      <c r="D637" s="11">
        <v>-13.401670166919232</v>
      </c>
      <c r="E637" s="11"/>
      <c r="F637" s="12">
        <v>526</v>
      </c>
      <c r="G637" s="12" t="s">
        <v>21</v>
      </c>
      <c r="H637" s="13">
        <v>46.9</v>
      </c>
      <c r="I637" s="14"/>
      <c r="J637" s="14">
        <v>50.3</v>
      </c>
      <c r="K637" s="14"/>
      <c r="L637" s="13">
        <v>12.6</v>
      </c>
      <c r="M637" s="13">
        <v>2.5</v>
      </c>
      <c r="P637" s="12" t="s">
        <v>14</v>
      </c>
      <c r="Q637" s="12"/>
      <c r="R637" s="12"/>
      <c r="T637">
        <f t="shared" si="29"/>
        <v>14.928733662019782</v>
      </c>
      <c r="U637">
        <f t="shared" si="27"/>
        <v>16.01098727504467</v>
      </c>
      <c r="V637">
        <f t="shared" si="28"/>
        <v>1.0822536130248874</v>
      </c>
    </row>
    <row r="638" spans="1:23">
      <c r="A638" s="12">
        <v>20</v>
      </c>
      <c r="B638" s="12">
        <v>-20</v>
      </c>
      <c r="C638" s="11">
        <v>27.094591953759824</v>
      </c>
      <c r="D638" s="11">
        <v>-13.337565454045706</v>
      </c>
      <c r="E638" s="11"/>
      <c r="F638" s="12">
        <v>546</v>
      </c>
      <c r="G638" s="12" t="s">
        <v>13</v>
      </c>
      <c r="H638" s="13">
        <v>48</v>
      </c>
      <c r="I638" s="14"/>
      <c r="J638" s="14" t="s">
        <v>70</v>
      </c>
      <c r="K638" s="14"/>
      <c r="L638" s="13">
        <v>4.3</v>
      </c>
      <c r="M638" s="13"/>
      <c r="P638" s="12" t="s">
        <v>12</v>
      </c>
      <c r="Q638" s="12"/>
      <c r="R638" s="12"/>
      <c r="T638">
        <f t="shared" si="29"/>
        <v>15.278874536821952</v>
      </c>
      <c r="U638" t="str">
        <f t="shared" si="27"/>
        <v>dead</v>
      </c>
      <c r="V638" t="e">
        <f t="shared" si="28"/>
        <v>#VALUE!</v>
      </c>
    </row>
    <row r="639" spans="1:23">
      <c r="A639" s="9">
        <v>0</v>
      </c>
      <c r="B639" s="12">
        <v>20</v>
      </c>
      <c r="C639" s="11">
        <v>8.9259555083891282</v>
      </c>
      <c r="D639" s="11">
        <v>22.883005074962199</v>
      </c>
      <c r="E639" s="11"/>
      <c r="F639" s="10">
        <v>37</v>
      </c>
      <c r="G639" s="12" t="s">
        <v>13</v>
      </c>
      <c r="H639" s="13">
        <v>48.4</v>
      </c>
      <c r="I639" s="14"/>
      <c r="J639" s="14">
        <v>52.5</v>
      </c>
      <c r="K639" s="14"/>
      <c r="L639" s="13">
        <v>14.2</v>
      </c>
      <c r="M639" s="13">
        <v>3</v>
      </c>
      <c r="P639" s="12" t="s">
        <v>14</v>
      </c>
      <c r="Q639" s="12"/>
      <c r="R639" s="12"/>
      <c r="T639">
        <f t="shared" si="29"/>
        <v>15.406198491295468</v>
      </c>
      <c r="U639">
        <f t="shared" si="27"/>
        <v>16.71126902464901</v>
      </c>
      <c r="V639">
        <f t="shared" si="28"/>
        <v>1.3050705333535415</v>
      </c>
    </row>
    <row r="640" spans="1:23">
      <c r="A640" s="12">
        <v>20</v>
      </c>
      <c r="B640" s="12">
        <v>30</v>
      </c>
      <c r="C640" s="11">
        <v>25.097578655256243</v>
      </c>
      <c r="D640" s="11">
        <v>34.13590656166906</v>
      </c>
      <c r="E640" s="11"/>
      <c r="F640" s="12">
        <v>170</v>
      </c>
      <c r="G640" s="12" t="s">
        <v>13</v>
      </c>
      <c r="H640" s="13">
        <v>49</v>
      </c>
      <c r="I640" s="14"/>
      <c r="J640" s="14" t="s">
        <v>70</v>
      </c>
      <c r="K640" s="14"/>
      <c r="L640" s="13">
        <v>6.1</v>
      </c>
      <c r="M640" s="13">
        <v>3.2</v>
      </c>
      <c r="P640" s="12" t="s">
        <v>14</v>
      </c>
      <c r="Q640" s="12"/>
      <c r="R640" s="12" t="s">
        <v>24</v>
      </c>
      <c r="T640">
        <f t="shared" si="29"/>
        <v>15.597184423005743</v>
      </c>
      <c r="U640" t="str">
        <f t="shared" si="27"/>
        <v>dead</v>
      </c>
      <c r="V640" t="e">
        <f t="shared" si="28"/>
        <v>#VALUE!</v>
      </c>
      <c r="W640" s="27"/>
    </row>
    <row r="641" spans="1:22">
      <c r="A641" s="12">
        <v>10</v>
      </c>
      <c r="B641" s="12">
        <v>-50</v>
      </c>
      <c r="C641" s="11">
        <v>17.164256873551739</v>
      </c>
      <c r="D641" s="11">
        <v>-46.13960352802961</v>
      </c>
      <c r="E641" s="11"/>
      <c r="F641" s="10">
        <v>817</v>
      </c>
      <c r="G641" s="12" t="s">
        <v>11</v>
      </c>
      <c r="H641" s="13">
        <v>49.4</v>
      </c>
      <c r="I641" s="14"/>
      <c r="J641" s="14">
        <v>50.5</v>
      </c>
      <c r="K641" s="14"/>
      <c r="L641" s="13">
        <v>11.7</v>
      </c>
      <c r="M641" s="13">
        <v>3.6</v>
      </c>
      <c r="P641" s="12" t="s">
        <v>14</v>
      </c>
      <c r="Q641" s="12"/>
      <c r="R641" s="12"/>
      <c r="T641">
        <f t="shared" si="29"/>
        <v>15.724508377479259</v>
      </c>
      <c r="U641">
        <f t="shared" si="27"/>
        <v>16.074649252281429</v>
      </c>
      <c r="V641">
        <f t="shared" si="28"/>
        <v>0.35014087480216993</v>
      </c>
    </row>
    <row r="642" spans="1:22">
      <c r="A642" s="12">
        <v>40</v>
      </c>
      <c r="B642" s="12">
        <v>10</v>
      </c>
      <c r="C642" s="11">
        <v>42.304581878069619</v>
      </c>
      <c r="D642" s="11">
        <v>19.634808535312285</v>
      </c>
      <c r="E642" s="11"/>
      <c r="F642" s="12">
        <v>284</v>
      </c>
      <c r="G642" s="12" t="s">
        <v>13</v>
      </c>
      <c r="H642" s="13">
        <v>49.7</v>
      </c>
      <c r="I642" s="14"/>
      <c r="J642" s="14">
        <v>50.3</v>
      </c>
      <c r="K642" s="14"/>
      <c r="L642" s="13">
        <v>10.7</v>
      </c>
      <c r="M642" s="13">
        <v>3.2</v>
      </c>
      <c r="P642" s="12" t="s">
        <v>14</v>
      </c>
      <c r="Q642" s="12"/>
      <c r="R642" s="12"/>
      <c r="T642">
        <f t="shared" si="29"/>
        <v>15.820001343334399</v>
      </c>
      <c r="U642">
        <f t="shared" ref="U642:U701" si="30">IF(J642="dead","dead",J642/PI()+K642/10)</f>
        <v>16.01098727504467</v>
      </c>
      <c r="V642">
        <f t="shared" ref="V642:V701" si="31">U642-T642</f>
        <v>0.19098593171027112</v>
      </c>
    </row>
    <row r="643" spans="1:22">
      <c r="A643" s="12">
        <v>10</v>
      </c>
      <c r="B643" s="12">
        <v>40</v>
      </c>
      <c r="C643" s="11">
        <v>19.23738470341846</v>
      </c>
      <c r="D643" s="11">
        <v>42.642142673933385</v>
      </c>
      <c r="E643" s="11"/>
      <c r="F643" s="10">
        <v>81</v>
      </c>
      <c r="G643" s="12" t="s">
        <v>11</v>
      </c>
      <c r="H643" s="13">
        <v>50.2</v>
      </c>
      <c r="I643" s="14"/>
      <c r="J643" s="14" t="s">
        <v>70</v>
      </c>
      <c r="K643" s="14"/>
      <c r="L643" s="13">
        <v>12.1</v>
      </c>
      <c r="M643" s="13"/>
      <c r="P643" s="12" t="s">
        <v>12</v>
      </c>
      <c r="Q643" s="12"/>
      <c r="R643" s="12"/>
      <c r="T643">
        <f t="shared" si="29"/>
        <v>15.979156286426294</v>
      </c>
      <c r="U643" t="str">
        <f t="shared" si="30"/>
        <v>dead</v>
      </c>
      <c r="V643" t="e">
        <f t="shared" si="31"/>
        <v>#VALUE!</v>
      </c>
    </row>
    <row r="644" spans="1:22">
      <c r="A644" s="12">
        <v>40</v>
      </c>
      <c r="B644" s="12">
        <v>0</v>
      </c>
      <c r="C644" s="11">
        <v>48.467731741905403</v>
      </c>
      <c r="D644" s="11">
        <v>4.3313476780518956</v>
      </c>
      <c r="E644" s="11"/>
      <c r="F644" s="10">
        <v>277</v>
      </c>
      <c r="G644" s="12" t="s">
        <v>11</v>
      </c>
      <c r="H644" s="13">
        <v>50.3</v>
      </c>
      <c r="I644" s="14"/>
      <c r="J644" s="14" t="s">
        <v>70</v>
      </c>
      <c r="K644" s="14"/>
      <c r="L644" s="13">
        <v>4.0999999999999996</v>
      </c>
      <c r="M644" s="13"/>
      <c r="P644" s="12" t="s">
        <v>12</v>
      </c>
      <c r="Q644" s="12"/>
      <c r="R644" s="12" t="s">
        <v>16</v>
      </c>
      <c r="T644">
        <f t="shared" si="29"/>
        <v>16.01098727504467</v>
      </c>
      <c r="U644" t="str">
        <f t="shared" si="30"/>
        <v>dead</v>
      </c>
      <c r="V644" t="e">
        <f t="shared" si="31"/>
        <v>#VALUE!</v>
      </c>
    </row>
    <row r="645" spans="1:22">
      <c r="A645" s="12">
        <v>40</v>
      </c>
      <c r="B645" s="12">
        <v>-30</v>
      </c>
      <c r="C645" s="11">
        <v>48.043097408521334</v>
      </c>
      <c r="D645" s="11">
        <v>-23.901055742566481</v>
      </c>
      <c r="E645" s="11"/>
      <c r="F645" s="12">
        <v>696</v>
      </c>
      <c r="G645" s="12" t="s">
        <v>13</v>
      </c>
      <c r="H645" s="13">
        <v>51</v>
      </c>
      <c r="I645" s="14"/>
      <c r="J645" s="14">
        <v>50</v>
      </c>
      <c r="K645" s="14"/>
      <c r="L645" s="13">
        <v>9.5</v>
      </c>
      <c r="M645" s="13">
        <v>4.2</v>
      </c>
      <c r="P645" s="12" t="s">
        <v>14</v>
      </c>
      <c r="Q645" s="12"/>
      <c r="R645" s="12" t="s">
        <v>49</v>
      </c>
      <c r="T645">
        <f t="shared" ref="T645:T708" si="32">H645/PI()+I645</f>
        <v>16.233804195373324</v>
      </c>
      <c r="U645">
        <f t="shared" si="30"/>
        <v>15.915494309189533</v>
      </c>
      <c r="V645">
        <f t="shared" si="31"/>
        <v>-0.31830988618379052</v>
      </c>
    </row>
    <row r="646" spans="1:22">
      <c r="A646" s="12">
        <v>0</v>
      </c>
      <c r="B646" s="12">
        <v>-30</v>
      </c>
      <c r="C646" s="11">
        <v>9.0173586714432492</v>
      </c>
      <c r="D646" s="11">
        <v>-23.071405532326935</v>
      </c>
      <c r="E646" s="11"/>
      <c r="F646" s="12">
        <v>608</v>
      </c>
      <c r="G646" s="12" t="s">
        <v>13</v>
      </c>
      <c r="H646" s="13">
        <v>51.7</v>
      </c>
      <c r="I646" s="14"/>
      <c r="J646" s="14" t="s">
        <v>70</v>
      </c>
      <c r="K646" s="14"/>
      <c r="L646" s="13">
        <v>6.6</v>
      </c>
      <c r="M646" s="13">
        <v>5</v>
      </c>
      <c r="P646" s="12" t="s">
        <v>14</v>
      </c>
      <c r="Q646" s="12"/>
      <c r="R646" s="12" t="s">
        <v>44</v>
      </c>
      <c r="T646">
        <f t="shared" si="32"/>
        <v>16.456621115701978</v>
      </c>
      <c r="U646" t="str">
        <f t="shared" si="30"/>
        <v>dead</v>
      </c>
      <c r="V646" t="e">
        <f t="shared" si="31"/>
        <v>#VALUE!</v>
      </c>
    </row>
    <row r="647" spans="1:22">
      <c r="A647" s="12">
        <v>20</v>
      </c>
      <c r="B647" s="12">
        <v>-30</v>
      </c>
      <c r="C647" s="11">
        <v>24.631125327517815</v>
      </c>
      <c r="D647" s="11">
        <v>-26.197998447174644</v>
      </c>
      <c r="E647" s="11"/>
      <c r="F647" s="12">
        <v>646</v>
      </c>
      <c r="G647" s="12" t="s">
        <v>13</v>
      </c>
      <c r="H647" s="13">
        <v>52.2</v>
      </c>
      <c r="I647" s="14"/>
      <c r="J647" s="14">
        <v>52</v>
      </c>
      <c r="K647" s="14"/>
      <c r="L647" s="13">
        <v>11.9</v>
      </c>
      <c r="M647" s="13">
        <v>4.0999999999999996</v>
      </c>
      <c r="P647" s="12" t="s">
        <v>14</v>
      </c>
      <c r="Q647" s="12"/>
      <c r="R647" s="12"/>
      <c r="T647">
        <f t="shared" si="32"/>
        <v>16.615776058793873</v>
      </c>
      <c r="U647">
        <f t="shared" si="30"/>
        <v>16.552114081557114</v>
      </c>
      <c r="V647">
        <f t="shared" si="31"/>
        <v>-6.3661977236758815E-2</v>
      </c>
    </row>
    <row r="648" spans="1:22">
      <c r="A648" s="12">
        <v>40</v>
      </c>
      <c r="B648" s="12">
        <v>-50</v>
      </c>
      <c r="C648" s="11">
        <v>45.008992517250434</v>
      </c>
      <c r="D648" s="11">
        <v>-49.500399673810001</v>
      </c>
      <c r="E648" s="11"/>
      <c r="F648" s="12">
        <v>826</v>
      </c>
      <c r="G648" s="12" t="s">
        <v>11</v>
      </c>
      <c r="H648" s="13">
        <v>53.2</v>
      </c>
      <c r="I648" s="14"/>
      <c r="J648" s="14">
        <v>54.6</v>
      </c>
      <c r="K648" s="14"/>
      <c r="L648" s="13">
        <v>11.1</v>
      </c>
      <c r="M648" s="13">
        <v>3.7</v>
      </c>
      <c r="P648" s="12" t="s">
        <v>14</v>
      </c>
      <c r="Q648" s="12"/>
      <c r="R648" s="12"/>
      <c r="T648">
        <f t="shared" si="32"/>
        <v>16.934085944977664</v>
      </c>
      <c r="U648">
        <f t="shared" si="30"/>
        <v>17.379719785634972</v>
      </c>
      <c r="V648">
        <f t="shared" si="31"/>
        <v>0.44563384065730816</v>
      </c>
    </row>
    <row r="649" spans="1:22">
      <c r="A649" s="12">
        <v>40</v>
      </c>
      <c r="B649" s="12">
        <v>-30</v>
      </c>
      <c r="C649" s="11">
        <v>43.168294263952326</v>
      </c>
      <c r="D649" s="11">
        <v>-26.62296203959831</v>
      </c>
      <c r="E649" s="11"/>
      <c r="F649" s="10">
        <v>683</v>
      </c>
      <c r="G649" s="12" t="s">
        <v>11</v>
      </c>
      <c r="H649" s="13">
        <v>53.6</v>
      </c>
      <c r="I649" s="14"/>
      <c r="J649" s="14" t="s">
        <v>70</v>
      </c>
      <c r="K649" s="14"/>
      <c r="L649" s="13">
        <v>12</v>
      </c>
      <c r="M649" s="13"/>
      <c r="P649" s="12" t="s">
        <v>12</v>
      </c>
      <c r="Q649" s="12"/>
      <c r="R649" s="12"/>
      <c r="T649">
        <f t="shared" si="32"/>
        <v>17.061409899451181</v>
      </c>
      <c r="U649" t="str">
        <f t="shared" si="30"/>
        <v>dead</v>
      </c>
      <c r="V649" t="e">
        <f t="shared" si="31"/>
        <v>#VALUE!</v>
      </c>
    </row>
    <row r="650" spans="1:22">
      <c r="A650" s="12">
        <v>0</v>
      </c>
      <c r="B650" s="12">
        <v>-20</v>
      </c>
      <c r="C650" s="11">
        <v>6.4666413112328369</v>
      </c>
      <c r="D650" s="11">
        <v>-17.283553401455698</v>
      </c>
      <c r="E650" s="11"/>
      <c r="F650" s="12">
        <v>582</v>
      </c>
      <c r="G650" s="12" t="s">
        <v>11</v>
      </c>
      <c r="H650" s="13">
        <v>54.8</v>
      </c>
      <c r="I650" s="14"/>
      <c r="J650" s="14" t="s">
        <v>70</v>
      </c>
      <c r="K650" s="14"/>
      <c r="L650" s="13">
        <v>3.7</v>
      </c>
      <c r="M650" s="13"/>
      <c r="P650" s="12" t="s">
        <v>12</v>
      </c>
      <c r="Q650" s="12"/>
      <c r="R650" s="12" t="s">
        <v>16</v>
      </c>
      <c r="T650">
        <f t="shared" si="32"/>
        <v>17.443381762871727</v>
      </c>
      <c r="U650" t="str">
        <f t="shared" si="30"/>
        <v>dead</v>
      </c>
      <c r="V650" t="e">
        <f t="shared" si="31"/>
        <v>#VALUE!</v>
      </c>
    </row>
    <row r="651" spans="1:22">
      <c r="A651" s="12">
        <v>0</v>
      </c>
      <c r="B651" s="12">
        <v>-40</v>
      </c>
      <c r="C651" s="11">
        <v>4.8140191056457162</v>
      </c>
      <c r="D651" s="11">
        <v>-37.96763631123946</v>
      </c>
      <c r="E651" s="11"/>
      <c r="F651" s="12">
        <v>728</v>
      </c>
      <c r="G651" s="12" t="s">
        <v>11</v>
      </c>
      <c r="H651" s="13">
        <v>54.8</v>
      </c>
      <c r="I651" s="14"/>
      <c r="J651" s="14">
        <v>55.8</v>
      </c>
      <c r="K651" s="14"/>
      <c r="L651" s="13">
        <v>13.1</v>
      </c>
      <c r="M651" s="13">
        <v>3</v>
      </c>
      <c r="P651" s="12" t="s">
        <v>14</v>
      </c>
      <c r="Q651" s="12"/>
      <c r="R651" s="12"/>
      <c r="T651">
        <f t="shared" si="32"/>
        <v>17.443381762871727</v>
      </c>
      <c r="U651">
        <f t="shared" si="30"/>
        <v>17.761691649055518</v>
      </c>
      <c r="V651">
        <f t="shared" si="31"/>
        <v>0.31830988618379052</v>
      </c>
    </row>
    <row r="652" spans="1:22">
      <c r="A652" s="9">
        <v>10</v>
      </c>
      <c r="B652" s="9">
        <v>-10</v>
      </c>
      <c r="C652" s="11">
        <v>10.990466041018198</v>
      </c>
      <c r="D652" s="11">
        <v>-3.8857530829415468</v>
      </c>
      <c r="E652" s="11"/>
      <c r="F652" s="12">
        <v>406</v>
      </c>
      <c r="G652" s="12" t="s">
        <v>11</v>
      </c>
      <c r="H652" s="13">
        <v>56.9</v>
      </c>
      <c r="I652" s="14"/>
      <c r="J652" s="14" t="s">
        <v>70</v>
      </c>
      <c r="K652" s="14"/>
      <c r="L652" s="13">
        <v>11.4</v>
      </c>
      <c r="M652" s="13"/>
      <c r="P652" s="12" t="s">
        <v>12</v>
      </c>
      <c r="Q652" s="12"/>
      <c r="R652" s="12"/>
      <c r="T652">
        <f t="shared" si="32"/>
        <v>18.111832523857689</v>
      </c>
      <c r="U652" t="str">
        <f t="shared" si="30"/>
        <v>dead</v>
      </c>
      <c r="V652" t="e">
        <f t="shared" si="31"/>
        <v>#VALUE!</v>
      </c>
    </row>
    <row r="653" spans="1:22">
      <c r="A653" s="9">
        <v>0</v>
      </c>
      <c r="B653" s="12">
        <v>20</v>
      </c>
      <c r="C653" s="11">
        <v>8.640717581892984</v>
      </c>
      <c r="D653" s="11">
        <v>22.445076618424352</v>
      </c>
      <c r="E653" s="11"/>
      <c r="F653" s="12">
        <v>32</v>
      </c>
      <c r="G653" s="12" t="s">
        <v>13</v>
      </c>
      <c r="H653" s="13">
        <v>57.3</v>
      </c>
      <c r="I653" s="14"/>
      <c r="J653" s="14">
        <v>58.2</v>
      </c>
      <c r="K653" s="14"/>
      <c r="L653" s="13">
        <v>11.9</v>
      </c>
      <c r="M653" s="13">
        <v>3.5</v>
      </c>
      <c r="P653" s="12" t="s">
        <v>14</v>
      </c>
      <c r="Q653" s="12"/>
      <c r="R653" s="12"/>
      <c r="T653">
        <f t="shared" si="32"/>
        <v>18.239156478331207</v>
      </c>
      <c r="U653">
        <f t="shared" si="30"/>
        <v>18.52563537589662</v>
      </c>
      <c r="V653">
        <f t="shared" si="31"/>
        <v>0.28647889756541289</v>
      </c>
    </row>
    <row r="654" spans="1:22">
      <c r="A654" s="12">
        <v>10</v>
      </c>
      <c r="B654" s="12">
        <v>40</v>
      </c>
      <c r="C654" s="11">
        <v>11.407461215204988</v>
      </c>
      <c r="D654" s="11">
        <v>46.883921646256113</v>
      </c>
      <c r="E654" s="11"/>
      <c r="F654" s="12">
        <v>74</v>
      </c>
      <c r="G654" s="12" t="s">
        <v>11</v>
      </c>
      <c r="H654" s="13">
        <v>57.7</v>
      </c>
      <c r="I654" s="14"/>
      <c r="J654" s="14">
        <v>58.8</v>
      </c>
      <c r="K654" s="14"/>
      <c r="L654" s="13">
        <v>11.3</v>
      </c>
      <c r="M654" s="13">
        <v>1.1000000000000001</v>
      </c>
      <c r="P654" s="12" t="s">
        <v>14</v>
      </c>
      <c r="Q654" s="12"/>
      <c r="R654" s="12"/>
      <c r="T654">
        <f t="shared" si="32"/>
        <v>18.366480432804725</v>
      </c>
      <c r="U654">
        <f t="shared" si="30"/>
        <v>18.716621307606893</v>
      </c>
      <c r="V654">
        <f t="shared" si="31"/>
        <v>0.35014087480216816</v>
      </c>
    </row>
    <row r="655" spans="1:22">
      <c r="A655" s="12">
        <v>30</v>
      </c>
      <c r="B655" s="12">
        <v>40</v>
      </c>
      <c r="C655" s="11">
        <v>37.478923043387454</v>
      </c>
      <c r="D655" s="11">
        <v>45.780601114359932</v>
      </c>
      <c r="E655" s="11"/>
      <c r="F655" s="12">
        <v>202</v>
      </c>
      <c r="G655" s="12" t="s">
        <v>13</v>
      </c>
      <c r="H655" s="13">
        <v>57.7</v>
      </c>
      <c r="I655" s="14"/>
      <c r="J655" s="14" t="s">
        <v>70</v>
      </c>
      <c r="K655" s="14"/>
      <c r="L655" s="13">
        <v>5.9</v>
      </c>
      <c r="M655" s="13"/>
      <c r="P655" s="12" t="s">
        <v>12</v>
      </c>
      <c r="Q655" s="12"/>
      <c r="R655" s="12" t="s">
        <v>16</v>
      </c>
      <c r="T655">
        <f t="shared" si="32"/>
        <v>18.366480432804725</v>
      </c>
      <c r="U655" t="str">
        <f t="shared" si="30"/>
        <v>dead</v>
      </c>
      <c r="V655" t="e">
        <f t="shared" si="31"/>
        <v>#VALUE!</v>
      </c>
    </row>
    <row r="656" spans="1:22">
      <c r="A656" s="12">
        <v>0</v>
      </c>
      <c r="B656" s="12">
        <v>-50</v>
      </c>
      <c r="C656" s="11">
        <v>8.970067549236866</v>
      </c>
      <c r="D656" s="11">
        <v>-42.178838944682475</v>
      </c>
      <c r="E656" s="11"/>
      <c r="F656" s="12">
        <v>810</v>
      </c>
      <c r="G656" s="12" t="s">
        <v>11</v>
      </c>
      <c r="H656" s="13">
        <v>58.5</v>
      </c>
      <c r="I656" s="14"/>
      <c r="J656" s="14">
        <v>59.5</v>
      </c>
      <c r="K656" s="14"/>
      <c r="L656" s="13">
        <v>14</v>
      </c>
      <c r="M656" s="13">
        <v>4.5</v>
      </c>
      <c r="P656" s="12" t="s">
        <v>14</v>
      </c>
      <c r="Q656" s="12"/>
      <c r="R656" s="12"/>
      <c r="T656">
        <f t="shared" si="32"/>
        <v>18.621128341751756</v>
      </c>
      <c r="U656">
        <f t="shared" si="30"/>
        <v>18.939438227935547</v>
      </c>
      <c r="V656">
        <f t="shared" si="31"/>
        <v>0.31830988618379052</v>
      </c>
    </row>
    <row r="657" spans="1:23">
      <c r="A657" s="12">
        <v>20</v>
      </c>
      <c r="B657" s="12">
        <v>-30</v>
      </c>
      <c r="C657" s="11">
        <v>24.64606832553627</v>
      </c>
      <c r="D657" s="11">
        <v>-24.540464252163428</v>
      </c>
      <c r="E657" s="11"/>
      <c r="F657" s="10">
        <v>639</v>
      </c>
      <c r="G657" s="12" t="s">
        <v>11</v>
      </c>
      <c r="H657" s="13">
        <v>59</v>
      </c>
      <c r="I657" s="14"/>
      <c r="J657" s="14" t="s">
        <v>70</v>
      </c>
      <c r="K657" s="14"/>
      <c r="L657" s="13">
        <v>8.6999999999999993</v>
      </c>
      <c r="M657" s="13"/>
      <c r="P657" s="12" t="s">
        <v>12</v>
      </c>
      <c r="Q657" s="12"/>
      <c r="R657" s="12" t="s">
        <v>16</v>
      </c>
      <c r="T657">
        <f t="shared" si="32"/>
        <v>18.780283284843652</v>
      </c>
      <c r="U657" t="str">
        <f t="shared" si="30"/>
        <v>dead</v>
      </c>
      <c r="V657" t="e">
        <f t="shared" si="31"/>
        <v>#VALUE!</v>
      </c>
    </row>
    <row r="658" spans="1:23">
      <c r="A658" s="12">
        <v>30</v>
      </c>
      <c r="B658" s="12">
        <v>-20</v>
      </c>
      <c r="C658" s="11">
        <v>30.348473496172943</v>
      </c>
      <c r="D658" s="11">
        <v>-13.361017129668324</v>
      </c>
      <c r="E658" s="11"/>
      <c r="F658" s="10">
        <v>527</v>
      </c>
      <c r="G658" s="12" t="s">
        <v>13</v>
      </c>
      <c r="H658" s="13">
        <v>59.8</v>
      </c>
      <c r="I658" s="14"/>
      <c r="J658" s="14">
        <v>61</v>
      </c>
      <c r="K658" s="14"/>
      <c r="L658" s="13">
        <v>11.3</v>
      </c>
      <c r="M658" s="13">
        <v>4.0999999999999996</v>
      </c>
      <c r="P658" s="12" t="s">
        <v>14</v>
      </c>
      <c r="Q658" s="12"/>
      <c r="R658" s="12" t="s">
        <v>38</v>
      </c>
      <c r="T658">
        <f t="shared" si="32"/>
        <v>19.034931193790683</v>
      </c>
      <c r="U658">
        <f t="shared" si="30"/>
        <v>19.416903057211233</v>
      </c>
      <c r="V658">
        <f t="shared" si="31"/>
        <v>0.38197186342054934</v>
      </c>
    </row>
    <row r="659" spans="1:23">
      <c r="A659" s="12">
        <v>20</v>
      </c>
      <c r="B659" s="12">
        <v>10</v>
      </c>
      <c r="C659" s="11">
        <v>21.782757902395126</v>
      </c>
      <c r="D659" s="11">
        <v>10.540297636283698</v>
      </c>
      <c r="E659" s="11"/>
      <c r="F659" s="12">
        <v>146</v>
      </c>
      <c r="G659" s="12" t="s">
        <v>13</v>
      </c>
      <c r="H659" s="13">
        <v>60</v>
      </c>
      <c r="I659" s="14"/>
      <c r="J659" s="14" t="s">
        <v>70</v>
      </c>
      <c r="K659" s="14"/>
      <c r="L659" s="13">
        <v>7.5</v>
      </c>
      <c r="M659" s="13"/>
      <c r="P659" s="12" t="s">
        <v>12</v>
      </c>
      <c r="Q659" s="12"/>
      <c r="R659" s="12" t="s">
        <v>64</v>
      </c>
      <c r="T659">
        <f t="shared" si="32"/>
        <v>19.098593171027442</v>
      </c>
      <c r="U659" t="str">
        <f t="shared" si="30"/>
        <v>dead</v>
      </c>
      <c r="V659" t="e">
        <f t="shared" si="31"/>
        <v>#VALUE!</v>
      </c>
    </row>
    <row r="660" spans="1:23">
      <c r="A660" s="12">
        <v>0</v>
      </c>
      <c r="B660" s="12">
        <v>-40</v>
      </c>
      <c r="C660" s="11">
        <v>2.0996441669634551</v>
      </c>
      <c r="D660" s="11">
        <v>-32.60697776877376</v>
      </c>
      <c r="E660" s="11"/>
      <c r="F660" s="12">
        <v>730</v>
      </c>
      <c r="G660" s="12" t="s">
        <v>11</v>
      </c>
      <c r="H660" s="13">
        <v>61.3</v>
      </c>
      <c r="I660" s="14"/>
      <c r="J660" s="14" t="s">
        <v>70</v>
      </c>
      <c r="K660" s="14"/>
      <c r="L660" s="13">
        <v>13.2</v>
      </c>
      <c r="M660" s="13"/>
      <c r="P660" s="12" t="s">
        <v>12</v>
      </c>
      <c r="Q660" s="12"/>
      <c r="R660" s="12"/>
      <c r="T660">
        <f t="shared" si="32"/>
        <v>19.512396023066369</v>
      </c>
      <c r="U660" t="str">
        <f t="shared" si="30"/>
        <v>dead</v>
      </c>
      <c r="V660" t="e">
        <f t="shared" si="31"/>
        <v>#VALUE!</v>
      </c>
    </row>
    <row r="661" spans="1:23">
      <c r="A661" s="12">
        <v>20</v>
      </c>
      <c r="B661" s="12">
        <v>0</v>
      </c>
      <c r="C661" s="11">
        <v>27.834202182826417</v>
      </c>
      <c r="D661" s="11">
        <v>1.0174852129627514</v>
      </c>
      <c r="E661" s="11"/>
      <c r="F661" s="10">
        <v>117</v>
      </c>
      <c r="G661" s="12" t="s">
        <v>21</v>
      </c>
      <c r="H661" s="13">
        <v>61.5</v>
      </c>
      <c r="I661" s="14"/>
      <c r="J661" s="14">
        <v>62.4</v>
      </c>
      <c r="K661" s="14"/>
      <c r="L661" s="13">
        <v>10.5</v>
      </c>
      <c r="M661" s="13">
        <v>4.9000000000000004</v>
      </c>
      <c r="P661" s="12" t="s">
        <v>14</v>
      </c>
      <c r="Q661" s="12"/>
      <c r="R661" s="12"/>
      <c r="T661">
        <f t="shared" si="32"/>
        <v>19.576058000303128</v>
      </c>
      <c r="U661">
        <f t="shared" si="30"/>
        <v>19.862536897868537</v>
      </c>
      <c r="V661">
        <f t="shared" si="31"/>
        <v>0.28647889756540934</v>
      </c>
    </row>
    <row r="662" spans="1:23">
      <c r="A662" s="12">
        <v>0</v>
      </c>
      <c r="B662" s="12">
        <v>-50</v>
      </c>
      <c r="C662" s="11">
        <v>1.8060621866094895</v>
      </c>
      <c r="D662" s="11">
        <v>-44.139055823528977</v>
      </c>
      <c r="E662" s="11"/>
      <c r="F662" s="12">
        <v>802</v>
      </c>
      <c r="G662" s="12" t="s">
        <v>11</v>
      </c>
      <c r="H662" s="13">
        <v>61.6</v>
      </c>
      <c r="I662" s="14"/>
      <c r="J662" s="14">
        <v>62</v>
      </c>
      <c r="K662" s="14"/>
      <c r="L662" s="13">
        <v>15.2</v>
      </c>
      <c r="M662" s="13">
        <v>6.9</v>
      </c>
      <c r="P662" s="12" t="s">
        <v>14</v>
      </c>
      <c r="Q662" s="12"/>
      <c r="R662" s="12"/>
      <c r="T662">
        <f t="shared" si="32"/>
        <v>19.607888988921506</v>
      </c>
      <c r="U662">
        <f t="shared" si="30"/>
        <v>19.735212943395023</v>
      </c>
      <c r="V662">
        <f t="shared" si="31"/>
        <v>0.12732395447351763</v>
      </c>
    </row>
    <row r="663" spans="1:23">
      <c r="A663" s="12">
        <v>10</v>
      </c>
      <c r="B663" s="12">
        <v>-50</v>
      </c>
      <c r="C663" s="11">
        <v>13.668225905124411</v>
      </c>
      <c r="D663" s="11">
        <v>-49.401471127294251</v>
      </c>
      <c r="E663" s="11"/>
      <c r="F663" s="12">
        <v>814</v>
      </c>
      <c r="G663" s="12" t="s">
        <v>11</v>
      </c>
      <c r="H663" s="13">
        <v>62.8</v>
      </c>
      <c r="I663" s="14"/>
      <c r="J663" s="14">
        <v>63.4</v>
      </c>
      <c r="K663" s="14"/>
      <c r="L663" s="13">
        <v>16.7</v>
      </c>
      <c r="M663" s="13">
        <v>10.9</v>
      </c>
      <c r="P663" s="12" t="s">
        <v>14</v>
      </c>
      <c r="Q663" s="12"/>
      <c r="R663" s="12"/>
      <c r="T663">
        <f t="shared" si="32"/>
        <v>19.989860852342055</v>
      </c>
      <c r="U663">
        <f t="shared" si="30"/>
        <v>20.180846784052328</v>
      </c>
      <c r="V663">
        <f t="shared" si="31"/>
        <v>0.19098593171027289</v>
      </c>
      <c r="W663" s="27"/>
    </row>
    <row r="664" spans="1:23">
      <c r="A664" s="12">
        <v>0</v>
      </c>
      <c r="B664" s="12">
        <v>-40</v>
      </c>
      <c r="C664" s="11">
        <v>3.6821489091014223</v>
      </c>
      <c r="D664" s="11">
        <v>-38.271631522726807</v>
      </c>
      <c r="E664" s="11"/>
      <c r="F664" s="10">
        <v>729</v>
      </c>
      <c r="G664" s="12" t="s">
        <v>11</v>
      </c>
      <c r="H664" s="13">
        <v>63.4</v>
      </c>
      <c r="I664" s="14"/>
      <c r="J664" s="14">
        <v>64.5</v>
      </c>
      <c r="K664" s="14"/>
      <c r="L664" s="13">
        <v>16.2</v>
      </c>
      <c r="M664" s="13">
        <v>4.3</v>
      </c>
      <c r="P664" s="12" t="s">
        <v>14</v>
      </c>
      <c r="Q664" s="12"/>
      <c r="R664" s="12"/>
      <c r="T664">
        <f t="shared" si="32"/>
        <v>20.180846784052328</v>
      </c>
      <c r="U664">
        <f t="shared" si="30"/>
        <v>20.5309876588545</v>
      </c>
      <c r="V664">
        <f t="shared" si="31"/>
        <v>0.35014087480217171</v>
      </c>
    </row>
    <row r="665" spans="1:23">
      <c r="A665" s="12">
        <v>10</v>
      </c>
      <c r="B665" s="12">
        <v>-50</v>
      </c>
      <c r="C665" s="11">
        <v>19.293620727485088</v>
      </c>
      <c r="D665" s="11">
        <v>-47.435506224737267</v>
      </c>
      <c r="E665" s="11"/>
      <c r="F665" s="12">
        <v>818</v>
      </c>
      <c r="G665" s="12" t="s">
        <v>11</v>
      </c>
      <c r="H665" s="13">
        <v>63.8</v>
      </c>
      <c r="I665" s="14"/>
      <c r="J665" s="14">
        <v>64.8</v>
      </c>
      <c r="K665" s="14"/>
      <c r="L665" s="13">
        <v>14.4</v>
      </c>
      <c r="M665" s="13">
        <v>4.5</v>
      </c>
      <c r="P665" s="12" t="s">
        <v>14</v>
      </c>
      <c r="Q665" s="12"/>
      <c r="R665" s="12"/>
      <c r="T665">
        <f t="shared" si="32"/>
        <v>20.308170738525845</v>
      </c>
      <c r="U665">
        <f t="shared" si="30"/>
        <v>20.626480624709636</v>
      </c>
      <c r="V665">
        <f t="shared" si="31"/>
        <v>0.31830988618379052</v>
      </c>
    </row>
    <row r="666" spans="1:23">
      <c r="A666" s="12">
        <v>40</v>
      </c>
      <c r="B666" s="12">
        <v>30</v>
      </c>
      <c r="C666" s="11">
        <v>43.199272330210086</v>
      </c>
      <c r="D666" s="11">
        <v>33.055325553969148</v>
      </c>
      <c r="E666" s="11"/>
      <c r="F666" s="12">
        <v>342</v>
      </c>
      <c r="G666" s="12" t="s">
        <v>11</v>
      </c>
      <c r="H666" s="13">
        <v>65.5</v>
      </c>
      <c r="I666" s="14"/>
      <c r="J666" s="14" t="s">
        <v>70</v>
      </c>
      <c r="K666" s="14"/>
      <c r="L666" s="13">
        <v>7.9</v>
      </c>
      <c r="M666" s="13"/>
      <c r="P666" s="12" t="s">
        <v>12</v>
      </c>
      <c r="Q666" s="12"/>
      <c r="R666" s="12" t="s">
        <v>16</v>
      </c>
      <c r="T666">
        <f t="shared" si="32"/>
        <v>20.84929754503829</v>
      </c>
      <c r="U666" t="str">
        <f t="shared" si="30"/>
        <v>dead</v>
      </c>
      <c r="V666" t="e">
        <f t="shared" si="31"/>
        <v>#VALUE!</v>
      </c>
    </row>
    <row r="667" spans="1:23">
      <c r="A667" s="12">
        <v>40</v>
      </c>
      <c r="B667" s="12">
        <v>20</v>
      </c>
      <c r="C667" s="11">
        <v>43.349094919314922</v>
      </c>
      <c r="D667" s="11">
        <v>23.576879203316832</v>
      </c>
      <c r="E667" s="11"/>
      <c r="F667" s="12">
        <v>286</v>
      </c>
      <c r="G667" s="12" t="s">
        <v>11</v>
      </c>
      <c r="H667" s="13">
        <v>65.599999999999994</v>
      </c>
      <c r="I667" s="14"/>
      <c r="J667" s="14" t="s">
        <v>70</v>
      </c>
      <c r="K667" s="14"/>
      <c r="L667" s="13">
        <v>12.2</v>
      </c>
      <c r="M667" s="13"/>
      <c r="P667" s="12" t="s">
        <v>12</v>
      </c>
      <c r="Q667" s="12"/>
      <c r="R667" s="12"/>
      <c r="T667">
        <f t="shared" si="32"/>
        <v>20.881128533656668</v>
      </c>
      <c r="U667" t="str">
        <f t="shared" si="30"/>
        <v>dead</v>
      </c>
      <c r="V667" t="e">
        <f t="shared" si="31"/>
        <v>#VALUE!</v>
      </c>
    </row>
    <row r="668" spans="1:23">
      <c r="A668" s="12">
        <v>10</v>
      </c>
      <c r="B668" s="12">
        <v>-40</v>
      </c>
      <c r="C668" s="11">
        <v>15.458956323973755</v>
      </c>
      <c r="D668" s="11">
        <v>-30.151782097610404</v>
      </c>
      <c r="E668" s="11"/>
      <c r="F668" s="12">
        <v>724</v>
      </c>
      <c r="G668" s="12" t="s">
        <v>11</v>
      </c>
      <c r="H668" s="13">
        <v>66.900000000000006</v>
      </c>
      <c r="I668" s="14"/>
      <c r="J668" s="14" t="s">
        <v>70</v>
      </c>
      <c r="K668" s="14"/>
      <c r="L668" s="13">
        <v>15.7</v>
      </c>
      <c r="M668" s="13"/>
      <c r="P668" s="12" t="s">
        <v>12</v>
      </c>
      <c r="Q668" s="12"/>
      <c r="R668" s="12"/>
      <c r="T668">
        <f t="shared" si="32"/>
        <v>21.294931385695598</v>
      </c>
      <c r="U668" t="str">
        <f t="shared" si="30"/>
        <v>dead</v>
      </c>
      <c r="V668" t="e">
        <f t="shared" si="31"/>
        <v>#VALUE!</v>
      </c>
    </row>
    <row r="669" spans="1:23">
      <c r="A669" s="12">
        <v>20</v>
      </c>
      <c r="B669" s="12">
        <v>10</v>
      </c>
      <c r="C669" s="11">
        <v>24.081992358517237</v>
      </c>
      <c r="D669" s="11">
        <v>14.329945512283251</v>
      </c>
      <c r="E669" s="11"/>
      <c r="F669" s="12">
        <v>158</v>
      </c>
      <c r="G669" s="12" t="s">
        <v>11</v>
      </c>
      <c r="H669" s="13">
        <v>67</v>
      </c>
      <c r="I669" s="14"/>
      <c r="J669" s="14" t="s">
        <v>70</v>
      </c>
      <c r="K669" s="14"/>
      <c r="L669" s="13">
        <v>11.4</v>
      </c>
      <c r="M669" s="13"/>
      <c r="P669" s="12" t="s">
        <v>12</v>
      </c>
      <c r="Q669" s="12"/>
      <c r="R669" s="12"/>
      <c r="T669">
        <f t="shared" si="32"/>
        <v>21.326762374313976</v>
      </c>
      <c r="U669" t="str">
        <f t="shared" si="30"/>
        <v>dead</v>
      </c>
      <c r="V669" t="e">
        <f t="shared" si="31"/>
        <v>#VALUE!</v>
      </c>
    </row>
    <row r="670" spans="1:23">
      <c r="A670" s="12">
        <v>30</v>
      </c>
      <c r="B670" s="12">
        <v>10</v>
      </c>
      <c r="C670" s="11">
        <v>31.896743692831674</v>
      </c>
      <c r="D670" s="11">
        <v>17.510168004924175</v>
      </c>
      <c r="E670" s="11"/>
      <c r="F670" s="12">
        <v>224</v>
      </c>
      <c r="G670" s="12" t="s">
        <v>13</v>
      </c>
      <c r="H670" s="13">
        <v>68.8</v>
      </c>
      <c r="I670" s="14"/>
      <c r="J670" s="14">
        <v>68.5</v>
      </c>
      <c r="K670" s="14"/>
      <c r="L670" s="13">
        <v>7.3</v>
      </c>
      <c r="M670" s="13">
        <v>3.2</v>
      </c>
      <c r="P670" s="12" t="s">
        <v>14</v>
      </c>
      <c r="Q670" s="12"/>
      <c r="R670" s="12" t="s">
        <v>27</v>
      </c>
      <c r="T670">
        <f t="shared" si="32"/>
        <v>21.899720169444798</v>
      </c>
      <c r="U670">
        <f t="shared" si="30"/>
        <v>21.804227203589662</v>
      </c>
      <c r="V670">
        <f t="shared" si="31"/>
        <v>-9.5492965855136447E-2</v>
      </c>
    </row>
    <row r="671" spans="1:23" s="27" customFormat="1">
      <c r="A671" s="9">
        <v>10</v>
      </c>
      <c r="B671" s="9">
        <v>-10</v>
      </c>
      <c r="C671" s="11">
        <v>16.700577497173406</v>
      </c>
      <c r="D671" s="11">
        <v>-0.72791565745859188</v>
      </c>
      <c r="E671" s="11"/>
      <c r="F671" s="12">
        <v>408</v>
      </c>
      <c r="G671" s="12" t="s">
        <v>11</v>
      </c>
      <c r="H671" s="13">
        <v>69.2</v>
      </c>
      <c r="I671" s="14"/>
      <c r="J671" s="14" t="s">
        <v>70</v>
      </c>
      <c r="K671" s="14"/>
      <c r="L671" s="13">
        <v>13.5</v>
      </c>
      <c r="M671" s="13"/>
      <c r="N671"/>
      <c r="O671"/>
      <c r="P671" s="12" t="s">
        <v>12</v>
      </c>
      <c r="Q671" s="12"/>
      <c r="R671" s="12"/>
      <c r="S671"/>
      <c r="T671">
        <f t="shared" si="32"/>
        <v>22.027044123918316</v>
      </c>
      <c r="U671" t="str">
        <f t="shared" si="30"/>
        <v>dead</v>
      </c>
      <c r="V671" t="e">
        <f t="shared" si="31"/>
        <v>#VALUE!</v>
      </c>
      <c r="W671"/>
    </row>
    <row r="672" spans="1:23">
      <c r="A672" s="12">
        <v>20</v>
      </c>
      <c r="B672" s="12">
        <v>-30</v>
      </c>
      <c r="C672" s="11">
        <v>25.194452297598396</v>
      </c>
      <c r="D672" s="11">
        <v>-23.933295219017086</v>
      </c>
      <c r="E672" s="11"/>
      <c r="F672" s="12">
        <v>638</v>
      </c>
      <c r="G672" s="12" t="s">
        <v>11</v>
      </c>
      <c r="H672" s="13">
        <v>69.8</v>
      </c>
      <c r="I672" s="14"/>
      <c r="J672" s="14" t="s">
        <v>70</v>
      </c>
      <c r="K672" s="14"/>
      <c r="L672" s="13">
        <v>14.6</v>
      </c>
      <c r="M672" s="13"/>
      <c r="P672" s="12" t="s">
        <v>12</v>
      </c>
      <c r="Q672" s="12"/>
      <c r="R672" s="12"/>
      <c r="T672">
        <f t="shared" si="32"/>
        <v>22.218030055628589</v>
      </c>
      <c r="U672" t="str">
        <f t="shared" si="30"/>
        <v>dead</v>
      </c>
      <c r="V672" t="e">
        <f t="shared" si="31"/>
        <v>#VALUE!</v>
      </c>
    </row>
    <row r="673" spans="1:23" s="27" customFormat="1">
      <c r="A673" s="9">
        <v>0</v>
      </c>
      <c r="B673" s="12">
        <v>30</v>
      </c>
      <c r="C673" s="11">
        <v>8.4116641956156712</v>
      </c>
      <c r="D673" s="11">
        <v>38.288269613612911</v>
      </c>
      <c r="E673" s="11"/>
      <c r="F673" s="12">
        <v>60</v>
      </c>
      <c r="G673" s="12" t="s">
        <v>11</v>
      </c>
      <c r="H673" s="13">
        <v>71.5</v>
      </c>
      <c r="I673" s="14"/>
      <c r="J673" s="14" t="s">
        <v>70</v>
      </c>
      <c r="K673" s="14"/>
      <c r="L673" s="13">
        <v>13.1</v>
      </c>
      <c r="M673" s="13"/>
      <c r="N673"/>
      <c r="O673"/>
      <c r="P673" s="12" t="s">
        <v>12</v>
      </c>
      <c r="Q673" s="12"/>
      <c r="R673" s="12"/>
      <c r="S673"/>
      <c r="T673">
        <f t="shared" si="32"/>
        <v>22.759156862141033</v>
      </c>
      <c r="U673" t="str">
        <f t="shared" si="30"/>
        <v>dead</v>
      </c>
      <c r="V673" t="e">
        <f t="shared" si="31"/>
        <v>#VALUE!</v>
      </c>
      <c r="W673"/>
    </row>
    <row r="674" spans="1:23">
      <c r="A674" s="9">
        <v>0</v>
      </c>
      <c r="B674" s="9">
        <v>0</v>
      </c>
      <c r="C674" s="11">
        <v>5.1128726289895026</v>
      </c>
      <c r="D674" s="11">
        <v>4.974456640370116</v>
      </c>
      <c r="E674" s="11"/>
      <c r="F674" s="12">
        <v>16</v>
      </c>
      <c r="G674" s="12" t="s">
        <v>11</v>
      </c>
      <c r="H674" s="13">
        <v>72.2</v>
      </c>
      <c r="I674" s="14"/>
      <c r="J674" s="14" t="s">
        <v>70</v>
      </c>
      <c r="K674" s="14"/>
      <c r="L674" s="13">
        <v>9.8000000000000007</v>
      </c>
      <c r="M674" s="13"/>
      <c r="P674" s="12" t="s">
        <v>12</v>
      </c>
      <c r="Q674" s="12"/>
      <c r="R674" s="12" t="s">
        <v>16</v>
      </c>
      <c r="T674">
        <f t="shared" si="32"/>
        <v>22.981973782469687</v>
      </c>
      <c r="U674" t="str">
        <f t="shared" si="30"/>
        <v>dead</v>
      </c>
      <c r="V674" t="e">
        <f t="shared" si="31"/>
        <v>#VALUE!</v>
      </c>
    </row>
    <row r="675" spans="1:23">
      <c r="A675" s="12">
        <v>20</v>
      </c>
      <c r="B675" s="12">
        <v>-20</v>
      </c>
      <c r="C675" s="11">
        <v>28.465129140768692</v>
      </c>
      <c r="D675" s="11">
        <v>-16.499565697864465</v>
      </c>
      <c r="E675" s="11"/>
      <c r="F675" s="10">
        <v>559</v>
      </c>
      <c r="G675" s="12" t="s">
        <v>11</v>
      </c>
      <c r="H675" s="13">
        <v>73</v>
      </c>
      <c r="I675" s="14"/>
      <c r="J675" s="14" t="s">
        <v>70</v>
      </c>
      <c r="K675" s="14"/>
      <c r="L675" s="13">
        <v>3</v>
      </c>
      <c r="M675" s="13"/>
      <c r="P675" s="12" t="s">
        <v>12</v>
      </c>
      <c r="Q675" s="12"/>
      <c r="R675" s="12"/>
      <c r="T675">
        <f t="shared" si="32"/>
        <v>23.236621691416719</v>
      </c>
      <c r="U675" t="str">
        <f t="shared" si="30"/>
        <v>dead</v>
      </c>
      <c r="V675" t="e">
        <f t="shared" si="31"/>
        <v>#VALUE!</v>
      </c>
    </row>
    <row r="676" spans="1:23">
      <c r="A676" s="12">
        <v>10</v>
      </c>
      <c r="B676" s="12">
        <v>-30</v>
      </c>
      <c r="C676" s="11">
        <v>10.670995073625223</v>
      </c>
      <c r="D676" s="11">
        <v>-20.197424387494433</v>
      </c>
      <c r="E676" s="11"/>
      <c r="F676" s="10">
        <v>617</v>
      </c>
      <c r="G676" s="12" t="s">
        <v>11</v>
      </c>
      <c r="H676" s="13">
        <v>73</v>
      </c>
      <c r="I676" s="14"/>
      <c r="J676" s="14" t="s">
        <v>70</v>
      </c>
      <c r="K676" s="14"/>
      <c r="L676" s="13">
        <v>13.7</v>
      </c>
      <c r="M676" s="13"/>
      <c r="P676" s="12" t="s">
        <v>12</v>
      </c>
      <c r="Q676" s="12"/>
      <c r="R676" s="12"/>
      <c r="T676">
        <f t="shared" si="32"/>
        <v>23.236621691416719</v>
      </c>
      <c r="U676" t="str">
        <f t="shared" si="30"/>
        <v>dead</v>
      </c>
      <c r="V676" t="e">
        <f t="shared" si="31"/>
        <v>#VALUE!</v>
      </c>
    </row>
    <row r="677" spans="1:23">
      <c r="A677" s="12">
        <v>40</v>
      </c>
      <c r="B677" s="12">
        <v>10</v>
      </c>
      <c r="C677" s="11">
        <v>44.877625007161186</v>
      </c>
      <c r="D677" s="11">
        <v>16.837663182661874</v>
      </c>
      <c r="E677" s="11"/>
      <c r="F677" s="10">
        <v>283</v>
      </c>
      <c r="G677" s="12" t="s">
        <v>11</v>
      </c>
      <c r="H677" s="13">
        <v>73.400000000000006</v>
      </c>
      <c r="I677" s="14"/>
      <c r="J677" s="14" t="s">
        <v>70</v>
      </c>
      <c r="K677" s="14"/>
      <c r="L677" s="13">
        <v>15.9</v>
      </c>
      <c r="M677" s="13"/>
      <c r="P677" s="12" t="s">
        <v>12</v>
      </c>
      <c r="Q677" s="12"/>
      <c r="R677" s="12"/>
      <c r="T677">
        <f t="shared" si="32"/>
        <v>23.363945645890237</v>
      </c>
      <c r="U677" t="str">
        <f t="shared" si="30"/>
        <v>dead</v>
      </c>
      <c r="V677" t="e">
        <f t="shared" si="31"/>
        <v>#VALUE!</v>
      </c>
    </row>
    <row r="678" spans="1:23">
      <c r="A678" s="12">
        <v>40</v>
      </c>
      <c r="B678" s="12">
        <v>-30</v>
      </c>
      <c r="C678" s="11">
        <v>41.448771966454686</v>
      </c>
      <c r="D678" s="11">
        <v>-26.34615792902456</v>
      </c>
      <c r="E678" s="11"/>
      <c r="F678" s="10">
        <v>693</v>
      </c>
      <c r="G678" s="12" t="s">
        <v>11</v>
      </c>
      <c r="H678" s="13">
        <v>75.5</v>
      </c>
      <c r="I678" s="14"/>
      <c r="J678" s="14" t="s">
        <v>70</v>
      </c>
      <c r="K678" s="14"/>
      <c r="L678" s="13">
        <v>14.5</v>
      </c>
      <c r="M678" s="13"/>
      <c r="P678" s="12" t="s">
        <v>12</v>
      </c>
      <c r="Q678" s="12"/>
      <c r="R678" s="12"/>
      <c r="T678">
        <f t="shared" si="32"/>
        <v>24.032396406876195</v>
      </c>
      <c r="U678" t="str">
        <f t="shared" si="30"/>
        <v>dead</v>
      </c>
      <c r="V678" t="e">
        <f t="shared" si="31"/>
        <v>#VALUE!</v>
      </c>
    </row>
    <row r="679" spans="1:23">
      <c r="A679" s="12">
        <v>10</v>
      </c>
      <c r="B679" s="12">
        <v>-50</v>
      </c>
      <c r="C679" s="11">
        <v>11.451037265159524</v>
      </c>
      <c r="D679" s="11">
        <v>-46.139995316284079</v>
      </c>
      <c r="E679" s="11"/>
      <c r="F679" s="12">
        <v>812</v>
      </c>
      <c r="G679" s="12" t="s">
        <v>11</v>
      </c>
      <c r="H679" s="13">
        <v>76.5</v>
      </c>
      <c r="I679" s="14"/>
      <c r="J679" s="14">
        <v>78.2</v>
      </c>
      <c r="K679" s="14"/>
      <c r="L679" s="13">
        <v>16</v>
      </c>
      <c r="M679" s="13">
        <v>4.5999999999999996</v>
      </c>
      <c r="P679" s="12" t="s">
        <v>14</v>
      </c>
      <c r="Q679" s="12"/>
      <c r="R679" s="12"/>
      <c r="T679">
        <f t="shared" si="32"/>
        <v>24.350706293059986</v>
      </c>
      <c r="U679">
        <f t="shared" si="30"/>
        <v>24.891833099572434</v>
      </c>
      <c r="V679">
        <f t="shared" si="31"/>
        <v>0.54112680651244816</v>
      </c>
      <c r="W679" s="27"/>
    </row>
    <row r="680" spans="1:23">
      <c r="A680" s="12">
        <v>20</v>
      </c>
      <c r="B680" s="12">
        <v>-30</v>
      </c>
      <c r="C680" s="11">
        <v>23.287444262669794</v>
      </c>
      <c r="D680" s="11">
        <v>-25.263316014950586</v>
      </c>
      <c r="E680" s="11"/>
      <c r="F680" s="12">
        <v>640</v>
      </c>
      <c r="G680" s="12" t="s">
        <v>11</v>
      </c>
      <c r="H680" s="13">
        <v>78.5</v>
      </c>
      <c r="I680" s="14"/>
      <c r="J680" s="14" t="s">
        <v>70</v>
      </c>
      <c r="K680" s="14"/>
      <c r="L680" s="13">
        <v>15.7</v>
      </c>
      <c r="M680" s="13"/>
      <c r="P680" s="12" t="s">
        <v>12</v>
      </c>
      <c r="Q680" s="12"/>
      <c r="R680" s="12"/>
      <c r="T680">
        <f t="shared" si="32"/>
        <v>24.98732606542757</v>
      </c>
      <c r="U680" t="str">
        <f t="shared" si="30"/>
        <v>dead</v>
      </c>
      <c r="V680" t="e">
        <f t="shared" si="31"/>
        <v>#VALUE!</v>
      </c>
    </row>
    <row r="681" spans="1:23">
      <c r="A681" s="12">
        <v>10</v>
      </c>
      <c r="B681" s="12">
        <v>-40</v>
      </c>
      <c r="C681" s="11">
        <v>15.09772605013295</v>
      </c>
      <c r="D681" s="11">
        <v>-34.417277624868319</v>
      </c>
      <c r="E681" s="11"/>
      <c r="F681" s="10">
        <v>725</v>
      </c>
      <c r="G681" s="12" t="s">
        <v>11</v>
      </c>
      <c r="H681" s="13">
        <v>79.5</v>
      </c>
      <c r="I681" s="14"/>
      <c r="J681" s="14" t="s">
        <v>70</v>
      </c>
      <c r="K681" s="14"/>
      <c r="L681" s="13">
        <v>15.3</v>
      </c>
      <c r="M681" s="13"/>
      <c r="P681" s="12" t="s">
        <v>12</v>
      </c>
      <c r="Q681" s="12"/>
      <c r="R681" s="12"/>
      <c r="T681">
        <f t="shared" si="32"/>
        <v>25.305635951611361</v>
      </c>
      <c r="U681" t="str">
        <f t="shared" si="30"/>
        <v>dead</v>
      </c>
      <c r="V681" t="e">
        <f t="shared" si="31"/>
        <v>#VALUE!</v>
      </c>
    </row>
    <row r="682" spans="1:23">
      <c r="A682" s="12">
        <v>20</v>
      </c>
      <c r="B682" s="12">
        <v>0</v>
      </c>
      <c r="C682" s="11">
        <v>26.439860963064383</v>
      </c>
      <c r="D682" s="11">
        <v>0.88215122082297992</v>
      </c>
      <c r="E682" s="11"/>
      <c r="F682" s="12">
        <v>116</v>
      </c>
      <c r="G682" s="12" t="s">
        <v>21</v>
      </c>
      <c r="H682" s="13">
        <v>80</v>
      </c>
      <c r="I682" s="14"/>
      <c r="J682" s="14" t="s">
        <v>70</v>
      </c>
      <c r="K682" s="14"/>
      <c r="L682" s="13">
        <v>1.8</v>
      </c>
      <c r="M682" s="13"/>
      <c r="P682" s="12" t="s">
        <v>12</v>
      </c>
      <c r="Q682" s="12"/>
      <c r="R682" s="12" t="s">
        <v>63</v>
      </c>
      <c r="T682">
        <f t="shared" si="32"/>
        <v>25.464790894703256</v>
      </c>
      <c r="U682" t="str">
        <f t="shared" si="30"/>
        <v>dead</v>
      </c>
      <c r="V682" t="e">
        <f t="shared" si="31"/>
        <v>#VALUE!</v>
      </c>
      <c r="W682" s="27"/>
    </row>
    <row r="683" spans="1:23">
      <c r="A683" s="12">
        <v>40</v>
      </c>
      <c r="B683" s="12">
        <v>20</v>
      </c>
      <c r="C683" s="11">
        <v>48.156732809019061</v>
      </c>
      <c r="D683" s="11">
        <v>26.181056034521198</v>
      </c>
      <c r="E683" s="11"/>
      <c r="F683" s="10">
        <v>287</v>
      </c>
      <c r="G683" s="12" t="s">
        <v>11</v>
      </c>
      <c r="H683" s="13">
        <v>80.400000000000006</v>
      </c>
      <c r="I683" s="14"/>
      <c r="J683" s="14" t="s">
        <v>70</v>
      </c>
      <c r="K683" s="14"/>
      <c r="L683" s="13">
        <v>18.5</v>
      </c>
      <c r="M683" s="13"/>
      <c r="P683" s="12" t="s">
        <v>12</v>
      </c>
      <c r="Q683" s="12"/>
      <c r="R683" s="12"/>
      <c r="T683">
        <f t="shared" si="32"/>
        <v>25.592114849176774</v>
      </c>
      <c r="U683" t="str">
        <f t="shared" si="30"/>
        <v>dead</v>
      </c>
      <c r="V683" t="e">
        <f t="shared" si="31"/>
        <v>#VALUE!</v>
      </c>
    </row>
    <row r="684" spans="1:23" s="27" customFormat="1">
      <c r="A684" s="12">
        <v>40</v>
      </c>
      <c r="B684" s="12">
        <v>-20</v>
      </c>
      <c r="C684" s="11">
        <v>40.793988816431167</v>
      </c>
      <c r="D684" s="11">
        <v>-19.0753336996158</v>
      </c>
      <c r="E684" s="11"/>
      <c r="F684" s="12">
        <v>512</v>
      </c>
      <c r="G684" s="12" t="s">
        <v>11</v>
      </c>
      <c r="H684" s="13">
        <v>86</v>
      </c>
      <c r="I684" s="14"/>
      <c r="J684" s="14" t="s">
        <v>70</v>
      </c>
      <c r="K684" s="14"/>
      <c r="L684" s="13">
        <v>16.5</v>
      </c>
      <c r="M684" s="13"/>
      <c r="N684"/>
      <c r="O684"/>
      <c r="P684" s="12" t="s">
        <v>12</v>
      </c>
      <c r="Q684" s="12"/>
      <c r="R684" s="12"/>
      <c r="S684"/>
      <c r="T684">
        <f t="shared" si="32"/>
        <v>27.374650211805999</v>
      </c>
      <c r="U684" t="str">
        <f t="shared" si="30"/>
        <v>dead</v>
      </c>
      <c r="V684" t="e">
        <f t="shared" si="31"/>
        <v>#VALUE!</v>
      </c>
      <c r="W684"/>
    </row>
    <row r="685" spans="1:23">
      <c r="A685" s="12">
        <v>20</v>
      </c>
      <c r="B685" s="12">
        <v>-50</v>
      </c>
      <c r="C685" s="11">
        <v>23.607320227562639</v>
      </c>
      <c r="D685" s="11">
        <v>-43.356142628275542</v>
      </c>
      <c r="E685" s="11"/>
      <c r="F685" s="10">
        <v>819</v>
      </c>
      <c r="G685" s="10" t="s">
        <v>56</v>
      </c>
      <c r="H685" s="13">
        <v>87.8</v>
      </c>
      <c r="I685" s="14"/>
      <c r="J685" s="14" t="s">
        <v>70</v>
      </c>
      <c r="K685" s="14"/>
      <c r="L685" s="13">
        <v>16.899999999999999</v>
      </c>
      <c r="M685" s="13"/>
      <c r="P685" s="12" t="s">
        <v>12</v>
      </c>
      <c r="Q685" s="12"/>
      <c r="R685" s="12"/>
      <c r="T685">
        <f t="shared" si="32"/>
        <v>27.947608006936822</v>
      </c>
      <c r="U685" t="str">
        <f t="shared" si="30"/>
        <v>dead</v>
      </c>
      <c r="V685" t="e">
        <f t="shared" si="31"/>
        <v>#VALUE!</v>
      </c>
    </row>
    <row r="686" spans="1:23">
      <c r="A686" s="12">
        <v>0</v>
      </c>
      <c r="B686" s="12">
        <v>-20</v>
      </c>
      <c r="C686" s="11">
        <v>8.5366685337559378</v>
      </c>
      <c r="D686" s="11">
        <v>-10.477273867691553</v>
      </c>
      <c r="E686" s="11"/>
      <c r="F686" s="12">
        <v>590</v>
      </c>
      <c r="G686" s="12" t="s">
        <v>11</v>
      </c>
      <c r="H686" s="13">
        <v>88.5</v>
      </c>
      <c r="I686" s="14"/>
      <c r="J686" s="14" t="s">
        <v>70</v>
      </c>
      <c r="K686" s="14"/>
      <c r="L686" s="13">
        <v>8.4</v>
      </c>
      <c r="M686" s="13"/>
      <c r="P686" s="12" t="s">
        <v>12</v>
      </c>
      <c r="Q686" s="12"/>
      <c r="R686" s="12" t="s">
        <v>16</v>
      </c>
      <c r="T686">
        <f t="shared" si="32"/>
        <v>28.170424927265476</v>
      </c>
      <c r="U686" t="str">
        <f t="shared" si="30"/>
        <v>dead</v>
      </c>
      <c r="V686" t="e">
        <f t="shared" si="31"/>
        <v>#VALUE!</v>
      </c>
      <c r="W686" s="27"/>
    </row>
    <row r="687" spans="1:23">
      <c r="A687" s="12">
        <v>20</v>
      </c>
      <c r="B687" s="12">
        <v>-20</v>
      </c>
      <c r="C687" s="11">
        <v>27.300589115830448</v>
      </c>
      <c r="D687" s="11">
        <v>-39.453605858000387</v>
      </c>
      <c r="E687" s="11"/>
      <c r="F687" s="10">
        <v>717</v>
      </c>
      <c r="G687" s="12" t="s">
        <v>11</v>
      </c>
      <c r="H687" s="13">
        <v>90.2</v>
      </c>
      <c r="I687" s="14"/>
      <c r="J687" s="14" t="s">
        <v>70</v>
      </c>
      <c r="K687" s="14"/>
      <c r="L687" s="13">
        <v>19.399999999999999</v>
      </c>
      <c r="M687" s="13"/>
      <c r="P687" s="12" t="s">
        <v>12</v>
      </c>
      <c r="Q687" s="12"/>
      <c r="R687" s="12"/>
      <c r="T687">
        <f t="shared" si="32"/>
        <v>28.71155173377792</v>
      </c>
      <c r="U687" t="str">
        <f t="shared" si="30"/>
        <v>dead</v>
      </c>
      <c r="V687" t="e">
        <f t="shared" si="31"/>
        <v>#VALUE!</v>
      </c>
    </row>
    <row r="688" spans="1:23">
      <c r="A688" s="12">
        <v>30</v>
      </c>
      <c r="B688" s="12">
        <v>-20</v>
      </c>
      <c r="C688" s="11">
        <v>30.741420526021269</v>
      </c>
      <c r="D688" s="11">
        <v>-33.689937750172362</v>
      </c>
      <c r="E688" s="11"/>
      <c r="F688" s="10">
        <v>713</v>
      </c>
      <c r="G688" s="12" t="s">
        <v>11</v>
      </c>
      <c r="H688" s="13">
        <v>91.4</v>
      </c>
      <c r="I688" s="14"/>
      <c r="J688" s="14" t="s">
        <v>70</v>
      </c>
      <c r="K688" s="14"/>
      <c r="L688" s="13">
        <v>16.100000000000001</v>
      </c>
      <c r="M688" s="13"/>
      <c r="P688" s="12" t="s">
        <v>12</v>
      </c>
      <c r="Q688" s="12"/>
      <c r="R688" s="12" t="s">
        <v>16</v>
      </c>
      <c r="T688">
        <f t="shared" si="32"/>
        <v>29.09352359719847</v>
      </c>
      <c r="U688" t="str">
        <f t="shared" si="30"/>
        <v>dead</v>
      </c>
      <c r="V688" t="e">
        <f t="shared" si="31"/>
        <v>#VALUE!</v>
      </c>
    </row>
    <row r="689" spans="1:23">
      <c r="A689" s="12">
        <v>0</v>
      </c>
      <c r="B689" s="12">
        <v>-20</v>
      </c>
      <c r="C689" s="11">
        <v>1.8407745955404609</v>
      </c>
      <c r="D689" s="11">
        <v>-14.422176939971177</v>
      </c>
      <c r="E689" s="11"/>
      <c r="F689" s="12">
        <v>588</v>
      </c>
      <c r="G689" s="12" t="s">
        <v>11</v>
      </c>
      <c r="H689" s="13">
        <v>92</v>
      </c>
      <c r="I689" s="14"/>
      <c r="J689" s="14" t="s">
        <v>70</v>
      </c>
      <c r="K689" s="14"/>
      <c r="L689" s="13">
        <v>13.5</v>
      </c>
      <c r="M689" s="13"/>
      <c r="P689" s="12" t="s">
        <v>12</v>
      </c>
      <c r="Q689" s="12"/>
      <c r="R689" s="12"/>
      <c r="T689">
        <f t="shared" si="32"/>
        <v>29.284509528908742</v>
      </c>
      <c r="U689" t="str">
        <f t="shared" si="30"/>
        <v>dead</v>
      </c>
      <c r="V689" t="e">
        <f t="shared" si="31"/>
        <v>#VALUE!</v>
      </c>
      <c r="W689" s="27"/>
    </row>
    <row r="690" spans="1:23">
      <c r="A690" s="12">
        <v>0</v>
      </c>
      <c r="B690" s="12">
        <v>-30</v>
      </c>
      <c r="C690" s="11">
        <v>3.7272304886527081</v>
      </c>
      <c r="D690" s="11">
        <v>-27.998115259228051</v>
      </c>
      <c r="E690" s="11"/>
      <c r="F690" s="12">
        <v>606</v>
      </c>
      <c r="G690" s="12" t="s">
        <v>11</v>
      </c>
      <c r="H690" s="13">
        <v>93.6</v>
      </c>
      <c r="I690" s="14"/>
      <c r="J690" s="14" t="s">
        <v>70</v>
      </c>
      <c r="K690" s="14"/>
      <c r="L690" s="13">
        <v>18.399999999999999</v>
      </c>
      <c r="M690" s="13"/>
      <c r="P690" s="12" t="s">
        <v>12</v>
      </c>
      <c r="Q690" s="12"/>
      <c r="R690" s="12"/>
      <c r="T690">
        <f t="shared" si="32"/>
        <v>29.793805346802806</v>
      </c>
      <c r="U690" t="str">
        <f t="shared" si="30"/>
        <v>dead</v>
      </c>
      <c r="V690" t="e">
        <f t="shared" si="31"/>
        <v>#VALUE!</v>
      </c>
    </row>
    <row r="691" spans="1:23">
      <c r="A691" s="12">
        <v>10</v>
      </c>
      <c r="B691" s="12">
        <v>-20</v>
      </c>
      <c r="C691" s="11">
        <v>17.437640230641318</v>
      </c>
      <c r="D691" s="11">
        <v>-18.478582104623413</v>
      </c>
      <c r="E691" s="11"/>
      <c r="F691" s="10">
        <v>571</v>
      </c>
      <c r="G691" s="12" t="s">
        <v>11</v>
      </c>
      <c r="H691" s="13">
        <v>97.2</v>
      </c>
      <c r="I691" s="14"/>
      <c r="J691" s="14" t="s">
        <v>70</v>
      </c>
      <c r="K691" s="14"/>
      <c r="L691" s="13">
        <v>16.3</v>
      </c>
      <c r="M691" s="13"/>
      <c r="P691" s="12" t="s">
        <v>12</v>
      </c>
      <c r="Q691" s="12"/>
      <c r="R691" s="12"/>
      <c r="T691">
        <f t="shared" si="32"/>
        <v>30.939720937064454</v>
      </c>
      <c r="U691" t="str">
        <f t="shared" si="30"/>
        <v>dead</v>
      </c>
      <c r="V691" t="e">
        <f t="shared" si="31"/>
        <v>#VALUE!</v>
      </c>
    </row>
    <row r="692" spans="1:23">
      <c r="A692" s="12">
        <v>20</v>
      </c>
      <c r="B692" s="12">
        <v>10</v>
      </c>
      <c r="C692" s="11">
        <v>23.07038032055581</v>
      </c>
      <c r="D692" s="11">
        <v>14.569998788165483</v>
      </c>
      <c r="E692" s="11"/>
      <c r="F692" s="12">
        <v>156</v>
      </c>
      <c r="G692" s="12" t="s">
        <v>11</v>
      </c>
      <c r="H692" s="13">
        <v>97.3</v>
      </c>
      <c r="I692" s="14"/>
      <c r="J692" s="14" t="s">
        <v>70</v>
      </c>
      <c r="K692" s="14"/>
      <c r="L692" s="13">
        <v>16.899999999999999</v>
      </c>
      <c r="M692" s="13"/>
      <c r="P692" s="12" t="s">
        <v>12</v>
      </c>
      <c r="Q692" s="12"/>
      <c r="R692" s="12"/>
      <c r="T692">
        <f t="shared" si="32"/>
        <v>30.971551925682832</v>
      </c>
      <c r="U692" t="str">
        <f t="shared" si="30"/>
        <v>dead</v>
      </c>
      <c r="V692" t="e">
        <f t="shared" si="31"/>
        <v>#VALUE!</v>
      </c>
    </row>
    <row r="693" spans="1:23">
      <c r="A693" s="12">
        <v>30</v>
      </c>
      <c r="B693" s="12">
        <v>-50</v>
      </c>
      <c r="C693" s="11">
        <v>33.914906133753021</v>
      </c>
      <c r="D693" s="11">
        <v>-40.244402616523288</v>
      </c>
      <c r="E693" s="11"/>
      <c r="F693" s="10">
        <v>821</v>
      </c>
      <c r="G693" s="12" t="s">
        <v>11</v>
      </c>
      <c r="H693" s="13">
        <v>99.5</v>
      </c>
      <c r="I693" s="14"/>
      <c r="J693" s="14" t="s">
        <v>70</v>
      </c>
      <c r="K693" s="14"/>
      <c r="L693" s="13">
        <v>18.600000000000001</v>
      </c>
      <c r="M693" s="13"/>
      <c r="P693" s="12" t="s">
        <v>12</v>
      </c>
      <c r="Q693" s="12"/>
      <c r="R693" s="12"/>
      <c r="T693">
        <f t="shared" si="32"/>
        <v>31.671833675287171</v>
      </c>
      <c r="U693" t="str">
        <f t="shared" si="30"/>
        <v>dead</v>
      </c>
      <c r="V693" t="e">
        <f t="shared" si="31"/>
        <v>#VALUE!</v>
      </c>
    </row>
    <row r="694" spans="1:23">
      <c r="A694" s="12">
        <v>10</v>
      </c>
      <c r="B694" s="12">
        <v>-40</v>
      </c>
      <c r="C694" s="11">
        <v>18.077169041346473</v>
      </c>
      <c r="D694" s="11">
        <v>-34.59280661733704</v>
      </c>
      <c r="E694" s="11"/>
      <c r="F694" s="12">
        <v>722</v>
      </c>
      <c r="G694" s="12" t="s">
        <v>11</v>
      </c>
      <c r="H694" s="13">
        <v>101.1</v>
      </c>
      <c r="I694" s="14"/>
      <c r="J694" s="14" t="s">
        <v>70</v>
      </c>
      <c r="K694" s="14"/>
      <c r="L694" s="13">
        <v>21.4</v>
      </c>
      <c r="M694" s="13"/>
      <c r="P694" s="12" t="s">
        <v>12</v>
      </c>
      <c r="Q694" s="12"/>
      <c r="R694" s="12"/>
      <c r="T694">
        <f t="shared" si="32"/>
        <v>32.181129493181238</v>
      </c>
      <c r="U694" t="str">
        <f t="shared" si="30"/>
        <v>dead</v>
      </c>
      <c r="V694" t="e">
        <f t="shared" si="31"/>
        <v>#VALUE!</v>
      </c>
    </row>
    <row r="695" spans="1:23">
      <c r="A695" s="9">
        <v>0</v>
      </c>
      <c r="B695" s="9">
        <v>-10</v>
      </c>
      <c r="C695" s="11">
        <v>1.2154303413929617</v>
      </c>
      <c r="D695" s="11">
        <v>-9.4124380158473588</v>
      </c>
      <c r="E695" s="11"/>
      <c r="F695" s="10">
        <v>405</v>
      </c>
      <c r="G695" s="12" t="s">
        <v>11</v>
      </c>
      <c r="H695" s="13">
        <v>103</v>
      </c>
      <c r="I695" s="14"/>
      <c r="J695" s="14" t="s">
        <v>70</v>
      </c>
      <c r="K695" s="14"/>
      <c r="L695" s="13">
        <v>14.6</v>
      </c>
      <c r="M695" s="13"/>
      <c r="P695" s="12" t="s">
        <v>12</v>
      </c>
      <c r="Q695" s="12"/>
      <c r="R695" s="12"/>
      <c r="T695">
        <f t="shared" si="32"/>
        <v>32.785918276930438</v>
      </c>
      <c r="U695" t="str">
        <f t="shared" si="30"/>
        <v>dead</v>
      </c>
      <c r="V695" t="e">
        <f t="shared" si="31"/>
        <v>#VALUE!</v>
      </c>
    </row>
    <row r="696" spans="1:23">
      <c r="A696" s="12">
        <v>0</v>
      </c>
      <c r="B696" s="12">
        <v>-50</v>
      </c>
      <c r="C696" s="11">
        <v>3.5447906807329383</v>
      </c>
      <c r="D696" s="11">
        <v>-47.858700442468063</v>
      </c>
      <c r="E696" s="11"/>
      <c r="F696" s="12">
        <v>806</v>
      </c>
      <c r="G696" s="12" t="s">
        <v>11</v>
      </c>
      <c r="H696" s="13">
        <v>103.2</v>
      </c>
      <c r="I696" s="14"/>
      <c r="J696" s="14">
        <v>105.3</v>
      </c>
      <c r="K696" s="14"/>
      <c r="L696" s="13">
        <v>18.5</v>
      </c>
      <c r="M696" s="13">
        <v>10.3</v>
      </c>
      <c r="P696" s="12" t="s">
        <v>14</v>
      </c>
      <c r="Q696" s="12"/>
      <c r="R696" s="12"/>
      <c r="T696">
        <f t="shared" si="32"/>
        <v>32.849580254167201</v>
      </c>
      <c r="U696">
        <f t="shared" si="30"/>
        <v>33.518031015153156</v>
      </c>
      <c r="V696">
        <f t="shared" si="31"/>
        <v>0.66845076098595513</v>
      </c>
    </row>
    <row r="697" spans="1:23">
      <c r="A697" s="12">
        <v>30</v>
      </c>
      <c r="B697" s="12">
        <v>-30</v>
      </c>
      <c r="C697" s="11">
        <v>36.146983389485356</v>
      </c>
      <c r="D697" s="11">
        <v>-27.645305435977761</v>
      </c>
      <c r="E697" s="11"/>
      <c r="F697" s="10">
        <v>675</v>
      </c>
      <c r="G697" s="12" t="s">
        <v>11</v>
      </c>
      <c r="H697" s="13">
        <v>104</v>
      </c>
      <c r="I697" s="14"/>
      <c r="J697" s="14" t="s">
        <v>70</v>
      </c>
      <c r="K697" s="14"/>
      <c r="L697" s="13">
        <v>2.5</v>
      </c>
      <c r="M697" s="13"/>
      <c r="P697" s="12" t="s">
        <v>12</v>
      </c>
      <c r="Q697" s="12"/>
      <c r="R697" s="12" t="s">
        <v>46</v>
      </c>
      <c r="T697">
        <f t="shared" si="32"/>
        <v>33.104228163114229</v>
      </c>
      <c r="U697" t="str">
        <f t="shared" si="30"/>
        <v>dead</v>
      </c>
      <c r="V697" t="e">
        <f t="shared" si="31"/>
        <v>#VALUE!</v>
      </c>
    </row>
    <row r="698" spans="1:23">
      <c r="A698" s="12">
        <v>0</v>
      </c>
      <c r="B698" s="12">
        <v>-40</v>
      </c>
      <c r="C698" s="11">
        <v>6.0081109655701512</v>
      </c>
      <c r="D698" s="11">
        <v>-33.485829144334737</v>
      </c>
      <c r="E698" s="11"/>
      <c r="F698" s="10">
        <v>727</v>
      </c>
      <c r="G698" s="12" t="s">
        <v>11</v>
      </c>
      <c r="H698" s="13">
        <v>117</v>
      </c>
      <c r="I698" s="14"/>
      <c r="J698" s="14" t="s">
        <v>70</v>
      </c>
      <c r="K698" s="14"/>
      <c r="L698" s="13">
        <v>21</v>
      </c>
      <c r="M698" s="13"/>
      <c r="P698" s="12" t="s">
        <v>12</v>
      </c>
      <c r="Q698" s="12"/>
      <c r="R698" s="12"/>
      <c r="T698">
        <f t="shared" si="32"/>
        <v>37.242256683503513</v>
      </c>
      <c r="U698" t="str">
        <f t="shared" si="30"/>
        <v>dead</v>
      </c>
      <c r="V698" t="e">
        <f t="shared" si="31"/>
        <v>#VALUE!</v>
      </c>
    </row>
    <row r="699" spans="1:23" s="27" customFormat="1">
      <c r="A699" s="12">
        <v>0</v>
      </c>
      <c r="B699" s="12">
        <v>-40</v>
      </c>
      <c r="C699" s="11">
        <v>0.80116598442242903</v>
      </c>
      <c r="D699" s="11">
        <v>-32.577476658584828</v>
      </c>
      <c r="E699" s="11"/>
      <c r="F699" s="10">
        <v>731</v>
      </c>
      <c r="G699" s="12" t="s">
        <v>11</v>
      </c>
      <c r="H699" s="13">
        <v>118.5</v>
      </c>
      <c r="I699" s="14"/>
      <c r="J699" s="14" t="s">
        <v>70</v>
      </c>
      <c r="K699" s="14"/>
      <c r="L699" s="13">
        <v>14.6</v>
      </c>
      <c r="M699" s="13"/>
      <c r="N699"/>
      <c r="O699"/>
      <c r="P699" s="12" t="s">
        <v>12</v>
      </c>
      <c r="Q699" s="12"/>
      <c r="R699" s="12" t="s">
        <v>16</v>
      </c>
      <c r="S699"/>
      <c r="T699">
        <f t="shared" si="32"/>
        <v>37.719721512779195</v>
      </c>
      <c r="U699" t="str">
        <f t="shared" si="30"/>
        <v>dead</v>
      </c>
      <c r="V699" t="e">
        <f t="shared" si="31"/>
        <v>#VALUE!</v>
      </c>
      <c r="W699"/>
    </row>
    <row r="700" spans="1:23" s="27" customFormat="1">
      <c r="A700" s="9">
        <v>0</v>
      </c>
      <c r="B700" s="9">
        <v>-10</v>
      </c>
      <c r="C700" s="11">
        <v>2.7557223334190488</v>
      </c>
      <c r="D700" s="11">
        <v>-4.5915903981766064</v>
      </c>
      <c r="E700" s="11"/>
      <c r="F700" s="12">
        <v>404</v>
      </c>
      <c r="G700" s="12" t="s">
        <v>11</v>
      </c>
      <c r="H700" s="13">
        <v>127.8</v>
      </c>
      <c r="I700" s="14"/>
      <c r="J700" s="14" t="s">
        <v>70</v>
      </c>
      <c r="K700" s="14"/>
      <c r="L700" s="13">
        <v>5.4</v>
      </c>
      <c r="M700" s="13"/>
      <c r="N700"/>
      <c r="O700"/>
      <c r="P700" s="12" t="s">
        <v>12</v>
      </c>
      <c r="Q700" s="12"/>
      <c r="R700" s="12" t="s">
        <v>16</v>
      </c>
      <c r="S700"/>
      <c r="T700">
        <f t="shared" si="32"/>
        <v>40.680003454288446</v>
      </c>
      <c r="U700" t="str">
        <f t="shared" si="30"/>
        <v>dead</v>
      </c>
      <c r="V700" t="e">
        <f t="shared" si="31"/>
        <v>#VALUE!</v>
      </c>
      <c r="W700"/>
    </row>
    <row r="701" spans="1:23" s="27" customFormat="1">
      <c r="A701" s="12">
        <v>10</v>
      </c>
      <c r="B701" s="12">
        <v>-30</v>
      </c>
      <c r="C701" s="11">
        <v>12.339531167012069</v>
      </c>
      <c r="D701" s="11">
        <v>-29.699835939788905</v>
      </c>
      <c r="E701" s="11"/>
      <c r="F701" s="12">
        <v>626</v>
      </c>
      <c r="G701" s="12" t="s">
        <v>11</v>
      </c>
      <c r="H701" s="13">
        <v>135</v>
      </c>
      <c r="I701" s="14"/>
      <c r="J701" s="14" t="s">
        <v>70</v>
      </c>
      <c r="K701" s="14"/>
      <c r="L701" s="13">
        <v>3.2</v>
      </c>
      <c r="M701" s="13"/>
      <c r="N701"/>
      <c r="O701"/>
      <c r="P701" s="12" t="s">
        <v>12</v>
      </c>
      <c r="Q701" s="12"/>
      <c r="R701" s="12" t="s">
        <v>16</v>
      </c>
      <c r="S701"/>
      <c r="T701">
        <f t="shared" si="32"/>
        <v>42.971834634811742</v>
      </c>
      <c r="U701" t="str">
        <f t="shared" si="30"/>
        <v>dead</v>
      </c>
      <c r="V701" t="e">
        <f t="shared" si="31"/>
        <v>#VALUE!</v>
      </c>
      <c r="W701"/>
    </row>
    <row r="702" spans="1:23">
      <c r="A702" s="9">
        <v>10</v>
      </c>
      <c r="B702" s="9">
        <v>30</v>
      </c>
      <c r="C702" s="11">
        <v>17.134050908049542</v>
      </c>
      <c r="D702" s="11">
        <v>31.254967768961702</v>
      </c>
      <c r="E702" s="11" t="s">
        <v>185</v>
      </c>
      <c r="F702" s="10">
        <v>3581</v>
      </c>
      <c r="G702" s="12" t="s">
        <v>11</v>
      </c>
      <c r="H702" s="13">
        <v>0</v>
      </c>
      <c r="I702" s="14">
        <v>0</v>
      </c>
      <c r="J702" s="14">
        <v>0</v>
      </c>
      <c r="K702" s="14">
        <v>7</v>
      </c>
      <c r="L702" s="13">
        <v>0</v>
      </c>
      <c r="M702" s="13">
        <v>0</v>
      </c>
      <c r="N702">
        <v>1.73</v>
      </c>
      <c r="O702">
        <v>7.0000000000000007E-2</v>
      </c>
      <c r="P702" s="11" t="s">
        <v>14</v>
      </c>
      <c r="Q702" s="11">
        <v>0</v>
      </c>
      <c r="R702" s="11">
        <v>0</v>
      </c>
      <c r="S702">
        <v>0</v>
      </c>
      <c r="T702">
        <f t="shared" si="32"/>
        <v>0</v>
      </c>
      <c r="U702">
        <f t="shared" ref="U702:U729" si="33">IF(J702="dead","dead",J702/PI()+K702/10)</f>
        <v>0.7</v>
      </c>
      <c r="V702">
        <f t="shared" ref="V702:V729" si="34">U702-T702</f>
        <v>0.7</v>
      </c>
    </row>
    <row r="703" spans="1:23">
      <c r="A703">
        <v>10</v>
      </c>
      <c r="B703">
        <v>10</v>
      </c>
      <c r="C703">
        <v>16.471613120300947</v>
      </c>
      <c r="D703">
        <v>13.888537465570909</v>
      </c>
      <c r="E703" t="s">
        <v>185</v>
      </c>
      <c r="F703">
        <v>3582</v>
      </c>
      <c r="G703" t="s">
        <v>13</v>
      </c>
      <c r="H703" s="2">
        <v>0</v>
      </c>
      <c r="I703" s="1">
        <v>0</v>
      </c>
      <c r="J703" s="1">
        <v>0</v>
      </c>
      <c r="K703" s="1">
        <v>6.5</v>
      </c>
      <c r="L703" s="2">
        <v>0</v>
      </c>
      <c r="M703" s="2">
        <v>0</v>
      </c>
      <c r="N703">
        <v>1.85</v>
      </c>
      <c r="O703">
        <v>0.15</v>
      </c>
      <c r="P703" t="s">
        <v>14</v>
      </c>
      <c r="Q703">
        <v>0</v>
      </c>
      <c r="R703">
        <v>0</v>
      </c>
      <c r="S703" t="s">
        <v>186</v>
      </c>
      <c r="T703">
        <f t="shared" si="32"/>
        <v>0</v>
      </c>
      <c r="U703">
        <f t="shared" si="33"/>
        <v>0.65</v>
      </c>
      <c r="V703">
        <f t="shared" si="34"/>
        <v>0.65</v>
      </c>
    </row>
    <row r="704" spans="1:23">
      <c r="A704">
        <v>10</v>
      </c>
      <c r="B704">
        <v>10</v>
      </c>
      <c r="C704">
        <v>16.471613120300947</v>
      </c>
      <c r="D704">
        <v>13.888537465570909</v>
      </c>
      <c r="E704" t="s">
        <v>185</v>
      </c>
      <c r="F704">
        <v>3583</v>
      </c>
      <c r="G704" t="s">
        <v>13</v>
      </c>
      <c r="H704" s="2">
        <v>0</v>
      </c>
      <c r="I704" s="1">
        <v>0</v>
      </c>
      <c r="J704" s="1">
        <v>0</v>
      </c>
      <c r="K704" s="1">
        <v>6.5</v>
      </c>
      <c r="L704" s="2">
        <v>0</v>
      </c>
      <c r="M704" s="2">
        <v>0</v>
      </c>
      <c r="N704">
        <v>1.62</v>
      </c>
      <c r="O704">
        <v>0.26</v>
      </c>
      <c r="P704" t="s">
        <v>14</v>
      </c>
      <c r="Q704">
        <v>0</v>
      </c>
      <c r="R704">
        <v>0</v>
      </c>
      <c r="S704">
        <v>0</v>
      </c>
      <c r="T704">
        <f t="shared" si="32"/>
        <v>0</v>
      </c>
      <c r="U704">
        <f t="shared" si="33"/>
        <v>0.65</v>
      </c>
      <c r="V704">
        <f t="shared" si="34"/>
        <v>0.65</v>
      </c>
    </row>
    <row r="705" spans="1:22">
      <c r="A705">
        <v>20</v>
      </c>
      <c r="B705">
        <v>10</v>
      </c>
      <c r="C705">
        <v>20.025377074440154</v>
      </c>
      <c r="D705">
        <v>14.539977854319202</v>
      </c>
      <c r="E705" t="s">
        <v>185</v>
      </c>
      <c r="F705">
        <v>3585</v>
      </c>
      <c r="G705" s="1" t="s">
        <v>11</v>
      </c>
      <c r="H705" s="1">
        <v>0</v>
      </c>
      <c r="I705">
        <v>0</v>
      </c>
      <c r="J705">
        <v>0</v>
      </c>
      <c r="K705">
        <v>5.9</v>
      </c>
      <c r="L705" s="2">
        <v>0</v>
      </c>
      <c r="M705">
        <v>0</v>
      </c>
      <c r="N705">
        <v>1.62</v>
      </c>
      <c r="O705">
        <v>0</v>
      </c>
      <c r="P705">
        <v>0</v>
      </c>
      <c r="Q705">
        <v>0</v>
      </c>
      <c r="R705">
        <v>0</v>
      </c>
      <c r="S705">
        <v>0</v>
      </c>
      <c r="T705">
        <f t="shared" si="32"/>
        <v>0</v>
      </c>
      <c r="U705">
        <f t="shared" si="33"/>
        <v>0.59000000000000008</v>
      </c>
      <c r="V705">
        <f t="shared" si="34"/>
        <v>0.59000000000000008</v>
      </c>
    </row>
    <row r="706" spans="1:22">
      <c r="A706">
        <v>20</v>
      </c>
      <c r="B706">
        <v>0</v>
      </c>
      <c r="C706">
        <v>26.72</v>
      </c>
      <c r="D706">
        <v>7.06</v>
      </c>
      <c r="E706" t="s">
        <v>185</v>
      </c>
      <c r="F706">
        <v>3584</v>
      </c>
      <c r="G706" s="1" t="s">
        <v>11</v>
      </c>
      <c r="H706" s="1">
        <v>0</v>
      </c>
      <c r="I706">
        <v>0</v>
      </c>
      <c r="J706">
        <v>0</v>
      </c>
      <c r="K706">
        <v>3.84</v>
      </c>
      <c r="L706" s="2">
        <v>0</v>
      </c>
      <c r="M706">
        <v>0</v>
      </c>
      <c r="N706">
        <v>1.4</v>
      </c>
      <c r="O706">
        <v>0</v>
      </c>
      <c r="P706">
        <v>0</v>
      </c>
      <c r="Q706">
        <v>0</v>
      </c>
      <c r="R706">
        <v>0</v>
      </c>
      <c r="S706">
        <v>0</v>
      </c>
      <c r="T706">
        <f t="shared" si="32"/>
        <v>0</v>
      </c>
      <c r="U706">
        <f t="shared" si="33"/>
        <v>0.38400000000000001</v>
      </c>
      <c r="V706">
        <f t="shared" si="34"/>
        <v>0.38400000000000001</v>
      </c>
    </row>
    <row r="707" spans="1:22">
      <c r="A707">
        <v>20</v>
      </c>
      <c r="B707">
        <v>20</v>
      </c>
      <c r="C707">
        <v>25.05</v>
      </c>
      <c r="D707">
        <v>28.61</v>
      </c>
      <c r="E707" t="s">
        <v>185</v>
      </c>
      <c r="F707">
        <v>3586</v>
      </c>
      <c r="G707" s="1" t="s">
        <v>21</v>
      </c>
      <c r="H707" s="1">
        <v>0</v>
      </c>
      <c r="I707">
        <v>0</v>
      </c>
      <c r="J707">
        <v>0</v>
      </c>
      <c r="K707">
        <v>5.8</v>
      </c>
      <c r="L707" s="2">
        <v>0</v>
      </c>
      <c r="M707">
        <v>0</v>
      </c>
      <c r="N707">
        <v>1.75</v>
      </c>
      <c r="O707">
        <v>0.25</v>
      </c>
      <c r="P707">
        <v>0</v>
      </c>
      <c r="Q707">
        <v>0</v>
      </c>
      <c r="R707">
        <v>0</v>
      </c>
      <c r="S707">
        <v>0</v>
      </c>
      <c r="T707">
        <f t="shared" si="32"/>
        <v>0</v>
      </c>
      <c r="U707">
        <f t="shared" si="33"/>
        <v>0.57999999999999996</v>
      </c>
      <c r="V707">
        <f t="shared" si="34"/>
        <v>0.57999999999999996</v>
      </c>
    </row>
    <row r="708" spans="1:22">
      <c r="A708">
        <v>20</v>
      </c>
      <c r="B708">
        <v>30</v>
      </c>
      <c r="C708">
        <v>25.43</v>
      </c>
      <c r="D708">
        <v>34.33</v>
      </c>
      <c r="E708" t="s">
        <v>185</v>
      </c>
      <c r="F708">
        <v>3587</v>
      </c>
      <c r="G708" s="1" t="s">
        <v>13</v>
      </c>
      <c r="H708" s="1">
        <v>0</v>
      </c>
      <c r="I708">
        <v>0</v>
      </c>
      <c r="J708">
        <v>0</v>
      </c>
      <c r="K708">
        <v>4.8</v>
      </c>
      <c r="L708" s="2">
        <v>0</v>
      </c>
      <c r="M708">
        <v>0</v>
      </c>
      <c r="N708">
        <v>169</v>
      </c>
      <c r="O708">
        <v>0.63</v>
      </c>
      <c r="P708">
        <v>0</v>
      </c>
      <c r="Q708">
        <v>0</v>
      </c>
      <c r="R708">
        <v>0</v>
      </c>
      <c r="S708">
        <v>0</v>
      </c>
      <c r="T708">
        <f t="shared" si="32"/>
        <v>0</v>
      </c>
      <c r="U708">
        <f t="shared" si="33"/>
        <v>0.48</v>
      </c>
      <c r="V708">
        <f t="shared" si="34"/>
        <v>0.48</v>
      </c>
    </row>
    <row r="709" spans="1:22">
      <c r="A709">
        <v>20</v>
      </c>
      <c r="B709">
        <v>30</v>
      </c>
      <c r="C709">
        <v>23.54</v>
      </c>
      <c r="D709">
        <v>32.4</v>
      </c>
      <c r="E709" t="s">
        <v>185</v>
      </c>
      <c r="F709">
        <v>3588</v>
      </c>
      <c r="G709" s="1" t="s">
        <v>21</v>
      </c>
      <c r="H709" s="1">
        <v>0</v>
      </c>
      <c r="I709">
        <v>0</v>
      </c>
      <c r="J709">
        <v>0</v>
      </c>
      <c r="K709">
        <v>7.8</v>
      </c>
      <c r="L709" s="2">
        <v>0</v>
      </c>
      <c r="M709">
        <v>0</v>
      </c>
      <c r="N709">
        <v>2.1800000000000002</v>
      </c>
      <c r="O709">
        <v>0.39</v>
      </c>
      <c r="P709">
        <v>0</v>
      </c>
      <c r="Q709">
        <v>0</v>
      </c>
      <c r="R709">
        <v>0</v>
      </c>
      <c r="S709" t="s">
        <v>187</v>
      </c>
      <c r="T709">
        <f t="shared" ref="T709:T729" si="35">H709/PI()+I709</f>
        <v>0</v>
      </c>
      <c r="U709">
        <f t="shared" si="33"/>
        <v>0.78</v>
      </c>
      <c r="V709">
        <f t="shared" si="34"/>
        <v>0.78</v>
      </c>
    </row>
    <row r="710" spans="1:22">
      <c r="A710">
        <v>20</v>
      </c>
      <c r="B710">
        <v>40</v>
      </c>
      <c r="C710">
        <v>24.63</v>
      </c>
      <c r="D710">
        <v>40.14</v>
      </c>
      <c r="E710" t="s">
        <v>185</v>
      </c>
      <c r="F710">
        <v>3589</v>
      </c>
      <c r="G710" s="1" t="s">
        <v>11</v>
      </c>
      <c r="H710" s="1">
        <v>0</v>
      </c>
      <c r="I710">
        <v>0</v>
      </c>
      <c r="J710">
        <v>0</v>
      </c>
      <c r="K710">
        <v>2.9</v>
      </c>
      <c r="L710" s="2">
        <v>0</v>
      </c>
      <c r="M710">
        <v>0</v>
      </c>
      <c r="N710">
        <v>1.4</v>
      </c>
      <c r="O710">
        <v>0</v>
      </c>
      <c r="P710">
        <v>0</v>
      </c>
      <c r="Q710">
        <v>0</v>
      </c>
      <c r="R710">
        <v>0</v>
      </c>
      <c r="S710">
        <v>0</v>
      </c>
      <c r="T710">
        <f t="shared" si="35"/>
        <v>0</v>
      </c>
      <c r="U710">
        <f t="shared" si="33"/>
        <v>0.28999999999999998</v>
      </c>
      <c r="V710">
        <f t="shared" si="34"/>
        <v>0.28999999999999998</v>
      </c>
    </row>
    <row r="711" spans="1:22">
      <c r="A711">
        <v>30</v>
      </c>
      <c r="B711">
        <v>10</v>
      </c>
      <c r="C711">
        <v>37.44</v>
      </c>
      <c r="D711">
        <v>19.79</v>
      </c>
      <c r="E711" t="s">
        <v>185</v>
      </c>
      <c r="F711">
        <v>3590</v>
      </c>
      <c r="G711" s="1" t="s">
        <v>193</v>
      </c>
      <c r="H711" s="1">
        <v>0</v>
      </c>
      <c r="I711">
        <v>0</v>
      </c>
      <c r="J711">
        <v>0</v>
      </c>
      <c r="K711">
        <v>3.5</v>
      </c>
      <c r="L711" s="2">
        <v>0</v>
      </c>
      <c r="M711">
        <v>0</v>
      </c>
      <c r="N711">
        <v>1.6</v>
      </c>
      <c r="O711">
        <v>0.53</v>
      </c>
      <c r="P711">
        <v>0</v>
      </c>
      <c r="Q711">
        <v>0</v>
      </c>
      <c r="R711">
        <v>0</v>
      </c>
      <c r="S711">
        <v>0</v>
      </c>
      <c r="T711">
        <f t="shared" si="35"/>
        <v>0</v>
      </c>
      <c r="U711">
        <f t="shared" si="33"/>
        <v>0.35</v>
      </c>
      <c r="V711">
        <f t="shared" si="34"/>
        <v>0.35</v>
      </c>
    </row>
    <row r="712" spans="1:22">
      <c r="A712">
        <v>40</v>
      </c>
      <c r="B712">
        <v>0</v>
      </c>
      <c r="C712">
        <v>49.19</v>
      </c>
      <c r="D712">
        <v>2.8</v>
      </c>
      <c r="E712" t="s">
        <v>185</v>
      </c>
      <c r="F712">
        <v>3591</v>
      </c>
      <c r="G712" s="1" t="s">
        <v>193</v>
      </c>
      <c r="H712" s="1">
        <v>0</v>
      </c>
      <c r="I712">
        <v>0</v>
      </c>
      <c r="J712">
        <v>0</v>
      </c>
      <c r="K712">
        <v>5.5</v>
      </c>
      <c r="L712" s="2">
        <v>0</v>
      </c>
      <c r="M712">
        <v>0</v>
      </c>
      <c r="N712">
        <v>1.7</v>
      </c>
      <c r="O712">
        <v>0.56999999999999995</v>
      </c>
      <c r="P712">
        <v>0</v>
      </c>
      <c r="Q712">
        <v>0</v>
      </c>
      <c r="R712">
        <v>0</v>
      </c>
      <c r="S712">
        <v>0</v>
      </c>
      <c r="T712">
        <f t="shared" si="35"/>
        <v>0</v>
      </c>
      <c r="U712">
        <f t="shared" si="33"/>
        <v>0.55000000000000004</v>
      </c>
      <c r="V712">
        <f t="shared" si="34"/>
        <v>0.55000000000000004</v>
      </c>
    </row>
    <row r="713" spans="1:22">
      <c r="A713">
        <v>40</v>
      </c>
      <c r="B713">
        <v>20</v>
      </c>
      <c r="C713">
        <v>41.89</v>
      </c>
      <c r="D713">
        <v>29.82</v>
      </c>
      <c r="E713" t="s">
        <v>185</v>
      </c>
      <c r="F713">
        <v>3594</v>
      </c>
      <c r="G713" s="1" t="s">
        <v>13</v>
      </c>
      <c r="H713" s="1">
        <v>0</v>
      </c>
      <c r="I713">
        <v>0</v>
      </c>
      <c r="J713">
        <v>0</v>
      </c>
      <c r="K713">
        <v>7.1</v>
      </c>
      <c r="L713" s="2">
        <v>0</v>
      </c>
      <c r="M713">
        <v>0</v>
      </c>
      <c r="N713">
        <v>1.59</v>
      </c>
      <c r="O713">
        <v>0.68</v>
      </c>
      <c r="P713">
        <v>0</v>
      </c>
      <c r="Q713">
        <v>0</v>
      </c>
      <c r="R713">
        <v>0</v>
      </c>
      <c r="S713">
        <v>0</v>
      </c>
      <c r="T713">
        <f t="shared" si="35"/>
        <v>0</v>
      </c>
      <c r="U713">
        <f t="shared" si="33"/>
        <v>0.71</v>
      </c>
      <c r="V713">
        <f t="shared" si="34"/>
        <v>0.71</v>
      </c>
    </row>
    <row r="714" spans="1:22">
      <c r="A714">
        <v>40</v>
      </c>
      <c r="B714">
        <v>30</v>
      </c>
      <c r="C714">
        <v>48.92</v>
      </c>
      <c r="D714">
        <v>30.4</v>
      </c>
      <c r="E714" t="s">
        <v>185</v>
      </c>
      <c r="F714">
        <v>3596</v>
      </c>
      <c r="G714" s="1" t="s">
        <v>30</v>
      </c>
      <c r="H714" s="1">
        <v>0</v>
      </c>
      <c r="I714">
        <v>0</v>
      </c>
      <c r="J714">
        <v>0</v>
      </c>
      <c r="K714">
        <v>4.9000000000000004</v>
      </c>
      <c r="L714" s="2">
        <v>0</v>
      </c>
      <c r="M714">
        <v>0</v>
      </c>
      <c r="N714">
        <v>1.48</v>
      </c>
      <c r="O714">
        <v>0.67</v>
      </c>
      <c r="P714">
        <v>0</v>
      </c>
      <c r="Q714">
        <v>0</v>
      </c>
      <c r="R714">
        <v>0</v>
      </c>
      <c r="S714">
        <v>0</v>
      </c>
      <c r="T714">
        <f t="shared" si="35"/>
        <v>0</v>
      </c>
      <c r="U714">
        <f t="shared" si="33"/>
        <v>0.49000000000000005</v>
      </c>
      <c r="V714">
        <f t="shared" si="34"/>
        <v>0.49000000000000005</v>
      </c>
    </row>
    <row r="715" spans="1:22">
      <c r="A715">
        <v>40</v>
      </c>
      <c r="B715">
        <v>30</v>
      </c>
      <c r="C715">
        <v>48.9</v>
      </c>
      <c r="D715">
        <v>30.46</v>
      </c>
      <c r="E715" t="s">
        <v>185</v>
      </c>
      <c r="F715">
        <v>3595</v>
      </c>
      <c r="G715" s="1" t="s">
        <v>30</v>
      </c>
      <c r="H715" s="1">
        <v>0</v>
      </c>
      <c r="I715">
        <v>0</v>
      </c>
      <c r="J715">
        <v>0</v>
      </c>
      <c r="K715">
        <v>9.1999999999999993</v>
      </c>
      <c r="L715" s="2">
        <v>0</v>
      </c>
      <c r="M715">
        <v>0</v>
      </c>
      <c r="N715">
        <v>1.51</v>
      </c>
      <c r="O715">
        <v>0.69</v>
      </c>
      <c r="P715">
        <v>0</v>
      </c>
      <c r="Q715">
        <v>0</v>
      </c>
      <c r="R715">
        <v>0</v>
      </c>
      <c r="S715">
        <v>0</v>
      </c>
      <c r="T715">
        <f t="shared" si="35"/>
        <v>0</v>
      </c>
      <c r="U715">
        <f t="shared" si="33"/>
        <v>0.91999999999999993</v>
      </c>
      <c r="V715">
        <f t="shared" si="34"/>
        <v>0.91999999999999993</v>
      </c>
    </row>
    <row r="716" spans="1:22">
      <c r="A716">
        <v>0</v>
      </c>
      <c r="B716">
        <v>-10</v>
      </c>
      <c r="C716">
        <v>4.5</v>
      </c>
      <c r="D716">
        <v>-6.5</v>
      </c>
      <c r="E716" t="s">
        <v>188</v>
      </c>
      <c r="F716">
        <v>4742</v>
      </c>
      <c r="G716" s="1" t="s">
        <v>11</v>
      </c>
      <c r="H716" s="1">
        <v>0</v>
      </c>
      <c r="I716">
        <v>0</v>
      </c>
      <c r="J716">
        <v>0</v>
      </c>
      <c r="K716">
        <v>8.3000000000000007</v>
      </c>
      <c r="L716" s="2">
        <v>0</v>
      </c>
      <c r="M716">
        <v>0</v>
      </c>
      <c r="N716">
        <v>1.56</v>
      </c>
      <c r="O716">
        <v>0</v>
      </c>
      <c r="P716">
        <v>0</v>
      </c>
      <c r="Q716">
        <v>0</v>
      </c>
      <c r="R716">
        <v>0</v>
      </c>
      <c r="S716">
        <v>0</v>
      </c>
      <c r="T716">
        <f t="shared" si="35"/>
        <v>0</v>
      </c>
      <c r="U716">
        <f t="shared" si="33"/>
        <v>0.83000000000000007</v>
      </c>
      <c r="V716">
        <f t="shared" si="34"/>
        <v>0.83000000000000007</v>
      </c>
    </row>
    <row r="717" spans="1:22">
      <c r="A717">
        <v>30</v>
      </c>
      <c r="B717">
        <v>-10</v>
      </c>
      <c r="C717">
        <v>38.85</v>
      </c>
      <c r="D717">
        <v>-3.97</v>
      </c>
      <c r="E717" t="s">
        <v>188</v>
      </c>
      <c r="F717">
        <v>4743</v>
      </c>
      <c r="G717" s="1" t="s">
        <v>13</v>
      </c>
      <c r="H717" s="1">
        <v>0</v>
      </c>
      <c r="I717">
        <v>0</v>
      </c>
      <c r="J717">
        <v>0</v>
      </c>
      <c r="K717">
        <v>3.5</v>
      </c>
      <c r="L717" s="2">
        <v>0</v>
      </c>
      <c r="M717">
        <v>0</v>
      </c>
      <c r="N717">
        <v>1.34</v>
      </c>
      <c r="O717">
        <v>0</v>
      </c>
      <c r="P717">
        <v>0</v>
      </c>
      <c r="Q717">
        <v>0</v>
      </c>
      <c r="R717">
        <v>0</v>
      </c>
      <c r="S717">
        <v>0</v>
      </c>
      <c r="T717">
        <f t="shared" si="35"/>
        <v>0</v>
      </c>
      <c r="U717">
        <f t="shared" si="33"/>
        <v>0.35</v>
      </c>
      <c r="V717">
        <f t="shared" si="34"/>
        <v>0.35</v>
      </c>
    </row>
    <row r="718" spans="1:22">
      <c r="A718">
        <v>40</v>
      </c>
      <c r="B718">
        <v>-20</v>
      </c>
      <c r="C718">
        <v>47.84</v>
      </c>
      <c r="D718">
        <v>-10.27</v>
      </c>
      <c r="E718" t="s">
        <v>188</v>
      </c>
      <c r="F718">
        <v>4745</v>
      </c>
      <c r="G718" s="1" t="s">
        <v>191</v>
      </c>
      <c r="H718" s="1">
        <v>0</v>
      </c>
      <c r="I718">
        <v>0</v>
      </c>
      <c r="J718">
        <v>0</v>
      </c>
      <c r="K718">
        <v>1.07</v>
      </c>
      <c r="L718" s="2">
        <v>0</v>
      </c>
      <c r="M718">
        <v>0</v>
      </c>
      <c r="N718">
        <v>2.08</v>
      </c>
      <c r="O718">
        <v>0</v>
      </c>
      <c r="P718">
        <v>0</v>
      </c>
      <c r="Q718">
        <v>0</v>
      </c>
      <c r="R718">
        <v>0</v>
      </c>
      <c r="S718">
        <v>0</v>
      </c>
      <c r="T718">
        <f t="shared" si="35"/>
        <v>0</v>
      </c>
      <c r="U718">
        <f t="shared" si="33"/>
        <v>0.10700000000000001</v>
      </c>
      <c r="V718">
        <f t="shared" si="34"/>
        <v>0.10700000000000001</v>
      </c>
    </row>
    <row r="719" spans="1:22">
      <c r="A719">
        <v>30</v>
      </c>
      <c r="B719">
        <v>-20</v>
      </c>
      <c r="C719">
        <v>39.5</v>
      </c>
      <c r="D719">
        <v>-16</v>
      </c>
      <c r="E719" t="s">
        <v>188</v>
      </c>
      <c r="F719">
        <v>4747</v>
      </c>
      <c r="G719" s="1" t="s">
        <v>13</v>
      </c>
      <c r="H719" s="1">
        <v>0</v>
      </c>
      <c r="I719">
        <v>0</v>
      </c>
      <c r="J719">
        <v>0</v>
      </c>
      <c r="K719">
        <v>4.7</v>
      </c>
      <c r="L719" s="2">
        <v>0</v>
      </c>
      <c r="M719">
        <v>0</v>
      </c>
      <c r="N719">
        <v>1.45</v>
      </c>
      <c r="O719">
        <v>0</v>
      </c>
      <c r="P719">
        <v>0</v>
      </c>
      <c r="Q719">
        <v>0</v>
      </c>
      <c r="R719">
        <v>0</v>
      </c>
      <c r="S719">
        <v>0</v>
      </c>
      <c r="T719">
        <f t="shared" si="35"/>
        <v>0</v>
      </c>
      <c r="U719">
        <f t="shared" si="33"/>
        <v>0.47000000000000003</v>
      </c>
      <c r="V719">
        <f t="shared" si="34"/>
        <v>0.47000000000000003</v>
      </c>
    </row>
    <row r="720" spans="1:22">
      <c r="A720">
        <v>30</v>
      </c>
      <c r="B720">
        <v>-20</v>
      </c>
      <c r="C720">
        <v>39.5</v>
      </c>
      <c r="D720">
        <v>-19</v>
      </c>
      <c r="E720" t="s">
        <v>188</v>
      </c>
      <c r="F720">
        <v>4748</v>
      </c>
      <c r="G720" s="1" t="s">
        <v>21</v>
      </c>
      <c r="H720" s="1">
        <v>0</v>
      </c>
      <c r="I720">
        <v>0</v>
      </c>
      <c r="J720">
        <v>0</v>
      </c>
      <c r="K720">
        <v>3.4</v>
      </c>
      <c r="L720" s="2">
        <v>0</v>
      </c>
      <c r="M720">
        <v>0</v>
      </c>
      <c r="N720">
        <v>1.4</v>
      </c>
      <c r="O720">
        <v>0</v>
      </c>
      <c r="P720">
        <v>0</v>
      </c>
      <c r="Q720">
        <v>0</v>
      </c>
      <c r="R720">
        <v>0</v>
      </c>
      <c r="S720">
        <v>0</v>
      </c>
      <c r="T720">
        <f t="shared" si="35"/>
        <v>0</v>
      </c>
      <c r="U720">
        <f t="shared" si="33"/>
        <v>0.33999999999999997</v>
      </c>
      <c r="V720">
        <f t="shared" si="34"/>
        <v>0.33999999999999997</v>
      </c>
    </row>
    <row r="721" spans="1:22">
      <c r="A721">
        <v>30</v>
      </c>
      <c r="B721">
        <v>-20</v>
      </c>
      <c r="C721">
        <v>38.6</v>
      </c>
      <c r="D721">
        <v>-16.7</v>
      </c>
      <c r="E721" t="s">
        <v>188</v>
      </c>
      <c r="F721">
        <v>4748</v>
      </c>
      <c r="G721" s="1" t="s">
        <v>11</v>
      </c>
      <c r="H721" s="1">
        <v>0</v>
      </c>
      <c r="I721">
        <v>0</v>
      </c>
      <c r="J721">
        <v>0</v>
      </c>
      <c r="K721">
        <v>4.0999999999999996</v>
      </c>
      <c r="L721" s="2">
        <v>0</v>
      </c>
      <c r="M721">
        <v>0</v>
      </c>
      <c r="N721">
        <v>1.4</v>
      </c>
      <c r="O721">
        <v>0</v>
      </c>
      <c r="P721">
        <v>0</v>
      </c>
      <c r="Q721">
        <v>0</v>
      </c>
      <c r="R721">
        <v>0</v>
      </c>
      <c r="S721">
        <v>0</v>
      </c>
      <c r="T721">
        <f t="shared" si="35"/>
        <v>0</v>
      </c>
      <c r="U721">
        <f t="shared" si="33"/>
        <v>0.41</v>
      </c>
      <c r="V721">
        <f t="shared" si="34"/>
        <v>0.41</v>
      </c>
    </row>
    <row r="722" spans="1:22">
      <c r="A722">
        <v>0</v>
      </c>
      <c r="B722">
        <v>-30</v>
      </c>
      <c r="C722">
        <v>5.8</v>
      </c>
      <c r="D722">
        <v>-22.2</v>
      </c>
      <c r="E722" t="s">
        <v>188</v>
      </c>
      <c r="F722">
        <v>4760</v>
      </c>
      <c r="G722" s="1" t="s">
        <v>11</v>
      </c>
      <c r="H722" s="1">
        <v>0</v>
      </c>
      <c r="I722">
        <v>18.600000000000001</v>
      </c>
      <c r="J722">
        <v>0</v>
      </c>
      <c r="K722">
        <v>18.600000000000001</v>
      </c>
      <c r="L722" s="2">
        <v>2.5</v>
      </c>
      <c r="M722">
        <v>0</v>
      </c>
      <c r="N722">
        <v>2.5</v>
      </c>
      <c r="O722">
        <v>0</v>
      </c>
      <c r="P722">
        <v>0</v>
      </c>
      <c r="Q722">
        <v>0</v>
      </c>
      <c r="R722">
        <v>0</v>
      </c>
      <c r="S722" t="s">
        <v>189</v>
      </c>
      <c r="T722">
        <f t="shared" si="35"/>
        <v>18.600000000000001</v>
      </c>
      <c r="U722">
        <f t="shared" si="33"/>
        <v>1.86</v>
      </c>
      <c r="V722">
        <f t="shared" si="34"/>
        <v>-16.740000000000002</v>
      </c>
    </row>
    <row r="723" spans="1:22">
      <c r="A723">
        <v>30</v>
      </c>
      <c r="B723">
        <v>-30</v>
      </c>
      <c r="C723">
        <v>34.520000000000003</v>
      </c>
      <c r="D723">
        <v>-22.2</v>
      </c>
      <c r="E723" t="s">
        <v>188</v>
      </c>
      <c r="F723">
        <v>4777</v>
      </c>
      <c r="G723" s="1" t="s">
        <v>21</v>
      </c>
      <c r="H723" s="1">
        <v>0</v>
      </c>
      <c r="I723">
        <v>0</v>
      </c>
      <c r="J723">
        <v>0</v>
      </c>
      <c r="K723">
        <v>1.5</v>
      </c>
      <c r="L723" s="2">
        <v>0</v>
      </c>
      <c r="M723">
        <v>0</v>
      </c>
      <c r="N723">
        <v>1.3</v>
      </c>
      <c r="O723">
        <v>0</v>
      </c>
      <c r="P723">
        <v>0</v>
      </c>
      <c r="Q723">
        <v>0</v>
      </c>
      <c r="R723">
        <v>0</v>
      </c>
      <c r="S723">
        <v>0</v>
      </c>
      <c r="T723">
        <f t="shared" si="35"/>
        <v>0</v>
      </c>
      <c r="U723">
        <f t="shared" si="33"/>
        <v>0.15</v>
      </c>
      <c r="V723">
        <f t="shared" si="34"/>
        <v>0.15</v>
      </c>
    </row>
    <row r="724" spans="1:22">
      <c r="A724">
        <v>40</v>
      </c>
      <c r="B724">
        <v>-30</v>
      </c>
      <c r="C724">
        <v>42.09</v>
      </c>
      <c r="D724">
        <v>-25.31</v>
      </c>
      <c r="E724" t="s">
        <v>188</v>
      </c>
      <c r="F724">
        <v>4782</v>
      </c>
      <c r="G724" s="1" t="s">
        <v>13</v>
      </c>
      <c r="H724" s="1">
        <v>0</v>
      </c>
      <c r="I724">
        <v>1.97</v>
      </c>
      <c r="J724">
        <v>0</v>
      </c>
      <c r="K724">
        <v>19.7</v>
      </c>
      <c r="L724" s="2">
        <v>2.7</v>
      </c>
      <c r="M724">
        <v>0</v>
      </c>
      <c r="N724">
        <v>2.7</v>
      </c>
      <c r="O724">
        <v>0</v>
      </c>
      <c r="P724">
        <v>0</v>
      </c>
      <c r="Q724">
        <v>0</v>
      </c>
      <c r="R724">
        <v>0</v>
      </c>
      <c r="S724" t="s">
        <v>189</v>
      </c>
      <c r="T724">
        <f t="shared" si="35"/>
        <v>1.97</v>
      </c>
      <c r="U724">
        <f t="shared" si="33"/>
        <v>1.97</v>
      </c>
      <c r="V724">
        <f t="shared" si="34"/>
        <v>0</v>
      </c>
    </row>
    <row r="725" spans="1:22">
      <c r="A725">
        <v>40</v>
      </c>
      <c r="B725">
        <v>-30</v>
      </c>
      <c r="C725">
        <v>42.24</v>
      </c>
      <c r="D725">
        <v>-25.94</v>
      </c>
      <c r="E725" t="s">
        <v>188</v>
      </c>
      <c r="F725">
        <v>4781</v>
      </c>
      <c r="G725" s="1" t="s">
        <v>13</v>
      </c>
      <c r="H725" s="1">
        <v>0</v>
      </c>
      <c r="I725">
        <v>0</v>
      </c>
      <c r="J725">
        <v>0</v>
      </c>
      <c r="K725">
        <v>3</v>
      </c>
      <c r="L725" s="2">
        <v>0</v>
      </c>
      <c r="M725">
        <v>0</v>
      </c>
      <c r="N725">
        <v>1.3</v>
      </c>
      <c r="O725">
        <v>0</v>
      </c>
      <c r="P725">
        <v>0</v>
      </c>
      <c r="Q725">
        <v>0</v>
      </c>
      <c r="R725">
        <v>0</v>
      </c>
      <c r="S725" t="s">
        <v>189</v>
      </c>
      <c r="T725">
        <f t="shared" si="35"/>
        <v>0</v>
      </c>
      <c r="U725">
        <f t="shared" si="33"/>
        <v>0.3</v>
      </c>
      <c r="V725">
        <f t="shared" si="34"/>
        <v>0.3</v>
      </c>
    </row>
    <row r="726" spans="1:22">
      <c r="A726">
        <v>40</v>
      </c>
      <c r="B726">
        <v>-30</v>
      </c>
      <c r="C726">
        <v>40.799999999999997</v>
      </c>
      <c r="D726">
        <v>-21</v>
      </c>
      <c r="E726" t="s">
        <v>188</v>
      </c>
      <c r="F726">
        <v>4778</v>
      </c>
      <c r="G726" s="1" t="s">
        <v>13</v>
      </c>
      <c r="H726" s="1">
        <v>0</v>
      </c>
      <c r="I726">
        <v>0</v>
      </c>
      <c r="J726">
        <v>0</v>
      </c>
      <c r="K726">
        <v>4</v>
      </c>
      <c r="L726" s="2">
        <v>0</v>
      </c>
      <c r="M726">
        <v>0</v>
      </c>
      <c r="N726">
        <v>1.3</v>
      </c>
      <c r="O726">
        <v>0</v>
      </c>
      <c r="P726">
        <v>0</v>
      </c>
      <c r="Q726">
        <v>0</v>
      </c>
      <c r="R726">
        <v>0</v>
      </c>
      <c r="S726">
        <v>0</v>
      </c>
      <c r="T726">
        <f t="shared" si="35"/>
        <v>0</v>
      </c>
      <c r="U726">
        <f t="shared" si="33"/>
        <v>0.4</v>
      </c>
      <c r="V726">
        <f t="shared" si="34"/>
        <v>0.4</v>
      </c>
    </row>
    <row r="727" spans="1:22">
      <c r="A727">
        <v>40</v>
      </c>
      <c r="B727">
        <v>-30</v>
      </c>
      <c r="C727">
        <v>40.5</v>
      </c>
      <c r="D727">
        <v>-21</v>
      </c>
      <c r="E727" t="s">
        <v>188</v>
      </c>
      <c r="F727">
        <v>4779</v>
      </c>
      <c r="G727" s="1" t="s">
        <v>13</v>
      </c>
      <c r="H727" s="1">
        <v>0</v>
      </c>
      <c r="I727">
        <v>0</v>
      </c>
      <c r="J727">
        <v>0</v>
      </c>
      <c r="K727">
        <v>2.7</v>
      </c>
      <c r="L727" s="2">
        <v>0</v>
      </c>
      <c r="M727">
        <v>0</v>
      </c>
      <c r="N727">
        <v>1.5</v>
      </c>
      <c r="O727">
        <v>0</v>
      </c>
      <c r="P727">
        <v>0</v>
      </c>
      <c r="Q727">
        <v>0</v>
      </c>
      <c r="R727">
        <v>0</v>
      </c>
      <c r="S727">
        <v>0</v>
      </c>
      <c r="T727">
        <f t="shared" si="35"/>
        <v>0</v>
      </c>
      <c r="U727">
        <f t="shared" si="33"/>
        <v>0.27</v>
      </c>
      <c r="V727">
        <f t="shared" si="34"/>
        <v>0.27</v>
      </c>
    </row>
    <row r="728" spans="1:22">
      <c r="A728">
        <v>40</v>
      </c>
      <c r="B728">
        <v>-30</v>
      </c>
      <c r="C728">
        <v>45.6</v>
      </c>
      <c r="D728">
        <v>-28.6</v>
      </c>
      <c r="E728" t="s">
        <v>185</v>
      </c>
      <c r="F728">
        <v>3602</v>
      </c>
      <c r="G728" s="1" t="s">
        <v>21</v>
      </c>
      <c r="H728" s="1">
        <v>0</v>
      </c>
      <c r="I728">
        <v>0</v>
      </c>
      <c r="J728">
        <v>0</v>
      </c>
      <c r="K728">
        <v>5.0999999999999996</v>
      </c>
      <c r="L728" s="2">
        <v>0</v>
      </c>
      <c r="M728">
        <v>0</v>
      </c>
      <c r="N728">
        <v>1.9</v>
      </c>
      <c r="O728">
        <v>0</v>
      </c>
      <c r="P728">
        <v>0</v>
      </c>
      <c r="Q728">
        <v>0</v>
      </c>
      <c r="R728">
        <v>0</v>
      </c>
      <c r="S728">
        <v>0</v>
      </c>
      <c r="T728">
        <f t="shared" si="35"/>
        <v>0</v>
      </c>
      <c r="U728">
        <f t="shared" si="33"/>
        <v>0.51</v>
      </c>
      <c r="V728">
        <f t="shared" si="34"/>
        <v>0.51</v>
      </c>
    </row>
    <row r="729" spans="1:22" s="27" customFormat="1">
      <c r="A729">
        <v>20</v>
      </c>
      <c r="B729">
        <v>-40</v>
      </c>
      <c r="C729">
        <v>24.12</v>
      </c>
      <c r="D729">
        <v>-32.29</v>
      </c>
      <c r="E729" t="s">
        <v>188</v>
      </c>
      <c r="F729">
        <v>4787</v>
      </c>
      <c r="G729" s="1" t="s">
        <v>11</v>
      </c>
      <c r="H729" s="1">
        <v>0</v>
      </c>
      <c r="I729">
        <v>0</v>
      </c>
      <c r="J729">
        <v>0</v>
      </c>
      <c r="K729">
        <v>7</v>
      </c>
      <c r="L729" s="2">
        <v>0</v>
      </c>
      <c r="M729">
        <v>0</v>
      </c>
      <c r="N729">
        <v>1.73</v>
      </c>
      <c r="O729">
        <v>0</v>
      </c>
      <c r="P729">
        <v>0</v>
      </c>
      <c r="Q729">
        <v>0</v>
      </c>
      <c r="R729">
        <v>0</v>
      </c>
      <c r="S729">
        <v>0</v>
      </c>
      <c r="T729">
        <f t="shared" si="35"/>
        <v>0</v>
      </c>
      <c r="U729">
        <f t="shared" si="33"/>
        <v>0.7</v>
      </c>
      <c r="V729">
        <f t="shared" si="34"/>
        <v>0.7</v>
      </c>
    </row>
    <row r="730" spans="1:22">
      <c r="G730" s="1"/>
      <c r="H730" s="1"/>
      <c r="I730"/>
      <c r="J730"/>
      <c r="K730"/>
      <c r="M730"/>
    </row>
    <row r="731" spans="1:22">
      <c r="G731" s="1"/>
      <c r="H731" s="1"/>
      <c r="I731"/>
      <c r="J731"/>
      <c r="K731"/>
      <c r="M731"/>
    </row>
    <row r="732" spans="1:22">
      <c r="G732" s="1"/>
      <c r="H732" s="1"/>
      <c r="I732"/>
      <c r="J732"/>
      <c r="K732"/>
      <c r="M732"/>
    </row>
    <row r="733" spans="1:22">
      <c r="G733" s="1"/>
      <c r="H733" s="1"/>
      <c r="I733"/>
      <c r="J733"/>
      <c r="K733"/>
      <c r="M733"/>
    </row>
    <row r="734" spans="1:22">
      <c r="G734" s="1"/>
      <c r="H734" s="1"/>
      <c r="I734"/>
      <c r="J734"/>
      <c r="K734"/>
      <c r="M734"/>
    </row>
    <row r="735" spans="1:22">
      <c r="G735" s="1"/>
      <c r="H735" s="1"/>
      <c r="I735"/>
      <c r="J735"/>
      <c r="K735"/>
      <c r="M735"/>
    </row>
    <row r="736" spans="1:22">
      <c r="G736" s="1"/>
      <c r="H736" s="1"/>
      <c r="I736"/>
      <c r="J736"/>
      <c r="K736"/>
      <c r="M736"/>
    </row>
    <row r="737" spans="7:13">
      <c r="G737" s="1"/>
      <c r="H737" s="1"/>
      <c r="I737"/>
      <c r="J737"/>
      <c r="K737"/>
      <c r="M737"/>
    </row>
    <row r="738" spans="7:13">
      <c r="G738" s="1"/>
      <c r="H738" s="1"/>
      <c r="I738"/>
      <c r="J738"/>
      <c r="K738"/>
      <c r="M738"/>
    </row>
    <row r="739" spans="7:13">
      <c r="G739" s="1"/>
      <c r="H739" s="1"/>
      <c r="I739"/>
      <c r="J739"/>
      <c r="K739"/>
      <c r="M739"/>
    </row>
    <row r="740" spans="7:13">
      <c r="G740" s="1"/>
      <c r="H740" s="1"/>
      <c r="I740"/>
      <c r="J740"/>
      <c r="K740"/>
      <c r="M740"/>
    </row>
    <row r="741" spans="7:13">
      <c r="G741" s="1"/>
      <c r="H741" s="1"/>
      <c r="I741"/>
      <c r="J741"/>
      <c r="K741"/>
      <c r="M741"/>
    </row>
    <row r="742" spans="7:13">
      <c r="G742" s="1"/>
      <c r="H742" s="1"/>
      <c r="I742"/>
      <c r="J742"/>
      <c r="K742"/>
      <c r="M742"/>
    </row>
    <row r="743" spans="7:13">
      <c r="G743" s="1"/>
      <c r="H743" s="1"/>
      <c r="I743"/>
      <c r="J743"/>
      <c r="K743"/>
      <c r="M743"/>
    </row>
    <row r="744" spans="7:13">
      <c r="G744" s="1"/>
      <c r="H744" s="1"/>
      <c r="I744"/>
      <c r="J744"/>
      <c r="K744"/>
      <c r="M744"/>
    </row>
    <row r="745" spans="7:13">
      <c r="G745" s="1"/>
      <c r="H745" s="1"/>
      <c r="I745"/>
      <c r="J745"/>
      <c r="K745"/>
      <c r="M745"/>
    </row>
    <row r="746" spans="7:13">
      <c r="G746" s="1"/>
      <c r="H746" s="1"/>
      <c r="I746"/>
      <c r="J746"/>
      <c r="K746"/>
      <c r="M746"/>
    </row>
    <row r="747" spans="7:13">
      <c r="G747" s="1"/>
      <c r="H747" s="1"/>
      <c r="I747"/>
      <c r="J747"/>
      <c r="K747"/>
      <c r="M747"/>
    </row>
    <row r="748" spans="7:13">
      <c r="G748" s="1"/>
      <c r="H748" s="1"/>
      <c r="I748"/>
      <c r="J748"/>
      <c r="K748"/>
      <c r="M748"/>
    </row>
    <row r="749" spans="7:13">
      <c r="G749" s="1"/>
      <c r="H749" s="1"/>
      <c r="I749"/>
      <c r="J749"/>
      <c r="K749"/>
      <c r="M749"/>
    </row>
    <row r="750" spans="7:13">
      <c r="G750" s="1"/>
      <c r="H750" s="1"/>
      <c r="I750"/>
      <c r="J750"/>
      <c r="K750"/>
      <c r="M750"/>
    </row>
    <row r="751" spans="7:13">
      <c r="G751" s="1"/>
      <c r="H751" s="1"/>
      <c r="I751"/>
      <c r="J751"/>
      <c r="K751"/>
      <c r="M751"/>
    </row>
    <row r="752" spans="7:13">
      <c r="G752" s="1"/>
      <c r="H752" s="1"/>
      <c r="I752"/>
      <c r="J752"/>
      <c r="K752"/>
      <c r="M752"/>
    </row>
    <row r="753" spans="7:13">
      <c r="G753" s="1"/>
      <c r="H753" s="1"/>
      <c r="I753"/>
      <c r="J753"/>
      <c r="K753"/>
      <c r="M753"/>
    </row>
    <row r="754" spans="7:13">
      <c r="G754" s="1"/>
      <c r="H754" s="1"/>
      <c r="I754"/>
      <c r="J754"/>
      <c r="K754"/>
      <c r="M754"/>
    </row>
    <row r="755" spans="7:13">
      <c r="G755" s="1"/>
      <c r="H755" s="1"/>
      <c r="I755"/>
      <c r="J755"/>
      <c r="K755"/>
      <c r="M755"/>
    </row>
    <row r="756" spans="7:13">
      <c r="G756" s="1"/>
      <c r="H756" s="1"/>
      <c r="I756"/>
      <c r="J756"/>
      <c r="K756"/>
      <c r="M756"/>
    </row>
    <row r="757" spans="7:13">
      <c r="G757" s="1"/>
      <c r="H757" s="1"/>
      <c r="I757"/>
      <c r="J757"/>
      <c r="K757"/>
      <c r="M757"/>
    </row>
    <row r="758" spans="7:13">
      <c r="G758" s="1"/>
      <c r="H758" s="1"/>
      <c r="I758"/>
      <c r="J758"/>
      <c r="K758"/>
      <c r="M758"/>
    </row>
    <row r="759" spans="7:13">
      <c r="G759" s="1"/>
      <c r="H759" s="1"/>
      <c r="I759"/>
      <c r="J759"/>
      <c r="K759"/>
      <c r="M759"/>
    </row>
    <row r="760" spans="7:13">
      <c r="G760" s="1"/>
      <c r="H760" s="1"/>
      <c r="I760"/>
      <c r="J760"/>
      <c r="K760"/>
      <c r="M760"/>
    </row>
    <row r="761" spans="7:13">
      <c r="G761" s="1"/>
      <c r="H761" s="1"/>
      <c r="I761"/>
      <c r="J761"/>
      <c r="K761"/>
      <c r="M761"/>
    </row>
    <row r="762" spans="7:13">
      <c r="G762" s="1"/>
      <c r="H762" s="1"/>
      <c r="I762"/>
      <c r="J762"/>
      <c r="K762"/>
      <c r="M762"/>
    </row>
    <row r="763" spans="7:13">
      <c r="G763" s="1"/>
      <c r="H763" s="1"/>
      <c r="I763"/>
      <c r="J763"/>
      <c r="K763"/>
      <c r="M763"/>
    </row>
    <row r="764" spans="7:13">
      <c r="G764" s="1"/>
      <c r="H764" s="1"/>
      <c r="I764"/>
      <c r="J764"/>
      <c r="K764"/>
      <c r="M764"/>
    </row>
    <row r="765" spans="7:13">
      <c r="G765" s="1"/>
      <c r="H765" s="1"/>
      <c r="I765"/>
      <c r="J765"/>
      <c r="K765"/>
      <c r="M765"/>
    </row>
    <row r="766" spans="7:13">
      <c r="G766" s="1"/>
      <c r="H766" s="1"/>
      <c r="I766"/>
      <c r="J766"/>
      <c r="K766"/>
      <c r="M766"/>
    </row>
    <row r="767" spans="7:13">
      <c r="G767" s="1"/>
      <c r="H767" s="1"/>
      <c r="I767"/>
      <c r="J767"/>
      <c r="K767"/>
      <c r="M767"/>
    </row>
    <row r="768" spans="7:13">
      <c r="G768" s="1"/>
      <c r="H768" s="1"/>
      <c r="I768"/>
      <c r="J768"/>
      <c r="K768"/>
      <c r="M768"/>
    </row>
    <row r="769" spans="7:13">
      <c r="G769" s="1"/>
      <c r="H769" s="1"/>
      <c r="I769"/>
      <c r="J769"/>
      <c r="K769"/>
      <c r="M769"/>
    </row>
    <row r="770" spans="7:13">
      <c r="G770" s="1"/>
      <c r="H770" s="1"/>
      <c r="I770"/>
      <c r="J770"/>
      <c r="K770"/>
      <c r="M770"/>
    </row>
    <row r="771" spans="7:13">
      <c r="G771" s="1"/>
      <c r="H771" s="1"/>
      <c r="I771"/>
      <c r="J771"/>
      <c r="K771"/>
      <c r="M771"/>
    </row>
    <row r="772" spans="7:13">
      <c r="G772" s="1"/>
      <c r="H772" s="1"/>
      <c r="I772"/>
      <c r="J772"/>
      <c r="K772"/>
      <c r="M772"/>
    </row>
    <row r="773" spans="7:13">
      <c r="G773" s="1"/>
      <c r="H773" s="1"/>
      <c r="I773"/>
      <c r="J773"/>
      <c r="K773"/>
      <c r="M773"/>
    </row>
    <row r="774" spans="7:13">
      <c r="G774" s="1"/>
      <c r="H774" s="1"/>
      <c r="I774"/>
      <c r="J774"/>
      <c r="K774"/>
      <c r="M774"/>
    </row>
    <row r="775" spans="7:13">
      <c r="G775" s="1"/>
      <c r="H775" s="1"/>
      <c r="I775"/>
      <c r="J775"/>
      <c r="K775"/>
      <c r="M775"/>
    </row>
    <row r="776" spans="7:13">
      <c r="G776" s="1"/>
      <c r="H776" s="1"/>
      <c r="I776"/>
      <c r="J776"/>
      <c r="K776"/>
      <c r="M776"/>
    </row>
    <row r="777" spans="7:13">
      <c r="G777" s="1"/>
      <c r="H777" s="1"/>
      <c r="I777"/>
      <c r="J777"/>
      <c r="K777"/>
      <c r="M777"/>
    </row>
    <row r="778" spans="7:13">
      <c r="G778" s="1"/>
      <c r="H778" s="1"/>
      <c r="I778"/>
      <c r="J778"/>
      <c r="K778"/>
      <c r="M778"/>
    </row>
    <row r="779" spans="7:13">
      <c r="G779" s="1"/>
      <c r="H779" s="1"/>
      <c r="I779"/>
      <c r="J779"/>
      <c r="K779"/>
      <c r="M779"/>
    </row>
    <row r="780" spans="7:13">
      <c r="G780" s="1"/>
      <c r="H780" s="1"/>
      <c r="I780"/>
      <c r="J780"/>
      <c r="K780"/>
      <c r="M780"/>
    </row>
    <row r="781" spans="7:13">
      <c r="G781" s="1"/>
      <c r="H781" s="1"/>
      <c r="I781"/>
      <c r="J781"/>
      <c r="K781"/>
      <c r="M781"/>
    </row>
    <row r="782" spans="7:13">
      <c r="G782" s="1"/>
      <c r="H782" s="1"/>
      <c r="I782"/>
      <c r="J782"/>
      <c r="K782"/>
      <c r="M782"/>
    </row>
    <row r="783" spans="7:13">
      <c r="G783" s="1"/>
      <c r="H783" s="1"/>
      <c r="I783"/>
      <c r="J783"/>
      <c r="K783"/>
      <c r="M783"/>
    </row>
    <row r="784" spans="7:13">
      <c r="G784" s="1"/>
      <c r="H784" s="1"/>
      <c r="I784"/>
      <c r="J784"/>
      <c r="K784"/>
      <c r="M784"/>
    </row>
    <row r="785" spans="7:13">
      <c r="G785" s="1"/>
      <c r="H785" s="1"/>
      <c r="I785"/>
      <c r="J785"/>
      <c r="K785"/>
      <c r="M785"/>
    </row>
    <row r="786" spans="7:13">
      <c r="G786" s="1"/>
      <c r="H786" s="1"/>
      <c r="I786"/>
      <c r="J786"/>
      <c r="K786"/>
      <c r="M786"/>
    </row>
    <row r="787" spans="7:13">
      <c r="G787" s="1"/>
      <c r="H787" s="1"/>
      <c r="I787"/>
      <c r="J787"/>
      <c r="K787"/>
      <c r="M787"/>
    </row>
    <row r="788" spans="7:13">
      <c r="G788" s="1"/>
      <c r="H788" s="1"/>
      <c r="I788"/>
      <c r="J788"/>
      <c r="K788"/>
      <c r="M788"/>
    </row>
    <row r="789" spans="7:13">
      <c r="G789" s="1"/>
      <c r="H789" s="1"/>
      <c r="I789"/>
      <c r="J789"/>
      <c r="K789"/>
      <c r="M789"/>
    </row>
    <row r="790" spans="7:13">
      <c r="G790" s="1"/>
      <c r="H790" s="1"/>
      <c r="I790"/>
      <c r="J790"/>
      <c r="K790"/>
      <c r="M790"/>
    </row>
    <row r="791" spans="7:13">
      <c r="G791" s="1"/>
      <c r="H791" s="1"/>
      <c r="I791"/>
      <c r="J791"/>
      <c r="K791"/>
      <c r="M791"/>
    </row>
    <row r="792" spans="7:13">
      <c r="G792" s="1"/>
      <c r="H792" s="1"/>
      <c r="I792"/>
      <c r="J792"/>
      <c r="K792"/>
      <c r="M792"/>
    </row>
    <row r="793" spans="7:13">
      <c r="G793" s="1"/>
      <c r="H793" s="1"/>
      <c r="I793"/>
      <c r="J793"/>
      <c r="K793"/>
      <c r="M793"/>
    </row>
    <row r="794" spans="7:13">
      <c r="G794" s="1"/>
      <c r="H794" s="1"/>
      <c r="I794"/>
      <c r="J794"/>
      <c r="K794"/>
      <c r="M794"/>
    </row>
    <row r="795" spans="7:13">
      <c r="G795" s="1"/>
      <c r="H795" s="1"/>
      <c r="I795"/>
      <c r="J795"/>
      <c r="K795"/>
      <c r="M795"/>
    </row>
    <row r="796" spans="7:13">
      <c r="G796" s="1"/>
      <c r="H796" s="1"/>
      <c r="I796"/>
      <c r="J796"/>
      <c r="K796"/>
      <c r="M796"/>
    </row>
    <row r="797" spans="7:13">
      <c r="G797" s="1"/>
      <c r="H797" s="1"/>
      <c r="I797"/>
      <c r="J797"/>
      <c r="K797"/>
      <c r="M797"/>
    </row>
    <row r="798" spans="7:13">
      <c r="G798" s="1"/>
      <c r="H798" s="1"/>
      <c r="I798"/>
      <c r="J798"/>
      <c r="K798"/>
      <c r="M798"/>
    </row>
    <row r="799" spans="7:13">
      <c r="G799" s="1"/>
      <c r="H799" s="1"/>
      <c r="I799"/>
      <c r="J799"/>
      <c r="K799"/>
      <c r="M799"/>
    </row>
    <row r="800" spans="7:13">
      <c r="G800" s="1"/>
      <c r="H800" s="1"/>
      <c r="I800"/>
      <c r="J800"/>
      <c r="K800"/>
      <c r="M800"/>
    </row>
    <row r="801" spans="7:13">
      <c r="G801" s="1"/>
      <c r="H801" s="1"/>
      <c r="I801"/>
      <c r="J801"/>
      <c r="K801"/>
      <c r="M801"/>
    </row>
    <row r="802" spans="7:13">
      <c r="G802" s="1"/>
      <c r="H802" s="1"/>
      <c r="I802"/>
      <c r="J802"/>
      <c r="K802"/>
      <c r="M802"/>
    </row>
    <row r="803" spans="7:13">
      <c r="G803" s="1"/>
      <c r="H803" s="1"/>
      <c r="I803"/>
      <c r="J803"/>
      <c r="K803"/>
      <c r="M803"/>
    </row>
    <row r="804" spans="7:13">
      <c r="G804" s="1"/>
      <c r="H804" s="1"/>
      <c r="I804"/>
      <c r="J804"/>
      <c r="K804"/>
      <c r="M804"/>
    </row>
    <row r="805" spans="7:13">
      <c r="G805" s="1"/>
      <c r="H805" s="1"/>
      <c r="I805"/>
      <c r="J805"/>
      <c r="K805"/>
      <c r="M805"/>
    </row>
    <row r="806" spans="7:13">
      <c r="G806" s="1"/>
      <c r="H806" s="1"/>
      <c r="I806"/>
      <c r="J806"/>
      <c r="K806"/>
      <c r="M806"/>
    </row>
    <row r="807" spans="7:13">
      <c r="G807" s="1"/>
      <c r="H807" s="1"/>
      <c r="I807"/>
      <c r="J807"/>
      <c r="K807"/>
      <c r="M807"/>
    </row>
    <row r="808" spans="7:13">
      <c r="G808" s="1"/>
      <c r="H808" s="1"/>
      <c r="I808"/>
      <c r="J808"/>
      <c r="K808"/>
      <c r="M808"/>
    </row>
    <row r="809" spans="7:13">
      <c r="G809" s="1"/>
      <c r="H809" s="1"/>
      <c r="I809"/>
      <c r="J809"/>
      <c r="K809"/>
      <c r="M809"/>
    </row>
    <row r="810" spans="7:13">
      <c r="G810" s="1"/>
      <c r="H810" s="1"/>
      <c r="I810"/>
      <c r="J810"/>
      <c r="K810"/>
      <c r="M810"/>
    </row>
    <row r="811" spans="7:13">
      <c r="G811" s="1"/>
      <c r="H811" s="1"/>
      <c r="I811"/>
      <c r="J811"/>
      <c r="K811"/>
      <c r="M811"/>
    </row>
    <row r="812" spans="7:13">
      <c r="G812" s="1"/>
      <c r="H812" s="1"/>
      <c r="I812"/>
      <c r="J812"/>
      <c r="K812"/>
      <c r="M812"/>
    </row>
    <row r="813" spans="7:13">
      <c r="G813" s="1"/>
      <c r="H813" s="1"/>
      <c r="I813"/>
      <c r="J813"/>
      <c r="K813"/>
      <c r="M813"/>
    </row>
    <row r="814" spans="7:13">
      <c r="G814" s="1"/>
      <c r="H814" s="1"/>
      <c r="I814"/>
      <c r="J814"/>
      <c r="K814"/>
      <c r="M814"/>
    </row>
    <row r="815" spans="7:13">
      <c r="G815" s="1"/>
      <c r="H815" s="1"/>
      <c r="I815"/>
      <c r="J815"/>
      <c r="K815"/>
      <c r="M815"/>
    </row>
    <row r="816" spans="7:13">
      <c r="G816" s="1"/>
      <c r="H816" s="1"/>
      <c r="I816"/>
      <c r="J816"/>
      <c r="K816"/>
      <c r="M816"/>
    </row>
    <row r="817" spans="7:13">
      <c r="G817" s="1"/>
      <c r="H817" s="1"/>
      <c r="I817"/>
      <c r="J817"/>
      <c r="K817"/>
      <c r="M817"/>
    </row>
    <row r="818" spans="7:13">
      <c r="G818" s="1"/>
      <c r="H818" s="1"/>
      <c r="I818"/>
      <c r="J818"/>
      <c r="K818"/>
      <c r="M818"/>
    </row>
    <row r="819" spans="7:13">
      <c r="G819" s="1"/>
      <c r="H819" s="1"/>
      <c r="I819"/>
      <c r="J819"/>
      <c r="K819"/>
      <c r="M819"/>
    </row>
    <row r="820" spans="7:13">
      <c r="G820" s="1"/>
      <c r="H820" s="1"/>
      <c r="I820"/>
      <c r="J820"/>
      <c r="K820"/>
      <c r="M820"/>
    </row>
    <row r="821" spans="7:13">
      <c r="G821" s="1"/>
      <c r="H821" s="1"/>
      <c r="I821"/>
      <c r="J821"/>
      <c r="K821"/>
      <c r="M821"/>
    </row>
    <row r="822" spans="7:13">
      <c r="G822" s="1"/>
      <c r="H822" s="1"/>
      <c r="I822"/>
      <c r="J822"/>
      <c r="K822"/>
      <c r="M822"/>
    </row>
    <row r="823" spans="7:13">
      <c r="G823" s="1"/>
      <c r="H823" s="1"/>
      <c r="I823"/>
      <c r="J823"/>
      <c r="K823"/>
      <c r="M823"/>
    </row>
    <row r="824" spans="7:13">
      <c r="G824" s="1"/>
      <c r="H824" s="1"/>
      <c r="I824"/>
      <c r="J824"/>
      <c r="K824"/>
      <c r="M824"/>
    </row>
    <row r="825" spans="7:13">
      <c r="G825" s="1"/>
      <c r="H825" s="1"/>
      <c r="I825"/>
      <c r="J825"/>
      <c r="K825"/>
      <c r="M825"/>
    </row>
    <row r="826" spans="7:13">
      <c r="G826" s="1"/>
      <c r="H826" s="1"/>
      <c r="I826"/>
      <c r="J826"/>
      <c r="K826"/>
      <c r="M826"/>
    </row>
    <row r="827" spans="7:13">
      <c r="G827" s="1"/>
      <c r="H827" s="1"/>
      <c r="I827"/>
      <c r="J827"/>
      <c r="K827"/>
      <c r="M827"/>
    </row>
    <row r="828" spans="7:13">
      <c r="G828" s="1"/>
      <c r="H828" s="1"/>
      <c r="I828"/>
      <c r="J828"/>
      <c r="K828"/>
      <c r="M828"/>
    </row>
    <row r="829" spans="7:13">
      <c r="G829" s="1"/>
      <c r="H829" s="1"/>
      <c r="I829"/>
      <c r="J829"/>
      <c r="K829"/>
      <c r="M829"/>
    </row>
    <row r="830" spans="7:13">
      <c r="G830" s="1"/>
      <c r="H830" s="1"/>
      <c r="I830"/>
      <c r="J830"/>
      <c r="K830"/>
      <c r="M830"/>
    </row>
    <row r="831" spans="7:13">
      <c r="G831" s="1"/>
      <c r="H831" s="1"/>
      <c r="I831"/>
      <c r="J831"/>
      <c r="K831"/>
      <c r="M831"/>
    </row>
    <row r="832" spans="7:13">
      <c r="G832" s="1"/>
      <c r="H832" s="1"/>
      <c r="I832"/>
      <c r="J832"/>
      <c r="K832"/>
      <c r="M832"/>
    </row>
    <row r="833" spans="7:13">
      <c r="G833" s="1"/>
      <c r="H833" s="1"/>
      <c r="I833"/>
      <c r="J833"/>
      <c r="K833"/>
      <c r="M833"/>
    </row>
    <row r="834" spans="7:13">
      <c r="G834" s="1"/>
      <c r="H834" s="1"/>
      <c r="I834"/>
      <c r="J834"/>
      <c r="K834"/>
      <c r="M834"/>
    </row>
    <row r="835" spans="7:13">
      <c r="G835" s="1"/>
      <c r="H835" s="1"/>
      <c r="I835"/>
      <c r="J835"/>
      <c r="K835"/>
      <c r="M835"/>
    </row>
    <row r="836" spans="7:13">
      <c r="G836" s="1"/>
      <c r="H836" s="1"/>
      <c r="I836"/>
      <c r="J836"/>
      <c r="K836"/>
      <c r="M836"/>
    </row>
    <row r="837" spans="7:13">
      <c r="G837" s="1"/>
      <c r="H837" s="1"/>
      <c r="I837"/>
      <c r="J837"/>
      <c r="K837"/>
      <c r="M837"/>
    </row>
    <row r="838" spans="7:13">
      <c r="G838" s="1"/>
      <c r="H838" s="1"/>
      <c r="I838"/>
      <c r="J838"/>
      <c r="K838"/>
      <c r="M838"/>
    </row>
    <row r="839" spans="7:13">
      <c r="G839" s="1"/>
      <c r="H839" s="1"/>
      <c r="I839"/>
      <c r="J839"/>
      <c r="K839"/>
      <c r="M839"/>
    </row>
    <row r="840" spans="7:13">
      <c r="G840" s="1"/>
      <c r="H840" s="1"/>
      <c r="I840"/>
      <c r="J840"/>
      <c r="K840"/>
      <c r="M840"/>
    </row>
    <row r="841" spans="7:13">
      <c r="G841" s="1"/>
      <c r="H841" s="1"/>
      <c r="I841"/>
      <c r="J841"/>
      <c r="K841"/>
      <c r="M841"/>
    </row>
    <row r="842" spans="7:13">
      <c r="G842" s="1"/>
      <c r="H842" s="1"/>
      <c r="I842"/>
      <c r="J842"/>
      <c r="K842"/>
      <c r="M842"/>
    </row>
    <row r="843" spans="7:13">
      <c r="G843" s="1"/>
      <c r="H843" s="1"/>
      <c r="I843"/>
      <c r="J843"/>
      <c r="K843"/>
      <c r="M843"/>
    </row>
    <row r="844" spans="7:13">
      <c r="G844" s="1"/>
      <c r="H844" s="1"/>
      <c r="I844"/>
      <c r="J844"/>
      <c r="K844"/>
      <c r="M844"/>
    </row>
    <row r="845" spans="7:13">
      <c r="G845" s="1"/>
      <c r="H845" s="1"/>
      <c r="I845"/>
      <c r="J845"/>
      <c r="K845"/>
      <c r="M845"/>
    </row>
    <row r="846" spans="7:13">
      <c r="G846" s="1"/>
      <c r="H846" s="1"/>
      <c r="I846"/>
      <c r="J846"/>
      <c r="K846"/>
      <c r="M846"/>
    </row>
    <row r="847" spans="7:13">
      <c r="G847" s="1"/>
      <c r="H847" s="1"/>
      <c r="I847"/>
      <c r="J847"/>
      <c r="K847"/>
      <c r="M847"/>
    </row>
    <row r="848" spans="7:13">
      <c r="G848" s="1"/>
      <c r="H848" s="1"/>
      <c r="I848"/>
      <c r="J848"/>
      <c r="K848"/>
      <c r="M848"/>
    </row>
    <row r="849" spans="7:13">
      <c r="G849" s="1"/>
      <c r="H849" s="1"/>
      <c r="I849"/>
      <c r="J849"/>
      <c r="K849"/>
      <c r="M849"/>
    </row>
    <row r="850" spans="7:13">
      <c r="G850" s="1"/>
      <c r="H850" s="1"/>
      <c r="I850"/>
      <c r="J850"/>
      <c r="K850"/>
      <c r="M850"/>
    </row>
    <row r="851" spans="7:13">
      <c r="G851" s="1"/>
      <c r="H851" s="1"/>
      <c r="I851"/>
      <c r="J851"/>
      <c r="K851"/>
      <c r="M851"/>
    </row>
    <row r="852" spans="7:13">
      <c r="G852" s="1"/>
      <c r="H852" s="1"/>
      <c r="I852"/>
      <c r="J852"/>
      <c r="K852"/>
      <c r="M852"/>
    </row>
    <row r="853" spans="7:13">
      <c r="G853" s="1"/>
      <c r="H853" s="1"/>
      <c r="I853"/>
      <c r="J853"/>
      <c r="K853"/>
      <c r="M853"/>
    </row>
    <row r="854" spans="7:13">
      <c r="G854" s="1"/>
      <c r="H854" s="1"/>
      <c r="I854"/>
      <c r="J854"/>
      <c r="K854"/>
      <c r="M854"/>
    </row>
    <row r="855" spans="7:13">
      <c r="G855" s="1"/>
      <c r="H855" s="1"/>
      <c r="I855"/>
      <c r="J855"/>
      <c r="K855"/>
      <c r="M855"/>
    </row>
    <row r="856" spans="7:13">
      <c r="G856" s="1"/>
      <c r="H856" s="1"/>
      <c r="I856"/>
      <c r="J856"/>
      <c r="K856"/>
      <c r="M856"/>
    </row>
    <row r="857" spans="7:13">
      <c r="G857" s="1"/>
      <c r="H857" s="1"/>
      <c r="I857"/>
      <c r="J857"/>
      <c r="K857"/>
      <c r="M857"/>
    </row>
    <row r="858" spans="7:13">
      <c r="G858" s="1"/>
      <c r="H858" s="1"/>
      <c r="I858"/>
      <c r="J858"/>
      <c r="K858"/>
      <c r="M858"/>
    </row>
    <row r="859" spans="7:13">
      <c r="G859" s="1"/>
      <c r="H859" s="1"/>
      <c r="I859"/>
      <c r="J859"/>
      <c r="K859"/>
      <c r="M859"/>
    </row>
    <row r="860" spans="7:13">
      <c r="G860" s="1"/>
      <c r="H860" s="1"/>
      <c r="I860"/>
      <c r="J860"/>
      <c r="K860"/>
      <c r="M860"/>
    </row>
    <row r="861" spans="7:13">
      <c r="G861" s="1"/>
      <c r="H861" s="1"/>
      <c r="I861"/>
      <c r="J861"/>
      <c r="K861"/>
      <c r="M861"/>
    </row>
    <row r="862" spans="7:13">
      <c r="G862" s="1"/>
      <c r="H862" s="1"/>
      <c r="I862"/>
      <c r="J862"/>
      <c r="K862"/>
      <c r="M862"/>
    </row>
    <row r="863" spans="7:13">
      <c r="G863" s="1"/>
      <c r="H863" s="1"/>
      <c r="I863"/>
      <c r="J863"/>
      <c r="K863"/>
      <c r="M863"/>
    </row>
    <row r="864" spans="7:13">
      <c r="G864" s="1"/>
      <c r="H864" s="1"/>
      <c r="I864"/>
      <c r="J864"/>
      <c r="K864"/>
      <c r="M864"/>
    </row>
    <row r="865" spans="7:13">
      <c r="G865" s="1"/>
      <c r="H865" s="1"/>
      <c r="I865"/>
      <c r="J865"/>
      <c r="K865"/>
      <c r="M865"/>
    </row>
    <row r="866" spans="7:13">
      <c r="G866" s="1"/>
      <c r="H866" s="1"/>
      <c r="I866"/>
      <c r="J866"/>
      <c r="K866"/>
      <c r="M866"/>
    </row>
    <row r="867" spans="7:13">
      <c r="G867" s="1"/>
      <c r="H867" s="1"/>
      <c r="I867"/>
      <c r="J867"/>
      <c r="K867"/>
      <c r="M867"/>
    </row>
    <row r="868" spans="7:13">
      <c r="G868" s="1"/>
      <c r="H868" s="1"/>
      <c r="I868"/>
      <c r="J868"/>
      <c r="K868"/>
      <c r="M868"/>
    </row>
    <row r="869" spans="7:13">
      <c r="G869" s="1"/>
      <c r="H869" s="1"/>
      <c r="I869"/>
      <c r="J869"/>
      <c r="K869"/>
      <c r="M869"/>
    </row>
    <row r="870" spans="7:13">
      <c r="G870" s="1"/>
      <c r="H870" s="1"/>
      <c r="I870"/>
      <c r="J870"/>
      <c r="K870"/>
      <c r="M870"/>
    </row>
    <row r="871" spans="7:13">
      <c r="G871" s="1"/>
      <c r="H871" s="1"/>
      <c r="I871"/>
      <c r="J871"/>
      <c r="K871"/>
      <c r="M871"/>
    </row>
    <row r="872" spans="7:13">
      <c r="G872" s="1"/>
      <c r="H872" s="1"/>
      <c r="I872"/>
      <c r="J872"/>
      <c r="K872"/>
      <c r="M872"/>
    </row>
    <row r="873" spans="7:13">
      <c r="G873" s="1"/>
      <c r="H873" s="1"/>
      <c r="I873"/>
      <c r="J873"/>
      <c r="K873"/>
      <c r="M873"/>
    </row>
    <row r="874" spans="7:13">
      <c r="G874" s="1"/>
      <c r="H874" s="1"/>
      <c r="I874"/>
      <c r="J874"/>
      <c r="K874"/>
      <c r="M874"/>
    </row>
    <row r="875" spans="7:13">
      <c r="G875" s="1"/>
      <c r="H875" s="1"/>
      <c r="I875"/>
      <c r="J875"/>
      <c r="K875"/>
      <c r="M875"/>
    </row>
    <row r="876" spans="7:13">
      <c r="G876" s="1"/>
      <c r="H876" s="1"/>
      <c r="I876"/>
      <c r="J876"/>
      <c r="K876"/>
      <c r="M876"/>
    </row>
    <row r="877" spans="7:13">
      <c r="G877" s="1"/>
      <c r="H877" s="1"/>
      <c r="I877"/>
      <c r="J877"/>
      <c r="K877"/>
      <c r="M877"/>
    </row>
    <row r="878" spans="7:13">
      <c r="G878" s="1"/>
      <c r="H878" s="1"/>
      <c r="I878"/>
      <c r="J878"/>
      <c r="K878"/>
      <c r="M878"/>
    </row>
    <row r="879" spans="7:13">
      <c r="G879" s="1"/>
      <c r="H879" s="1"/>
      <c r="I879"/>
      <c r="J879"/>
      <c r="K879"/>
      <c r="M879"/>
    </row>
    <row r="880" spans="7:13">
      <c r="G880" s="1"/>
      <c r="H880" s="1"/>
      <c r="I880"/>
      <c r="J880"/>
      <c r="K880"/>
      <c r="M880"/>
    </row>
    <row r="881" spans="7:13">
      <c r="G881" s="1"/>
      <c r="H881" s="1"/>
      <c r="I881"/>
      <c r="J881"/>
      <c r="K881"/>
      <c r="M881"/>
    </row>
    <row r="882" spans="7:13">
      <c r="G882" s="1"/>
      <c r="H882" s="1"/>
      <c r="I882"/>
      <c r="J882"/>
      <c r="K882"/>
      <c r="M882"/>
    </row>
    <row r="883" spans="7:13">
      <c r="G883" s="1"/>
      <c r="H883" s="1"/>
      <c r="I883"/>
      <c r="J883"/>
      <c r="K883"/>
      <c r="M883"/>
    </row>
    <row r="884" spans="7:13">
      <c r="G884" s="1"/>
      <c r="H884" s="1"/>
      <c r="I884"/>
      <c r="J884"/>
      <c r="K884"/>
      <c r="M884"/>
    </row>
    <row r="885" spans="7:13">
      <c r="G885" s="1"/>
      <c r="H885" s="1"/>
      <c r="I885"/>
      <c r="J885"/>
      <c r="K885"/>
      <c r="M885"/>
    </row>
    <row r="886" spans="7:13">
      <c r="G886" s="1"/>
      <c r="H886" s="1"/>
      <c r="I886"/>
      <c r="J886"/>
      <c r="K886"/>
      <c r="M886"/>
    </row>
    <row r="887" spans="7:13">
      <c r="G887" s="1"/>
      <c r="H887" s="1"/>
      <c r="I887"/>
      <c r="J887"/>
      <c r="K887"/>
      <c r="M887"/>
    </row>
    <row r="888" spans="7:13">
      <c r="G888" s="1"/>
      <c r="H888" s="1"/>
      <c r="I888"/>
      <c r="J888"/>
      <c r="K888"/>
      <c r="M888"/>
    </row>
    <row r="889" spans="7:13">
      <c r="G889" s="1"/>
      <c r="H889" s="1"/>
      <c r="I889"/>
      <c r="J889"/>
      <c r="K889"/>
      <c r="M889"/>
    </row>
    <row r="890" spans="7:13">
      <c r="G890" s="1"/>
      <c r="H890" s="1"/>
      <c r="I890"/>
      <c r="J890"/>
      <c r="K890"/>
      <c r="M890"/>
    </row>
    <row r="891" spans="7:13">
      <c r="G891" s="1"/>
      <c r="H891" s="1"/>
      <c r="I891"/>
      <c r="J891"/>
      <c r="K891"/>
      <c r="M891"/>
    </row>
    <row r="892" spans="7:13">
      <c r="G892" s="1"/>
      <c r="H892" s="1"/>
      <c r="I892"/>
      <c r="J892"/>
      <c r="K892"/>
      <c r="M892"/>
    </row>
    <row r="893" spans="7:13">
      <c r="G893" s="1"/>
      <c r="H893" s="1"/>
      <c r="I893"/>
      <c r="J893"/>
      <c r="K893"/>
      <c r="M893"/>
    </row>
    <row r="894" spans="7:13">
      <c r="G894" s="1"/>
      <c r="H894" s="1"/>
      <c r="I894"/>
      <c r="J894"/>
      <c r="K894"/>
      <c r="M894"/>
    </row>
    <row r="895" spans="7:13">
      <c r="G895" s="1"/>
      <c r="H895" s="1"/>
      <c r="I895"/>
      <c r="J895"/>
      <c r="K895"/>
      <c r="M895"/>
    </row>
    <row r="896" spans="7:13">
      <c r="G896" s="1"/>
      <c r="H896" s="1"/>
      <c r="I896"/>
      <c r="J896"/>
      <c r="K896"/>
      <c r="M896"/>
    </row>
    <row r="897" spans="7:13">
      <c r="G897" s="1"/>
      <c r="H897" s="1"/>
      <c r="I897"/>
      <c r="J897"/>
      <c r="K897"/>
      <c r="M897"/>
    </row>
    <row r="898" spans="7:13">
      <c r="G898" s="1"/>
      <c r="H898" s="1"/>
      <c r="I898"/>
      <c r="J898"/>
      <c r="K898"/>
      <c r="M898"/>
    </row>
    <row r="899" spans="7:13">
      <c r="G899" s="1"/>
      <c r="H899" s="1"/>
      <c r="I899"/>
      <c r="J899"/>
      <c r="K899"/>
      <c r="M899"/>
    </row>
    <row r="900" spans="7:13">
      <c r="G900" s="1"/>
      <c r="H900" s="1"/>
      <c r="I900"/>
      <c r="J900"/>
      <c r="K900"/>
      <c r="M900"/>
    </row>
    <row r="901" spans="7:13">
      <c r="G901" s="1"/>
      <c r="H901" s="1"/>
      <c r="I901"/>
      <c r="J901"/>
      <c r="K901"/>
      <c r="M901"/>
    </row>
    <row r="902" spans="7:13">
      <c r="G902" s="1"/>
      <c r="H902" s="1"/>
      <c r="I902"/>
      <c r="J902"/>
      <c r="K902"/>
      <c r="M902"/>
    </row>
    <row r="903" spans="7:13">
      <c r="G903" s="1"/>
      <c r="H903" s="1"/>
      <c r="I903"/>
      <c r="J903"/>
      <c r="K903"/>
      <c r="M903"/>
    </row>
    <row r="904" spans="7:13">
      <c r="G904" s="1"/>
      <c r="H904" s="1"/>
      <c r="I904"/>
      <c r="J904"/>
      <c r="K904"/>
      <c r="M904"/>
    </row>
    <row r="905" spans="7:13">
      <c r="G905" s="1"/>
      <c r="H905" s="1"/>
      <c r="I905"/>
      <c r="J905"/>
      <c r="K905"/>
      <c r="M905"/>
    </row>
    <row r="906" spans="7:13">
      <c r="G906" s="1"/>
      <c r="H906" s="1"/>
      <c r="I906"/>
      <c r="J906"/>
      <c r="K906"/>
      <c r="M906"/>
    </row>
    <row r="907" spans="7:13">
      <c r="G907" s="1"/>
      <c r="H907" s="1"/>
      <c r="I907"/>
      <c r="J907"/>
      <c r="K907"/>
      <c r="M907"/>
    </row>
    <row r="908" spans="7:13">
      <c r="G908" s="1"/>
      <c r="H908" s="1"/>
      <c r="I908"/>
      <c r="J908"/>
      <c r="K908"/>
      <c r="M908"/>
    </row>
    <row r="909" spans="7:13">
      <c r="G909" s="1"/>
      <c r="H909" s="1"/>
      <c r="I909"/>
      <c r="J909"/>
      <c r="K909"/>
      <c r="M909"/>
    </row>
    <row r="910" spans="7:13">
      <c r="G910" s="1"/>
      <c r="H910" s="1"/>
      <c r="I910"/>
      <c r="J910"/>
      <c r="K910"/>
      <c r="M910"/>
    </row>
    <row r="911" spans="7:13">
      <c r="G911" s="1"/>
      <c r="H911" s="1"/>
      <c r="I911"/>
      <c r="J911"/>
      <c r="K911"/>
      <c r="M911"/>
    </row>
    <row r="912" spans="7:13">
      <c r="G912" s="1"/>
      <c r="H912" s="1"/>
      <c r="I912"/>
      <c r="J912"/>
      <c r="K912"/>
      <c r="M912"/>
    </row>
    <row r="913" spans="7:13">
      <c r="G913" s="1"/>
      <c r="H913" s="1"/>
      <c r="I913"/>
      <c r="J913"/>
      <c r="K913"/>
      <c r="M913"/>
    </row>
    <row r="914" spans="7:13">
      <c r="G914" s="1"/>
      <c r="H914" s="1"/>
      <c r="I914"/>
      <c r="J914"/>
      <c r="K914"/>
      <c r="M914"/>
    </row>
    <row r="915" spans="7:13">
      <c r="G915" s="1"/>
      <c r="H915" s="1"/>
      <c r="I915"/>
      <c r="J915"/>
      <c r="K915"/>
      <c r="M915"/>
    </row>
    <row r="916" spans="7:13">
      <c r="G916" s="1"/>
      <c r="H916" s="1"/>
      <c r="I916"/>
      <c r="J916"/>
      <c r="K916"/>
      <c r="M916"/>
    </row>
    <row r="917" spans="7:13">
      <c r="G917" s="1"/>
      <c r="H917" s="1"/>
      <c r="I917"/>
      <c r="J917"/>
      <c r="K917"/>
      <c r="M917"/>
    </row>
    <row r="918" spans="7:13">
      <c r="G918" s="1"/>
      <c r="H918" s="1"/>
      <c r="I918"/>
      <c r="J918"/>
      <c r="K918"/>
      <c r="M918"/>
    </row>
    <row r="919" spans="7:13">
      <c r="G919" s="1"/>
      <c r="H919" s="1"/>
      <c r="I919"/>
      <c r="J919"/>
      <c r="K919"/>
      <c r="M919"/>
    </row>
    <row r="920" spans="7:13">
      <c r="G920" s="1"/>
      <c r="H920" s="1"/>
      <c r="I920"/>
      <c r="J920"/>
      <c r="K920"/>
      <c r="M920"/>
    </row>
    <row r="921" spans="7:13">
      <c r="G921" s="1"/>
      <c r="H921" s="1"/>
      <c r="I921"/>
      <c r="J921"/>
      <c r="K921"/>
      <c r="M921"/>
    </row>
    <row r="922" spans="7:13">
      <c r="G922" s="1"/>
      <c r="H922" s="1"/>
      <c r="I922"/>
      <c r="J922"/>
      <c r="K922"/>
      <c r="M922"/>
    </row>
    <row r="923" spans="7:13">
      <c r="G923" s="1"/>
      <c r="H923" s="1"/>
      <c r="I923"/>
      <c r="J923"/>
      <c r="K923"/>
      <c r="M923"/>
    </row>
    <row r="924" spans="7:13">
      <c r="G924" s="1"/>
      <c r="H924" s="1"/>
      <c r="I924"/>
      <c r="J924"/>
      <c r="K924"/>
      <c r="M924"/>
    </row>
    <row r="925" spans="7:13">
      <c r="G925" s="1"/>
      <c r="H925" s="1"/>
      <c r="I925"/>
      <c r="J925"/>
      <c r="K925"/>
      <c r="M925"/>
    </row>
    <row r="926" spans="7:13">
      <c r="G926" s="1"/>
      <c r="H926" s="1"/>
      <c r="I926"/>
      <c r="J926"/>
      <c r="K926"/>
      <c r="M926"/>
    </row>
    <row r="927" spans="7:13">
      <c r="G927" s="1"/>
      <c r="H927" s="1"/>
      <c r="I927"/>
      <c r="J927"/>
      <c r="K927"/>
      <c r="M927"/>
    </row>
    <row r="928" spans="7:13">
      <c r="G928" s="1"/>
      <c r="H928" s="1"/>
      <c r="I928"/>
      <c r="J928"/>
      <c r="K928"/>
      <c r="M928"/>
    </row>
    <row r="929" spans="7:13">
      <c r="G929" s="1"/>
      <c r="H929" s="1"/>
      <c r="I929"/>
      <c r="J929"/>
      <c r="K929"/>
      <c r="M929"/>
    </row>
    <row r="930" spans="7:13">
      <c r="G930" s="1"/>
      <c r="H930" s="1"/>
      <c r="I930"/>
      <c r="J930"/>
      <c r="K930"/>
      <c r="M930"/>
    </row>
    <row r="931" spans="7:13">
      <c r="G931" s="1"/>
      <c r="H931" s="1"/>
      <c r="I931"/>
      <c r="J931"/>
      <c r="K931"/>
      <c r="M931"/>
    </row>
    <row r="932" spans="7:13">
      <c r="G932" s="1"/>
      <c r="H932" s="1"/>
      <c r="I932"/>
      <c r="J932"/>
      <c r="K932"/>
      <c r="M932"/>
    </row>
    <row r="933" spans="7:13">
      <c r="G933" s="1"/>
      <c r="H933" s="1"/>
      <c r="I933"/>
      <c r="J933"/>
      <c r="K933"/>
      <c r="M933"/>
    </row>
    <row r="934" spans="7:13">
      <c r="G934" s="1"/>
      <c r="H934" s="1"/>
      <c r="I934"/>
      <c r="J934"/>
      <c r="K934"/>
      <c r="M934"/>
    </row>
    <row r="935" spans="7:13">
      <c r="G935" s="1"/>
      <c r="H935" s="1"/>
      <c r="I935"/>
      <c r="J935"/>
      <c r="K935"/>
      <c r="M935"/>
    </row>
    <row r="936" spans="7:13">
      <c r="G936" s="1"/>
      <c r="H936" s="1"/>
      <c r="I936"/>
      <c r="J936"/>
      <c r="K936"/>
      <c r="M936"/>
    </row>
    <row r="937" spans="7:13">
      <c r="G937" s="1"/>
      <c r="H937" s="1"/>
      <c r="I937"/>
      <c r="J937"/>
      <c r="K937"/>
      <c r="M937"/>
    </row>
    <row r="938" spans="7:13">
      <c r="G938" s="1"/>
      <c r="H938" s="1"/>
      <c r="I938"/>
      <c r="J938"/>
      <c r="K938"/>
      <c r="M938"/>
    </row>
    <row r="939" spans="7:13">
      <c r="G939" s="1"/>
      <c r="H939" s="1"/>
      <c r="I939"/>
      <c r="J939"/>
      <c r="K939"/>
      <c r="M939"/>
    </row>
    <row r="940" spans="7:13">
      <c r="G940" s="1"/>
      <c r="H940" s="1"/>
      <c r="I940"/>
      <c r="J940"/>
      <c r="K940"/>
      <c r="M940"/>
    </row>
    <row r="941" spans="7:13">
      <c r="G941" s="1"/>
      <c r="H941" s="1"/>
      <c r="I941"/>
      <c r="J941"/>
      <c r="K941"/>
      <c r="M941"/>
    </row>
    <row r="942" spans="7:13">
      <c r="G942" s="1"/>
      <c r="H942" s="1"/>
      <c r="I942"/>
      <c r="J942"/>
      <c r="K942"/>
      <c r="M942"/>
    </row>
    <row r="943" spans="7:13">
      <c r="G943" s="1"/>
      <c r="H943" s="1"/>
      <c r="I943"/>
      <c r="J943"/>
      <c r="K943"/>
      <c r="M943"/>
    </row>
    <row r="944" spans="7:13">
      <c r="G944" s="1"/>
      <c r="H944" s="1"/>
      <c r="I944"/>
      <c r="J944"/>
      <c r="K944"/>
      <c r="M944"/>
    </row>
    <row r="945" spans="7:13">
      <c r="G945" s="1"/>
      <c r="H945" s="1"/>
      <c r="I945"/>
      <c r="J945"/>
      <c r="K945"/>
      <c r="M945"/>
    </row>
    <row r="946" spans="7:13">
      <c r="G946" s="1"/>
      <c r="H946" s="1"/>
      <c r="I946"/>
      <c r="J946"/>
      <c r="K946"/>
      <c r="M946"/>
    </row>
    <row r="947" spans="7:13">
      <c r="G947" s="1"/>
      <c r="H947" s="1"/>
      <c r="I947"/>
      <c r="J947"/>
      <c r="K947"/>
      <c r="M947"/>
    </row>
    <row r="948" spans="7:13">
      <c r="G948" s="1"/>
      <c r="H948" s="1"/>
      <c r="I948"/>
      <c r="J948"/>
      <c r="K948"/>
      <c r="M948"/>
    </row>
    <row r="949" spans="7:13">
      <c r="G949" s="1"/>
      <c r="H949" s="1"/>
      <c r="I949"/>
      <c r="J949"/>
      <c r="K949"/>
      <c r="M949"/>
    </row>
    <row r="950" spans="7:13">
      <c r="G950" s="1"/>
      <c r="H950" s="1"/>
      <c r="I950"/>
      <c r="J950"/>
      <c r="K950"/>
      <c r="M950"/>
    </row>
    <row r="951" spans="7:13">
      <c r="G951" s="1"/>
      <c r="H951" s="1"/>
      <c r="I951"/>
      <c r="J951"/>
      <c r="K951"/>
      <c r="M951"/>
    </row>
    <row r="952" spans="7:13">
      <c r="G952" s="1"/>
      <c r="H952" s="1"/>
      <c r="I952"/>
      <c r="J952"/>
      <c r="K952"/>
      <c r="M952"/>
    </row>
    <row r="953" spans="7:13">
      <c r="G953" s="1"/>
      <c r="H953" s="1"/>
      <c r="I953"/>
      <c r="J953"/>
      <c r="K953"/>
      <c r="M953"/>
    </row>
    <row r="954" spans="7:13">
      <c r="G954" s="1"/>
      <c r="H954" s="1"/>
      <c r="I954"/>
      <c r="J954"/>
      <c r="K954"/>
      <c r="M954"/>
    </row>
    <row r="955" spans="7:13">
      <c r="G955" s="1"/>
      <c r="H955" s="1"/>
      <c r="I955"/>
      <c r="J955"/>
      <c r="K955"/>
      <c r="M955"/>
    </row>
    <row r="956" spans="7:13">
      <c r="G956" s="1"/>
      <c r="H956" s="1"/>
      <c r="I956"/>
      <c r="J956"/>
      <c r="K956"/>
      <c r="M956"/>
    </row>
    <row r="957" spans="7:13">
      <c r="G957" s="1"/>
      <c r="H957" s="1"/>
      <c r="I957"/>
      <c r="J957"/>
      <c r="K957"/>
      <c r="M957"/>
    </row>
    <row r="958" spans="7:13">
      <c r="G958" s="1"/>
      <c r="H958" s="1"/>
      <c r="I958"/>
      <c r="J958"/>
      <c r="K958"/>
      <c r="M958"/>
    </row>
    <row r="959" spans="7:13">
      <c r="G959" s="1"/>
      <c r="H959" s="1"/>
      <c r="I959"/>
      <c r="J959"/>
      <c r="K959"/>
      <c r="M959"/>
    </row>
    <row r="960" spans="7:13">
      <c r="G960" s="1"/>
      <c r="H960" s="1"/>
      <c r="I960"/>
      <c r="J960"/>
      <c r="K960"/>
      <c r="M960"/>
    </row>
    <row r="961" spans="7:13">
      <c r="G961" s="1"/>
      <c r="H961" s="1"/>
      <c r="I961"/>
      <c r="J961"/>
      <c r="K961"/>
      <c r="M961"/>
    </row>
    <row r="962" spans="7:13">
      <c r="G962" s="1"/>
      <c r="H962" s="1"/>
      <c r="I962"/>
      <c r="J962"/>
      <c r="K962"/>
      <c r="M962"/>
    </row>
    <row r="963" spans="7:13">
      <c r="G963" s="1"/>
      <c r="H963" s="1"/>
      <c r="I963"/>
      <c r="J963"/>
      <c r="K963"/>
      <c r="M963"/>
    </row>
    <row r="964" spans="7:13">
      <c r="G964" s="1"/>
      <c r="H964" s="1"/>
      <c r="I964"/>
      <c r="J964"/>
      <c r="K964"/>
      <c r="M964"/>
    </row>
    <row r="965" spans="7:13">
      <c r="G965" s="1"/>
      <c r="H965" s="1"/>
      <c r="I965"/>
      <c r="J965"/>
      <c r="K965"/>
      <c r="M965"/>
    </row>
    <row r="966" spans="7:13">
      <c r="G966" s="1"/>
      <c r="H966" s="1"/>
      <c r="I966"/>
      <c r="J966"/>
      <c r="K966"/>
      <c r="M966"/>
    </row>
    <row r="967" spans="7:13">
      <c r="G967" s="1"/>
      <c r="H967" s="1"/>
      <c r="I967"/>
      <c r="J967"/>
      <c r="K967"/>
      <c r="M967"/>
    </row>
    <row r="968" spans="7:13">
      <c r="G968" s="1"/>
      <c r="H968" s="1"/>
      <c r="I968"/>
      <c r="J968"/>
      <c r="K968"/>
      <c r="M968"/>
    </row>
    <row r="969" spans="7:13">
      <c r="G969" s="1"/>
      <c r="H969" s="1"/>
      <c r="I969"/>
      <c r="J969"/>
      <c r="K969"/>
      <c r="M969"/>
    </row>
    <row r="970" spans="7:13">
      <c r="G970" s="1"/>
      <c r="H970" s="1"/>
      <c r="I970"/>
      <c r="J970"/>
      <c r="K970"/>
      <c r="M970"/>
    </row>
    <row r="971" spans="7:13">
      <c r="G971" s="1"/>
      <c r="H971" s="1"/>
      <c r="I971"/>
      <c r="J971"/>
      <c r="K971"/>
      <c r="M971"/>
    </row>
    <row r="972" spans="7:13">
      <c r="G972" s="1"/>
      <c r="H972" s="1"/>
      <c r="I972"/>
      <c r="J972"/>
      <c r="K972"/>
      <c r="M972"/>
    </row>
    <row r="973" spans="7:13">
      <c r="G973" s="1"/>
      <c r="H973" s="1"/>
      <c r="I973"/>
      <c r="J973"/>
      <c r="K973"/>
      <c r="M973"/>
    </row>
    <row r="974" spans="7:13">
      <c r="G974" s="1"/>
      <c r="H974" s="1"/>
      <c r="I974"/>
      <c r="J974"/>
      <c r="K974"/>
      <c r="M974"/>
    </row>
    <row r="975" spans="7:13">
      <c r="G975" s="1"/>
      <c r="H975" s="1"/>
      <c r="I975"/>
      <c r="J975"/>
      <c r="K975"/>
      <c r="M975"/>
    </row>
    <row r="976" spans="7:13">
      <c r="G976" s="1"/>
      <c r="H976" s="1"/>
      <c r="I976"/>
      <c r="J976"/>
      <c r="K976"/>
      <c r="M976"/>
    </row>
    <row r="977" spans="7:13">
      <c r="G977" s="1"/>
      <c r="H977" s="1"/>
      <c r="I977"/>
      <c r="J977"/>
      <c r="K977"/>
      <c r="M977"/>
    </row>
    <row r="978" spans="7:13">
      <c r="G978" s="1"/>
      <c r="H978" s="1"/>
      <c r="I978"/>
      <c r="J978"/>
      <c r="K978"/>
      <c r="M978"/>
    </row>
    <row r="979" spans="7:13">
      <c r="G979" s="1"/>
      <c r="H979" s="1"/>
      <c r="I979"/>
      <c r="J979"/>
      <c r="K979"/>
      <c r="M979"/>
    </row>
    <row r="980" spans="7:13">
      <c r="G980" s="1"/>
      <c r="H980" s="1"/>
      <c r="I980"/>
      <c r="J980"/>
      <c r="K980"/>
      <c r="M980"/>
    </row>
    <row r="981" spans="7:13">
      <c r="G981" s="1"/>
      <c r="H981" s="1"/>
      <c r="I981"/>
      <c r="J981"/>
      <c r="K981"/>
      <c r="M981"/>
    </row>
    <row r="982" spans="7:13">
      <c r="G982" s="1"/>
      <c r="H982" s="1"/>
      <c r="I982"/>
      <c r="J982"/>
      <c r="K982"/>
      <c r="M982"/>
    </row>
    <row r="983" spans="7:13">
      <c r="G983" s="1"/>
      <c r="H983" s="1"/>
      <c r="I983"/>
      <c r="J983"/>
      <c r="K983"/>
      <c r="M983"/>
    </row>
    <row r="984" spans="7:13">
      <c r="G984" s="1"/>
      <c r="H984" s="1"/>
      <c r="I984"/>
      <c r="J984"/>
      <c r="K984"/>
      <c r="M984"/>
    </row>
    <row r="985" spans="7:13">
      <c r="G985" s="1"/>
      <c r="H985" s="1"/>
      <c r="I985"/>
      <c r="J985"/>
      <c r="K985"/>
      <c r="M985"/>
    </row>
    <row r="986" spans="7:13">
      <c r="G986" s="1"/>
      <c r="H986" s="1"/>
      <c r="I986"/>
      <c r="J986"/>
      <c r="K986"/>
      <c r="M986"/>
    </row>
    <row r="987" spans="7:13">
      <c r="G987" s="1"/>
      <c r="H987" s="1"/>
      <c r="I987"/>
      <c r="J987"/>
      <c r="K987"/>
      <c r="M987"/>
    </row>
    <row r="988" spans="7:13">
      <c r="G988" s="1"/>
      <c r="H988" s="1"/>
      <c r="I988"/>
      <c r="J988"/>
      <c r="K988"/>
      <c r="M988"/>
    </row>
    <row r="989" spans="7:13">
      <c r="G989" s="1"/>
      <c r="H989" s="1"/>
      <c r="I989"/>
      <c r="J989"/>
      <c r="K989"/>
      <c r="M989"/>
    </row>
    <row r="990" spans="7:13">
      <c r="G990" s="1"/>
      <c r="H990" s="1"/>
      <c r="I990"/>
      <c r="J990"/>
      <c r="K990"/>
      <c r="M990"/>
    </row>
    <row r="991" spans="7:13">
      <c r="G991" s="1"/>
      <c r="H991" s="1"/>
      <c r="I991"/>
      <c r="J991"/>
      <c r="K991"/>
      <c r="M991"/>
    </row>
    <row r="992" spans="7:13">
      <c r="G992" s="1"/>
      <c r="H992" s="1"/>
      <c r="I992"/>
      <c r="J992"/>
      <c r="K992"/>
      <c r="M992"/>
    </row>
    <row r="993" spans="7:13">
      <c r="G993" s="1"/>
      <c r="H993" s="1"/>
      <c r="I993"/>
      <c r="J993"/>
      <c r="K993"/>
      <c r="M993"/>
    </row>
    <row r="994" spans="7:13">
      <c r="G994" s="1"/>
      <c r="H994" s="1"/>
      <c r="I994"/>
      <c r="J994"/>
      <c r="K994"/>
      <c r="M994"/>
    </row>
    <row r="995" spans="7:13">
      <c r="G995" s="1"/>
      <c r="H995" s="1"/>
      <c r="I995"/>
      <c r="J995"/>
      <c r="K995"/>
      <c r="M995"/>
    </row>
    <row r="996" spans="7:13">
      <c r="G996" s="1"/>
      <c r="H996" s="1"/>
      <c r="I996"/>
      <c r="J996"/>
      <c r="K996"/>
      <c r="M996"/>
    </row>
    <row r="997" spans="7:13">
      <c r="G997" s="1"/>
      <c r="H997" s="1"/>
      <c r="I997"/>
      <c r="J997"/>
      <c r="K997"/>
      <c r="M997"/>
    </row>
    <row r="998" spans="7:13">
      <c r="G998" s="1"/>
      <c r="H998" s="1"/>
      <c r="I998"/>
      <c r="J998"/>
      <c r="K998"/>
      <c r="M998"/>
    </row>
    <row r="999" spans="7:13">
      <c r="G999" s="1"/>
      <c r="H999" s="1"/>
      <c r="I999"/>
      <c r="J999"/>
      <c r="K999"/>
      <c r="M999"/>
    </row>
    <row r="1000" spans="7:13">
      <c r="G1000" s="1"/>
      <c r="H1000" s="1"/>
      <c r="I1000"/>
      <c r="J1000"/>
      <c r="K1000"/>
      <c r="M1000"/>
    </row>
    <row r="1001" spans="7:13">
      <c r="G1001" s="1"/>
      <c r="H1001" s="1"/>
      <c r="I1001"/>
      <c r="J1001"/>
      <c r="K1001"/>
      <c r="M1001"/>
    </row>
    <row r="1002" spans="7:13">
      <c r="G1002" s="1"/>
      <c r="H1002" s="1"/>
      <c r="I1002"/>
      <c r="J1002"/>
      <c r="K1002"/>
      <c r="M1002"/>
    </row>
    <row r="1003" spans="7:13">
      <c r="G1003" s="1"/>
      <c r="H1003" s="1"/>
      <c r="I1003"/>
      <c r="J1003"/>
      <c r="K1003"/>
      <c r="M1003"/>
    </row>
    <row r="1004" spans="7:13">
      <c r="G1004" s="1"/>
      <c r="H1004" s="1"/>
      <c r="I1004"/>
      <c r="J1004"/>
      <c r="K1004"/>
      <c r="M1004"/>
    </row>
    <row r="1005" spans="7:13">
      <c r="G1005" s="1"/>
      <c r="H1005" s="1"/>
      <c r="I1005"/>
      <c r="J1005"/>
      <c r="K1005"/>
      <c r="M1005"/>
    </row>
    <row r="1006" spans="7:13">
      <c r="G1006" s="1"/>
      <c r="H1006" s="1"/>
      <c r="I1006"/>
      <c r="J1006"/>
      <c r="K1006"/>
      <c r="M1006"/>
    </row>
    <row r="1007" spans="7:13">
      <c r="G1007" s="1"/>
      <c r="H1007" s="1"/>
      <c r="I1007"/>
      <c r="J1007"/>
      <c r="K1007"/>
      <c r="M1007"/>
    </row>
    <row r="1008" spans="7:13">
      <c r="G1008" s="1"/>
      <c r="H1008" s="1"/>
      <c r="I1008"/>
      <c r="J1008"/>
      <c r="K1008"/>
      <c r="M1008"/>
    </row>
    <row r="1009" spans="7:13">
      <c r="G1009" s="1"/>
      <c r="H1009" s="1"/>
      <c r="I1009"/>
      <c r="J1009"/>
      <c r="K1009"/>
      <c r="M1009"/>
    </row>
    <row r="1010" spans="7:13">
      <c r="G1010" s="1"/>
      <c r="H1010" s="1"/>
      <c r="I1010"/>
      <c r="J1010"/>
      <c r="K1010"/>
      <c r="M1010"/>
    </row>
    <row r="1011" spans="7:13">
      <c r="G1011" s="1"/>
      <c r="H1011" s="1"/>
      <c r="I1011"/>
      <c r="J1011"/>
      <c r="K1011"/>
      <c r="M1011"/>
    </row>
    <row r="1012" spans="7:13">
      <c r="G1012" s="1"/>
      <c r="H1012" s="1"/>
      <c r="I1012"/>
      <c r="J1012"/>
      <c r="K1012"/>
      <c r="M1012"/>
    </row>
    <row r="1013" spans="7:13">
      <c r="G1013" s="1"/>
      <c r="H1013" s="1"/>
      <c r="I1013"/>
      <c r="J1013"/>
      <c r="K1013"/>
      <c r="M1013"/>
    </row>
    <row r="1014" spans="7:13">
      <c r="G1014" s="1"/>
      <c r="H1014" s="1"/>
      <c r="I1014"/>
      <c r="J1014"/>
      <c r="K1014"/>
      <c r="M1014"/>
    </row>
    <row r="1015" spans="7:13">
      <c r="G1015" s="1"/>
      <c r="H1015" s="1"/>
      <c r="I1015"/>
      <c r="J1015"/>
      <c r="K1015"/>
      <c r="M1015"/>
    </row>
    <row r="1016" spans="7:13">
      <c r="G1016" s="1"/>
      <c r="H1016" s="1"/>
      <c r="I1016"/>
      <c r="J1016"/>
      <c r="K1016"/>
      <c r="M1016"/>
    </row>
    <row r="1017" spans="7:13">
      <c r="G1017" s="1"/>
      <c r="H1017" s="1"/>
      <c r="I1017"/>
      <c r="J1017"/>
      <c r="K1017"/>
      <c r="M1017"/>
    </row>
    <row r="1018" spans="7:13">
      <c r="G1018" s="1"/>
      <c r="H1018" s="1"/>
      <c r="I1018"/>
      <c r="J1018"/>
      <c r="K1018"/>
      <c r="M1018"/>
    </row>
    <row r="1019" spans="7:13">
      <c r="G1019" s="1"/>
      <c r="H1019" s="1"/>
      <c r="I1019"/>
      <c r="J1019"/>
      <c r="K1019"/>
      <c r="M1019"/>
    </row>
    <row r="1020" spans="7:13">
      <c r="G1020" s="1"/>
      <c r="H1020" s="1"/>
      <c r="I1020"/>
      <c r="J1020"/>
      <c r="K1020"/>
      <c r="M1020"/>
    </row>
    <row r="1021" spans="7:13">
      <c r="G1021" s="1"/>
      <c r="H1021" s="1"/>
      <c r="I1021"/>
      <c r="J1021"/>
      <c r="K1021"/>
      <c r="M1021"/>
    </row>
    <row r="1022" spans="7:13">
      <c r="G1022" s="1"/>
      <c r="H1022" s="1"/>
      <c r="I1022"/>
      <c r="J1022"/>
      <c r="K1022"/>
      <c r="M1022"/>
    </row>
    <row r="1023" spans="7:13">
      <c r="G1023" s="1"/>
      <c r="H1023" s="1"/>
      <c r="I1023"/>
      <c r="J1023"/>
      <c r="K1023"/>
      <c r="M1023"/>
    </row>
    <row r="1024" spans="7:13">
      <c r="G1024" s="1"/>
      <c r="H1024" s="1"/>
      <c r="I1024"/>
      <c r="J1024"/>
      <c r="K1024"/>
      <c r="M1024"/>
    </row>
    <row r="1025" spans="7:13">
      <c r="G1025" s="1"/>
      <c r="H1025" s="1"/>
      <c r="I1025"/>
      <c r="J1025"/>
      <c r="K1025"/>
      <c r="M1025"/>
    </row>
    <row r="1026" spans="7:13">
      <c r="G1026" s="1"/>
      <c r="H1026" s="1"/>
      <c r="I1026"/>
      <c r="J1026"/>
      <c r="K1026"/>
      <c r="M1026"/>
    </row>
    <row r="1027" spans="7:13">
      <c r="G1027" s="1"/>
      <c r="H1027" s="1"/>
      <c r="I1027"/>
      <c r="J1027"/>
      <c r="K1027"/>
      <c r="M1027"/>
    </row>
    <row r="1028" spans="7:13">
      <c r="G1028" s="1"/>
      <c r="H1028" s="1"/>
      <c r="I1028"/>
      <c r="J1028"/>
      <c r="K1028"/>
      <c r="M1028"/>
    </row>
    <row r="1029" spans="7:13">
      <c r="G1029" s="1"/>
      <c r="H1029" s="1"/>
      <c r="I1029"/>
      <c r="J1029"/>
      <c r="K1029"/>
      <c r="M1029"/>
    </row>
    <row r="1030" spans="7:13">
      <c r="G1030" s="1"/>
      <c r="H1030" s="1"/>
      <c r="I1030"/>
      <c r="J1030"/>
      <c r="K1030"/>
      <c r="M1030"/>
    </row>
    <row r="1031" spans="7:13">
      <c r="G1031" s="1"/>
      <c r="H1031" s="1"/>
      <c r="I1031"/>
      <c r="J1031"/>
      <c r="K1031"/>
      <c r="M1031"/>
    </row>
    <row r="1032" spans="7:13">
      <c r="G1032" s="1"/>
      <c r="H1032" s="1"/>
      <c r="I1032"/>
      <c r="J1032"/>
      <c r="K1032"/>
      <c r="M1032"/>
    </row>
    <row r="1033" spans="7:13">
      <c r="G1033" s="1"/>
      <c r="H1033" s="1"/>
      <c r="I1033"/>
      <c r="J1033"/>
      <c r="K1033"/>
      <c r="M1033"/>
    </row>
    <row r="1034" spans="7:13">
      <c r="G1034" s="1"/>
      <c r="H1034" s="1"/>
      <c r="I1034"/>
      <c r="J1034"/>
      <c r="K1034"/>
      <c r="M1034"/>
    </row>
    <row r="1035" spans="7:13">
      <c r="G1035" s="1"/>
      <c r="H1035" s="1"/>
      <c r="I1035"/>
      <c r="J1035"/>
      <c r="K1035"/>
      <c r="M1035"/>
    </row>
    <row r="1036" spans="7:13">
      <c r="G1036" s="1"/>
      <c r="H1036" s="1"/>
      <c r="I1036"/>
      <c r="J1036"/>
      <c r="K1036"/>
      <c r="M1036"/>
    </row>
    <row r="1037" spans="7:13">
      <c r="G1037" s="1"/>
      <c r="H1037" s="1"/>
      <c r="I1037"/>
      <c r="J1037"/>
      <c r="K1037"/>
      <c r="M1037"/>
    </row>
    <row r="1038" spans="7:13">
      <c r="G1038" s="1"/>
      <c r="H1038" s="1"/>
      <c r="I1038"/>
      <c r="J1038"/>
      <c r="K1038"/>
      <c r="M1038"/>
    </row>
    <row r="1039" spans="7:13">
      <c r="G1039" s="1"/>
      <c r="H1039" s="1"/>
      <c r="I1039"/>
      <c r="J1039"/>
      <c r="K1039"/>
      <c r="M1039"/>
    </row>
    <row r="1040" spans="7:13">
      <c r="G1040" s="1"/>
      <c r="H1040" s="1"/>
      <c r="I1040"/>
      <c r="J1040"/>
      <c r="K1040"/>
      <c r="M1040"/>
    </row>
    <row r="1041" spans="7:13">
      <c r="G1041" s="1"/>
      <c r="H1041" s="1"/>
      <c r="I1041"/>
      <c r="J1041"/>
      <c r="K1041"/>
      <c r="M1041"/>
    </row>
    <row r="1042" spans="7:13">
      <c r="G1042" s="1"/>
      <c r="H1042" s="1"/>
      <c r="I1042"/>
      <c r="J1042"/>
      <c r="K1042"/>
      <c r="M1042"/>
    </row>
    <row r="1043" spans="7:13">
      <c r="G1043" s="1"/>
      <c r="H1043" s="1"/>
      <c r="I1043"/>
      <c r="J1043"/>
      <c r="K1043"/>
      <c r="M1043"/>
    </row>
    <row r="1044" spans="7:13">
      <c r="G1044" s="1"/>
      <c r="H1044" s="1"/>
      <c r="I1044"/>
      <c r="J1044"/>
      <c r="K1044"/>
      <c r="M1044"/>
    </row>
    <row r="1045" spans="7:13">
      <c r="G1045" s="1"/>
      <c r="H1045" s="1"/>
      <c r="I1045"/>
      <c r="J1045"/>
      <c r="K1045"/>
      <c r="M1045"/>
    </row>
    <row r="1046" spans="7:13">
      <c r="G1046" s="1"/>
      <c r="H1046" s="1"/>
      <c r="I1046"/>
      <c r="J1046"/>
      <c r="K1046"/>
      <c r="M1046"/>
    </row>
    <row r="1047" spans="7:13">
      <c r="G1047" s="1"/>
      <c r="H1047" s="1"/>
      <c r="I1047"/>
      <c r="J1047"/>
      <c r="K1047"/>
      <c r="M1047"/>
    </row>
    <row r="1048" spans="7:13">
      <c r="G1048" s="1"/>
      <c r="H1048" s="1"/>
      <c r="I1048"/>
      <c r="J1048"/>
      <c r="K1048"/>
      <c r="M1048"/>
    </row>
    <row r="1049" spans="7:13">
      <c r="G1049" s="1"/>
      <c r="H1049" s="1"/>
      <c r="I1049"/>
      <c r="J1049"/>
      <c r="K1049"/>
      <c r="M1049"/>
    </row>
    <row r="1050" spans="7:13">
      <c r="G1050" s="1"/>
      <c r="H1050" s="1"/>
      <c r="I1050"/>
      <c r="J1050"/>
      <c r="K1050"/>
      <c r="M1050"/>
    </row>
    <row r="1051" spans="7:13">
      <c r="G1051" s="1"/>
      <c r="H1051" s="1"/>
      <c r="I1051"/>
      <c r="J1051"/>
      <c r="K1051"/>
      <c r="M1051"/>
    </row>
    <row r="1052" spans="7:13">
      <c r="G1052" s="1"/>
      <c r="H1052" s="1"/>
      <c r="I1052"/>
      <c r="J1052"/>
      <c r="K1052"/>
      <c r="M1052"/>
    </row>
    <row r="1053" spans="7:13">
      <c r="G1053" s="1"/>
      <c r="H1053" s="1"/>
      <c r="I1053"/>
      <c r="J1053"/>
      <c r="K1053"/>
      <c r="M1053"/>
    </row>
    <row r="1054" spans="7:13">
      <c r="G1054" s="1"/>
      <c r="H1054" s="1"/>
      <c r="I1054"/>
      <c r="J1054"/>
      <c r="K1054"/>
      <c r="M1054"/>
    </row>
    <row r="1055" spans="7:13">
      <c r="G1055" s="1"/>
      <c r="H1055" s="1"/>
      <c r="I1055"/>
      <c r="J1055"/>
      <c r="K1055"/>
      <c r="M1055"/>
    </row>
    <row r="1056" spans="7:13">
      <c r="G1056" s="1"/>
      <c r="H1056" s="1"/>
      <c r="I1056"/>
      <c r="J1056"/>
      <c r="K1056"/>
      <c r="M1056"/>
    </row>
    <row r="1057" spans="7:13">
      <c r="G1057" s="1"/>
      <c r="H1057" s="1"/>
      <c r="I1057"/>
      <c r="J1057"/>
      <c r="K1057"/>
      <c r="M1057"/>
    </row>
    <row r="1058" spans="7:13">
      <c r="G1058" s="1"/>
      <c r="H1058" s="1"/>
      <c r="I1058"/>
      <c r="J1058"/>
      <c r="K1058"/>
      <c r="M1058"/>
    </row>
    <row r="1059" spans="7:13">
      <c r="G1059" s="1"/>
      <c r="H1059" s="1"/>
      <c r="I1059"/>
      <c r="J1059"/>
      <c r="K1059"/>
      <c r="M1059"/>
    </row>
    <row r="1060" spans="7:13">
      <c r="G1060" s="1"/>
      <c r="H1060" s="1"/>
      <c r="I1060"/>
      <c r="J1060"/>
      <c r="K1060"/>
      <c r="M1060"/>
    </row>
    <row r="1061" spans="7:13">
      <c r="G1061" s="1"/>
      <c r="H1061" s="1"/>
      <c r="I1061"/>
      <c r="J1061"/>
      <c r="K1061"/>
      <c r="M1061"/>
    </row>
    <row r="1062" spans="7:13">
      <c r="G1062" s="1"/>
      <c r="H1062" s="1"/>
      <c r="I1062"/>
      <c r="J1062"/>
      <c r="K1062"/>
      <c r="M1062"/>
    </row>
    <row r="1063" spans="7:13">
      <c r="G1063" s="1"/>
      <c r="H1063" s="1"/>
      <c r="I1063"/>
      <c r="J1063"/>
      <c r="K1063"/>
      <c r="M1063"/>
    </row>
    <row r="1064" spans="7:13">
      <c r="G1064" s="1"/>
      <c r="H1064" s="1"/>
      <c r="I1064"/>
      <c r="J1064"/>
      <c r="K1064"/>
      <c r="M1064"/>
    </row>
    <row r="1065" spans="7:13">
      <c r="G1065" s="1"/>
      <c r="H1065" s="1"/>
      <c r="I1065"/>
      <c r="J1065"/>
      <c r="K1065"/>
      <c r="M1065"/>
    </row>
    <row r="1066" spans="7:13">
      <c r="G1066" s="1"/>
      <c r="H1066" s="1"/>
      <c r="I1066"/>
      <c r="J1066"/>
      <c r="K1066"/>
      <c r="M1066"/>
    </row>
    <row r="1067" spans="7:13">
      <c r="G1067" s="1"/>
      <c r="H1067" s="1"/>
      <c r="I1067"/>
      <c r="J1067"/>
      <c r="K1067"/>
      <c r="M1067"/>
    </row>
    <row r="1068" spans="7:13">
      <c r="G1068" s="1"/>
      <c r="H1068" s="1"/>
      <c r="I1068"/>
      <c r="J1068"/>
      <c r="K1068"/>
      <c r="M1068"/>
    </row>
    <row r="1069" spans="7:13">
      <c r="G1069" s="1"/>
      <c r="H1069" s="1"/>
      <c r="I1069"/>
      <c r="J1069"/>
      <c r="K1069"/>
      <c r="M1069"/>
    </row>
    <row r="1070" spans="7:13">
      <c r="G1070" s="1"/>
      <c r="H1070" s="1"/>
      <c r="I1070"/>
      <c r="J1070"/>
      <c r="K1070"/>
      <c r="M1070"/>
    </row>
    <row r="1071" spans="7:13">
      <c r="G1071" s="1"/>
      <c r="H1071" s="1"/>
      <c r="I1071"/>
      <c r="J1071"/>
      <c r="K1071"/>
      <c r="M1071"/>
    </row>
    <row r="1072" spans="7:13">
      <c r="G1072" s="1"/>
      <c r="H1072" s="1"/>
      <c r="I1072"/>
      <c r="J1072"/>
      <c r="K1072"/>
      <c r="M1072"/>
    </row>
    <row r="1073" spans="7:13">
      <c r="G1073" s="1"/>
      <c r="H1073" s="1"/>
      <c r="I1073"/>
      <c r="J1073"/>
      <c r="K1073"/>
      <c r="M1073"/>
    </row>
    <row r="1074" spans="7:13">
      <c r="G1074" s="1"/>
      <c r="H1074" s="1"/>
      <c r="I1074"/>
      <c r="J1074"/>
      <c r="K1074"/>
      <c r="M1074"/>
    </row>
    <row r="1075" spans="7:13">
      <c r="G1075" s="1"/>
      <c r="H1075" s="1"/>
      <c r="I1075"/>
      <c r="J1075"/>
      <c r="K1075"/>
      <c r="M1075"/>
    </row>
    <row r="1076" spans="7:13">
      <c r="G1076" s="1"/>
      <c r="H1076" s="1"/>
      <c r="I1076"/>
      <c r="J1076"/>
      <c r="K1076"/>
      <c r="M1076"/>
    </row>
    <row r="1077" spans="7:13">
      <c r="G1077" s="1"/>
      <c r="H1077" s="1"/>
      <c r="I1077"/>
      <c r="J1077"/>
      <c r="K1077"/>
      <c r="M1077"/>
    </row>
    <row r="1078" spans="7:13">
      <c r="G1078" s="1"/>
      <c r="H1078" s="1"/>
      <c r="I1078"/>
      <c r="J1078"/>
      <c r="K1078"/>
      <c r="M1078"/>
    </row>
    <row r="1079" spans="7:13">
      <c r="G1079" s="1"/>
      <c r="H1079" s="1"/>
      <c r="I1079"/>
      <c r="J1079"/>
      <c r="K1079"/>
      <c r="M1079"/>
    </row>
    <row r="1080" spans="7:13">
      <c r="G1080" s="1"/>
      <c r="H1080" s="1"/>
      <c r="I1080"/>
      <c r="J1080"/>
      <c r="K1080"/>
      <c r="M1080"/>
    </row>
    <row r="1081" spans="7:13">
      <c r="G1081" s="1"/>
      <c r="H1081" s="1"/>
      <c r="I1081"/>
      <c r="J1081"/>
      <c r="K1081"/>
      <c r="M1081"/>
    </row>
    <row r="1082" spans="7:13">
      <c r="G1082" s="1"/>
      <c r="H1082" s="1"/>
      <c r="I1082"/>
      <c r="J1082"/>
      <c r="K1082"/>
      <c r="M1082"/>
    </row>
    <row r="1083" spans="7:13">
      <c r="G1083" s="1"/>
      <c r="H1083" s="1"/>
      <c r="I1083"/>
      <c r="J1083"/>
      <c r="K1083"/>
      <c r="M1083"/>
    </row>
    <row r="1084" spans="7:13">
      <c r="G1084" s="1"/>
      <c r="H1084" s="1"/>
      <c r="I1084"/>
      <c r="J1084"/>
      <c r="K1084"/>
      <c r="M1084"/>
    </row>
    <row r="1085" spans="7:13">
      <c r="G1085" s="1"/>
      <c r="H1085" s="1"/>
      <c r="I1085"/>
      <c r="J1085"/>
      <c r="K1085"/>
      <c r="M1085"/>
    </row>
    <row r="1086" spans="7:13">
      <c r="G1086" s="1"/>
      <c r="H1086" s="1"/>
      <c r="I1086"/>
      <c r="J1086"/>
      <c r="K1086"/>
      <c r="M1086"/>
    </row>
    <row r="1087" spans="7:13">
      <c r="G1087" s="1"/>
      <c r="H1087" s="1"/>
      <c r="I1087"/>
      <c r="J1087"/>
      <c r="K1087"/>
      <c r="M1087"/>
    </row>
    <row r="1088" spans="7:13">
      <c r="G1088" s="1"/>
      <c r="H1088" s="1"/>
      <c r="I1088"/>
      <c r="J1088"/>
      <c r="K1088"/>
      <c r="M1088"/>
    </row>
    <row r="1089" spans="7:13">
      <c r="G1089" s="1"/>
      <c r="H1089" s="1"/>
      <c r="I1089"/>
      <c r="J1089"/>
      <c r="K1089"/>
      <c r="M1089"/>
    </row>
    <row r="1090" spans="7:13">
      <c r="G1090" s="1"/>
      <c r="H1090" s="1"/>
      <c r="I1090"/>
      <c r="J1090"/>
      <c r="K1090"/>
      <c r="M1090"/>
    </row>
    <row r="1091" spans="7:13">
      <c r="G1091" s="1"/>
      <c r="H1091" s="1"/>
      <c r="I1091"/>
      <c r="J1091"/>
      <c r="K1091"/>
      <c r="M1091"/>
    </row>
    <row r="1092" spans="7:13">
      <c r="G1092" s="1"/>
      <c r="H1092" s="1"/>
      <c r="I1092"/>
      <c r="J1092"/>
      <c r="K1092"/>
      <c r="M1092"/>
    </row>
    <row r="1093" spans="7:13">
      <c r="G1093" s="1"/>
      <c r="H1093" s="1"/>
      <c r="I1093"/>
      <c r="J1093"/>
      <c r="K1093"/>
      <c r="M1093"/>
    </row>
    <row r="1094" spans="7:13">
      <c r="G1094" s="1"/>
      <c r="H1094" s="1"/>
      <c r="I1094"/>
      <c r="J1094"/>
      <c r="K1094"/>
      <c r="M1094"/>
    </row>
    <row r="1095" spans="7:13">
      <c r="G1095" s="1"/>
      <c r="H1095" s="1"/>
      <c r="I1095"/>
      <c r="J1095"/>
      <c r="K1095"/>
      <c r="M1095"/>
    </row>
    <row r="1096" spans="7:13">
      <c r="G1096" s="1"/>
      <c r="H1096" s="1"/>
      <c r="I1096"/>
      <c r="J1096"/>
      <c r="K1096"/>
      <c r="M1096"/>
    </row>
    <row r="1097" spans="7:13">
      <c r="G1097" s="1"/>
      <c r="H1097" s="1"/>
      <c r="I1097"/>
      <c r="J1097"/>
      <c r="K1097"/>
      <c r="M1097"/>
    </row>
    <row r="1098" spans="7:13">
      <c r="G1098" s="1"/>
      <c r="H1098" s="1"/>
      <c r="I1098"/>
      <c r="J1098"/>
      <c r="K1098"/>
      <c r="M1098"/>
    </row>
    <row r="1099" spans="7:13">
      <c r="G1099" s="1"/>
      <c r="H1099" s="1"/>
      <c r="I1099"/>
      <c r="J1099"/>
      <c r="K1099"/>
      <c r="M1099"/>
    </row>
    <row r="1100" spans="7:13">
      <c r="G1100" s="1"/>
      <c r="H1100" s="1"/>
      <c r="I1100"/>
      <c r="J1100"/>
      <c r="K1100"/>
      <c r="M1100"/>
    </row>
    <row r="1101" spans="7:13">
      <c r="G1101" s="1"/>
      <c r="H1101" s="1"/>
      <c r="I1101"/>
      <c r="J1101"/>
      <c r="K1101"/>
      <c r="M1101"/>
    </row>
    <row r="1102" spans="7:13">
      <c r="G1102" s="1"/>
      <c r="H1102" s="1"/>
      <c r="I1102"/>
      <c r="J1102"/>
      <c r="K1102"/>
      <c r="M1102"/>
    </row>
    <row r="1103" spans="7:13">
      <c r="G1103" s="1"/>
      <c r="H1103" s="1"/>
      <c r="I1103"/>
      <c r="J1103"/>
      <c r="K1103"/>
      <c r="M1103"/>
    </row>
    <row r="1104" spans="7:13">
      <c r="G1104" s="1"/>
      <c r="H1104" s="1"/>
      <c r="I1104"/>
      <c r="J1104"/>
      <c r="K1104"/>
      <c r="M1104"/>
    </row>
    <row r="1105" spans="7:13">
      <c r="G1105" s="1"/>
      <c r="H1105" s="1"/>
      <c r="I1105"/>
      <c r="J1105"/>
      <c r="K1105"/>
      <c r="M1105"/>
    </row>
    <row r="1106" spans="7:13">
      <c r="G1106" s="1"/>
      <c r="H1106" s="1"/>
      <c r="I1106"/>
      <c r="J1106"/>
      <c r="K1106"/>
      <c r="M1106"/>
    </row>
    <row r="1107" spans="7:13">
      <c r="G1107" s="1"/>
      <c r="H1107" s="1"/>
      <c r="I1107"/>
      <c r="J1107"/>
      <c r="K1107"/>
      <c r="M1107"/>
    </row>
    <row r="1108" spans="7:13">
      <c r="G1108" s="1"/>
      <c r="H1108" s="1"/>
      <c r="I1108"/>
      <c r="J1108"/>
      <c r="K1108"/>
      <c r="M1108"/>
    </row>
    <row r="1109" spans="7:13">
      <c r="G1109" s="1"/>
      <c r="H1109" s="1"/>
      <c r="I1109"/>
      <c r="J1109"/>
      <c r="K1109"/>
      <c r="M1109"/>
    </row>
    <row r="1110" spans="7:13">
      <c r="G1110" s="1"/>
      <c r="H1110" s="1"/>
      <c r="I1110"/>
      <c r="J1110"/>
      <c r="K1110"/>
      <c r="M1110"/>
    </row>
    <row r="1111" spans="7:13">
      <c r="G1111" s="1"/>
      <c r="H1111" s="1"/>
      <c r="I1111"/>
      <c r="J1111"/>
      <c r="K1111"/>
      <c r="M1111"/>
    </row>
    <row r="1112" spans="7:13">
      <c r="G1112" s="1"/>
      <c r="H1112" s="1"/>
      <c r="I1112"/>
      <c r="J1112"/>
      <c r="K1112"/>
      <c r="M1112"/>
    </row>
    <row r="1113" spans="7:13">
      <c r="G1113" s="1"/>
      <c r="H1113" s="1"/>
      <c r="I1113"/>
      <c r="J1113"/>
      <c r="K1113"/>
      <c r="M1113"/>
    </row>
    <row r="1114" spans="7:13">
      <c r="G1114" s="1"/>
      <c r="H1114" s="1"/>
      <c r="I1114"/>
      <c r="J1114"/>
      <c r="K1114"/>
      <c r="M1114"/>
    </row>
    <row r="1115" spans="7:13">
      <c r="G1115" s="1"/>
      <c r="H1115" s="1"/>
      <c r="I1115"/>
      <c r="J1115"/>
      <c r="K1115"/>
      <c r="M1115"/>
    </row>
    <row r="1116" spans="7:13">
      <c r="G1116" s="1"/>
      <c r="H1116" s="1"/>
      <c r="I1116"/>
      <c r="J1116"/>
      <c r="K1116"/>
      <c r="M1116"/>
    </row>
    <row r="1117" spans="7:13">
      <c r="G1117" s="1"/>
      <c r="H1117" s="1"/>
      <c r="I1117"/>
      <c r="J1117"/>
      <c r="K1117"/>
      <c r="M1117"/>
    </row>
    <row r="1118" spans="7:13">
      <c r="G1118" s="1"/>
      <c r="H1118" s="1"/>
      <c r="I1118"/>
      <c r="J1118"/>
      <c r="K1118"/>
      <c r="M1118"/>
    </row>
    <row r="1119" spans="7:13">
      <c r="G1119" s="1"/>
      <c r="H1119" s="1"/>
      <c r="I1119"/>
      <c r="J1119"/>
      <c r="K1119"/>
      <c r="M1119"/>
    </row>
    <row r="1120" spans="7:13">
      <c r="G1120" s="1"/>
      <c r="H1120" s="1"/>
      <c r="I1120"/>
      <c r="J1120"/>
      <c r="K1120"/>
      <c r="M1120"/>
    </row>
    <row r="1121" spans="7:13">
      <c r="G1121" s="1"/>
      <c r="H1121" s="1"/>
      <c r="I1121"/>
      <c r="J1121"/>
      <c r="K1121"/>
      <c r="M1121"/>
    </row>
    <row r="1122" spans="7:13">
      <c r="G1122" s="1"/>
      <c r="H1122" s="1"/>
      <c r="I1122"/>
      <c r="J1122"/>
      <c r="K1122"/>
      <c r="M1122"/>
    </row>
    <row r="1123" spans="7:13">
      <c r="G1123" s="1"/>
      <c r="H1123" s="1"/>
      <c r="I1123"/>
      <c r="J1123"/>
      <c r="K1123"/>
      <c r="M1123"/>
    </row>
    <row r="1124" spans="7:13">
      <c r="G1124" s="1"/>
      <c r="H1124" s="1"/>
      <c r="I1124"/>
      <c r="J1124"/>
      <c r="K1124"/>
      <c r="M1124"/>
    </row>
    <row r="1125" spans="7:13">
      <c r="G1125" s="1"/>
      <c r="H1125" s="1"/>
      <c r="I1125"/>
      <c r="J1125"/>
      <c r="K1125"/>
      <c r="M1125"/>
    </row>
    <row r="1126" spans="7:13">
      <c r="G1126" s="1"/>
      <c r="H1126" s="1"/>
      <c r="I1126"/>
      <c r="J1126"/>
      <c r="K1126"/>
      <c r="M1126"/>
    </row>
    <row r="1127" spans="7:13">
      <c r="G1127" s="1"/>
      <c r="H1127" s="1"/>
      <c r="I1127"/>
      <c r="J1127"/>
      <c r="K1127"/>
      <c r="M1127"/>
    </row>
    <row r="1128" spans="7:13">
      <c r="G1128" s="1"/>
      <c r="H1128" s="1"/>
      <c r="I1128"/>
      <c r="J1128"/>
      <c r="K1128"/>
      <c r="M1128"/>
    </row>
    <row r="1129" spans="7:13">
      <c r="G1129" s="1"/>
      <c r="H1129" s="1"/>
      <c r="I1129"/>
      <c r="J1129"/>
      <c r="K1129"/>
      <c r="M1129"/>
    </row>
    <row r="1130" spans="7:13">
      <c r="G1130" s="1"/>
      <c r="H1130" s="1"/>
      <c r="I1130"/>
      <c r="J1130"/>
      <c r="K1130"/>
      <c r="M1130"/>
    </row>
    <row r="1131" spans="7:13">
      <c r="G1131" s="1"/>
      <c r="H1131" s="1"/>
      <c r="I1131"/>
      <c r="J1131"/>
      <c r="K1131"/>
      <c r="M1131"/>
    </row>
    <row r="1132" spans="7:13">
      <c r="G1132" s="1"/>
      <c r="H1132" s="1"/>
      <c r="I1132"/>
      <c r="J1132"/>
      <c r="K1132"/>
      <c r="M1132"/>
    </row>
    <row r="1133" spans="7:13">
      <c r="G1133" s="1"/>
      <c r="H1133" s="1"/>
      <c r="I1133"/>
      <c r="J1133"/>
      <c r="K1133"/>
      <c r="M1133"/>
    </row>
    <row r="1134" spans="7:13">
      <c r="G1134" s="1"/>
      <c r="H1134" s="1"/>
      <c r="I1134"/>
      <c r="J1134"/>
      <c r="K1134"/>
      <c r="M1134"/>
    </row>
    <row r="1135" spans="7:13">
      <c r="G1135" s="1"/>
      <c r="H1135" s="1"/>
      <c r="I1135"/>
      <c r="J1135"/>
      <c r="K1135"/>
      <c r="M1135"/>
    </row>
    <row r="1136" spans="7:13">
      <c r="G1136" s="1"/>
      <c r="H1136" s="1"/>
      <c r="I1136"/>
      <c r="J1136"/>
      <c r="K1136"/>
      <c r="M1136"/>
    </row>
    <row r="1137" spans="7:13">
      <c r="G1137" s="1"/>
      <c r="H1137" s="1"/>
      <c r="I1137"/>
      <c r="J1137"/>
      <c r="K1137"/>
      <c r="M1137"/>
    </row>
    <row r="1138" spans="7:13">
      <c r="G1138" s="1"/>
      <c r="H1138" s="1"/>
      <c r="I1138"/>
      <c r="J1138"/>
      <c r="K1138"/>
      <c r="M1138"/>
    </row>
    <row r="1139" spans="7:13">
      <c r="G1139" s="1"/>
      <c r="H1139" s="1"/>
      <c r="I1139"/>
      <c r="J1139"/>
      <c r="K1139"/>
      <c r="M1139"/>
    </row>
    <row r="1140" spans="7:13">
      <c r="G1140" s="1"/>
      <c r="H1140" s="1"/>
      <c r="I1140"/>
      <c r="J1140"/>
      <c r="K1140"/>
      <c r="M1140"/>
    </row>
    <row r="1141" spans="7:13">
      <c r="G1141" s="1"/>
      <c r="H1141" s="1"/>
      <c r="I1141"/>
      <c r="J1141"/>
      <c r="K1141"/>
      <c r="M1141"/>
    </row>
    <row r="1142" spans="7:13">
      <c r="G1142" s="1"/>
      <c r="H1142" s="1"/>
      <c r="I1142"/>
      <c r="J1142"/>
      <c r="K1142"/>
      <c r="M1142"/>
    </row>
    <row r="1143" spans="7:13">
      <c r="G1143" s="1"/>
      <c r="H1143" s="1"/>
      <c r="I1143"/>
      <c r="J1143"/>
      <c r="K1143"/>
      <c r="M1143"/>
    </row>
    <row r="1144" spans="7:13">
      <c r="G1144" s="1"/>
      <c r="H1144" s="1"/>
      <c r="I1144"/>
      <c r="J1144"/>
      <c r="K1144"/>
      <c r="M1144"/>
    </row>
    <row r="1145" spans="7:13">
      <c r="G1145" s="1"/>
      <c r="H1145" s="1"/>
      <c r="I1145"/>
      <c r="J1145"/>
      <c r="K1145"/>
      <c r="M1145"/>
    </row>
    <row r="1146" spans="7:13">
      <c r="G1146" s="1"/>
      <c r="H1146" s="1"/>
      <c r="I1146"/>
      <c r="J1146"/>
      <c r="K1146"/>
      <c r="M1146"/>
    </row>
    <row r="1147" spans="7:13">
      <c r="G1147" s="1"/>
      <c r="H1147" s="1"/>
      <c r="I1147"/>
      <c r="J1147"/>
      <c r="K1147"/>
      <c r="M1147"/>
    </row>
    <row r="1148" spans="7:13">
      <c r="G1148" s="1"/>
      <c r="H1148" s="1"/>
      <c r="I1148"/>
      <c r="J1148"/>
      <c r="K1148"/>
      <c r="M1148"/>
    </row>
    <row r="1149" spans="7:13">
      <c r="G1149" s="1"/>
      <c r="H1149" s="1"/>
      <c r="I1149"/>
      <c r="J1149"/>
      <c r="K1149"/>
      <c r="M1149"/>
    </row>
    <row r="1150" spans="7:13">
      <c r="G1150" s="1"/>
      <c r="H1150" s="1"/>
      <c r="I1150"/>
      <c r="J1150"/>
      <c r="K1150"/>
      <c r="M1150"/>
    </row>
    <row r="1151" spans="7:13">
      <c r="G1151" s="1"/>
      <c r="H1151" s="1"/>
      <c r="I1151"/>
      <c r="J1151"/>
      <c r="K1151"/>
      <c r="M1151"/>
    </row>
    <row r="1152" spans="7:13">
      <c r="G1152" s="1"/>
      <c r="H1152" s="1"/>
      <c r="I1152"/>
      <c r="J1152"/>
      <c r="K1152"/>
      <c r="M1152"/>
    </row>
    <row r="1153" spans="7:13">
      <c r="G1153" s="1"/>
      <c r="H1153" s="1"/>
      <c r="I1153"/>
      <c r="J1153"/>
      <c r="K1153"/>
      <c r="M1153"/>
    </row>
    <row r="1154" spans="7:13">
      <c r="G1154" s="1"/>
      <c r="H1154" s="1"/>
      <c r="I1154"/>
      <c r="J1154"/>
      <c r="K1154"/>
      <c r="M1154"/>
    </row>
    <row r="1155" spans="7:13">
      <c r="G1155" s="1"/>
      <c r="H1155" s="1"/>
      <c r="I1155"/>
      <c r="J1155"/>
      <c r="K1155"/>
      <c r="M1155"/>
    </row>
    <row r="1156" spans="7:13">
      <c r="G1156" s="1"/>
      <c r="H1156" s="1"/>
      <c r="I1156"/>
      <c r="J1156"/>
      <c r="K1156"/>
      <c r="M1156"/>
    </row>
    <row r="1157" spans="7:13">
      <c r="G1157" s="1"/>
      <c r="H1157" s="1"/>
      <c r="I1157"/>
      <c r="J1157"/>
      <c r="K1157"/>
      <c r="M1157"/>
    </row>
    <row r="1158" spans="7:13">
      <c r="G1158" s="1"/>
      <c r="H1158" s="1"/>
      <c r="I1158"/>
      <c r="J1158"/>
      <c r="K1158"/>
      <c r="M1158"/>
    </row>
    <row r="1159" spans="7:13">
      <c r="G1159" s="1"/>
      <c r="H1159" s="1"/>
      <c r="I1159"/>
      <c r="J1159"/>
      <c r="K1159"/>
      <c r="M1159"/>
    </row>
    <row r="1160" spans="7:13">
      <c r="G1160" s="1"/>
      <c r="H1160" s="1"/>
      <c r="I1160"/>
      <c r="J1160"/>
      <c r="K1160"/>
      <c r="M1160"/>
    </row>
    <row r="1161" spans="7:13">
      <c r="G1161" s="1"/>
      <c r="H1161" s="1"/>
      <c r="I1161"/>
      <c r="J1161"/>
      <c r="K1161"/>
      <c r="M1161"/>
    </row>
    <row r="1162" spans="7:13">
      <c r="G1162" s="1"/>
      <c r="H1162" s="1"/>
      <c r="I1162"/>
      <c r="J1162"/>
      <c r="K1162"/>
      <c r="M1162"/>
    </row>
    <row r="1163" spans="7:13">
      <c r="G1163" s="1"/>
      <c r="H1163" s="1"/>
      <c r="I1163"/>
      <c r="J1163"/>
      <c r="K1163"/>
      <c r="M1163"/>
    </row>
    <row r="1164" spans="7:13">
      <c r="G1164" s="1"/>
      <c r="H1164" s="1"/>
      <c r="I1164"/>
      <c r="J1164"/>
      <c r="K1164"/>
      <c r="M1164"/>
    </row>
    <row r="1165" spans="7:13">
      <c r="G1165" s="1"/>
      <c r="H1165" s="1"/>
      <c r="I1165"/>
      <c r="J1165"/>
      <c r="K1165"/>
      <c r="M1165"/>
    </row>
    <row r="1166" spans="7:13">
      <c r="G1166" s="1"/>
      <c r="H1166" s="1"/>
      <c r="I1166"/>
      <c r="J1166"/>
      <c r="K1166"/>
      <c r="M1166"/>
    </row>
    <row r="1167" spans="7:13">
      <c r="G1167" s="1"/>
      <c r="H1167" s="1"/>
      <c r="I1167"/>
      <c r="J1167"/>
      <c r="K1167"/>
      <c r="M1167"/>
    </row>
    <row r="1168" spans="7:13">
      <c r="G1168" s="1"/>
      <c r="H1168" s="1"/>
      <c r="I1168"/>
      <c r="J1168"/>
      <c r="K1168"/>
      <c r="M1168"/>
    </row>
    <row r="1169" spans="7:13">
      <c r="G1169" s="1"/>
      <c r="H1169" s="1"/>
      <c r="I1169"/>
      <c r="J1169"/>
      <c r="K1169"/>
      <c r="M1169"/>
    </row>
    <row r="1170" spans="7:13">
      <c r="G1170" s="1"/>
      <c r="H1170" s="1"/>
      <c r="I1170"/>
      <c r="J1170"/>
      <c r="K1170"/>
      <c r="M1170"/>
    </row>
    <row r="1171" spans="7:13">
      <c r="G1171" s="1"/>
      <c r="H1171" s="1"/>
      <c r="I1171"/>
      <c r="J1171"/>
      <c r="K1171"/>
      <c r="M1171"/>
    </row>
    <row r="1172" spans="7:13">
      <c r="G1172" s="1"/>
      <c r="H1172" s="1"/>
      <c r="I1172"/>
      <c r="J1172"/>
      <c r="K1172"/>
      <c r="M1172"/>
    </row>
    <row r="1173" spans="7:13">
      <c r="G1173" s="1"/>
      <c r="H1173" s="1"/>
      <c r="I1173"/>
      <c r="J1173"/>
      <c r="K1173"/>
      <c r="M1173"/>
    </row>
    <row r="1174" spans="7:13">
      <c r="G1174" s="1"/>
      <c r="H1174" s="1"/>
      <c r="I1174"/>
      <c r="J1174"/>
      <c r="K1174"/>
      <c r="M1174"/>
    </row>
    <row r="1175" spans="7:13">
      <c r="G1175" s="1"/>
      <c r="H1175" s="1"/>
      <c r="I1175"/>
      <c r="J1175"/>
      <c r="K1175"/>
      <c r="M1175"/>
    </row>
    <row r="1176" spans="7:13">
      <c r="G1176" s="1"/>
      <c r="H1176" s="1"/>
      <c r="I1176"/>
      <c r="J1176"/>
      <c r="K1176"/>
      <c r="M1176"/>
    </row>
    <row r="1177" spans="7:13">
      <c r="G1177" s="1"/>
      <c r="H1177" s="1"/>
      <c r="I1177"/>
      <c r="J1177"/>
      <c r="K1177"/>
      <c r="M1177"/>
    </row>
    <row r="1178" spans="7:13">
      <c r="G1178" s="1"/>
      <c r="H1178" s="1"/>
      <c r="I1178"/>
      <c r="J1178"/>
      <c r="K1178"/>
      <c r="M1178"/>
    </row>
    <row r="1179" spans="7:13">
      <c r="G1179" s="1"/>
      <c r="H1179" s="1"/>
      <c r="I1179"/>
      <c r="J1179"/>
      <c r="K1179"/>
      <c r="M1179"/>
    </row>
    <row r="1180" spans="7:13">
      <c r="G1180" s="1"/>
      <c r="H1180" s="1"/>
      <c r="I1180"/>
      <c r="J1180"/>
      <c r="K1180"/>
      <c r="M1180"/>
    </row>
    <row r="1181" spans="7:13">
      <c r="G1181" s="1"/>
      <c r="H1181" s="1"/>
      <c r="I1181"/>
      <c r="J1181"/>
      <c r="K1181"/>
      <c r="M1181"/>
    </row>
    <row r="1182" spans="7:13">
      <c r="G1182" s="1"/>
      <c r="H1182" s="1"/>
      <c r="I1182"/>
      <c r="J1182"/>
      <c r="K1182"/>
      <c r="M1182"/>
    </row>
    <row r="1183" spans="7:13">
      <c r="G1183" s="1"/>
      <c r="H1183" s="1"/>
      <c r="I1183"/>
      <c r="J1183"/>
      <c r="K1183"/>
      <c r="M1183"/>
    </row>
    <row r="1184" spans="7:13">
      <c r="G1184" s="1"/>
      <c r="H1184" s="1"/>
      <c r="I1184"/>
      <c r="J1184"/>
      <c r="K1184"/>
      <c r="M1184"/>
    </row>
    <row r="1185" spans="7:13">
      <c r="G1185" s="1"/>
      <c r="H1185" s="1"/>
      <c r="I1185"/>
      <c r="J1185"/>
      <c r="K1185"/>
      <c r="M1185"/>
    </row>
    <row r="1186" spans="7:13">
      <c r="G1186" s="1"/>
      <c r="H1186" s="1"/>
      <c r="I1186"/>
      <c r="J1186"/>
      <c r="K1186"/>
      <c r="M1186"/>
    </row>
    <row r="1187" spans="7:13">
      <c r="G1187" s="1"/>
      <c r="H1187" s="1"/>
      <c r="I1187"/>
      <c r="J1187"/>
      <c r="K1187"/>
      <c r="M1187"/>
    </row>
    <row r="1188" spans="7:13">
      <c r="G1188" s="1"/>
      <c r="H1188" s="1"/>
      <c r="I1188"/>
      <c r="J1188"/>
      <c r="K1188"/>
      <c r="M1188"/>
    </row>
    <row r="1189" spans="7:13">
      <c r="G1189" s="1"/>
      <c r="H1189" s="1"/>
      <c r="I1189"/>
      <c r="J1189"/>
      <c r="K1189"/>
      <c r="M1189"/>
    </row>
    <row r="1190" spans="7:13">
      <c r="G1190" s="1"/>
      <c r="H1190" s="1"/>
      <c r="I1190"/>
      <c r="J1190"/>
      <c r="K1190"/>
      <c r="M1190"/>
    </row>
    <row r="1191" spans="7:13">
      <c r="G1191" s="1"/>
      <c r="H1191" s="1"/>
      <c r="I1191"/>
      <c r="J1191"/>
      <c r="K1191"/>
      <c r="M1191"/>
    </row>
    <row r="1192" spans="7:13">
      <c r="G1192" s="1"/>
      <c r="H1192" s="1"/>
      <c r="I1192"/>
      <c r="J1192"/>
      <c r="K1192"/>
      <c r="M1192"/>
    </row>
    <row r="1193" spans="7:13">
      <c r="G1193" s="1"/>
      <c r="H1193" s="1"/>
      <c r="I1193"/>
      <c r="J1193"/>
      <c r="K1193"/>
      <c r="M1193"/>
    </row>
    <row r="1194" spans="7:13">
      <c r="G1194" s="1"/>
      <c r="H1194" s="1"/>
      <c r="I1194"/>
      <c r="J1194"/>
      <c r="K1194"/>
      <c r="M1194"/>
    </row>
    <row r="1195" spans="7:13">
      <c r="G1195" s="1"/>
      <c r="H1195" s="1"/>
      <c r="I1195"/>
      <c r="J1195"/>
      <c r="K1195"/>
      <c r="M1195"/>
    </row>
    <row r="1196" spans="7:13">
      <c r="G1196" s="1"/>
      <c r="H1196" s="1"/>
      <c r="I1196"/>
      <c r="J1196"/>
      <c r="K1196"/>
      <c r="M1196"/>
    </row>
    <row r="1197" spans="7:13">
      <c r="G1197" s="1"/>
      <c r="H1197" s="1"/>
      <c r="I1197"/>
      <c r="J1197"/>
      <c r="K1197"/>
      <c r="M1197"/>
    </row>
    <row r="1198" spans="7:13">
      <c r="G1198" s="1"/>
      <c r="H1198" s="1"/>
      <c r="I1198"/>
      <c r="J1198"/>
      <c r="K1198"/>
      <c r="M1198"/>
    </row>
    <row r="1199" spans="7:13">
      <c r="G1199" s="1"/>
      <c r="H1199" s="1"/>
      <c r="I1199"/>
      <c r="J1199"/>
      <c r="K1199"/>
      <c r="M1199"/>
    </row>
    <row r="1200" spans="7:13">
      <c r="G1200" s="1"/>
      <c r="H1200" s="1"/>
      <c r="I1200"/>
      <c r="J1200"/>
      <c r="K1200"/>
      <c r="M1200"/>
    </row>
    <row r="1201" spans="7:13">
      <c r="G1201" s="1"/>
      <c r="H1201" s="1"/>
      <c r="I1201"/>
      <c r="J1201"/>
      <c r="K1201"/>
      <c r="M1201"/>
    </row>
    <row r="1202" spans="7:13">
      <c r="G1202" s="1"/>
      <c r="H1202" s="1"/>
      <c r="I1202"/>
      <c r="J1202"/>
      <c r="K1202"/>
      <c r="M1202"/>
    </row>
    <row r="1203" spans="7:13">
      <c r="G1203" s="1"/>
      <c r="H1203" s="1"/>
      <c r="I1203"/>
      <c r="J1203"/>
      <c r="K1203"/>
      <c r="M1203"/>
    </row>
    <row r="1204" spans="7:13">
      <c r="G1204" s="1"/>
      <c r="H1204" s="1"/>
      <c r="I1204"/>
      <c r="J1204"/>
      <c r="K1204"/>
      <c r="M1204"/>
    </row>
    <row r="1205" spans="7:13">
      <c r="G1205" s="1"/>
      <c r="H1205" s="1"/>
      <c r="I1205"/>
      <c r="J1205"/>
      <c r="K1205"/>
      <c r="M1205"/>
    </row>
    <row r="1206" spans="7:13">
      <c r="G1206" s="1"/>
      <c r="H1206" s="1"/>
      <c r="I1206"/>
      <c r="J1206"/>
      <c r="K1206"/>
      <c r="M1206"/>
    </row>
    <row r="1207" spans="7:13">
      <c r="G1207" s="1"/>
      <c r="H1207" s="1"/>
      <c r="I1207"/>
      <c r="J1207"/>
      <c r="K1207"/>
      <c r="M1207"/>
    </row>
    <row r="1208" spans="7:13">
      <c r="G1208" s="1"/>
      <c r="H1208" s="1"/>
      <c r="I1208"/>
      <c r="J1208"/>
      <c r="K1208"/>
      <c r="M1208"/>
    </row>
    <row r="1209" spans="7:13">
      <c r="G1209" s="1"/>
      <c r="H1209" s="1"/>
      <c r="I1209"/>
      <c r="J1209"/>
      <c r="K1209"/>
      <c r="M1209"/>
    </row>
    <row r="1210" spans="7:13">
      <c r="G1210" s="1"/>
      <c r="H1210" s="1"/>
      <c r="I1210"/>
      <c r="J1210"/>
      <c r="K1210"/>
      <c r="M1210"/>
    </row>
    <row r="1211" spans="7:13">
      <c r="G1211" s="1"/>
      <c r="H1211" s="1"/>
      <c r="I1211"/>
      <c r="J1211"/>
      <c r="K1211"/>
      <c r="M1211"/>
    </row>
    <row r="1212" spans="7:13">
      <c r="G1212" s="1"/>
      <c r="H1212" s="1"/>
      <c r="I1212"/>
      <c r="J1212"/>
      <c r="K1212"/>
      <c r="M1212"/>
    </row>
    <row r="1213" spans="7:13">
      <c r="G1213" s="1"/>
      <c r="H1213" s="1"/>
      <c r="I1213"/>
      <c r="J1213"/>
      <c r="K1213"/>
      <c r="M1213"/>
    </row>
    <row r="1214" spans="7:13">
      <c r="G1214" s="1"/>
      <c r="H1214" s="1"/>
      <c r="I1214"/>
      <c r="J1214"/>
      <c r="K1214"/>
      <c r="M1214"/>
    </row>
    <row r="1215" spans="7:13">
      <c r="G1215" s="1"/>
      <c r="H1215" s="1"/>
      <c r="I1215"/>
      <c r="J1215"/>
      <c r="K1215"/>
      <c r="M1215"/>
    </row>
    <row r="1216" spans="7:13">
      <c r="G1216" s="1"/>
      <c r="H1216" s="1"/>
      <c r="I1216"/>
      <c r="J1216"/>
      <c r="K1216"/>
      <c r="M1216"/>
    </row>
    <row r="1217" spans="7:13">
      <c r="G1217" s="1"/>
      <c r="H1217" s="1"/>
      <c r="I1217"/>
      <c r="J1217"/>
      <c r="K1217"/>
      <c r="M1217"/>
    </row>
    <row r="1218" spans="7:13">
      <c r="G1218" s="1"/>
      <c r="H1218" s="1"/>
      <c r="I1218"/>
      <c r="J1218"/>
      <c r="K1218"/>
      <c r="M1218"/>
    </row>
    <row r="1219" spans="7:13">
      <c r="G1219" s="1"/>
      <c r="H1219" s="1"/>
      <c r="I1219"/>
      <c r="J1219"/>
      <c r="K1219"/>
      <c r="M1219"/>
    </row>
    <row r="1220" spans="7:13">
      <c r="G1220" s="1"/>
      <c r="H1220" s="1"/>
      <c r="I1220"/>
      <c r="J1220"/>
      <c r="K1220"/>
      <c r="M1220"/>
    </row>
    <row r="1221" spans="7:13">
      <c r="G1221" s="1"/>
      <c r="H1221" s="1"/>
      <c r="I1221"/>
      <c r="J1221"/>
      <c r="K1221"/>
      <c r="M1221"/>
    </row>
    <row r="1222" spans="7:13">
      <c r="G1222" s="1"/>
      <c r="H1222" s="1"/>
      <c r="I1222"/>
      <c r="J1222"/>
      <c r="K1222"/>
      <c r="M1222"/>
    </row>
    <row r="1223" spans="7:13">
      <c r="G1223" s="1"/>
      <c r="H1223" s="1"/>
      <c r="I1223"/>
      <c r="J1223"/>
      <c r="K1223"/>
      <c r="M1223"/>
    </row>
    <row r="1224" spans="7:13">
      <c r="G1224" s="1"/>
      <c r="H1224" s="1"/>
      <c r="I1224"/>
      <c r="J1224"/>
      <c r="K1224"/>
      <c r="M1224"/>
    </row>
  </sheetData>
  <sortState ref="A2:W702">
    <sortCondition ref="T506"/>
  </sortState>
  <phoneticPr fontId="2"/>
  <pageMargins left="0.2" right="0.21" top="1" bottom="1" header="0.51200000000000001" footer="0.51200000000000001"/>
  <pageSetup paperSize="9" scale="95" orientation="landscape" verticalDpi="0" r:id="rId1"/>
  <headerFooter alignWithMargins="0">
    <oddHeader>&amp;F</oddHeader>
    <oddFooter>&amp;P / &amp;N ページ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368"/>
  <sheetViews>
    <sheetView zoomScale="90" zoomScaleNormal="90" workbookViewId="0">
      <pane ySplit="1" topLeftCell="A826" activePane="bottomLeft" state="frozen"/>
      <selection pane="bottomLeft" activeCell="S67" sqref="S67"/>
    </sheetView>
  </sheetViews>
  <sheetFormatPr defaultRowHeight="13"/>
  <cols>
    <col min="1" max="1" width="6.453125" customWidth="1"/>
    <col min="2" max="2" width="6" customWidth="1"/>
    <col min="3" max="3" width="8.08984375" customWidth="1"/>
    <col min="4" max="4" width="7.6328125" customWidth="1"/>
    <col min="5" max="5" width="4.08984375" bestFit="1" customWidth="1"/>
    <col min="6" max="6" width="5.6328125" customWidth="1"/>
    <col min="7" max="7" width="5.26953125" customWidth="1"/>
    <col min="8" max="8" width="8.90625" style="2" bestFit="1" customWidth="1"/>
    <col min="9" max="9" width="6.26953125" style="1" customWidth="1"/>
    <col min="10" max="11" width="7.7265625" style="1" customWidth="1"/>
    <col min="12" max="12" width="6.453125" style="2" customWidth="1"/>
    <col min="13" max="13" width="7.08984375" style="2" customWidth="1"/>
    <col min="14" max="15" width="7.6328125" customWidth="1"/>
    <col min="16" max="17" width="7.453125" customWidth="1"/>
    <col min="18" max="18" width="42.453125" customWidth="1"/>
    <col min="19" max="19" width="48.36328125" bestFit="1" customWidth="1"/>
  </cols>
  <sheetData>
    <row r="1" spans="1:21">
      <c r="A1" s="3" t="s">
        <v>58</v>
      </c>
      <c r="B1" s="3" t="s">
        <v>59</v>
      </c>
      <c r="C1" s="5" t="s">
        <v>7</v>
      </c>
      <c r="D1" s="5" t="s">
        <v>8</v>
      </c>
      <c r="E1" s="52" t="s">
        <v>184</v>
      </c>
      <c r="F1" s="32"/>
      <c r="G1" s="6" t="s">
        <v>3</v>
      </c>
      <c r="H1" s="7" t="s">
        <v>93</v>
      </c>
      <c r="I1" s="8" t="s">
        <v>61</v>
      </c>
      <c r="J1" s="7" t="s">
        <v>67</v>
      </c>
      <c r="K1" s="8" t="s">
        <v>94</v>
      </c>
      <c r="L1" s="7" t="s">
        <v>62</v>
      </c>
      <c r="M1" s="7" t="s">
        <v>66</v>
      </c>
      <c r="N1" s="22" t="s">
        <v>145</v>
      </c>
      <c r="O1" s="22" t="s">
        <v>146</v>
      </c>
      <c r="P1" s="5" t="s">
        <v>68</v>
      </c>
      <c r="Q1" s="5" t="s">
        <v>69</v>
      </c>
      <c r="R1" s="5" t="s">
        <v>75</v>
      </c>
      <c r="S1" s="22" t="s">
        <v>76</v>
      </c>
      <c r="T1" s="22" t="s">
        <v>157</v>
      </c>
      <c r="U1" s="22" t="s">
        <v>158</v>
      </c>
    </row>
    <row r="2" spans="1:21">
      <c r="A2" s="12">
        <v>10</v>
      </c>
      <c r="B2" s="12">
        <v>30</v>
      </c>
      <c r="C2" s="24">
        <v>17.134050908049542</v>
      </c>
      <c r="D2" s="24">
        <v>31.254967768961702</v>
      </c>
      <c r="E2" s="24" t="s">
        <v>147</v>
      </c>
      <c r="F2" s="23">
        <v>581</v>
      </c>
      <c r="G2" s="23" t="s">
        <v>11</v>
      </c>
      <c r="H2" s="25"/>
      <c r="I2" s="26"/>
      <c r="J2" s="26"/>
      <c r="K2" s="26">
        <v>7</v>
      </c>
      <c r="L2" s="25"/>
      <c r="M2" s="25"/>
      <c r="N2" s="30">
        <v>1.73</v>
      </c>
      <c r="O2" s="30">
        <v>7.0000000000000007E-2</v>
      </c>
      <c r="P2" s="23" t="s">
        <v>14</v>
      </c>
      <c r="Q2" s="23"/>
      <c r="R2" s="23"/>
      <c r="S2" s="30"/>
      <c r="T2" s="32">
        <f t="shared" ref="T2:T65" si="0">IF(H2="",I2,H2/PI())</f>
        <v>0</v>
      </c>
      <c r="U2" s="32">
        <f t="shared" ref="U2:U65" si="1">IF(J2="dead","dead",J2/PI()+K2)</f>
        <v>7</v>
      </c>
    </row>
    <row r="3" spans="1:21">
      <c r="A3" s="12">
        <v>10</v>
      </c>
      <c r="B3" s="12">
        <v>20</v>
      </c>
      <c r="C3" s="11"/>
      <c r="D3" s="11"/>
      <c r="E3" s="11"/>
      <c r="F3" s="10">
        <v>103</v>
      </c>
      <c r="G3" s="12"/>
      <c r="H3" s="13"/>
      <c r="I3" s="14"/>
      <c r="J3" s="14" t="s">
        <v>70</v>
      </c>
      <c r="K3" s="14"/>
      <c r="L3" s="13"/>
      <c r="M3" s="13"/>
      <c r="P3" s="12"/>
      <c r="Q3" s="12"/>
      <c r="R3" s="12" t="s">
        <v>20</v>
      </c>
      <c r="T3">
        <f t="shared" si="0"/>
        <v>0</v>
      </c>
      <c r="U3" t="str">
        <f t="shared" si="1"/>
        <v>dead</v>
      </c>
    </row>
    <row r="4" spans="1:21">
      <c r="A4" s="12">
        <v>10</v>
      </c>
      <c r="B4" s="23">
        <v>10</v>
      </c>
      <c r="C4" s="24">
        <v>16.471613120300947</v>
      </c>
      <c r="D4" s="24">
        <v>13.888537465570909</v>
      </c>
      <c r="E4" s="24" t="s">
        <v>147</v>
      </c>
      <c r="F4" s="23">
        <v>582</v>
      </c>
      <c r="G4" s="23" t="s">
        <v>13</v>
      </c>
      <c r="H4" s="25"/>
      <c r="I4" s="26"/>
      <c r="J4" s="23"/>
      <c r="K4" s="26">
        <v>6.5</v>
      </c>
      <c r="L4" s="25"/>
      <c r="M4" s="25"/>
      <c r="N4" s="27">
        <v>1.85</v>
      </c>
      <c r="O4" s="27">
        <v>0.15</v>
      </c>
      <c r="P4" s="23" t="s">
        <v>14</v>
      </c>
      <c r="Q4" s="23"/>
      <c r="R4" s="23"/>
      <c r="S4" s="27" t="s">
        <v>148</v>
      </c>
      <c r="T4">
        <f t="shared" si="0"/>
        <v>0</v>
      </c>
      <c r="U4">
        <f t="shared" si="1"/>
        <v>6.5</v>
      </c>
    </row>
    <row r="5" spans="1:21">
      <c r="A5" s="12">
        <v>10</v>
      </c>
      <c r="B5" s="23">
        <v>10</v>
      </c>
      <c r="C5" s="24">
        <v>16.471613120300947</v>
      </c>
      <c r="D5" s="24">
        <v>13.888537465570909</v>
      </c>
      <c r="E5" s="24" t="s">
        <v>147</v>
      </c>
      <c r="F5" s="23">
        <v>583</v>
      </c>
      <c r="G5" s="23" t="s">
        <v>13</v>
      </c>
      <c r="H5" s="25"/>
      <c r="I5" s="26"/>
      <c r="J5" s="23"/>
      <c r="K5" s="26">
        <v>6.5</v>
      </c>
      <c r="L5" s="25"/>
      <c r="M5" s="25"/>
      <c r="N5" s="23">
        <v>1.62</v>
      </c>
      <c r="O5" s="23">
        <v>0.26</v>
      </c>
      <c r="P5" s="23" t="s">
        <v>14</v>
      </c>
      <c r="Q5" s="23"/>
      <c r="R5" s="30"/>
      <c r="S5" s="23"/>
      <c r="T5">
        <f t="shared" si="0"/>
        <v>0</v>
      </c>
      <c r="U5">
        <f t="shared" si="1"/>
        <v>6.5</v>
      </c>
    </row>
    <row r="6" spans="1:21">
      <c r="A6" s="12"/>
      <c r="B6" s="12"/>
      <c r="C6" s="11"/>
      <c r="D6" s="11"/>
      <c r="E6" s="11"/>
      <c r="F6" s="12"/>
      <c r="G6" s="12"/>
      <c r="H6" s="13"/>
      <c r="I6" s="14"/>
      <c r="J6" s="14"/>
      <c r="K6" s="14"/>
      <c r="L6" s="13"/>
      <c r="M6" s="13"/>
      <c r="N6" s="32"/>
      <c r="O6" s="32"/>
      <c r="P6" s="12"/>
      <c r="Q6" s="12"/>
      <c r="R6" s="12"/>
      <c r="S6" s="32"/>
      <c r="T6">
        <f t="shared" si="0"/>
        <v>0</v>
      </c>
      <c r="U6">
        <f t="shared" si="1"/>
        <v>0</v>
      </c>
    </row>
    <row r="7" spans="1:21">
      <c r="A7" s="12"/>
      <c r="B7" s="12"/>
      <c r="C7" s="11"/>
      <c r="D7" s="11"/>
      <c r="E7" s="11"/>
      <c r="F7" s="12">
        <v>130</v>
      </c>
      <c r="G7" s="12"/>
      <c r="H7" s="13"/>
      <c r="I7" s="14"/>
      <c r="J7" s="14" t="s">
        <v>80</v>
      </c>
      <c r="K7" s="14"/>
      <c r="L7" s="13"/>
      <c r="M7" s="13"/>
      <c r="P7" s="12" t="s">
        <v>14</v>
      </c>
      <c r="Q7" s="12"/>
      <c r="R7" s="12" t="s">
        <v>22</v>
      </c>
      <c r="T7">
        <f t="shared" si="0"/>
        <v>0</v>
      </c>
      <c r="U7" t="e">
        <f t="shared" si="1"/>
        <v>#VALUE!</v>
      </c>
    </row>
    <row r="8" spans="1:21">
      <c r="A8" s="12"/>
      <c r="B8" s="12"/>
      <c r="C8" s="11"/>
      <c r="D8" s="11"/>
      <c r="E8" s="11"/>
      <c r="F8" s="10">
        <v>131</v>
      </c>
      <c r="G8" s="12"/>
      <c r="H8" s="13"/>
      <c r="I8" s="14"/>
      <c r="J8" s="14" t="s">
        <v>80</v>
      </c>
      <c r="K8" s="14"/>
      <c r="L8" s="13"/>
      <c r="M8" s="13"/>
      <c r="P8" s="12" t="s">
        <v>14</v>
      </c>
      <c r="Q8" s="12"/>
      <c r="R8" s="12" t="s">
        <v>22</v>
      </c>
      <c r="T8">
        <f t="shared" si="0"/>
        <v>0</v>
      </c>
      <c r="U8" t="e">
        <f t="shared" si="1"/>
        <v>#VALUE!</v>
      </c>
    </row>
    <row r="9" spans="1:21">
      <c r="A9" s="23">
        <v>20</v>
      </c>
      <c r="B9" s="12">
        <v>10</v>
      </c>
      <c r="C9" s="24">
        <v>20.025377074440154</v>
      </c>
      <c r="D9" s="24">
        <v>14.539977854319202</v>
      </c>
      <c r="E9" s="24" t="s">
        <v>147</v>
      </c>
      <c r="F9" s="23">
        <v>585</v>
      </c>
      <c r="G9" s="23" t="s">
        <v>11</v>
      </c>
      <c r="H9" s="25"/>
      <c r="I9" s="26"/>
      <c r="J9" s="26"/>
      <c r="K9" s="26">
        <v>5.9</v>
      </c>
      <c r="L9" s="25"/>
      <c r="M9" s="25"/>
      <c r="N9" s="27">
        <v>1.62</v>
      </c>
      <c r="O9" s="27">
        <v>0</v>
      </c>
      <c r="P9" s="23"/>
      <c r="Q9" s="23"/>
      <c r="R9" s="23"/>
      <c r="S9" s="27"/>
      <c r="T9">
        <f t="shared" si="0"/>
        <v>0</v>
      </c>
      <c r="U9">
        <f t="shared" si="1"/>
        <v>5.9</v>
      </c>
    </row>
    <row r="10" spans="1:21">
      <c r="A10" s="23">
        <v>20</v>
      </c>
      <c r="B10" s="23">
        <v>0</v>
      </c>
      <c r="C10" s="24">
        <v>26.72</v>
      </c>
      <c r="D10" s="24">
        <v>7.06</v>
      </c>
      <c r="E10" s="24" t="s">
        <v>147</v>
      </c>
      <c r="F10" s="23">
        <v>584</v>
      </c>
      <c r="G10" s="23" t="s">
        <v>11</v>
      </c>
      <c r="H10" s="25"/>
      <c r="I10" s="26"/>
      <c r="J10" s="23"/>
      <c r="K10" s="26">
        <v>3.84</v>
      </c>
      <c r="L10" s="25"/>
      <c r="M10" s="25"/>
      <c r="N10" s="27">
        <v>1.4</v>
      </c>
      <c r="O10" s="27">
        <v>0</v>
      </c>
      <c r="P10" s="23"/>
      <c r="Q10" s="23"/>
      <c r="R10" s="23"/>
      <c r="S10" s="27"/>
      <c r="T10">
        <f t="shared" si="0"/>
        <v>0</v>
      </c>
      <c r="U10">
        <f t="shared" si="1"/>
        <v>3.84</v>
      </c>
    </row>
    <row r="11" spans="1:21">
      <c r="A11" s="23">
        <v>20</v>
      </c>
      <c r="B11" s="23">
        <v>20</v>
      </c>
      <c r="C11" s="24">
        <v>25.05</v>
      </c>
      <c r="D11" s="24">
        <v>28.61</v>
      </c>
      <c r="E11" s="24" t="s">
        <v>147</v>
      </c>
      <c r="F11" s="23">
        <v>586</v>
      </c>
      <c r="G11" s="23" t="s">
        <v>149</v>
      </c>
      <c r="H11" s="25"/>
      <c r="I11" s="26"/>
      <c r="J11" s="26"/>
      <c r="K11" s="26">
        <v>5.8</v>
      </c>
      <c r="L11" s="25"/>
      <c r="M11" s="25"/>
      <c r="N11" s="27">
        <v>1.75</v>
      </c>
      <c r="O11" s="27">
        <v>0.25</v>
      </c>
      <c r="P11" s="23"/>
      <c r="Q11" s="23"/>
      <c r="R11" s="23"/>
      <c r="S11" s="27"/>
      <c r="T11">
        <f t="shared" si="0"/>
        <v>0</v>
      </c>
      <c r="U11">
        <f t="shared" si="1"/>
        <v>5.8</v>
      </c>
    </row>
    <row r="12" spans="1:21">
      <c r="A12" s="23">
        <v>20</v>
      </c>
      <c r="B12" s="23">
        <v>30</v>
      </c>
      <c r="C12" s="24">
        <v>25.43</v>
      </c>
      <c r="D12" s="24">
        <v>34.33</v>
      </c>
      <c r="E12" s="24" t="s">
        <v>147</v>
      </c>
      <c r="F12" s="23">
        <v>587</v>
      </c>
      <c r="G12" s="23" t="s">
        <v>150</v>
      </c>
      <c r="H12" s="25"/>
      <c r="I12" s="26"/>
      <c r="J12" s="26"/>
      <c r="K12" s="26">
        <v>4.8</v>
      </c>
      <c r="L12" s="25"/>
      <c r="M12" s="25"/>
      <c r="N12" s="27">
        <v>169</v>
      </c>
      <c r="O12" s="27">
        <v>0.63</v>
      </c>
      <c r="P12" s="23"/>
      <c r="Q12" s="23"/>
      <c r="R12" s="23"/>
      <c r="S12" s="27"/>
      <c r="T12">
        <f t="shared" si="0"/>
        <v>0</v>
      </c>
      <c r="U12">
        <f t="shared" si="1"/>
        <v>4.8</v>
      </c>
    </row>
    <row r="13" spans="1:21">
      <c r="A13" s="23">
        <v>20</v>
      </c>
      <c r="B13" s="23">
        <v>30</v>
      </c>
      <c r="C13" s="24">
        <v>23.54</v>
      </c>
      <c r="D13" s="24">
        <v>32.4</v>
      </c>
      <c r="E13" s="24" t="s">
        <v>147</v>
      </c>
      <c r="F13" s="23">
        <v>588</v>
      </c>
      <c r="G13" s="23" t="s">
        <v>149</v>
      </c>
      <c r="H13" s="25"/>
      <c r="I13" s="26"/>
      <c r="J13" s="26"/>
      <c r="K13" s="26">
        <v>7.8</v>
      </c>
      <c r="L13" s="25"/>
      <c r="M13" s="25"/>
      <c r="N13" s="23">
        <v>2.1800000000000002</v>
      </c>
      <c r="O13" s="23">
        <v>0.39</v>
      </c>
      <c r="P13" s="23"/>
      <c r="Q13" s="23"/>
      <c r="R13" s="30"/>
      <c r="S13" s="23" t="s">
        <v>151</v>
      </c>
      <c r="T13">
        <f t="shared" si="0"/>
        <v>0</v>
      </c>
      <c r="U13">
        <f t="shared" si="1"/>
        <v>7.8</v>
      </c>
    </row>
    <row r="14" spans="1:21">
      <c r="A14" s="23">
        <v>20</v>
      </c>
      <c r="B14" s="23">
        <v>40</v>
      </c>
      <c r="C14" s="24">
        <v>24.63</v>
      </c>
      <c r="D14" s="24">
        <v>40.14</v>
      </c>
      <c r="E14" s="24" t="s">
        <v>147</v>
      </c>
      <c r="F14" s="23">
        <v>589</v>
      </c>
      <c r="G14" s="23" t="s">
        <v>152</v>
      </c>
      <c r="H14" s="25"/>
      <c r="I14" s="26"/>
      <c r="J14" s="26"/>
      <c r="K14" s="26">
        <v>2.9</v>
      </c>
      <c r="L14" s="25"/>
      <c r="M14" s="25"/>
      <c r="N14" s="30">
        <v>1.4</v>
      </c>
      <c r="O14" s="30">
        <v>0</v>
      </c>
      <c r="P14" s="23"/>
      <c r="Q14" s="23"/>
      <c r="R14" s="23"/>
      <c r="S14" s="30"/>
      <c r="T14">
        <f t="shared" si="0"/>
        <v>0</v>
      </c>
      <c r="U14">
        <f t="shared" si="1"/>
        <v>2.9</v>
      </c>
    </row>
    <row r="15" spans="1:21">
      <c r="A15" s="23">
        <v>30</v>
      </c>
      <c r="B15" s="23">
        <v>10</v>
      </c>
      <c r="C15" s="24">
        <v>37.44</v>
      </c>
      <c r="D15" s="24">
        <v>19.79</v>
      </c>
      <c r="E15" s="24" t="s">
        <v>147</v>
      </c>
      <c r="F15" s="23">
        <v>590</v>
      </c>
      <c r="G15" s="23" t="s">
        <v>192</v>
      </c>
      <c r="H15" s="25"/>
      <c r="I15" s="26"/>
      <c r="J15" s="26"/>
      <c r="K15" s="26">
        <v>3.5</v>
      </c>
      <c r="L15" s="25"/>
      <c r="M15" s="25"/>
      <c r="N15" s="27">
        <v>1.6</v>
      </c>
      <c r="O15" s="27">
        <v>0.53</v>
      </c>
      <c r="P15" s="23"/>
      <c r="Q15" s="23"/>
      <c r="R15" s="23"/>
      <c r="S15" s="27"/>
      <c r="T15">
        <f t="shared" si="0"/>
        <v>0</v>
      </c>
      <c r="U15">
        <f t="shared" si="1"/>
        <v>3.5</v>
      </c>
    </row>
    <row r="16" spans="1:21">
      <c r="A16" s="23">
        <v>40</v>
      </c>
      <c r="B16" s="23">
        <v>0</v>
      </c>
      <c r="C16" s="24">
        <v>49.19</v>
      </c>
      <c r="D16" s="24">
        <v>2.8</v>
      </c>
      <c r="E16" s="24" t="s">
        <v>147</v>
      </c>
      <c r="F16" s="23">
        <v>591</v>
      </c>
      <c r="G16" s="23" t="s">
        <v>192</v>
      </c>
      <c r="H16" s="25"/>
      <c r="I16" s="26"/>
      <c r="J16" s="26"/>
      <c r="K16" s="26">
        <v>5.5</v>
      </c>
      <c r="L16" s="25"/>
      <c r="M16" s="25"/>
      <c r="N16" s="27">
        <v>1.7</v>
      </c>
      <c r="O16" s="27">
        <v>0.56999999999999995</v>
      </c>
      <c r="P16" s="23"/>
      <c r="Q16" s="23"/>
      <c r="R16" s="23"/>
      <c r="S16" s="27"/>
      <c r="T16">
        <f t="shared" si="0"/>
        <v>0</v>
      </c>
      <c r="U16">
        <f t="shared" si="1"/>
        <v>5.5</v>
      </c>
    </row>
    <row r="17" spans="1:21">
      <c r="A17" s="23">
        <v>40</v>
      </c>
      <c r="B17" s="23">
        <v>20</v>
      </c>
      <c r="C17" s="24">
        <v>41.89</v>
      </c>
      <c r="D17" s="24">
        <v>29.82</v>
      </c>
      <c r="E17" s="24" t="s">
        <v>147</v>
      </c>
      <c r="F17" s="23">
        <v>594</v>
      </c>
      <c r="G17" s="23" t="s">
        <v>150</v>
      </c>
      <c r="H17" s="25"/>
      <c r="I17" s="26"/>
      <c r="J17" s="26"/>
      <c r="K17" s="26">
        <v>7.1</v>
      </c>
      <c r="L17" s="25"/>
      <c r="M17" s="25"/>
      <c r="N17" s="27">
        <v>1.59</v>
      </c>
      <c r="O17" s="27">
        <v>0.68</v>
      </c>
      <c r="P17" s="23"/>
      <c r="Q17" s="23"/>
      <c r="R17" s="23"/>
      <c r="S17" s="27"/>
      <c r="T17">
        <f t="shared" si="0"/>
        <v>0</v>
      </c>
      <c r="U17">
        <f t="shared" si="1"/>
        <v>7.1</v>
      </c>
    </row>
    <row r="18" spans="1:21">
      <c r="A18" s="23">
        <v>40</v>
      </c>
      <c r="B18" s="23">
        <v>30</v>
      </c>
      <c r="C18" s="24">
        <v>48.92</v>
      </c>
      <c r="D18" s="24">
        <v>30.4</v>
      </c>
      <c r="E18" s="24" t="s">
        <v>147</v>
      </c>
      <c r="F18" s="23">
        <v>596</v>
      </c>
      <c r="G18" s="23" t="s">
        <v>153</v>
      </c>
      <c r="H18" s="25"/>
      <c r="I18" s="26"/>
      <c r="J18" s="26"/>
      <c r="K18" s="26">
        <v>4.9000000000000004</v>
      </c>
      <c r="L18" s="25"/>
      <c r="M18" s="25"/>
      <c r="N18" s="27">
        <v>1.48</v>
      </c>
      <c r="O18" s="27">
        <v>0.67</v>
      </c>
      <c r="P18" s="23"/>
      <c r="Q18" s="23"/>
      <c r="R18" s="23"/>
      <c r="S18" s="27"/>
      <c r="T18">
        <f t="shared" si="0"/>
        <v>0</v>
      </c>
      <c r="U18">
        <f t="shared" si="1"/>
        <v>4.9000000000000004</v>
      </c>
    </row>
    <row r="19" spans="1:21">
      <c r="A19" s="23">
        <v>40</v>
      </c>
      <c r="B19" s="23">
        <v>30</v>
      </c>
      <c r="C19" s="24">
        <v>48.9</v>
      </c>
      <c r="D19" s="24">
        <v>30.46</v>
      </c>
      <c r="E19" s="24" t="s">
        <v>147</v>
      </c>
      <c r="F19" s="23">
        <v>595</v>
      </c>
      <c r="G19" s="23" t="s">
        <v>153</v>
      </c>
      <c r="H19" s="25"/>
      <c r="I19" s="26"/>
      <c r="J19" s="26"/>
      <c r="K19" s="26">
        <v>9.1999999999999993</v>
      </c>
      <c r="L19" s="25"/>
      <c r="M19" s="25"/>
      <c r="N19" s="27">
        <v>1.51</v>
      </c>
      <c r="O19" s="27">
        <v>0.69</v>
      </c>
      <c r="P19" s="23"/>
      <c r="Q19" s="23"/>
      <c r="R19" s="23"/>
      <c r="S19" s="27"/>
      <c r="T19">
        <f t="shared" si="0"/>
        <v>0</v>
      </c>
      <c r="U19">
        <f t="shared" si="1"/>
        <v>9.1999999999999993</v>
      </c>
    </row>
    <row r="20" spans="1:21">
      <c r="A20" s="12"/>
      <c r="B20" s="12"/>
      <c r="C20" s="12"/>
      <c r="D20" s="12"/>
      <c r="E20" s="12"/>
      <c r="F20" s="12"/>
      <c r="G20" s="12"/>
      <c r="H20" s="13"/>
      <c r="I20" s="14"/>
      <c r="J20" s="14"/>
      <c r="K20" s="14"/>
      <c r="L20" s="13"/>
      <c r="M20" s="13"/>
      <c r="P20" s="12"/>
      <c r="Q20" s="12"/>
      <c r="R20" s="12"/>
      <c r="T20">
        <f t="shared" si="0"/>
        <v>0</v>
      </c>
      <c r="U20">
        <f t="shared" si="1"/>
        <v>0</v>
      </c>
    </row>
    <row r="21" spans="1:21">
      <c r="A21" s="29">
        <v>0</v>
      </c>
      <c r="B21" s="29">
        <v>-10</v>
      </c>
      <c r="C21" s="24">
        <v>4.5</v>
      </c>
      <c r="D21" s="24">
        <v>-6.5</v>
      </c>
      <c r="E21" s="24" t="s">
        <v>155</v>
      </c>
      <c r="F21" s="23">
        <v>742</v>
      </c>
      <c r="G21" s="23" t="s">
        <v>152</v>
      </c>
      <c r="H21" s="25"/>
      <c r="I21" s="26"/>
      <c r="J21" s="26"/>
      <c r="K21" s="26">
        <v>8.3000000000000007</v>
      </c>
      <c r="L21" s="25"/>
      <c r="M21" s="25"/>
      <c r="N21" s="27">
        <v>1.56</v>
      </c>
      <c r="O21" s="27"/>
      <c r="P21" s="23"/>
      <c r="Q21" s="23"/>
      <c r="R21" s="23"/>
      <c r="S21" s="27"/>
      <c r="T21">
        <f t="shared" si="0"/>
        <v>0</v>
      </c>
      <c r="U21">
        <f t="shared" si="1"/>
        <v>8.3000000000000007</v>
      </c>
    </row>
    <row r="22" spans="1:21">
      <c r="A22" s="23">
        <v>30</v>
      </c>
      <c r="B22" s="23">
        <v>-10</v>
      </c>
      <c r="C22" s="24">
        <v>38.85</v>
      </c>
      <c r="D22" s="24">
        <v>-3.97</v>
      </c>
      <c r="E22" s="24" t="s">
        <v>155</v>
      </c>
      <c r="F22" s="23">
        <v>743</v>
      </c>
      <c r="G22" s="23" t="s">
        <v>150</v>
      </c>
      <c r="H22" s="25"/>
      <c r="I22" s="26"/>
      <c r="J22" s="26"/>
      <c r="K22" s="26">
        <v>3.5</v>
      </c>
      <c r="L22" s="25"/>
      <c r="M22" s="25"/>
      <c r="N22" s="27">
        <v>1.34</v>
      </c>
      <c r="O22" s="27"/>
      <c r="P22" s="23"/>
      <c r="Q22" s="23"/>
      <c r="R22" s="23"/>
      <c r="S22" s="27"/>
      <c r="T22">
        <f t="shared" si="0"/>
        <v>0</v>
      </c>
      <c r="U22">
        <f t="shared" si="1"/>
        <v>3.5</v>
      </c>
    </row>
    <row r="23" spans="1:21">
      <c r="A23" s="12"/>
      <c r="B23" s="12"/>
      <c r="C23" s="11"/>
      <c r="D23" s="11"/>
      <c r="E23" s="11"/>
      <c r="F23" s="10">
        <v>473</v>
      </c>
      <c r="G23" s="12"/>
      <c r="H23" s="13"/>
      <c r="I23" s="14"/>
      <c r="J23" s="14"/>
      <c r="K23" s="14"/>
      <c r="L23" s="13"/>
      <c r="M23" s="13"/>
      <c r="P23" s="12" t="s">
        <v>14</v>
      </c>
      <c r="Q23" s="12"/>
      <c r="R23" s="12"/>
      <c r="T23">
        <f t="shared" si="0"/>
        <v>0</v>
      </c>
      <c r="U23">
        <f t="shared" si="1"/>
        <v>0</v>
      </c>
    </row>
    <row r="24" spans="1:21">
      <c r="A24" s="12"/>
      <c r="B24" s="12"/>
      <c r="C24" s="11"/>
      <c r="D24" s="11"/>
      <c r="E24" s="11"/>
      <c r="F24" s="12">
        <v>474</v>
      </c>
      <c r="G24" s="12"/>
      <c r="H24" s="13"/>
      <c r="I24" s="14"/>
      <c r="J24" s="14"/>
      <c r="K24" s="14"/>
      <c r="L24" s="13"/>
      <c r="M24" s="13"/>
      <c r="P24" s="12" t="s">
        <v>14</v>
      </c>
      <c r="Q24" s="12"/>
      <c r="R24" s="12" t="s">
        <v>37</v>
      </c>
      <c r="T24">
        <f t="shared" si="0"/>
        <v>0</v>
      </c>
      <c r="U24">
        <f t="shared" si="1"/>
        <v>0</v>
      </c>
    </row>
    <row r="25" spans="1:21">
      <c r="A25" s="12"/>
      <c r="B25" s="12"/>
      <c r="C25" s="11"/>
      <c r="D25" s="11"/>
      <c r="E25" s="11"/>
      <c r="F25" s="10">
        <v>475</v>
      </c>
      <c r="G25" s="12"/>
      <c r="H25" s="13"/>
      <c r="I25" s="14"/>
      <c r="J25" s="14"/>
      <c r="K25" s="14"/>
      <c r="L25" s="13"/>
      <c r="M25" s="13"/>
      <c r="P25" s="12" t="s">
        <v>14</v>
      </c>
      <c r="Q25" s="12"/>
      <c r="R25" s="12" t="s">
        <v>37</v>
      </c>
      <c r="T25">
        <f t="shared" si="0"/>
        <v>0</v>
      </c>
      <c r="U25">
        <f t="shared" si="1"/>
        <v>0</v>
      </c>
    </row>
    <row r="26" spans="1:21">
      <c r="A26" s="12"/>
      <c r="B26" s="12"/>
      <c r="C26" s="11"/>
      <c r="D26" s="11"/>
      <c r="E26" s="11"/>
      <c r="F26" s="12">
        <v>476</v>
      </c>
      <c r="G26" s="12"/>
      <c r="H26" s="13"/>
      <c r="I26" s="14"/>
      <c r="J26" s="14"/>
      <c r="K26" s="14"/>
      <c r="L26" s="13"/>
      <c r="M26" s="13"/>
      <c r="P26" s="12" t="s">
        <v>14</v>
      </c>
      <c r="Q26" s="12"/>
      <c r="R26" s="12" t="s">
        <v>37</v>
      </c>
      <c r="T26">
        <f t="shared" si="0"/>
        <v>0</v>
      </c>
      <c r="U26">
        <f t="shared" si="1"/>
        <v>0</v>
      </c>
    </row>
    <row r="27" spans="1:21">
      <c r="A27" s="12"/>
      <c r="B27" s="12"/>
      <c r="C27" s="11"/>
      <c r="D27" s="11"/>
      <c r="E27" s="11"/>
      <c r="F27" s="10">
        <v>477</v>
      </c>
      <c r="G27" s="12"/>
      <c r="H27" s="13"/>
      <c r="I27" s="14"/>
      <c r="J27" s="14"/>
      <c r="K27" s="14"/>
      <c r="L27" s="13"/>
      <c r="M27" s="13"/>
      <c r="P27" s="12" t="s">
        <v>14</v>
      </c>
      <c r="Q27" s="12"/>
      <c r="R27" s="12" t="s">
        <v>37</v>
      </c>
      <c r="T27">
        <f t="shared" si="0"/>
        <v>0</v>
      </c>
      <c r="U27">
        <f t="shared" si="1"/>
        <v>0</v>
      </c>
    </row>
    <row r="28" spans="1:21">
      <c r="A28" s="12"/>
      <c r="B28" s="12"/>
      <c r="C28" s="11"/>
      <c r="D28" s="11"/>
      <c r="E28" s="11"/>
      <c r="F28" s="12">
        <v>478</v>
      </c>
      <c r="G28" s="12"/>
      <c r="H28" s="13"/>
      <c r="I28" s="14"/>
      <c r="J28" s="14"/>
      <c r="K28" s="14"/>
      <c r="L28" s="13"/>
      <c r="M28" s="13"/>
      <c r="P28" s="12" t="s">
        <v>14</v>
      </c>
      <c r="Q28" s="12"/>
      <c r="R28" s="12" t="s">
        <v>37</v>
      </c>
      <c r="T28">
        <f t="shared" si="0"/>
        <v>0</v>
      </c>
      <c r="U28">
        <f t="shared" si="1"/>
        <v>0</v>
      </c>
    </row>
    <row r="29" spans="1:21">
      <c r="A29" s="12"/>
      <c r="B29" s="12"/>
      <c r="C29" s="11"/>
      <c r="D29" s="11"/>
      <c r="E29" s="11"/>
      <c r="F29" s="10">
        <v>479</v>
      </c>
      <c r="G29" s="12"/>
      <c r="H29" s="13"/>
      <c r="I29" s="14"/>
      <c r="J29" s="14"/>
      <c r="K29" s="14"/>
      <c r="L29" s="13"/>
      <c r="M29" s="13"/>
      <c r="P29" s="12" t="s">
        <v>14</v>
      </c>
      <c r="Q29" s="12"/>
      <c r="R29" s="12" t="s">
        <v>37</v>
      </c>
      <c r="T29">
        <f t="shared" si="0"/>
        <v>0</v>
      </c>
      <c r="U29">
        <f t="shared" si="1"/>
        <v>0</v>
      </c>
    </row>
    <row r="30" spans="1:21">
      <c r="A30" s="12"/>
      <c r="B30" s="12"/>
      <c r="C30" s="11"/>
      <c r="D30" s="11"/>
      <c r="E30" s="11"/>
      <c r="F30" s="12">
        <v>480</v>
      </c>
      <c r="G30" s="12"/>
      <c r="H30" s="13"/>
      <c r="I30" s="14"/>
      <c r="J30" s="14"/>
      <c r="K30" s="14"/>
      <c r="L30" s="13"/>
      <c r="M30" s="13"/>
      <c r="P30" s="12" t="s">
        <v>14</v>
      </c>
      <c r="Q30" s="12"/>
      <c r="R30" s="12" t="s">
        <v>37</v>
      </c>
      <c r="T30">
        <f t="shared" si="0"/>
        <v>0</v>
      </c>
      <c r="U30">
        <f t="shared" si="1"/>
        <v>0</v>
      </c>
    </row>
    <row r="31" spans="1:21">
      <c r="A31" s="12"/>
      <c r="B31" s="12"/>
      <c r="C31" s="11"/>
      <c r="D31" s="11"/>
      <c r="E31" s="11"/>
      <c r="F31" s="10">
        <v>481</v>
      </c>
      <c r="G31" s="12"/>
      <c r="H31" s="13"/>
      <c r="I31" s="14"/>
      <c r="J31" s="14"/>
      <c r="K31" s="14"/>
      <c r="L31" s="13"/>
      <c r="M31" s="13"/>
      <c r="P31" s="12" t="s">
        <v>14</v>
      </c>
      <c r="Q31" s="12"/>
      <c r="R31" s="12" t="s">
        <v>37</v>
      </c>
      <c r="T31">
        <f t="shared" si="0"/>
        <v>0</v>
      </c>
      <c r="U31">
        <f t="shared" si="1"/>
        <v>0</v>
      </c>
    </row>
    <row r="32" spans="1:21">
      <c r="A32" s="12"/>
      <c r="B32" s="12"/>
      <c r="C32" s="11"/>
      <c r="D32" s="11"/>
      <c r="E32" s="11"/>
      <c r="F32" s="12">
        <v>482</v>
      </c>
      <c r="G32" s="12"/>
      <c r="H32" s="13"/>
      <c r="I32" s="14"/>
      <c r="J32" s="14"/>
      <c r="K32" s="14"/>
      <c r="L32" s="13"/>
      <c r="M32" s="13"/>
      <c r="P32" s="12" t="s">
        <v>14</v>
      </c>
      <c r="Q32" s="12"/>
      <c r="R32" s="12" t="s">
        <v>37</v>
      </c>
      <c r="T32">
        <f t="shared" si="0"/>
        <v>0</v>
      </c>
      <c r="U32">
        <f t="shared" si="1"/>
        <v>0</v>
      </c>
    </row>
    <row r="33" spans="1:21">
      <c r="A33" s="12"/>
      <c r="B33" s="12"/>
      <c r="C33" s="11"/>
      <c r="D33" s="11"/>
      <c r="E33" s="11"/>
      <c r="F33" s="10">
        <v>483</v>
      </c>
      <c r="G33" s="12"/>
      <c r="H33" s="13"/>
      <c r="I33" s="14"/>
      <c r="J33" s="14"/>
      <c r="K33" s="14"/>
      <c r="L33" s="13"/>
      <c r="M33" s="13"/>
      <c r="P33" s="12" t="s">
        <v>14</v>
      </c>
      <c r="Q33" s="12"/>
      <c r="R33" s="12" t="s">
        <v>37</v>
      </c>
      <c r="T33">
        <f t="shared" si="0"/>
        <v>0</v>
      </c>
      <c r="U33">
        <f t="shared" si="1"/>
        <v>0</v>
      </c>
    </row>
    <row r="34" spans="1:21">
      <c r="A34" s="12"/>
      <c r="B34" s="12"/>
      <c r="C34" s="11"/>
      <c r="D34" s="11"/>
      <c r="E34" s="11"/>
      <c r="F34" s="12">
        <v>484</v>
      </c>
      <c r="G34" s="12"/>
      <c r="H34" s="13"/>
      <c r="I34" s="14"/>
      <c r="J34" s="14"/>
      <c r="K34" s="14"/>
      <c r="L34" s="13"/>
      <c r="M34" s="13"/>
      <c r="P34" s="12" t="s">
        <v>14</v>
      </c>
      <c r="Q34" s="12"/>
      <c r="R34" s="12" t="s">
        <v>37</v>
      </c>
      <c r="T34">
        <f t="shared" si="0"/>
        <v>0</v>
      </c>
      <c r="U34">
        <f t="shared" si="1"/>
        <v>0</v>
      </c>
    </row>
    <row r="35" spans="1:21">
      <c r="A35" s="12"/>
      <c r="B35" s="12"/>
      <c r="C35" s="11"/>
      <c r="D35" s="11"/>
      <c r="E35" s="11"/>
      <c r="F35" s="10">
        <v>485</v>
      </c>
      <c r="G35" s="12"/>
      <c r="H35" s="13"/>
      <c r="I35" s="14"/>
      <c r="J35" s="14"/>
      <c r="K35" s="14"/>
      <c r="L35" s="13"/>
      <c r="M35" s="13"/>
      <c r="P35" s="12" t="s">
        <v>14</v>
      </c>
      <c r="Q35" s="12"/>
      <c r="R35" s="12" t="s">
        <v>37</v>
      </c>
      <c r="T35">
        <f t="shared" si="0"/>
        <v>0</v>
      </c>
      <c r="U35">
        <f t="shared" si="1"/>
        <v>0</v>
      </c>
    </row>
    <row r="36" spans="1:21">
      <c r="A36" s="12"/>
      <c r="B36" s="12"/>
      <c r="C36" s="11"/>
      <c r="D36" s="11"/>
      <c r="E36" s="11"/>
      <c r="F36" s="12">
        <v>486</v>
      </c>
      <c r="G36" s="12"/>
      <c r="H36" s="13"/>
      <c r="I36" s="14"/>
      <c r="J36" s="14"/>
      <c r="K36" s="14"/>
      <c r="L36" s="13"/>
      <c r="M36" s="13"/>
      <c r="P36" s="12" t="s">
        <v>14</v>
      </c>
      <c r="Q36" s="12"/>
      <c r="R36" s="12" t="s">
        <v>37</v>
      </c>
      <c r="T36">
        <f t="shared" si="0"/>
        <v>0</v>
      </c>
      <c r="U36">
        <f t="shared" si="1"/>
        <v>0</v>
      </c>
    </row>
    <row r="37" spans="1:21">
      <c r="A37" s="12"/>
      <c r="B37" s="12"/>
      <c r="C37" s="11"/>
      <c r="D37" s="11"/>
      <c r="E37" s="11"/>
      <c r="F37" s="10">
        <v>487</v>
      </c>
      <c r="G37" s="12"/>
      <c r="H37" s="13"/>
      <c r="I37" s="14"/>
      <c r="J37" s="14"/>
      <c r="K37" s="14"/>
      <c r="L37" s="13"/>
      <c r="M37" s="13"/>
      <c r="P37" s="12" t="s">
        <v>14</v>
      </c>
      <c r="Q37" s="12"/>
      <c r="R37" s="12" t="s">
        <v>37</v>
      </c>
      <c r="T37">
        <f t="shared" si="0"/>
        <v>0</v>
      </c>
      <c r="U37">
        <f t="shared" si="1"/>
        <v>0</v>
      </c>
    </row>
    <row r="38" spans="1:21">
      <c r="A38" s="12"/>
      <c r="B38" s="12"/>
      <c r="C38" s="11"/>
      <c r="D38" s="11"/>
      <c r="E38" s="11"/>
      <c r="F38" s="12">
        <v>488</v>
      </c>
      <c r="G38" s="12"/>
      <c r="H38" s="13"/>
      <c r="I38" s="14"/>
      <c r="J38" s="14"/>
      <c r="K38" s="14"/>
      <c r="L38" s="13"/>
      <c r="M38" s="13"/>
      <c r="P38" s="12" t="s">
        <v>14</v>
      </c>
      <c r="Q38" s="12"/>
      <c r="R38" s="12" t="s">
        <v>37</v>
      </c>
      <c r="T38">
        <f t="shared" si="0"/>
        <v>0</v>
      </c>
      <c r="U38">
        <f t="shared" si="1"/>
        <v>0</v>
      </c>
    </row>
    <row r="39" spans="1:21">
      <c r="A39" s="12"/>
      <c r="B39" s="12"/>
      <c r="C39" s="11"/>
      <c r="D39" s="11"/>
      <c r="E39" s="11"/>
      <c r="F39" s="10">
        <v>489</v>
      </c>
      <c r="G39" s="12"/>
      <c r="H39" s="13"/>
      <c r="I39" s="14"/>
      <c r="J39" s="14"/>
      <c r="K39" s="14"/>
      <c r="L39" s="13"/>
      <c r="M39" s="13"/>
      <c r="P39" s="12" t="s">
        <v>14</v>
      </c>
      <c r="Q39" s="12"/>
      <c r="R39" s="12" t="s">
        <v>37</v>
      </c>
      <c r="T39">
        <f t="shared" si="0"/>
        <v>0</v>
      </c>
      <c r="U39">
        <f t="shared" si="1"/>
        <v>0</v>
      </c>
    </row>
    <row r="40" spans="1:21">
      <c r="A40" s="12"/>
      <c r="B40" s="12"/>
      <c r="C40" s="11"/>
      <c r="D40" s="11"/>
      <c r="E40" s="11"/>
      <c r="F40" s="12">
        <v>490</v>
      </c>
      <c r="G40" s="12"/>
      <c r="H40" s="13"/>
      <c r="I40" s="14"/>
      <c r="J40" s="14"/>
      <c r="K40" s="14"/>
      <c r="L40" s="13"/>
      <c r="M40" s="13"/>
      <c r="P40" s="12" t="s">
        <v>14</v>
      </c>
      <c r="Q40" s="12"/>
      <c r="R40" s="12" t="s">
        <v>37</v>
      </c>
      <c r="T40">
        <f t="shared" si="0"/>
        <v>0</v>
      </c>
      <c r="U40">
        <f t="shared" si="1"/>
        <v>0</v>
      </c>
    </row>
    <row r="41" spans="1:21">
      <c r="A41" s="12"/>
      <c r="B41" s="12"/>
      <c r="C41" s="11"/>
      <c r="D41" s="11"/>
      <c r="E41" s="11"/>
      <c r="F41" s="10">
        <v>491</v>
      </c>
      <c r="G41" s="12"/>
      <c r="H41" s="13"/>
      <c r="I41" s="14"/>
      <c r="J41" s="14"/>
      <c r="K41" s="14"/>
      <c r="L41" s="13"/>
      <c r="M41" s="13"/>
      <c r="P41" s="12" t="s">
        <v>14</v>
      </c>
      <c r="Q41" s="12"/>
      <c r="R41" s="12" t="s">
        <v>37</v>
      </c>
      <c r="T41">
        <f t="shared" si="0"/>
        <v>0</v>
      </c>
      <c r="U41">
        <f t="shared" si="1"/>
        <v>0</v>
      </c>
    </row>
    <row r="42" spans="1:21">
      <c r="A42" s="12"/>
      <c r="B42" s="12"/>
      <c r="C42" s="11"/>
      <c r="D42" s="11"/>
      <c r="E42" s="11"/>
      <c r="F42" s="12">
        <v>492</v>
      </c>
      <c r="G42" s="12"/>
      <c r="H42" s="13"/>
      <c r="I42" s="14"/>
      <c r="J42" s="14"/>
      <c r="K42" s="14"/>
      <c r="L42" s="13"/>
      <c r="M42" s="13"/>
      <c r="P42" s="12" t="s">
        <v>14</v>
      </c>
      <c r="Q42" s="12"/>
      <c r="R42" s="12" t="s">
        <v>37</v>
      </c>
      <c r="T42">
        <f t="shared" si="0"/>
        <v>0</v>
      </c>
      <c r="U42">
        <f t="shared" si="1"/>
        <v>0</v>
      </c>
    </row>
    <row r="43" spans="1:21">
      <c r="A43" s="12"/>
      <c r="B43" s="12"/>
      <c r="C43" s="11"/>
      <c r="D43" s="11"/>
      <c r="E43" s="11"/>
      <c r="F43" s="10">
        <v>493</v>
      </c>
      <c r="G43" s="12"/>
      <c r="H43" s="13"/>
      <c r="I43" s="14"/>
      <c r="J43" s="14"/>
      <c r="K43" s="14"/>
      <c r="L43" s="13"/>
      <c r="M43" s="13"/>
      <c r="P43" s="12" t="s">
        <v>14</v>
      </c>
      <c r="Q43" s="12"/>
      <c r="R43" s="12" t="s">
        <v>37</v>
      </c>
      <c r="T43">
        <f t="shared" si="0"/>
        <v>0</v>
      </c>
      <c r="U43">
        <f t="shared" si="1"/>
        <v>0</v>
      </c>
    </row>
    <row r="44" spans="1:21">
      <c r="A44" s="12"/>
      <c r="B44" s="12"/>
      <c r="C44" s="11"/>
      <c r="D44" s="11"/>
      <c r="E44" s="11"/>
      <c r="F44" s="12">
        <v>494</v>
      </c>
      <c r="G44" s="12"/>
      <c r="H44" s="13"/>
      <c r="I44" s="14"/>
      <c r="J44" s="14"/>
      <c r="K44" s="14"/>
      <c r="L44" s="13"/>
      <c r="M44" s="13"/>
      <c r="P44" s="12" t="s">
        <v>14</v>
      </c>
      <c r="Q44" s="12"/>
      <c r="R44" s="12" t="s">
        <v>37</v>
      </c>
      <c r="T44">
        <f t="shared" si="0"/>
        <v>0</v>
      </c>
      <c r="U44">
        <f t="shared" si="1"/>
        <v>0</v>
      </c>
    </row>
    <row r="45" spans="1:21">
      <c r="A45" s="12"/>
      <c r="B45" s="12"/>
      <c r="C45" s="11"/>
      <c r="D45" s="11"/>
      <c r="E45" s="11"/>
      <c r="F45" s="10">
        <v>495</v>
      </c>
      <c r="G45" s="12"/>
      <c r="H45" s="13"/>
      <c r="I45" s="14"/>
      <c r="J45" s="14"/>
      <c r="K45" s="14"/>
      <c r="L45" s="13"/>
      <c r="M45" s="13"/>
      <c r="P45" s="12" t="s">
        <v>14</v>
      </c>
      <c r="Q45" s="12"/>
      <c r="R45" s="12" t="s">
        <v>37</v>
      </c>
      <c r="T45">
        <f t="shared" si="0"/>
        <v>0</v>
      </c>
      <c r="U45">
        <f t="shared" si="1"/>
        <v>0</v>
      </c>
    </row>
    <row r="46" spans="1:21">
      <c r="A46" s="12"/>
      <c r="B46" s="12"/>
      <c r="C46" s="11"/>
      <c r="D46" s="11"/>
      <c r="E46" s="11"/>
      <c r="F46" s="12">
        <v>496</v>
      </c>
      <c r="G46" s="12"/>
      <c r="H46" s="13"/>
      <c r="I46" s="14"/>
      <c r="J46" s="14"/>
      <c r="K46" s="14"/>
      <c r="L46" s="13"/>
      <c r="M46" s="13"/>
      <c r="P46" s="12" t="s">
        <v>14</v>
      </c>
      <c r="Q46" s="12"/>
      <c r="R46" s="12" t="s">
        <v>37</v>
      </c>
      <c r="T46">
        <f t="shared" si="0"/>
        <v>0</v>
      </c>
      <c r="U46">
        <f t="shared" si="1"/>
        <v>0</v>
      </c>
    </row>
    <row r="47" spans="1:21">
      <c r="A47" s="12"/>
      <c r="B47" s="12"/>
      <c r="C47" s="11"/>
      <c r="D47" s="11"/>
      <c r="E47" s="11"/>
      <c r="F47" s="10">
        <v>497</v>
      </c>
      <c r="G47" s="12"/>
      <c r="H47" s="13"/>
      <c r="I47" s="14"/>
      <c r="J47" s="14"/>
      <c r="K47" s="14"/>
      <c r="L47" s="13"/>
      <c r="M47" s="13"/>
      <c r="P47" s="12" t="s">
        <v>14</v>
      </c>
      <c r="Q47" s="12"/>
      <c r="R47" s="12" t="s">
        <v>37</v>
      </c>
      <c r="T47">
        <f t="shared" si="0"/>
        <v>0</v>
      </c>
      <c r="U47">
        <f t="shared" si="1"/>
        <v>0</v>
      </c>
    </row>
    <row r="48" spans="1:21">
      <c r="A48" s="12"/>
      <c r="B48" s="12"/>
      <c r="C48" s="11"/>
      <c r="D48" s="11"/>
      <c r="E48" s="11"/>
      <c r="F48" s="12">
        <v>498</v>
      </c>
      <c r="G48" s="12"/>
      <c r="H48" s="13"/>
      <c r="I48" s="14"/>
      <c r="J48" s="14"/>
      <c r="K48" s="14"/>
      <c r="L48" s="13"/>
      <c r="M48" s="13"/>
      <c r="P48" s="12" t="s">
        <v>14</v>
      </c>
      <c r="Q48" s="12"/>
      <c r="R48" s="12" t="s">
        <v>37</v>
      </c>
      <c r="T48">
        <f t="shared" si="0"/>
        <v>0</v>
      </c>
      <c r="U48">
        <f t="shared" si="1"/>
        <v>0</v>
      </c>
    </row>
    <row r="49" spans="1:21">
      <c r="A49" s="12"/>
      <c r="B49" s="12"/>
      <c r="C49" s="11"/>
      <c r="D49" s="11"/>
      <c r="E49" s="11"/>
      <c r="F49" s="10">
        <v>499</v>
      </c>
      <c r="G49" s="12"/>
      <c r="H49" s="13"/>
      <c r="I49" s="14"/>
      <c r="J49" s="14"/>
      <c r="K49" s="14"/>
      <c r="L49" s="13"/>
      <c r="M49" s="13"/>
      <c r="P49" s="12" t="s">
        <v>14</v>
      </c>
      <c r="Q49" s="12"/>
      <c r="R49" s="12" t="s">
        <v>37</v>
      </c>
      <c r="T49">
        <f t="shared" si="0"/>
        <v>0</v>
      </c>
      <c r="U49">
        <f t="shared" si="1"/>
        <v>0</v>
      </c>
    </row>
    <row r="50" spans="1:21">
      <c r="A50" s="12"/>
      <c r="B50" s="12"/>
      <c r="C50" s="11"/>
      <c r="D50" s="11"/>
      <c r="E50" s="11"/>
      <c r="F50" s="12">
        <v>500</v>
      </c>
      <c r="G50" s="12"/>
      <c r="H50" s="13"/>
      <c r="I50" s="14"/>
      <c r="J50" s="14"/>
      <c r="K50" s="14"/>
      <c r="L50" s="13"/>
      <c r="M50" s="13"/>
      <c r="P50" s="12" t="s">
        <v>14</v>
      </c>
      <c r="Q50" s="12"/>
      <c r="R50" s="12" t="s">
        <v>37</v>
      </c>
      <c r="T50">
        <f t="shared" si="0"/>
        <v>0</v>
      </c>
      <c r="U50">
        <f t="shared" si="1"/>
        <v>0</v>
      </c>
    </row>
    <row r="51" spans="1:21">
      <c r="A51" s="23">
        <v>40</v>
      </c>
      <c r="B51" s="23">
        <v>-20</v>
      </c>
      <c r="C51" s="24">
        <v>47.84</v>
      </c>
      <c r="D51" s="24">
        <v>-10.27</v>
      </c>
      <c r="E51" s="24" t="s">
        <v>155</v>
      </c>
      <c r="F51" s="23">
        <v>745</v>
      </c>
      <c r="G51" s="23" t="s">
        <v>190</v>
      </c>
      <c r="H51" s="25"/>
      <c r="I51" s="26"/>
      <c r="J51" s="26"/>
      <c r="K51" s="26">
        <v>1.07</v>
      </c>
      <c r="L51" s="25"/>
      <c r="M51" s="25"/>
      <c r="N51" s="27">
        <v>2.08</v>
      </c>
      <c r="O51" s="27"/>
      <c r="P51" s="23"/>
      <c r="Q51" s="23"/>
      <c r="R51" s="23"/>
      <c r="S51" s="27"/>
      <c r="T51">
        <f t="shared" si="0"/>
        <v>0</v>
      </c>
      <c r="U51">
        <f t="shared" si="1"/>
        <v>1.07</v>
      </c>
    </row>
    <row r="52" spans="1:21">
      <c r="A52" s="23">
        <v>30</v>
      </c>
      <c r="B52" s="23">
        <v>-20</v>
      </c>
      <c r="C52" s="24">
        <v>39.5</v>
      </c>
      <c r="D52" s="24">
        <v>-16</v>
      </c>
      <c r="E52" s="24" t="s">
        <v>155</v>
      </c>
      <c r="F52" s="23">
        <v>747</v>
      </c>
      <c r="G52" s="23" t="s">
        <v>150</v>
      </c>
      <c r="H52" s="25"/>
      <c r="I52" s="26"/>
      <c r="J52" s="26"/>
      <c r="K52" s="26">
        <v>4.7</v>
      </c>
      <c r="L52" s="25"/>
      <c r="M52" s="25"/>
      <c r="N52" s="27">
        <v>1.45</v>
      </c>
      <c r="O52" s="27"/>
      <c r="P52" s="23"/>
      <c r="Q52" s="23"/>
      <c r="R52" s="23"/>
      <c r="S52" s="27"/>
      <c r="T52">
        <f t="shared" si="0"/>
        <v>0</v>
      </c>
      <c r="U52">
        <f t="shared" si="1"/>
        <v>4.7</v>
      </c>
    </row>
    <row r="53" spans="1:21">
      <c r="A53" s="23">
        <v>30</v>
      </c>
      <c r="B53" s="23">
        <v>-20</v>
      </c>
      <c r="C53" s="24">
        <v>39.5</v>
      </c>
      <c r="D53" s="24">
        <v>-19</v>
      </c>
      <c r="E53" s="24" t="s">
        <v>155</v>
      </c>
      <c r="F53" s="23">
        <v>748</v>
      </c>
      <c r="G53" s="23" t="s">
        <v>149</v>
      </c>
      <c r="H53" s="25"/>
      <c r="I53" s="26"/>
      <c r="J53" s="26"/>
      <c r="K53" s="26">
        <v>3.4</v>
      </c>
      <c r="L53" s="25"/>
      <c r="M53" s="25"/>
      <c r="N53" s="27">
        <v>1.4</v>
      </c>
      <c r="O53" s="27"/>
      <c r="P53" s="23"/>
      <c r="Q53" s="23"/>
      <c r="R53" s="23"/>
      <c r="S53" s="27"/>
      <c r="T53">
        <f t="shared" si="0"/>
        <v>0</v>
      </c>
      <c r="U53">
        <f t="shared" si="1"/>
        <v>3.4</v>
      </c>
    </row>
    <row r="54" spans="1:21">
      <c r="A54" s="23">
        <v>30</v>
      </c>
      <c r="B54" s="23">
        <v>-20</v>
      </c>
      <c r="C54" s="24">
        <v>38.6</v>
      </c>
      <c r="D54" s="24">
        <v>-16.7</v>
      </c>
      <c r="E54" s="24" t="s">
        <v>155</v>
      </c>
      <c r="F54" s="23">
        <v>748</v>
      </c>
      <c r="G54" s="23" t="s">
        <v>152</v>
      </c>
      <c r="H54" s="25"/>
      <c r="I54" s="26"/>
      <c r="J54" s="26"/>
      <c r="K54" s="26">
        <v>4.0999999999999996</v>
      </c>
      <c r="L54" s="25"/>
      <c r="M54" s="25"/>
      <c r="N54" s="27">
        <v>1.4</v>
      </c>
      <c r="O54" s="27"/>
      <c r="P54" s="23"/>
      <c r="Q54" s="23"/>
      <c r="R54" s="23"/>
      <c r="S54" s="27"/>
      <c r="T54">
        <f t="shared" si="0"/>
        <v>0</v>
      </c>
      <c r="U54">
        <f t="shared" si="1"/>
        <v>4.0999999999999996</v>
      </c>
    </row>
    <row r="55" spans="1:21">
      <c r="A55" s="12"/>
      <c r="B55" s="12"/>
      <c r="C55" s="11"/>
      <c r="D55" s="11"/>
      <c r="E55" s="11"/>
      <c r="F55" s="10">
        <v>591</v>
      </c>
      <c r="G55" s="12"/>
      <c r="H55" s="13"/>
      <c r="I55" s="14"/>
      <c r="J55" s="14"/>
      <c r="K55" s="14"/>
      <c r="L55" s="13"/>
      <c r="M55" s="13"/>
      <c r="P55" s="12" t="s">
        <v>14</v>
      </c>
      <c r="Q55" s="12"/>
      <c r="R55" s="12" t="s">
        <v>37</v>
      </c>
      <c r="T55">
        <f t="shared" si="0"/>
        <v>0</v>
      </c>
      <c r="U55">
        <f t="shared" si="1"/>
        <v>0</v>
      </c>
    </row>
    <row r="56" spans="1:21">
      <c r="A56" s="12"/>
      <c r="B56" s="12"/>
      <c r="C56" s="11"/>
      <c r="D56" s="11"/>
      <c r="E56" s="11"/>
      <c r="F56" s="12">
        <v>592</v>
      </c>
      <c r="G56" s="12"/>
      <c r="H56" s="13"/>
      <c r="I56" s="14"/>
      <c r="J56" s="14"/>
      <c r="K56" s="14"/>
      <c r="L56" s="13"/>
      <c r="M56" s="13"/>
      <c r="P56" s="12" t="s">
        <v>14</v>
      </c>
      <c r="Q56" s="12"/>
      <c r="R56" s="12" t="s">
        <v>37</v>
      </c>
      <c r="T56">
        <f t="shared" si="0"/>
        <v>0</v>
      </c>
      <c r="U56">
        <f t="shared" si="1"/>
        <v>0</v>
      </c>
    </row>
    <row r="57" spans="1:21">
      <c r="A57" s="12"/>
      <c r="B57" s="12"/>
      <c r="C57" s="11"/>
      <c r="D57" s="11"/>
      <c r="E57" s="11"/>
      <c r="F57" s="10">
        <v>593</v>
      </c>
      <c r="G57" s="12"/>
      <c r="H57" s="13"/>
      <c r="I57" s="14"/>
      <c r="J57" s="14"/>
      <c r="K57" s="14"/>
      <c r="L57" s="13"/>
      <c r="M57" s="13"/>
      <c r="P57" s="12" t="s">
        <v>14</v>
      </c>
      <c r="Q57" s="12"/>
      <c r="R57" s="12" t="s">
        <v>37</v>
      </c>
      <c r="T57">
        <f t="shared" si="0"/>
        <v>0</v>
      </c>
      <c r="U57">
        <f t="shared" si="1"/>
        <v>0</v>
      </c>
    </row>
    <row r="58" spans="1:21">
      <c r="A58" s="12"/>
      <c r="B58" s="12"/>
      <c r="C58" s="11"/>
      <c r="D58" s="11"/>
      <c r="E58" s="11"/>
      <c r="F58" s="12">
        <v>594</v>
      </c>
      <c r="G58" s="12"/>
      <c r="H58" s="13"/>
      <c r="I58" s="14"/>
      <c r="J58" s="14"/>
      <c r="K58" s="14"/>
      <c r="L58" s="13"/>
      <c r="M58" s="13"/>
      <c r="P58" s="12" t="s">
        <v>14</v>
      </c>
      <c r="Q58" s="12"/>
      <c r="R58" s="12" t="s">
        <v>37</v>
      </c>
      <c r="T58">
        <f t="shared" si="0"/>
        <v>0</v>
      </c>
      <c r="U58">
        <f t="shared" si="1"/>
        <v>0</v>
      </c>
    </row>
    <row r="59" spans="1:21">
      <c r="A59" s="12"/>
      <c r="B59" s="12"/>
      <c r="C59" s="11"/>
      <c r="D59" s="11"/>
      <c r="E59" s="11"/>
      <c r="F59" s="10">
        <v>595</v>
      </c>
      <c r="G59" s="12"/>
      <c r="H59" s="13"/>
      <c r="I59" s="14"/>
      <c r="J59" s="14"/>
      <c r="K59" s="14"/>
      <c r="L59" s="13"/>
      <c r="M59" s="13"/>
      <c r="P59" s="12" t="s">
        <v>14</v>
      </c>
      <c r="Q59" s="12"/>
      <c r="R59" s="12" t="s">
        <v>37</v>
      </c>
      <c r="T59">
        <f t="shared" si="0"/>
        <v>0</v>
      </c>
      <c r="U59">
        <f t="shared" si="1"/>
        <v>0</v>
      </c>
    </row>
    <row r="60" spans="1:21">
      <c r="A60" s="12"/>
      <c r="B60" s="12"/>
      <c r="C60" s="11"/>
      <c r="D60" s="11"/>
      <c r="E60" s="11"/>
      <c r="F60" s="12">
        <v>596</v>
      </c>
      <c r="G60" s="12"/>
      <c r="H60" s="13"/>
      <c r="I60" s="14"/>
      <c r="J60" s="14"/>
      <c r="K60" s="14"/>
      <c r="L60" s="13"/>
      <c r="M60" s="13"/>
      <c r="P60" s="12" t="s">
        <v>14</v>
      </c>
      <c r="Q60" s="12"/>
      <c r="R60" s="12" t="s">
        <v>37</v>
      </c>
      <c r="T60">
        <f t="shared" si="0"/>
        <v>0</v>
      </c>
      <c r="U60">
        <f t="shared" si="1"/>
        <v>0</v>
      </c>
    </row>
    <row r="61" spans="1:21">
      <c r="A61" s="12"/>
      <c r="B61" s="12"/>
      <c r="C61" s="11"/>
      <c r="D61" s="11"/>
      <c r="E61" s="11"/>
      <c r="F61" s="10">
        <v>597</v>
      </c>
      <c r="G61" s="12"/>
      <c r="H61" s="13"/>
      <c r="I61" s="14"/>
      <c r="J61" s="14"/>
      <c r="K61" s="14"/>
      <c r="L61" s="13"/>
      <c r="M61" s="13"/>
      <c r="P61" s="12" t="s">
        <v>14</v>
      </c>
      <c r="Q61" s="12"/>
      <c r="R61" s="12" t="s">
        <v>37</v>
      </c>
      <c r="T61">
        <f t="shared" si="0"/>
        <v>0</v>
      </c>
      <c r="U61">
        <f t="shared" si="1"/>
        <v>0</v>
      </c>
    </row>
    <row r="62" spans="1:21">
      <c r="A62" s="12"/>
      <c r="B62" s="12"/>
      <c r="C62" s="11"/>
      <c r="D62" s="11"/>
      <c r="E62" s="11"/>
      <c r="F62" s="12">
        <v>598</v>
      </c>
      <c r="G62" s="12"/>
      <c r="H62" s="13"/>
      <c r="I62" s="14"/>
      <c r="J62" s="14"/>
      <c r="K62" s="14"/>
      <c r="L62" s="13"/>
      <c r="M62" s="13"/>
      <c r="P62" s="12" t="s">
        <v>14</v>
      </c>
      <c r="Q62" s="12"/>
      <c r="R62" s="12" t="s">
        <v>37</v>
      </c>
      <c r="T62">
        <f t="shared" si="0"/>
        <v>0</v>
      </c>
      <c r="U62">
        <f t="shared" si="1"/>
        <v>0</v>
      </c>
    </row>
    <row r="63" spans="1:21">
      <c r="A63" s="12"/>
      <c r="B63" s="12"/>
      <c r="C63" s="11"/>
      <c r="D63" s="11"/>
      <c r="E63" s="11"/>
      <c r="F63" s="10">
        <v>599</v>
      </c>
      <c r="G63" s="12"/>
      <c r="H63" s="13"/>
      <c r="I63" s="14"/>
      <c r="J63" s="14"/>
      <c r="K63" s="14"/>
      <c r="L63" s="13"/>
      <c r="M63" s="13"/>
      <c r="P63" s="12" t="s">
        <v>14</v>
      </c>
      <c r="Q63" s="12"/>
      <c r="R63" s="12" t="s">
        <v>37</v>
      </c>
      <c r="T63">
        <f t="shared" si="0"/>
        <v>0</v>
      </c>
      <c r="U63">
        <f t="shared" si="1"/>
        <v>0</v>
      </c>
    </row>
    <row r="64" spans="1:21">
      <c r="A64" s="12"/>
      <c r="B64" s="12"/>
      <c r="C64" s="11"/>
      <c r="D64" s="11"/>
      <c r="E64" s="11"/>
      <c r="F64" s="12">
        <v>600</v>
      </c>
      <c r="G64" s="12"/>
      <c r="H64" s="13"/>
      <c r="I64" s="14"/>
      <c r="J64" s="14"/>
      <c r="K64" s="14"/>
      <c r="L64" s="13"/>
      <c r="M64" s="13"/>
      <c r="P64" s="12" t="s">
        <v>14</v>
      </c>
      <c r="Q64" s="12"/>
      <c r="R64" s="12" t="s">
        <v>37</v>
      </c>
      <c r="T64">
        <f t="shared" si="0"/>
        <v>0</v>
      </c>
      <c r="U64">
        <f t="shared" si="1"/>
        <v>0</v>
      </c>
    </row>
    <row r="65" spans="1:21">
      <c r="A65" s="23">
        <v>0</v>
      </c>
      <c r="B65" s="23">
        <v>-30</v>
      </c>
      <c r="C65" s="24">
        <v>5.8</v>
      </c>
      <c r="D65" s="24">
        <v>-22.2</v>
      </c>
      <c r="E65" s="24" t="s">
        <v>155</v>
      </c>
      <c r="F65" s="23">
        <v>760</v>
      </c>
      <c r="G65" s="23" t="s">
        <v>152</v>
      </c>
      <c r="H65" s="25"/>
      <c r="I65" s="26"/>
      <c r="J65" s="26"/>
      <c r="K65" s="26">
        <v>18.600000000000001</v>
      </c>
      <c r="L65" s="25"/>
      <c r="M65" s="25"/>
      <c r="N65" s="27">
        <v>2.5</v>
      </c>
      <c r="O65" s="27"/>
      <c r="P65" s="23"/>
      <c r="Q65" s="23"/>
      <c r="R65" s="23"/>
      <c r="S65" s="27" t="s">
        <v>154</v>
      </c>
      <c r="T65">
        <f t="shared" si="0"/>
        <v>0</v>
      </c>
      <c r="U65">
        <f t="shared" si="1"/>
        <v>18.600000000000001</v>
      </c>
    </row>
    <row r="66" spans="1:21">
      <c r="A66" s="23">
        <v>30</v>
      </c>
      <c r="B66" s="23">
        <v>-30</v>
      </c>
      <c r="C66" s="24">
        <v>34.520000000000003</v>
      </c>
      <c r="D66" s="24">
        <v>-22.2</v>
      </c>
      <c r="E66" s="24" t="s">
        <v>155</v>
      </c>
      <c r="F66" s="23">
        <v>777</v>
      </c>
      <c r="G66" s="23" t="s">
        <v>149</v>
      </c>
      <c r="H66" s="25"/>
      <c r="I66" s="26"/>
      <c r="J66" s="26"/>
      <c r="K66" s="26">
        <v>1.5</v>
      </c>
      <c r="L66" s="25"/>
      <c r="M66" s="25"/>
      <c r="N66" s="27">
        <v>1.3</v>
      </c>
      <c r="O66" s="27"/>
      <c r="P66" s="23"/>
      <c r="Q66" s="23"/>
      <c r="R66" s="23"/>
      <c r="S66" s="27"/>
      <c r="T66">
        <f t="shared" ref="T66:T129" si="2">IF(H66="",I66,H66/PI())</f>
        <v>0</v>
      </c>
      <c r="U66">
        <f t="shared" ref="U66:U129" si="3">IF(J66="dead","dead",J66/PI()+K66)</f>
        <v>1.5</v>
      </c>
    </row>
    <row r="67" spans="1:21">
      <c r="A67" s="23">
        <v>40</v>
      </c>
      <c r="B67" s="23">
        <v>-30</v>
      </c>
      <c r="C67" s="24">
        <v>42.09</v>
      </c>
      <c r="D67" s="24">
        <v>-25.31</v>
      </c>
      <c r="E67" s="24" t="s">
        <v>155</v>
      </c>
      <c r="F67" s="23">
        <v>782</v>
      </c>
      <c r="G67" s="23" t="s">
        <v>150</v>
      </c>
      <c r="H67" s="25"/>
      <c r="I67" s="26"/>
      <c r="J67" s="26"/>
      <c r="K67" s="26">
        <v>19.7</v>
      </c>
      <c r="L67" s="25"/>
      <c r="M67" s="25"/>
      <c r="N67" s="27">
        <v>2.7</v>
      </c>
      <c r="O67" s="27"/>
      <c r="P67" s="23"/>
      <c r="Q67" s="23"/>
      <c r="R67" s="23"/>
      <c r="S67" s="27" t="s">
        <v>154</v>
      </c>
      <c r="T67">
        <f t="shared" si="2"/>
        <v>0</v>
      </c>
      <c r="U67">
        <f t="shared" si="3"/>
        <v>19.7</v>
      </c>
    </row>
    <row r="68" spans="1:21">
      <c r="A68" s="23">
        <v>40</v>
      </c>
      <c r="B68" s="23">
        <v>-30</v>
      </c>
      <c r="C68" s="24">
        <v>42.24</v>
      </c>
      <c r="D68" s="24">
        <v>-25.94</v>
      </c>
      <c r="E68" s="24" t="s">
        <v>155</v>
      </c>
      <c r="F68" s="23">
        <v>781</v>
      </c>
      <c r="G68" s="23" t="s">
        <v>150</v>
      </c>
      <c r="H68" s="25"/>
      <c r="I68" s="26"/>
      <c r="J68" s="26"/>
      <c r="K68" s="26">
        <v>3</v>
      </c>
      <c r="L68" s="25"/>
      <c r="M68" s="25"/>
      <c r="N68" s="27">
        <v>1.3</v>
      </c>
      <c r="O68" s="27"/>
      <c r="P68" s="23"/>
      <c r="Q68" s="23"/>
      <c r="R68" s="23"/>
      <c r="S68" s="27" t="s">
        <v>154</v>
      </c>
      <c r="T68">
        <f t="shared" si="2"/>
        <v>0</v>
      </c>
      <c r="U68">
        <f t="shared" si="3"/>
        <v>3</v>
      </c>
    </row>
    <row r="69" spans="1:21">
      <c r="A69" s="23">
        <v>40</v>
      </c>
      <c r="B69" s="23">
        <v>-30</v>
      </c>
      <c r="C69" s="24">
        <v>40.799999999999997</v>
      </c>
      <c r="D69" s="24">
        <v>-21</v>
      </c>
      <c r="E69" s="24" t="s">
        <v>155</v>
      </c>
      <c r="F69" s="23">
        <v>778</v>
      </c>
      <c r="G69" s="23" t="s">
        <v>150</v>
      </c>
      <c r="H69" s="25"/>
      <c r="I69" s="26"/>
      <c r="J69" s="26"/>
      <c r="K69" s="26">
        <v>4</v>
      </c>
      <c r="L69" s="25"/>
      <c r="M69" s="25"/>
      <c r="N69" s="27">
        <v>1.3</v>
      </c>
      <c r="O69" s="27"/>
      <c r="P69" s="23"/>
      <c r="Q69" s="23"/>
      <c r="R69" s="23"/>
      <c r="S69" s="27"/>
      <c r="T69">
        <f t="shared" si="2"/>
        <v>0</v>
      </c>
      <c r="U69">
        <f t="shared" si="3"/>
        <v>4</v>
      </c>
    </row>
    <row r="70" spans="1:21">
      <c r="A70" s="23">
        <v>40</v>
      </c>
      <c r="B70" s="23">
        <v>-30</v>
      </c>
      <c r="C70" s="24">
        <v>40.5</v>
      </c>
      <c r="D70" s="24">
        <v>-21</v>
      </c>
      <c r="E70" s="24" t="s">
        <v>155</v>
      </c>
      <c r="F70" s="23">
        <v>779</v>
      </c>
      <c r="G70" s="23" t="s">
        <v>150</v>
      </c>
      <c r="H70" s="25"/>
      <c r="I70" s="26"/>
      <c r="J70" s="26"/>
      <c r="K70" s="26">
        <v>2.7</v>
      </c>
      <c r="L70" s="25"/>
      <c r="M70" s="25"/>
      <c r="N70" s="27">
        <v>1.5</v>
      </c>
      <c r="O70" s="27"/>
      <c r="P70" s="23"/>
      <c r="Q70" s="23"/>
      <c r="R70" s="23"/>
      <c r="S70" s="27"/>
      <c r="T70">
        <f t="shared" si="2"/>
        <v>0</v>
      </c>
      <c r="U70">
        <f t="shared" si="3"/>
        <v>2.7</v>
      </c>
    </row>
    <row r="71" spans="1:21">
      <c r="A71" s="23">
        <v>40</v>
      </c>
      <c r="B71" s="23">
        <v>-30</v>
      </c>
      <c r="C71" s="24">
        <v>45.6</v>
      </c>
      <c r="D71" s="24">
        <v>-28.6</v>
      </c>
      <c r="E71" s="24" t="s">
        <v>147</v>
      </c>
      <c r="F71" s="23">
        <v>602</v>
      </c>
      <c r="G71" s="23" t="s">
        <v>149</v>
      </c>
      <c r="H71" s="25"/>
      <c r="I71" s="26"/>
      <c r="J71" s="26"/>
      <c r="K71" s="26">
        <v>5.0999999999999996</v>
      </c>
      <c r="L71" s="25"/>
      <c r="M71" s="25"/>
      <c r="N71" s="27">
        <v>1.9</v>
      </c>
      <c r="O71" s="27"/>
      <c r="P71" s="23"/>
      <c r="Q71" s="23"/>
      <c r="R71" s="23"/>
      <c r="S71" s="27"/>
      <c r="T71">
        <f t="shared" si="2"/>
        <v>0</v>
      </c>
      <c r="U71">
        <f t="shared" si="3"/>
        <v>5.0999999999999996</v>
      </c>
    </row>
    <row r="72" spans="1:21">
      <c r="A72" s="23">
        <v>20</v>
      </c>
      <c r="B72" s="23">
        <v>-40</v>
      </c>
      <c r="C72" s="24">
        <v>24.12</v>
      </c>
      <c r="D72" s="24">
        <v>-32.29</v>
      </c>
      <c r="E72" s="24" t="s">
        <v>155</v>
      </c>
      <c r="F72" s="23">
        <v>787</v>
      </c>
      <c r="G72" s="23" t="s">
        <v>152</v>
      </c>
      <c r="H72" s="25"/>
      <c r="I72" s="26"/>
      <c r="J72" s="26"/>
      <c r="K72" s="26">
        <v>7</v>
      </c>
      <c r="L72" s="25"/>
      <c r="M72" s="25"/>
      <c r="N72" s="27">
        <v>1.73</v>
      </c>
      <c r="O72" s="27">
        <v>0</v>
      </c>
      <c r="P72" s="23"/>
      <c r="Q72" s="23"/>
      <c r="R72" s="23"/>
      <c r="S72" s="27"/>
      <c r="T72">
        <f t="shared" si="2"/>
        <v>0</v>
      </c>
      <c r="U72">
        <f t="shared" si="3"/>
        <v>7</v>
      </c>
    </row>
    <row r="73" spans="1:21">
      <c r="A73" s="12"/>
      <c r="B73" s="12"/>
      <c r="C73" s="11"/>
      <c r="D73" s="11"/>
      <c r="E73" s="11"/>
      <c r="F73" s="12">
        <v>732</v>
      </c>
      <c r="G73" s="12"/>
      <c r="H73" s="13"/>
      <c r="I73" s="14"/>
      <c r="J73" s="14"/>
      <c r="K73" s="14"/>
      <c r="L73" s="13"/>
      <c r="M73" s="13"/>
      <c r="P73" s="12" t="s">
        <v>14</v>
      </c>
      <c r="Q73" s="12"/>
      <c r="R73" s="12" t="s">
        <v>37</v>
      </c>
      <c r="T73">
        <f t="shared" si="2"/>
        <v>0</v>
      </c>
      <c r="U73">
        <f t="shared" si="3"/>
        <v>0</v>
      </c>
    </row>
    <row r="74" spans="1:21">
      <c r="A74" s="12"/>
      <c r="B74" s="12"/>
      <c r="C74" s="11"/>
      <c r="D74" s="11"/>
      <c r="E74" s="11"/>
      <c r="F74" s="10">
        <v>733</v>
      </c>
      <c r="G74" s="12"/>
      <c r="H74" s="13"/>
      <c r="I74" s="14"/>
      <c r="J74" s="14"/>
      <c r="K74" s="14"/>
      <c r="L74" s="13"/>
      <c r="M74" s="13"/>
      <c r="P74" s="12" t="s">
        <v>14</v>
      </c>
      <c r="Q74" s="12"/>
      <c r="R74" s="12" t="s">
        <v>37</v>
      </c>
      <c r="T74">
        <f t="shared" si="2"/>
        <v>0</v>
      </c>
      <c r="U74">
        <f t="shared" si="3"/>
        <v>0</v>
      </c>
    </row>
    <row r="75" spans="1:21">
      <c r="A75" s="12"/>
      <c r="B75" s="12"/>
      <c r="C75" s="11"/>
      <c r="D75" s="11"/>
      <c r="E75" s="11"/>
      <c r="F75" s="12">
        <v>734</v>
      </c>
      <c r="G75" s="12"/>
      <c r="H75" s="13"/>
      <c r="I75" s="14"/>
      <c r="J75" s="14"/>
      <c r="K75" s="14"/>
      <c r="L75" s="13"/>
      <c r="M75" s="13"/>
      <c r="P75" s="12" t="s">
        <v>14</v>
      </c>
      <c r="Q75" s="12"/>
      <c r="R75" s="12" t="s">
        <v>37</v>
      </c>
      <c r="T75">
        <f t="shared" si="2"/>
        <v>0</v>
      </c>
      <c r="U75">
        <f t="shared" si="3"/>
        <v>0</v>
      </c>
    </row>
    <row r="76" spans="1:21">
      <c r="A76" s="12"/>
      <c r="B76" s="12"/>
      <c r="C76" s="11"/>
      <c r="D76" s="11"/>
      <c r="E76" s="11"/>
      <c r="F76" s="10">
        <v>735</v>
      </c>
      <c r="G76" s="12"/>
      <c r="H76" s="13"/>
      <c r="I76" s="14"/>
      <c r="J76" s="14"/>
      <c r="K76" s="14"/>
      <c r="L76" s="13"/>
      <c r="M76" s="13"/>
      <c r="P76" s="12" t="s">
        <v>14</v>
      </c>
      <c r="Q76" s="12"/>
      <c r="R76" s="12" t="s">
        <v>37</v>
      </c>
      <c r="T76">
        <f t="shared" si="2"/>
        <v>0</v>
      </c>
      <c r="U76">
        <f t="shared" si="3"/>
        <v>0</v>
      </c>
    </row>
    <row r="77" spans="1:21">
      <c r="A77" s="12"/>
      <c r="B77" s="12"/>
      <c r="C77" s="11"/>
      <c r="D77" s="11"/>
      <c r="E77" s="11"/>
      <c r="F77" s="12">
        <v>736</v>
      </c>
      <c r="G77" s="12"/>
      <c r="H77" s="13"/>
      <c r="I77" s="14"/>
      <c r="J77" s="14"/>
      <c r="K77" s="14"/>
      <c r="L77" s="13"/>
      <c r="M77" s="13"/>
      <c r="P77" s="12" t="s">
        <v>14</v>
      </c>
      <c r="Q77" s="12"/>
      <c r="R77" s="12" t="s">
        <v>37</v>
      </c>
      <c r="T77">
        <f t="shared" si="2"/>
        <v>0</v>
      </c>
      <c r="U77">
        <f t="shared" si="3"/>
        <v>0</v>
      </c>
    </row>
    <row r="78" spans="1:21">
      <c r="A78" s="12"/>
      <c r="B78" s="12"/>
      <c r="C78" s="11"/>
      <c r="D78" s="11"/>
      <c r="E78" s="11"/>
      <c r="F78" s="10">
        <v>737</v>
      </c>
      <c r="G78" s="12"/>
      <c r="H78" s="13"/>
      <c r="I78" s="14"/>
      <c r="J78" s="14"/>
      <c r="K78" s="14"/>
      <c r="L78" s="13"/>
      <c r="M78" s="13"/>
      <c r="P78" s="12" t="s">
        <v>14</v>
      </c>
      <c r="Q78" s="12"/>
      <c r="R78" s="12" t="s">
        <v>37</v>
      </c>
      <c r="T78">
        <f t="shared" si="2"/>
        <v>0</v>
      </c>
      <c r="U78">
        <f t="shared" si="3"/>
        <v>0</v>
      </c>
    </row>
    <row r="79" spans="1:21">
      <c r="A79" s="12"/>
      <c r="B79" s="12"/>
      <c r="C79" s="11"/>
      <c r="D79" s="11"/>
      <c r="E79" s="11"/>
      <c r="F79" s="12">
        <v>738</v>
      </c>
      <c r="G79" s="12"/>
      <c r="H79" s="13"/>
      <c r="I79" s="14"/>
      <c r="J79" s="14"/>
      <c r="K79" s="14"/>
      <c r="L79" s="13"/>
      <c r="M79" s="13"/>
      <c r="P79" s="12" t="s">
        <v>14</v>
      </c>
      <c r="Q79" s="12"/>
      <c r="R79" s="12" t="s">
        <v>37</v>
      </c>
      <c r="T79">
        <f t="shared" si="2"/>
        <v>0</v>
      </c>
      <c r="U79">
        <f t="shared" si="3"/>
        <v>0</v>
      </c>
    </row>
    <row r="80" spans="1:21">
      <c r="A80" s="12"/>
      <c r="B80" s="12"/>
      <c r="C80" s="11"/>
      <c r="D80" s="11"/>
      <c r="E80" s="11"/>
      <c r="F80" s="10">
        <v>739</v>
      </c>
      <c r="G80" s="12"/>
      <c r="H80" s="13"/>
      <c r="I80" s="14"/>
      <c r="J80" s="14"/>
      <c r="K80" s="14"/>
      <c r="L80" s="13"/>
      <c r="M80" s="13"/>
      <c r="P80" s="12" t="s">
        <v>14</v>
      </c>
      <c r="Q80" s="12"/>
      <c r="R80" s="12" t="s">
        <v>37</v>
      </c>
      <c r="T80">
        <f t="shared" si="2"/>
        <v>0</v>
      </c>
      <c r="U80">
        <f t="shared" si="3"/>
        <v>0</v>
      </c>
    </row>
    <row r="81" spans="1:21">
      <c r="A81" s="12"/>
      <c r="B81" s="12"/>
      <c r="C81" s="11"/>
      <c r="D81" s="11"/>
      <c r="E81" s="11"/>
      <c r="F81" s="12">
        <v>740</v>
      </c>
      <c r="G81" s="12"/>
      <c r="H81" s="13"/>
      <c r="I81" s="14"/>
      <c r="J81" s="14"/>
      <c r="K81" s="14"/>
      <c r="L81" s="13"/>
      <c r="M81" s="13"/>
      <c r="N81" s="12"/>
      <c r="O81" s="12"/>
      <c r="P81" s="12" t="s">
        <v>14</v>
      </c>
      <c r="Q81" s="12"/>
      <c r="R81" s="32" t="s">
        <v>37</v>
      </c>
      <c r="S81" s="12"/>
      <c r="T81">
        <f t="shared" si="2"/>
        <v>0</v>
      </c>
      <c r="U81">
        <f t="shared" si="3"/>
        <v>0</v>
      </c>
    </row>
    <row r="82" spans="1:21">
      <c r="A82" s="12"/>
      <c r="B82" s="12"/>
      <c r="C82" s="11"/>
      <c r="D82" s="11"/>
      <c r="E82" s="11"/>
      <c r="F82" s="10">
        <v>741</v>
      </c>
      <c r="G82" s="12"/>
      <c r="H82" s="13"/>
      <c r="I82" s="14"/>
      <c r="J82" s="14"/>
      <c r="K82" s="14"/>
      <c r="L82" s="13"/>
      <c r="M82" s="13"/>
      <c r="N82" s="32"/>
      <c r="O82" s="32"/>
      <c r="P82" s="12" t="s">
        <v>14</v>
      </c>
      <c r="Q82" s="12"/>
      <c r="R82" s="12" t="s">
        <v>37</v>
      </c>
      <c r="S82" s="32"/>
      <c r="T82">
        <f t="shared" si="2"/>
        <v>0</v>
      </c>
      <c r="U82">
        <f t="shared" si="3"/>
        <v>0</v>
      </c>
    </row>
    <row r="83" spans="1:21">
      <c r="A83" s="12"/>
      <c r="B83" s="12"/>
      <c r="C83" s="11"/>
      <c r="D83" s="11"/>
      <c r="E83" s="11"/>
      <c r="F83" s="12">
        <v>742</v>
      </c>
      <c r="G83" s="12"/>
      <c r="H83" s="13"/>
      <c r="I83" s="14"/>
      <c r="J83" s="14"/>
      <c r="K83" s="14"/>
      <c r="L83" s="13"/>
      <c r="M83" s="13"/>
      <c r="P83" s="12" t="s">
        <v>14</v>
      </c>
      <c r="Q83" s="12"/>
      <c r="R83" s="12" t="s">
        <v>37</v>
      </c>
      <c r="T83">
        <f t="shared" si="2"/>
        <v>0</v>
      </c>
      <c r="U83">
        <f t="shared" si="3"/>
        <v>0</v>
      </c>
    </row>
    <row r="84" spans="1:21">
      <c r="A84" s="12"/>
      <c r="B84" s="12"/>
      <c r="C84" s="11"/>
      <c r="D84" s="11"/>
      <c r="E84" s="11"/>
      <c r="F84" s="10">
        <v>743</v>
      </c>
      <c r="G84" s="12"/>
      <c r="H84" s="13"/>
      <c r="I84" s="14"/>
      <c r="J84" s="14"/>
      <c r="K84" s="14"/>
      <c r="L84" s="13"/>
      <c r="M84" s="13"/>
      <c r="P84" s="12" t="s">
        <v>14</v>
      </c>
      <c r="Q84" s="12"/>
      <c r="R84" s="12" t="s">
        <v>37</v>
      </c>
      <c r="T84">
        <f t="shared" si="2"/>
        <v>0</v>
      </c>
      <c r="U84">
        <f t="shared" si="3"/>
        <v>0</v>
      </c>
    </row>
    <row r="85" spans="1:21">
      <c r="A85" s="12"/>
      <c r="B85" s="12"/>
      <c r="C85" s="11"/>
      <c r="D85" s="11"/>
      <c r="E85" s="11"/>
      <c r="F85" s="12">
        <v>744</v>
      </c>
      <c r="G85" s="12"/>
      <c r="H85" s="13"/>
      <c r="I85" s="14"/>
      <c r="J85" s="14"/>
      <c r="K85" s="14"/>
      <c r="L85" s="13"/>
      <c r="M85" s="13"/>
      <c r="P85" s="12" t="s">
        <v>14</v>
      </c>
      <c r="Q85" s="12"/>
      <c r="R85" s="12" t="s">
        <v>37</v>
      </c>
      <c r="T85">
        <f t="shared" si="2"/>
        <v>0</v>
      </c>
      <c r="U85">
        <f t="shared" si="3"/>
        <v>0</v>
      </c>
    </row>
    <row r="86" spans="1:21">
      <c r="A86" s="12"/>
      <c r="B86" s="12"/>
      <c r="C86" s="11"/>
      <c r="D86" s="11"/>
      <c r="E86" s="11"/>
      <c r="F86" s="10">
        <v>745</v>
      </c>
      <c r="G86" s="12"/>
      <c r="H86" s="13"/>
      <c r="I86" s="14"/>
      <c r="J86" s="14"/>
      <c r="K86" s="14"/>
      <c r="L86" s="13"/>
      <c r="M86" s="13"/>
      <c r="P86" s="12" t="s">
        <v>14</v>
      </c>
      <c r="Q86" s="12"/>
      <c r="R86" s="12" t="s">
        <v>37</v>
      </c>
      <c r="T86">
        <f t="shared" si="2"/>
        <v>0</v>
      </c>
      <c r="U86">
        <f t="shared" si="3"/>
        <v>0</v>
      </c>
    </row>
    <row r="87" spans="1:21">
      <c r="A87" s="12"/>
      <c r="B87" s="12"/>
      <c r="C87" s="11"/>
      <c r="D87" s="11"/>
      <c r="E87" s="11"/>
      <c r="F87" s="12">
        <v>746</v>
      </c>
      <c r="G87" s="12"/>
      <c r="H87" s="13"/>
      <c r="I87" s="14"/>
      <c r="J87" s="14"/>
      <c r="K87" s="14"/>
      <c r="L87" s="13"/>
      <c r="M87" s="13"/>
      <c r="P87" s="12" t="s">
        <v>14</v>
      </c>
      <c r="Q87" s="12"/>
      <c r="R87" s="12" t="s">
        <v>37</v>
      </c>
      <c r="T87">
        <f t="shared" si="2"/>
        <v>0</v>
      </c>
      <c r="U87">
        <f t="shared" si="3"/>
        <v>0</v>
      </c>
    </row>
    <row r="88" spans="1:21" s="27" customFormat="1">
      <c r="A88" s="12"/>
      <c r="B88" s="12"/>
      <c r="C88" s="11"/>
      <c r="D88" s="11"/>
      <c r="E88" s="11"/>
      <c r="F88" s="10">
        <v>747</v>
      </c>
      <c r="G88" s="12"/>
      <c r="H88" s="13"/>
      <c r="I88" s="14"/>
      <c r="J88" s="14"/>
      <c r="K88" s="14"/>
      <c r="L88" s="13"/>
      <c r="M88" s="13"/>
      <c r="N88"/>
      <c r="O88"/>
      <c r="P88" s="12" t="s">
        <v>14</v>
      </c>
      <c r="Q88" s="12"/>
      <c r="R88" s="12" t="s">
        <v>37</v>
      </c>
      <c r="S88"/>
      <c r="T88">
        <f t="shared" si="2"/>
        <v>0</v>
      </c>
      <c r="U88">
        <f t="shared" si="3"/>
        <v>0</v>
      </c>
    </row>
    <row r="89" spans="1:21">
      <c r="A89" s="12"/>
      <c r="B89" s="12"/>
      <c r="C89" s="11"/>
      <c r="D89" s="11"/>
      <c r="E89" s="11"/>
      <c r="F89" s="12">
        <v>748</v>
      </c>
      <c r="G89" s="12"/>
      <c r="H89" s="13"/>
      <c r="I89" s="14"/>
      <c r="J89" s="14"/>
      <c r="K89" s="14"/>
      <c r="L89" s="13"/>
      <c r="M89" s="13"/>
      <c r="P89" s="12" t="s">
        <v>14</v>
      </c>
      <c r="Q89" s="12"/>
      <c r="R89" s="12" t="s">
        <v>37</v>
      </c>
      <c r="T89">
        <f t="shared" si="2"/>
        <v>0</v>
      </c>
      <c r="U89">
        <f t="shared" si="3"/>
        <v>0</v>
      </c>
    </row>
    <row r="90" spans="1:21">
      <c r="A90" s="12"/>
      <c r="B90" s="12"/>
      <c r="C90" s="11"/>
      <c r="D90" s="11"/>
      <c r="E90" s="11"/>
      <c r="F90" s="10">
        <v>749</v>
      </c>
      <c r="G90" s="12"/>
      <c r="H90" s="13"/>
      <c r="I90" s="14"/>
      <c r="J90" s="14"/>
      <c r="K90" s="14"/>
      <c r="L90" s="13"/>
      <c r="M90" s="13"/>
      <c r="P90" s="12" t="s">
        <v>14</v>
      </c>
      <c r="Q90" s="12"/>
      <c r="R90" s="12" t="s">
        <v>37</v>
      </c>
      <c r="T90">
        <f t="shared" si="2"/>
        <v>0</v>
      </c>
      <c r="U90">
        <f t="shared" si="3"/>
        <v>0</v>
      </c>
    </row>
    <row r="91" spans="1:21">
      <c r="A91" s="12"/>
      <c r="B91" s="12"/>
      <c r="C91" s="11"/>
      <c r="D91" s="11"/>
      <c r="E91" s="11"/>
      <c r="F91" s="12">
        <v>750</v>
      </c>
      <c r="G91" s="12"/>
      <c r="H91" s="13"/>
      <c r="I91" s="14"/>
      <c r="J91" s="14"/>
      <c r="K91" s="14"/>
      <c r="L91" s="13"/>
      <c r="M91" s="13"/>
      <c r="P91" s="12" t="s">
        <v>14</v>
      </c>
      <c r="Q91" s="12"/>
      <c r="R91" s="12" t="s">
        <v>37</v>
      </c>
      <c r="T91">
        <f t="shared" si="2"/>
        <v>0</v>
      </c>
      <c r="U91">
        <f t="shared" si="3"/>
        <v>0</v>
      </c>
    </row>
    <row r="92" spans="1:21">
      <c r="A92" s="12"/>
      <c r="B92" s="12"/>
      <c r="C92" s="11"/>
      <c r="D92" s="11"/>
      <c r="E92" s="11"/>
      <c r="F92" s="10">
        <v>751</v>
      </c>
      <c r="G92" s="12"/>
      <c r="H92" s="13"/>
      <c r="I92" s="14"/>
      <c r="J92" s="14"/>
      <c r="K92" s="14"/>
      <c r="L92" s="13"/>
      <c r="M92" s="13"/>
      <c r="P92" s="12" t="s">
        <v>14</v>
      </c>
      <c r="Q92" s="12"/>
      <c r="R92" s="12" t="s">
        <v>37</v>
      </c>
      <c r="T92">
        <f t="shared" si="2"/>
        <v>0</v>
      </c>
      <c r="U92">
        <f t="shared" si="3"/>
        <v>0</v>
      </c>
    </row>
    <row r="93" spans="1:21">
      <c r="A93" s="12"/>
      <c r="B93" s="12"/>
      <c r="C93" s="11"/>
      <c r="D93" s="11"/>
      <c r="E93" s="11"/>
      <c r="F93" s="12">
        <v>752</v>
      </c>
      <c r="G93" s="12"/>
      <c r="H93" s="13"/>
      <c r="I93" s="14"/>
      <c r="J93" s="14"/>
      <c r="K93" s="14"/>
      <c r="L93" s="13"/>
      <c r="M93" s="13"/>
      <c r="P93" s="12" t="s">
        <v>14</v>
      </c>
      <c r="Q93" s="12"/>
      <c r="R93" s="12" t="s">
        <v>37</v>
      </c>
      <c r="T93">
        <f t="shared" si="2"/>
        <v>0</v>
      </c>
      <c r="U93">
        <f t="shared" si="3"/>
        <v>0</v>
      </c>
    </row>
    <row r="94" spans="1:21">
      <c r="A94" s="12"/>
      <c r="B94" s="12"/>
      <c r="C94" s="11"/>
      <c r="D94" s="11"/>
      <c r="E94" s="11"/>
      <c r="F94" s="10">
        <v>753</v>
      </c>
      <c r="G94" s="12"/>
      <c r="H94" s="13"/>
      <c r="I94" s="14"/>
      <c r="J94" s="14"/>
      <c r="K94" s="14"/>
      <c r="L94" s="13"/>
      <c r="M94" s="13"/>
      <c r="P94" s="12" t="s">
        <v>14</v>
      </c>
      <c r="Q94" s="12"/>
      <c r="R94" s="12" t="s">
        <v>37</v>
      </c>
      <c r="T94">
        <f t="shared" si="2"/>
        <v>0</v>
      </c>
      <c r="U94">
        <f t="shared" si="3"/>
        <v>0</v>
      </c>
    </row>
    <row r="95" spans="1:21">
      <c r="A95" s="12"/>
      <c r="B95" s="12"/>
      <c r="C95" s="11"/>
      <c r="D95" s="11"/>
      <c r="E95" s="11"/>
      <c r="F95" s="12">
        <v>754</v>
      </c>
      <c r="G95" s="12"/>
      <c r="H95" s="13"/>
      <c r="I95" s="14"/>
      <c r="J95" s="14"/>
      <c r="K95" s="14"/>
      <c r="L95" s="13"/>
      <c r="M95" s="13"/>
      <c r="P95" s="12" t="s">
        <v>14</v>
      </c>
      <c r="Q95" s="12"/>
      <c r="R95" s="12" t="s">
        <v>37</v>
      </c>
      <c r="T95">
        <f t="shared" si="2"/>
        <v>0</v>
      </c>
      <c r="U95">
        <f t="shared" si="3"/>
        <v>0</v>
      </c>
    </row>
    <row r="96" spans="1:21">
      <c r="A96" s="12"/>
      <c r="B96" s="12"/>
      <c r="C96" s="11"/>
      <c r="D96" s="11"/>
      <c r="E96" s="11"/>
      <c r="F96" s="10">
        <v>755</v>
      </c>
      <c r="G96" s="12"/>
      <c r="H96" s="13"/>
      <c r="I96" s="14"/>
      <c r="J96" s="14"/>
      <c r="K96" s="14"/>
      <c r="L96" s="13"/>
      <c r="M96" s="13"/>
      <c r="P96" s="12" t="s">
        <v>14</v>
      </c>
      <c r="Q96" s="12"/>
      <c r="R96" s="12" t="s">
        <v>37</v>
      </c>
      <c r="T96">
        <f t="shared" si="2"/>
        <v>0</v>
      </c>
      <c r="U96">
        <f t="shared" si="3"/>
        <v>0</v>
      </c>
    </row>
    <row r="97" spans="1:21">
      <c r="A97" s="12"/>
      <c r="B97" s="12"/>
      <c r="C97" s="11"/>
      <c r="D97" s="11"/>
      <c r="E97" s="11"/>
      <c r="F97" s="12">
        <v>756</v>
      </c>
      <c r="G97" s="12"/>
      <c r="H97" s="13"/>
      <c r="I97" s="14"/>
      <c r="J97" s="14"/>
      <c r="K97" s="14"/>
      <c r="L97" s="13"/>
      <c r="M97" s="13"/>
      <c r="P97" s="12" t="s">
        <v>14</v>
      </c>
      <c r="Q97" s="12"/>
      <c r="R97" s="12" t="s">
        <v>37</v>
      </c>
      <c r="T97">
        <f t="shared" si="2"/>
        <v>0</v>
      </c>
      <c r="U97">
        <f t="shared" si="3"/>
        <v>0</v>
      </c>
    </row>
    <row r="98" spans="1:21">
      <c r="A98" s="12"/>
      <c r="B98" s="12"/>
      <c r="C98" s="11"/>
      <c r="D98" s="11"/>
      <c r="E98" s="11"/>
      <c r="F98" s="10">
        <v>757</v>
      </c>
      <c r="G98" s="12"/>
      <c r="H98" s="13"/>
      <c r="I98" s="14"/>
      <c r="J98" s="14"/>
      <c r="K98" s="14"/>
      <c r="L98" s="13"/>
      <c r="M98" s="13"/>
      <c r="P98" s="12" t="s">
        <v>14</v>
      </c>
      <c r="Q98" s="12"/>
      <c r="R98" s="12" t="s">
        <v>37</v>
      </c>
      <c r="T98">
        <f t="shared" si="2"/>
        <v>0</v>
      </c>
      <c r="U98">
        <f t="shared" si="3"/>
        <v>0</v>
      </c>
    </row>
    <row r="99" spans="1:21">
      <c r="A99" s="12"/>
      <c r="B99" s="12"/>
      <c r="C99" s="11"/>
      <c r="D99" s="11"/>
      <c r="E99" s="11"/>
      <c r="F99" s="12">
        <v>758</v>
      </c>
      <c r="G99" s="12"/>
      <c r="H99" s="13"/>
      <c r="I99" s="14"/>
      <c r="J99" s="14"/>
      <c r="K99" s="14"/>
      <c r="L99" s="13"/>
      <c r="M99" s="13"/>
      <c r="P99" s="12" t="s">
        <v>14</v>
      </c>
      <c r="Q99" s="12"/>
      <c r="R99" s="12" t="s">
        <v>37</v>
      </c>
      <c r="T99">
        <f t="shared" si="2"/>
        <v>0</v>
      </c>
      <c r="U99">
        <f t="shared" si="3"/>
        <v>0</v>
      </c>
    </row>
    <row r="100" spans="1:21">
      <c r="A100" s="12"/>
      <c r="B100" s="12"/>
      <c r="C100" s="11"/>
      <c r="D100" s="11"/>
      <c r="E100" s="11"/>
      <c r="F100" s="10">
        <v>759</v>
      </c>
      <c r="G100" s="12"/>
      <c r="H100" s="13"/>
      <c r="I100" s="14"/>
      <c r="J100" s="14"/>
      <c r="K100" s="14"/>
      <c r="L100" s="13"/>
      <c r="M100" s="13"/>
      <c r="P100" s="12" t="s">
        <v>14</v>
      </c>
      <c r="Q100" s="12"/>
      <c r="R100" s="12" t="s">
        <v>37</v>
      </c>
      <c r="T100">
        <f t="shared" si="2"/>
        <v>0</v>
      </c>
      <c r="U100">
        <f t="shared" si="3"/>
        <v>0</v>
      </c>
    </row>
    <row r="101" spans="1:21">
      <c r="A101" s="12"/>
      <c r="B101" s="12"/>
      <c r="C101" s="11"/>
      <c r="D101" s="11"/>
      <c r="E101" s="11"/>
      <c r="F101" s="12">
        <v>760</v>
      </c>
      <c r="G101" s="12"/>
      <c r="H101" s="13"/>
      <c r="I101" s="14"/>
      <c r="J101" s="14"/>
      <c r="K101" s="14"/>
      <c r="L101" s="13"/>
      <c r="M101" s="13"/>
      <c r="P101" s="12" t="s">
        <v>14</v>
      </c>
      <c r="Q101" s="12"/>
      <c r="R101" s="12" t="s">
        <v>37</v>
      </c>
      <c r="T101">
        <f t="shared" si="2"/>
        <v>0</v>
      </c>
      <c r="U101">
        <f t="shared" si="3"/>
        <v>0</v>
      </c>
    </row>
    <row r="102" spans="1:21">
      <c r="A102" s="12"/>
      <c r="B102" s="12"/>
      <c r="C102" s="11"/>
      <c r="D102" s="11"/>
      <c r="E102" s="11"/>
      <c r="F102" s="10">
        <v>761</v>
      </c>
      <c r="G102" s="12"/>
      <c r="H102" s="13"/>
      <c r="I102" s="14"/>
      <c r="J102" s="14"/>
      <c r="K102" s="14"/>
      <c r="L102" s="13"/>
      <c r="M102" s="13"/>
      <c r="P102" s="12" t="s">
        <v>14</v>
      </c>
      <c r="Q102" s="12"/>
      <c r="R102" s="12" t="s">
        <v>37</v>
      </c>
      <c r="T102">
        <f t="shared" si="2"/>
        <v>0</v>
      </c>
      <c r="U102">
        <f t="shared" si="3"/>
        <v>0</v>
      </c>
    </row>
    <row r="103" spans="1:21">
      <c r="A103" s="12"/>
      <c r="B103" s="12"/>
      <c r="C103" s="11"/>
      <c r="D103" s="11"/>
      <c r="E103" s="11"/>
      <c r="F103" s="12">
        <v>762</v>
      </c>
      <c r="G103" s="12"/>
      <c r="H103" s="13"/>
      <c r="I103" s="14"/>
      <c r="J103" s="14"/>
      <c r="K103" s="14"/>
      <c r="L103" s="13"/>
      <c r="M103" s="13"/>
      <c r="P103" s="12" t="s">
        <v>14</v>
      </c>
      <c r="Q103" s="12"/>
      <c r="R103" s="12" t="s">
        <v>37</v>
      </c>
      <c r="T103">
        <f t="shared" si="2"/>
        <v>0</v>
      </c>
      <c r="U103">
        <f t="shared" si="3"/>
        <v>0</v>
      </c>
    </row>
    <row r="104" spans="1:21">
      <c r="A104" s="12"/>
      <c r="B104" s="12"/>
      <c r="C104" s="11"/>
      <c r="D104" s="11"/>
      <c r="E104" s="11"/>
      <c r="F104" s="10">
        <v>763</v>
      </c>
      <c r="G104" s="12"/>
      <c r="H104" s="13"/>
      <c r="I104" s="14"/>
      <c r="J104" s="14"/>
      <c r="K104" s="14"/>
      <c r="L104" s="13"/>
      <c r="M104" s="13"/>
      <c r="P104" s="12" t="s">
        <v>14</v>
      </c>
      <c r="Q104" s="12"/>
      <c r="R104" s="12" t="s">
        <v>37</v>
      </c>
      <c r="T104">
        <f t="shared" si="2"/>
        <v>0</v>
      </c>
      <c r="U104">
        <f t="shared" si="3"/>
        <v>0</v>
      </c>
    </row>
    <row r="105" spans="1:21">
      <c r="A105" s="12"/>
      <c r="B105" s="12"/>
      <c r="C105" s="11"/>
      <c r="D105" s="11"/>
      <c r="E105" s="11"/>
      <c r="F105" s="12">
        <v>764</v>
      </c>
      <c r="G105" s="12"/>
      <c r="H105" s="13"/>
      <c r="I105" s="14"/>
      <c r="J105" s="14"/>
      <c r="K105" s="14"/>
      <c r="L105" s="13"/>
      <c r="M105" s="13"/>
      <c r="P105" s="12" t="s">
        <v>14</v>
      </c>
      <c r="Q105" s="12"/>
      <c r="R105" s="12" t="s">
        <v>37</v>
      </c>
      <c r="T105">
        <f t="shared" si="2"/>
        <v>0</v>
      </c>
      <c r="U105">
        <f t="shared" si="3"/>
        <v>0</v>
      </c>
    </row>
    <row r="106" spans="1:21">
      <c r="A106" s="12"/>
      <c r="B106" s="12"/>
      <c r="C106" s="11"/>
      <c r="D106" s="11"/>
      <c r="E106" s="11"/>
      <c r="F106" s="10">
        <v>765</v>
      </c>
      <c r="G106" s="12"/>
      <c r="H106" s="13"/>
      <c r="I106" s="14"/>
      <c r="J106" s="14"/>
      <c r="K106" s="14"/>
      <c r="L106" s="13"/>
      <c r="M106" s="13"/>
      <c r="P106" s="12" t="s">
        <v>14</v>
      </c>
      <c r="Q106" s="12"/>
      <c r="R106" s="12" t="s">
        <v>37</v>
      </c>
      <c r="T106">
        <f t="shared" si="2"/>
        <v>0</v>
      </c>
      <c r="U106">
        <f t="shared" si="3"/>
        <v>0</v>
      </c>
    </row>
    <row r="107" spans="1:21">
      <c r="A107" s="12"/>
      <c r="B107" s="12"/>
      <c r="C107" s="11"/>
      <c r="D107" s="11"/>
      <c r="E107" s="11"/>
      <c r="F107" s="12">
        <v>766</v>
      </c>
      <c r="G107" s="12"/>
      <c r="H107" s="13"/>
      <c r="I107" s="14"/>
      <c r="J107" s="14"/>
      <c r="K107" s="14"/>
      <c r="L107" s="13"/>
      <c r="M107" s="13"/>
      <c r="P107" s="12" t="s">
        <v>14</v>
      </c>
      <c r="Q107" s="12"/>
      <c r="R107" s="12" t="s">
        <v>37</v>
      </c>
      <c r="T107">
        <f t="shared" si="2"/>
        <v>0</v>
      </c>
      <c r="U107">
        <f t="shared" si="3"/>
        <v>0</v>
      </c>
    </row>
    <row r="108" spans="1:21">
      <c r="A108" s="12"/>
      <c r="B108" s="12"/>
      <c r="C108" s="11"/>
      <c r="D108" s="11"/>
      <c r="E108" s="11"/>
      <c r="F108" s="10">
        <v>767</v>
      </c>
      <c r="G108" s="12"/>
      <c r="H108" s="13"/>
      <c r="I108" s="14"/>
      <c r="J108" s="14"/>
      <c r="K108" s="14"/>
      <c r="L108" s="13"/>
      <c r="M108" s="13"/>
      <c r="P108" s="12" t="s">
        <v>14</v>
      </c>
      <c r="Q108" s="12"/>
      <c r="R108" s="12" t="s">
        <v>37</v>
      </c>
      <c r="T108">
        <f t="shared" si="2"/>
        <v>0</v>
      </c>
      <c r="U108">
        <f t="shared" si="3"/>
        <v>0</v>
      </c>
    </row>
    <row r="109" spans="1:21">
      <c r="A109" s="12"/>
      <c r="B109" s="12"/>
      <c r="C109" s="11"/>
      <c r="D109" s="11"/>
      <c r="E109" s="11"/>
      <c r="F109" s="12">
        <v>768</v>
      </c>
      <c r="G109" s="12"/>
      <c r="H109" s="13"/>
      <c r="I109" s="14"/>
      <c r="J109" s="14"/>
      <c r="K109" s="14"/>
      <c r="L109" s="13"/>
      <c r="M109" s="13"/>
      <c r="P109" s="12" t="s">
        <v>14</v>
      </c>
      <c r="Q109" s="12"/>
      <c r="R109" s="12" t="s">
        <v>37</v>
      </c>
      <c r="T109">
        <f t="shared" si="2"/>
        <v>0</v>
      </c>
      <c r="U109">
        <f t="shared" si="3"/>
        <v>0</v>
      </c>
    </row>
    <row r="110" spans="1:21">
      <c r="A110" s="12"/>
      <c r="B110" s="12"/>
      <c r="C110" s="11"/>
      <c r="D110" s="11"/>
      <c r="E110" s="11"/>
      <c r="F110" s="10">
        <v>769</v>
      </c>
      <c r="G110" s="12"/>
      <c r="H110" s="13"/>
      <c r="I110" s="14"/>
      <c r="J110" s="14"/>
      <c r="K110" s="14"/>
      <c r="L110" s="13"/>
      <c r="M110" s="13"/>
      <c r="P110" s="12" t="s">
        <v>14</v>
      </c>
      <c r="Q110" s="12"/>
      <c r="R110" s="12" t="s">
        <v>37</v>
      </c>
      <c r="T110">
        <f t="shared" si="2"/>
        <v>0</v>
      </c>
      <c r="U110">
        <f t="shared" si="3"/>
        <v>0</v>
      </c>
    </row>
    <row r="111" spans="1:21">
      <c r="A111" s="12"/>
      <c r="B111" s="12"/>
      <c r="C111" s="11"/>
      <c r="D111" s="11"/>
      <c r="E111" s="11"/>
      <c r="F111" s="12">
        <v>770</v>
      </c>
      <c r="G111" s="12"/>
      <c r="H111" s="13"/>
      <c r="I111" s="14"/>
      <c r="J111" s="14"/>
      <c r="K111" s="14"/>
      <c r="L111" s="13"/>
      <c r="M111" s="13"/>
      <c r="P111" s="12" t="s">
        <v>14</v>
      </c>
      <c r="Q111" s="12"/>
      <c r="R111" s="12" t="s">
        <v>37</v>
      </c>
      <c r="T111">
        <f t="shared" si="2"/>
        <v>0</v>
      </c>
      <c r="U111">
        <f t="shared" si="3"/>
        <v>0</v>
      </c>
    </row>
    <row r="112" spans="1:21">
      <c r="A112" s="12"/>
      <c r="B112" s="12"/>
      <c r="C112" s="11"/>
      <c r="D112" s="11"/>
      <c r="E112" s="11"/>
      <c r="F112" s="10">
        <v>771</v>
      </c>
      <c r="G112" s="12"/>
      <c r="H112" s="13"/>
      <c r="I112" s="14"/>
      <c r="J112" s="14"/>
      <c r="K112" s="14"/>
      <c r="L112" s="13"/>
      <c r="M112" s="13"/>
      <c r="P112" s="12" t="s">
        <v>14</v>
      </c>
      <c r="Q112" s="12"/>
      <c r="R112" s="12" t="s">
        <v>37</v>
      </c>
      <c r="T112">
        <f t="shared" si="2"/>
        <v>0</v>
      </c>
      <c r="U112">
        <f t="shared" si="3"/>
        <v>0</v>
      </c>
    </row>
    <row r="113" spans="1:21">
      <c r="A113" s="12"/>
      <c r="B113" s="12"/>
      <c r="C113" s="11"/>
      <c r="D113" s="11"/>
      <c r="E113" s="11"/>
      <c r="F113" s="12">
        <v>772</v>
      </c>
      <c r="G113" s="12"/>
      <c r="H113" s="13"/>
      <c r="I113" s="14"/>
      <c r="J113" s="14"/>
      <c r="K113" s="14"/>
      <c r="L113" s="13"/>
      <c r="M113" s="13"/>
      <c r="P113" s="12" t="s">
        <v>14</v>
      </c>
      <c r="Q113" s="12"/>
      <c r="R113" s="12" t="s">
        <v>37</v>
      </c>
      <c r="T113">
        <f t="shared" si="2"/>
        <v>0</v>
      </c>
      <c r="U113">
        <f t="shared" si="3"/>
        <v>0</v>
      </c>
    </row>
    <row r="114" spans="1:21">
      <c r="A114" s="12"/>
      <c r="B114" s="12"/>
      <c r="C114" s="11"/>
      <c r="D114" s="11"/>
      <c r="E114" s="11"/>
      <c r="F114" s="10">
        <v>773</v>
      </c>
      <c r="G114" s="12"/>
      <c r="H114" s="13"/>
      <c r="I114" s="14"/>
      <c r="J114" s="14"/>
      <c r="K114" s="14"/>
      <c r="L114" s="13"/>
      <c r="M114" s="13"/>
      <c r="P114" s="12" t="s">
        <v>14</v>
      </c>
      <c r="Q114" s="12"/>
      <c r="R114" s="12" t="s">
        <v>37</v>
      </c>
      <c r="T114">
        <f t="shared" si="2"/>
        <v>0</v>
      </c>
      <c r="U114">
        <f t="shared" si="3"/>
        <v>0</v>
      </c>
    </row>
    <row r="115" spans="1:21" s="27" customFormat="1">
      <c r="A115" s="12"/>
      <c r="B115" s="12"/>
      <c r="C115" s="11"/>
      <c r="D115" s="11"/>
      <c r="E115" s="11"/>
      <c r="F115" s="12">
        <v>774</v>
      </c>
      <c r="G115" s="12"/>
      <c r="H115" s="13"/>
      <c r="I115" s="14"/>
      <c r="J115" s="31"/>
      <c r="K115" s="14"/>
      <c r="L115" s="13"/>
      <c r="M115" s="13"/>
      <c r="N115"/>
      <c r="O115"/>
      <c r="P115" s="12" t="s">
        <v>14</v>
      </c>
      <c r="Q115" s="12"/>
      <c r="R115" s="12" t="s">
        <v>37</v>
      </c>
      <c r="S115"/>
      <c r="T115">
        <f t="shared" si="2"/>
        <v>0</v>
      </c>
      <c r="U115">
        <f t="shared" si="3"/>
        <v>0</v>
      </c>
    </row>
    <row r="116" spans="1:21" s="27" customFormat="1">
      <c r="A116" s="12"/>
      <c r="B116" s="12"/>
      <c r="C116" s="11"/>
      <c r="D116" s="11"/>
      <c r="E116" s="11"/>
      <c r="F116" s="10">
        <v>775</v>
      </c>
      <c r="G116" s="12"/>
      <c r="H116" s="13"/>
      <c r="I116" s="14"/>
      <c r="J116" s="31"/>
      <c r="K116" s="14"/>
      <c r="L116" s="13"/>
      <c r="M116" s="13"/>
      <c r="N116"/>
      <c r="O116"/>
      <c r="P116" s="12" t="s">
        <v>14</v>
      </c>
      <c r="Q116" s="12"/>
      <c r="R116" s="12" t="s">
        <v>37</v>
      </c>
      <c r="S116"/>
      <c r="T116">
        <f t="shared" si="2"/>
        <v>0</v>
      </c>
      <c r="U116">
        <f t="shared" si="3"/>
        <v>0</v>
      </c>
    </row>
    <row r="117" spans="1:21">
      <c r="A117" s="12"/>
      <c r="B117" s="12"/>
      <c r="C117" s="11"/>
      <c r="D117" s="11"/>
      <c r="E117" s="11"/>
      <c r="F117" s="12">
        <v>776</v>
      </c>
      <c r="G117" s="12"/>
      <c r="H117" s="13"/>
      <c r="I117" s="14"/>
      <c r="J117" s="14"/>
      <c r="K117" s="14"/>
      <c r="L117" s="13"/>
      <c r="M117" s="13"/>
      <c r="P117" s="12" t="s">
        <v>14</v>
      </c>
      <c r="Q117" s="12"/>
      <c r="R117" s="12" t="s">
        <v>37</v>
      </c>
      <c r="T117">
        <f t="shared" si="2"/>
        <v>0</v>
      </c>
      <c r="U117">
        <f t="shared" si="3"/>
        <v>0</v>
      </c>
    </row>
    <row r="118" spans="1:21">
      <c r="A118" s="12"/>
      <c r="B118" s="12"/>
      <c r="C118" s="11"/>
      <c r="D118" s="11"/>
      <c r="E118" s="11"/>
      <c r="F118" s="10">
        <v>777</v>
      </c>
      <c r="G118" s="12"/>
      <c r="H118" s="13"/>
      <c r="I118" s="14"/>
      <c r="J118" s="14"/>
      <c r="K118" s="14"/>
      <c r="L118" s="13"/>
      <c r="M118" s="13"/>
      <c r="P118" s="12" t="s">
        <v>14</v>
      </c>
      <c r="Q118" s="12"/>
      <c r="R118" s="12" t="s">
        <v>37</v>
      </c>
      <c r="T118">
        <f t="shared" si="2"/>
        <v>0</v>
      </c>
      <c r="U118">
        <f t="shared" si="3"/>
        <v>0</v>
      </c>
    </row>
    <row r="119" spans="1:21">
      <c r="A119" s="12"/>
      <c r="B119" s="12"/>
      <c r="C119" s="11"/>
      <c r="D119" s="11"/>
      <c r="E119" s="11"/>
      <c r="F119" s="12">
        <v>778</v>
      </c>
      <c r="G119" s="12"/>
      <c r="H119" s="13"/>
      <c r="I119" s="14"/>
      <c r="J119" s="14"/>
      <c r="K119" s="14"/>
      <c r="L119" s="13"/>
      <c r="M119" s="13"/>
      <c r="P119" s="12" t="s">
        <v>14</v>
      </c>
      <c r="Q119" s="12"/>
      <c r="R119" s="12" t="s">
        <v>37</v>
      </c>
      <c r="T119">
        <f t="shared" si="2"/>
        <v>0</v>
      </c>
      <c r="U119">
        <f t="shared" si="3"/>
        <v>0</v>
      </c>
    </row>
    <row r="120" spans="1:21">
      <c r="A120" s="12"/>
      <c r="B120" s="12"/>
      <c r="C120" s="11"/>
      <c r="D120" s="11"/>
      <c r="E120" s="11"/>
      <c r="F120" s="10">
        <v>779</v>
      </c>
      <c r="G120" s="12"/>
      <c r="H120" s="13"/>
      <c r="I120" s="14"/>
      <c r="J120" s="14"/>
      <c r="K120" s="14"/>
      <c r="L120" s="13"/>
      <c r="M120" s="13"/>
      <c r="P120" s="12" t="s">
        <v>14</v>
      </c>
      <c r="Q120" s="12"/>
      <c r="R120" s="12" t="s">
        <v>37</v>
      </c>
      <c r="T120">
        <f t="shared" si="2"/>
        <v>0</v>
      </c>
      <c r="U120">
        <f t="shared" si="3"/>
        <v>0</v>
      </c>
    </row>
    <row r="121" spans="1:21">
      <c r="A121" s="12"/>
      <c r="B121" s="12"/>
      <c r="C121" s="11"/>
      <c r="D121" s="11"/>
      <c r="E121" s="11"/>
      <c r="F121" s="12">
        <v>780</v>
      </c>
      <c r="G121" s="12"/>
      <c r="H121" s="13"/>
      <c r="I121" s="14"/>
      <c r="J121" s="14"/>
      <c r="K121" s="14"/>
      <c r="L121" s="13"/>
      <c r="M121" s="13"/>
      <c r="P121" s="12" t="s">
        <v>14</v>
      </c>
      <c r="Q121" s="12"/>
      <c r="R121" s="12" t="s">
        <v>37</v>
      </c>
      <c r="T121">
        <f t="shared" si="2"/>
        <v>0</v>
      </c>
      <c r="U121">
        <f t="shared" si="3"/>
        <v>0</v>
      </c>
    </row>
    <row r="122" spans="1:21">
      <c r="A122" s="12"/>
      <c r="B122" s="12"/>
      <c r="C122" s="11"/>
      <c r="D122" s="11"/>
      <c r="E122" s="11"/>
      <c r="F122" s="10">
        <v>781</v>
      </c>
      <c r="G122" s="12"/>
      <c r="H122" s="13"/>
      <c r="I122" s="14"/>
      <c r="J122" s="14"/>
      <c r="K122" s="14"/>
      <c r="L122" s="13"/>
      <c r="M122" s="13"/>
      <c r="P122" s="12" t="s">
        <v>14</v>
      </c>
      <c r="Q122" s="12"/>
      <c r="R122" s="12" t="s">
        <v>37</v>
      </c>
      <c r="T122">
        <f t="shared" si="2"/>
        <v>0</v>
      </c>
      <c r="U122">
        <f t="shared" si="3"/>
        <v>0</v>
      </c>
    </row>
    <row r="123" spans="1:21">
      <c r="A123" s="12"/>
      <c r="B123" s="12"/>
      <c r="C123" s="11"/>
      <c r="D123" s="11"/>
      <c r="E123" s="11"/>
      <c r="F123" s="12">
        <v>782</v>
      </c>
      <c r="G123" s="12"/>
      <c r="H123" s="13"/>
      <c r="I123" s="14"/>
      <c r="J123" s="14"/>
      <c r="K123" s="14"/>
      <c r="L123" s="13"/>
      <c r="M123" s="13"/>
      <c r="P123" s="12" t="s">
        <v>14</v>
      </c>
      <c r="Q123" s="12"/>
      <c r="R123" s="12" t="s">
        <v>37</v>
      </c>
      <c r="T123">
        <f t="shared" si="2"/>
        <v>0</v>
      </c>
      <c r="U123">
        <f t="shared" si="3"/>
        <v>0</v>
      </c>
    </row>
    <row r="124" spans="1:21">
      <c r="A124" s="12"/>
      <c r="B124" s="12"/>
      <c r="C124" s="11"/>
      <c r="D124" s="11"/>
      <c r="E124" s="11"/>
      <c r="F124" s="10">
        <v>783</v>
      </c>
      <c r="G124" s="12"/>
      <c r="H124" s="13"/>
      <c r="I124" s="14"/>
      <c r="J124" s="14"/>
      <c r="K124" s="14"/>
      <c r="L124" s="13"/>
      <c r="M124" s="13"/>
      <c r="P124" s="12" t="s">
        <v>14</v>
      </c>
      <c r="Q124" s="12"/>
      <c r="R124" s="12" t="s">
        <v>37</v>
      </c>
      <c r="T124">
        <f t="shared" si="2"/>
        <v>0</v>
      </c>
      <c r="U124">
        <f t="shared" si="3"/>
        <v>0</v>
      </c>
    </row>
    <row r="125" spans="1:21">
      <c r="A125" s="12"/>
      <c r="B125" s="12"/>
      <c r="C125" s="11"/>
      <c r="D125" s="11"/>
      <c r="E125" s="11"/>
      <c r="F125" s="12">
        <v>784</v>
      </c>
      <c r="G125" s="12"/>
      <c r="H125" s="13"/>
      <c r="I125" s="14"/>
      <c r="J125" s="14"/>
      <c r="K125" s="14"/>
      <c r="L125" s="13"/>
      <c r="M125" s="13"/>
      <c r="P125" s="12" t="s">
        <v>14</v>
      </c>
      <c r="Q125" s="12"/>
      <c r="R125" s="12" t="s">
        <v>37</v>
      </c>
      <c r="T125">
        <f t="shared" si="2"/>
        <v>0</v>
      </c>
      <c r="U125">
        <f t="shared" si="3"/>
        <v>0</v>
      </c>
    </row>
    <row r="126" spans="1:21">
      <c r="A126" s="12"/>
      <c r="B126" s="12"/>
      <c r="C126" s="11"/>
      <c r="D126" s="11"/>
      <c r="E126" s="11"/>
      <c r="F126" s="10">
        <v>785</v>
      </c>
      <c r="G126" s="12"/>
      <c r="H126" s="13"/>
      <c r="I126" s="14"/>
      <c r="J126" s="14"/>
      <c r="K126" s="14"/>
      <c r="L126" s="13"/>
      <c r="M126" s="13"/>
      <c r="P126" s="12" t="s">
        <v>14</v>
      </c>
      <c r="Q126" s="12"/>
      <c r="R126" s="12" t="s">
        <v>37</v>
      </c>
      <c r="T126">
        <f t="shared" si="2"/>
        <v>0</v>
      </c>
      <c r="U126">
        <f t="shared" si="3"/>
        <v>0</v>
      </c>
    </row>
    <row r="127" spans="1:21">
      <c r="A127" s="12"/>
      <c r="B127" s="12"/>
      <c r="C127" s="11"/>
      <c r="D127" s="11"/>
      <c r="E127" s="11"/>
      <c r="F127" s="12">
        <v>786</v>
      </c>
      <c r="G127" s="12"/>
      <c r="H127" s="13"/>
      <c r="I127" s="14"/>
      <c r="J127" s="14"/>
      <c r="K127" s="14"/>
      <c r="L127" s="13"/>
      <c r="M127" s="13"/>
      <c r="P127" s="12" t="s">
        <v>14</v>
      </c>
      <c r="Q127" s="12"/>
      <c r="R127" s="12" t="s">
        <v>37</v>
      </c>
      <c r="T127">
        <f t="shared" si="2"/>
        <v>0</v>
      </c>
      <c r="U127">
        <f t="shared" si="3"/>
        <v>0</v>
      </c>
    </row>
    <row r="128" spans="1:21">
      <c r="A128" s="12"/>
      <c r="B128" s="12"/>
      <c r="C128" s="11"/>
      <c r="D128" s="11"/>
      <c r="E128" s="11"/>
      <c r="F128" s="10">
        <v>787</v>
      </c>
      <c r="G128" s="12"/>
      <c r="H128" s="13"/>
      <c r="I128" s="14"/>
      <c r="J128" s="14"/>
      <c r="K128" s="14"/>
      <c r="L128" s="13"/>
      <c r="M128" s="13"/>
      <c r="P128" s="12" t="s">
        <v>14</v>
      </c>
      <c r="Q128" s="12"/>
      <c r="R128" s="12" t="s">
        <v>37</v>
      </c>
      <c r="T128">
        <f t="shared" si="2"/>
        <v>0</v>
      </c>
      <c r="U128">
        <f t="shared" si="3"/>
        <v>0</v>
      </c>
    </row>
    <row r="129" spans="1:21">
      <c r="A129" s="12"/>
      <c r="B129" s="12"/>
      <c r="C129" s="11"/>
      <c r="D129" s="11"/>
      <c r="E129" s="11"/>
      <c r="F129" s="12">
        <v>788</v>
      </c>
      <c r="G129" s="12"/>
      <c r="H129" s="13"/>
      <c r="I129" s="14"/>
      <c r="J129" s="14"/>
      <c r="K129" s="14"/>
      <c r="L129" s="13"/>
      <c r="M129" s="13"/>
      <c r="N129" s="12"/>
      <c r="O129" s="12"/>
      <c r="P129" s="12" t="s">
        <v>14</v>
      </c>
      <c r="Q129" s="12"/>
      <c r="R129" s="32" t="s">
        <v>37</v>
      </c>
      <c r="S129" s="12"/>
      <c r="T129">
        <f t="shared" si="2"/>
        <v>0</v>
      </c>
      <c r="U129">
        <f t="shared" si="3"/>
        <v>0</v>
      </c>
    </row>
    <row r="130" spans="1:21">
      <c r="A130" s="12"/>
      <c r="B130" s="12"/>
      <c r="C130" s="11"/>
      <c r="D130" s="11"/>
      <c r="E130" s="11"/>
      <c r="F130" s="10">
        <v>789</v>
      </c>
      <c r="G130" s="12"/>
      <c r="H130" s="13"/>
      <c r="I130" s="14"/>
      <c r="J130" s="14"/>
      <c r="K130" s="14"/>
      <c r="L130" s="13"/>
      <c r="M130" s="13"/>
      <c r="N130" s="32"/>
      <c r="O130" s="32"/>
      <c r="P130" s="12" t="s">
        <v>14</v>
      </c>
      <c r="Q130" s="12"/>
      <c r="R130" s="12" t="s">
        <v>37</v>
      </c>
      <c r="S130" s="32"/>
      <c r="T130">
        <f t="shared" ref="T130:T193" si="4">IF(H130="",I130,H130/PI())</f>
        <v>0</v>
      </c>
      <c r="U130">
        <f t="shared" ref="U130:U193" si="5">IF(J130="dead","dead",J130/PI()+K130)</f>
        <v>0</v>
      </c>
    </row>
    <row r="131" spans="1:21">
      <c r="A131" s="12"/>
      <c r="B131" s="12"/>
      <c r="C131" s="11"/>
      <c r="D131" s="11"/>
      <c r="E131" s="11"/>
      <c r="F131" s="12">
        <v>790</v>
      </c>
      <c r="G131" s="12"/>
      <c r="H131" s="13"/>
      <c r="I131" s="14"/>
      <c r="J131" s="14"/>
      <c r="K131" s="14"/>
      <c r="L131" s="13"/>
      <c r="M131" s="13"/>
      <c r="P131" s="12" t="s">
        <v>14</v>
      </c>
      <c r="Q131" s="12"/>
      <c r="R131" s="12" t="s">
        <v>37</v>
      </c>
      <c r="T131">
        <f t="shared" si="4"/>
        <v>0</v>
      </c>
      <c r="U131">
        <f t="shared" si="5"/>
        <v>0</v>
      </c>
    </row>
    <row r="132" spans="1:21">
      <c r="A132" s="12"/>
      <c r="B132" s="12"/>
      <c r="C132" s="11"/>
      <c r="D132" s="11"/>
      <c r="E132" s="11"/>
      <c r="F132" s="10">
        <v>791</v>
      </c>
      <c r="G132" s="12"/>
      <c r="H132" s="13"/>
      <c r="I132" s="14"/>
      <c r="J132" s="14"/>
      <c r="K132" s="14"/>
      <c r="L132" s="13"/>
      <c r="M132" s="13"/>
      <c r="P132" s="12" t="s">
        <v>14</v>
      </c>
      <c r="Q132" s="12"/>
      <c r="R132" s="12" t="s">
        <v>37</v>
      </c>
      <c r="T132">
        <f t="shared" si="4"/>
        <v>0</v>
      </c>
      <c r="U132">
        <f t="shared" si="5"/>
        <v>0</v>
      </c>
    </row>
    <row r="133" spans="1:21">
      <c r="A133" s="12"/>
      <c r="B133" s="12"/>
      <c r="C133" s="11"/>
      <c r="D133" s="11"/>
      <c r="E133" s="11"/>
      <c r="F133" s="12">
        <v>792</v>
      </c>
      <c r="G133" s="12"/>
      <c r="H133" s="13"/>
      <c r="I133" s="14"/>
      <c r="J133" s="14"/>
      <c r="K133" s="14"/>
      <c r="L133" s="13"/>
      <c r="M133" s="13"/>
      <c r="P133" s="12" t="s">
        <v>14</v>
      </c>
      <c r="Q133" s="12"/>
      <c r="R133" s="12" t="s">
        <v>37</v>
      </c>
      <c r="T133">
        <f t="shared" si="4"/>
        <v>0</v>
      </c>
      <c r="U133">
        <f t="shared" si="5"/>
        <v>0</v>
      </c>
    </row>
    <row r="134" spans="1:21">
      <c r="A134" s="12"/>
      <c r="B134" s="12"/>
      <c r="C134" s="11"/>
      <c r="D134" s="11"/>
      <c r="E134" s="11"/>
      <c r="F134" s="10">
        <v>793</v>
      </c>
      <c r="G134" s="12"/>
      <c r="H134" s="13"/>
      <c r="I134" s="14"/>
      <c r="J134" s="14"/>
      <c r="K134" s="14"/>
      <c r="L134" s="13"/>
      <c r="M134" s="13"/>
      <c r="P134" s="12" t="s">
        <v>14</v>
      </c>
      <c r="Q134" s="12"/>
      <c r="R134" s="12" t="s">
        <v>37</v>
      </c>
      <c r="T134">
        <f t="shared" si="4"/>
        <v>0</v>
      </c>
      <c r="U134">
        <f t="shared" si="5"/>
        <v>0</v>
      </c>
    </row>
    <row r="135" spans="1:21">
      <c r="A135" s="12"/>
      <c r="B135" s="12"/>
      <c r="C135" s="11"/>
      <c r="D135" s="11"/>
      <c r="E135" s="11"/>
      <c r="F135" s="12">
        <v>794</v>
      </c>
      <c r="G135" s="12"/>
      <c r="H135" s="13"/>
      <c r="I135" s="14"/>
      <c r="J135" s="14"/>
      <c r="K135" s="14"/>
      <c r="L135" s="13"/>
      <c r="M135" s="13"/>
      <c r="P135" s="12" t="s">
        <v>14</v>
      </c>
      <c r="Q135" s="12"/>
      <c r="R135" s="12" t="s">
        <v>37</v>
      </c>
      <c r="T135">
        <f t="shared" si="4"/>
        <v>0</v>
      </c>
      <c r="U135">
        <f t="shared" si="5"/>
        <v>0</v>
      </c>
    </row>
    <row r="136" spans="1:21">
      <c r="A136" s="12"/>
      <c r="B136" s="12"/>
      <c r="C136" s="11"/>
      <c r="D136" s="11"/>
      <c r="E136" s="11"/>
      <c r="F136" s="10">
        <v>795</v>
      </c>
      <c r="G136" s="12"/>
      <c r="H136" s="13"/>
      <c r="I136" s="14"/>
      <c r="J136" s="14"/>
      <c r="K136" s="14"/>
      <c r="L136" s="13"/>
      <c r="M136" s="13"/>
      <c r="P136" s="12" t="s">
        <v>14</v>
      </c>
      <c r="Q136" s="12"/>
      <c r="R136" s="12" t="s">
        <v>37</v>
      </c>
      <c r="T136">
        <f t="shared" si="4"/>
        <v>0</v>
      </c>
      <c r="U136">
        <f t="shared" si="5"/>
        <v>0</v>
      </c>
    </row>
    <row r="137" spans="1:21">
      <c r="A137" s="12"/>
      <c r="B137" s="12"/>
      <c r="C137" s="11"/>
      <c r="D137" s="11"/>
      <c r="E137" s="11"/>
      <c r="F137" s="12">
        <v>796</v>
      </c>
      <c r="G137" s="12"/>
      <c r="H137" s="13"/>
      <c r="I137" s="14"/>
      <c r="J137" s="14"/>
      <c r="K137" s="14"/>
      <c r="L137" s="13"/>
      <c r="M137" s="13"/>
      <c r="P137" s="12" t="s">
        <v>14</v>
      </c>
      <c r="Q137" s="12"/>
      <c r="R137" s="12" t="s">
        <v>37</v>
      </c>
      <c r="T137">
        <f t="shared" si="4"/>
        <v>0</v>
      </c>
      <c r="U137">
        <f t="shared" si="5"/>
        <v>0</v>
      </c>
    </row>
    <row r="138" spans="1:21">
      <c r="A138" s="12"/>
      <c r="B138" s="12"/>
      <c r="C138" s="11"/>
      <c r="D138" s="11"/>
      <c r="E138" s="11"/>
      <c r="F138" s="10">
        <v>797</v>
      </c>
      <c r="G138" s="12"/>
      <c r="H138" s="13"/>
      <c r="I138" s="14"/>
      <c r="J138" s="14"/>
      <c r="K138" s="14"/>
      <c r="L138" s="13"/>
      <c r="M138" s="13"/>
      <c r="P138" s="12" t="s">
        <v>14</v>
      </c>
      <c r="Q138" s="12"/>
      <c r="R138" s="12" t="s">
        <v>37</v>
      </c>
      <c r="T138">
        <f t="shared" si="4"/>
        <v>0</v>
      </c>
      <c r="U138">
        <f t="shared" si="5"/>
        <v>0</v>
      </c>
    </row>
    <row r="139" spans="1:21">
      <c r="A139" s="12"/>
      <c r="B139" s="12"/>
      <c r="C139" s="11"/>
      <c r="D139" s="11"/>
      <c r="E139" s="11"/>
      <c r="F139" s="12">
        <v>798</v>
      </c>
      <c r="G139" s="12"/>
      <c r="H139" s="13"/>
      <c r="I139" s="14"/>
      <c r="J139" s="14"/>
      <c r="K139" s="14"/>
      <c r="L139" s="13"/>
      <c r="M139" s="13"/>
      <c r="P139" s="12" t="s">
        <v>14</v>
      </c>
      <c r="Q139" s="12"/>
      <c r="R139" s="12" t="s">
        <v>37</v>
      </c>
      <c r="T139">
        <f t="shared" si="4"/>
        <v>0</v>
      </c>
      <c r="U139">
        <f t="shared" si="5"/>
        <v>0</v>
      </c>
    </row>
    <row r="140" spans="1:21">
      <c r="A140" s="12"/>
      <c r="B140" s="12"/>
      <c r="C140" s="11"/>
      <c r="D140" s="11"/>
      <c r="E140" s="11"/>
      <c r="F140" s="10">
        <v>799</v>
      </c>
      <c r="G140" s="12"/>
      <c r="H140" s="13"/>
      <c r="I140" s="14"/>
      <c r="J140" s="14"/>
      <c r="K140" s="14"/>
      <c r="L140" s="13"/>
      <c r="M140" s="13"/>
      <c r="P140" s="12" t="s">
        <v>14</v>
      </c>
      <c r="Q140" s="12"/>
      <c r="R140" s="12" t="s">
        <v>37</v>
      </c>
      <c r="T140">
        <f t="shared" si="4"/>
        <v>0</v>
      </c>
      <c r="U140">
        <f t="shared" si="5"/>
        <v>0</v>
      </c>
    </row>
    <row r="141" spans="1:21">
      <c r="A141" s="12"/>
      <c r="B141" s="12"/>
      <c r="C141" s="11"/>
      <c r="D141" s="11"/>
      <c r="E141" s="11"/>
      <c r="F141" s="12">
        <v>800</v>
      </c>
      <c r="G141" s="12"/>
      <c r="H141" s="13"/>
      <c r="I141" s="14"/>
      <c r="J141" s="14"/>
      <c r="K141" s="14"/>
      <c r="L141" s="13"/>
      <c r="M141" s="13"/>
      <c r="P141" s="12" t="s">
        <v>14</v>
      </c>
      <c r="Q141" s="12"/>
      <c r="R141" s="12" t="s">
        <v>37</v>
      </c>
      <c r="T141">
        <f t="shared" si="4"/>
        <v>0</v>
      </c>
      <c r="U141">
        <f t="shared" si="5"/>
        <v>0</v>
      </c>
    </row>
    <row r="142" spans="1:21">
      <c r="A142" s="12">
        <v>10</v>
      </c>
      <c r="B142" s="12">
        <v>-30</v>
      </c>
      <c r="C142" s="11">
        <v>16.756079684882891</v>
      </c>
      <c r="D142" s="11">
        <v>-23.565021877796898</v>
      </c>
      <c r="E142" s="11"/>
      <c r="F142" s="12">
        <v>624</v>
      </c>
      <c r="G142" s="12" t="s">
        <v>11</v>
      </c>
      <c r="H142" s="13"/>
      <c r="I142" s="14">
        <v>0.1</v>
      </c>
      <c r="J142" s="14"/>
      <c r="K142" s="14">
        <v>6.9</v>
      </c>
      <c r="L142" s="13">
        <v>1.4</v>
      </c>
      <c r="M142" s="13">
        <v>0</v>
      </c>
      <c r="P142" s="12" t="s">
        <v>14</v>
      </c>
      <c r="Q142" s="12"/>
      <c r="R142" s="12"/>
      <c r="T142">
        <f t="shared" si="4"/>
        <v>0.1</v>
      </c>
      <c r="U142">
        <f t="shared" si="5"/>
        <v>6.9</v>
      </c>
    </row>
    <row r="143" spans="1:21">
      <c r="A143" s="12">
        <v>20</v>
      </c>
      <c r="B143" s="12">
        <v>-30</v>
      </c>
      <c r="C143" s="11">
        <v>28.040213204678953</v>
      </c>
      <c r="D143" s="11">
        <v>-29.632659846422754</v>
      </c>
      <c r="E143" s="11"/>
      <c r="F143" s="10">
        <v>655</v>
      </c>
      <c r="G143" s="12" t="s">
        <v>21</v>
      </c>
      <c r="H143" s="13"/>
      <c r="I143" s="14">
        <v>0.12</v>
      </c>
      <c r="J143" s="14"/>
      <c r="K143" s="14">
        <v>3.3</v>
      </c>
      <c r="L143" s="13">
        <v>1.4</v>
      </c>
      <c r="M143" s="13">
        <v>0.7</v>
      </c>
      <c r="P143" s="12" t="s">
        <v>14</v>
      </c>
      <c r="Q143" s="12"/>
      <c r="R143" s="12"/>
      <c r="T143">
        <f t="shared" si="4"/>
        <v>0.12</v>
      </c>
      <c r="U143">
        <f t="shared" si="5"/>
        <v>3.3</v>
      </c>
    </row>
    <row r="144" spans="1:21">
      <c r="A144" s="12">
        <v>10</v>
      </c>
      <c r="B144" s="12">
        <v>0</v>
      </c>
      <c r="C144" s="11">
        <v>14.368205115985283</v>
      </c>
      <c r="D144" s="11">
        <v>6.4331474710584446</v>
      </c>
      <c r="E144" s="11"/>
      <c r="F144" s="12">
        <v>114</v>
      </c>
      <c r="G144" s="12" t="s">
        <v>11</v>
      </c>
      <c r="H144" s="13"/>
      <c r="I144" s="14">
        <v>0.14000000000000001</v>
      </c>
      <c r="J144" s="14"/>
      <c r="K144" s="31">
        <v>10.199999999999999</v>
      </c>
      <c r="L144" s="13">
        <v>1.4</v>
      </c>
      <c r="M144" s="13">
        <v>0.3</v>
      </c>
      <c r="P144" s="12" t="s">
        <v>14</v>
      </c>
      <c r="Q144" s="12"/>
      <c r="R144" s="12"/>
      <c r="T144">
        <f t="shared" si="4"/>
        <v>0.14000000000000001</v>
      </c>
      <c r="U144">
        <f t="shared" si="5"/>
        <v>10.199999999999999</v>
      </c>
    </row>
    <row r="145" spans="1:21">
      <c r="A145" s="12">
        <v>0</v>
      </c>
      <c r="B145" s="12">
        <v>-30</v>
      </c>
      <c r="C145" s="11">
        <v>9.7795352861637976</v>
      </c>
      <c r="D145" s="11">
        <v>-21.779507187767965</v>
      </c>
      <c r="E145" s="11"/>
      <c r="F145" s="10">
        <v>613</v>
      </c>
      <c r="G145" s="12" t="s">
        <v>11</v>
      </c>
      <c r="H145" s="13"/>
      <c r="I145" s="14">
        <v>0.15</v>
      </c>
      <c r="J145" s="14"/>
      <c r="K145" s="31">
        <v>5.3</v>
      </c>
      <c r="L145" s="13">
        <v>1.4</v>
      </c>
      <c r="M145" s="13">
        <v>0.4</v>
      </c>
      <c r="P145" s="12" t="s">
        <v>14</v>
      </c>
      <c r="Q145" s="12"/>
      <c r="R145" s="12"/>
      <c r="S145" t="s">
        <v>109</v>
      </c>
      <c r="T145">
        <f t="shared" si="4"/>
        <v>0.15</v>
      </c>
      <c r="U145">
        <f t="shared" si="5"/>
        <v>5.3</v>
      </c>
    </row>
    <row r="146" spans="1:21">
      <c r="A146" s="12">
        <v>0</v>
      </c>
      <c r="B146" s="12">
        <v>-20</v>
      </c>
      <c r="C146" s="11">
        <v>3.7860272796370453</v>
      </c>
      <c r="D146" s="11">
        <v>-19.006602991019648</v>
      </c>
      <c r="E146" s="11"/>
      <c r="F146" s="10">
        <v>585</v>
      </c>
      <c r="G146" s="12" t="s">
        <v>11</v>
      </c>
      <c r="H146" s="13"/>
      <c r="I146" s="14">
        <v>0.17</v>
      </c>
      <c r="J146" s="31"/>
      <c r="K146" s="14">
        <v>7.8</v>
      </c>
      <c r="L146" s="13">
        <v>1.4</v>
      </c>
      <c r="M146" s="13">
        <v>0.3</v>
      </c>
      <c r="P146" s="12" t="s">
        <v>14</v>
      </c>
      <c r="Q146" s="12"/>
      <c r="R146" s="12"/>
      <c r="T146">
        <f t="shared" si="4"/>
        <v>0.17</v>
      </c>
      <c r="U146">
        <f t="shared" si="5"/>
        <v>7.8</v>
      </c>
    </row>
    <row r="147" spans="1:21">
      <c r="A147" s="12">
        <v>10</v>
      </c>
      <c r="B147" s="12">
        <v>10</v>
      </c>
      <c r="C147" s="11">
        <v>19.512906347855239</v>
      </c>
      <c r="D147" s="11">
        <v>13.843463648447257</v>
      </c>
      <c r="E147" s="11"/>
      <c r="F147" s="10">
        <v>109</v>
      </c>
      <c r="G147" s="12" t="s">
        <v>13</v>
      </c>
      <c r="H147" s="13"/>
      <c r="I147" s="14">
        <v>0.19</v>
      </c>
      <c r="J147" s="14"/>
      <c r="K147" s="31">
        <v>3.8</v>
      </c>
      <c r="L147" s="13">
        <v>1.4</v>
      </c>
      <c r="M147" s="13">
        <v>0.4</v>
      </c>
      <c r="P147" s="12" t="s">
        <v>14</v>
      </c>
      <c r="Q147" s="12"/>
      <c r="R147" s="12"/>
      <c r="T147">
        <f t="shared" si="4"/>
        <v>0.19</v>
      </c>
      <c r="U147">
        <f t="shared" si="5"/>
        <v>3.8</v>
      </c>
    </row>
    <row r="148" spans="1:21">
      <c r="A148" s="9">
        <v>0</v>
      </c>
      <c r="B148" s="9">
        <v>-10</v>
      </c>
      <c r="C148" s="11">
        <v>0.99993594683058107</v>
      </c>
      <c r="D148" s="11">
        <v>-1.9720346225063956</v>
      </c>
      <c r="E148" s="11"/>
      <c r="F148" s="12">
        <v>402</v>
      </c>
      <c r="G148" s="12" t="s">
        <v>11</v>
      </c>
      <c r="H148" s="13"/>
      <c r="I148" s="14">
        <v>0.19</v>
      </c>
      <c r="J148" s="14"/>
      <c r="K148" s="31">
        <v>8.1</v>
      </c>
      <c r="L148" s="13">
        <v>1.5</v>
      </c>
      <c r="M148" s="13">
        <v>0</v>
      </c>
      <c r="P148" s="12" t="s">
        <v>14</v>
      </c>
      <c r="Q148" s="12"/>
      <c r="R148" s="12"/>
      <c r="T148">
        <f t="shared" si="4"/>
        <v>0.19</v>
      </c>
      <c r="U148">
        <f t="shared" si="5"/>
        <v>8.1</v>
      </c>
    </row>
    <row r="149" spans="1:21">
      <c r="A149" s="12">
        <v>20</v>
      </c>
      <c r="B149" s="12">
        <v>-20</v>
      </c>
      <c r="C149" s="11">
        <v>26.14893076961571</v>
      </c>
      <c r="D149" s="11">
        <v>-15.041376912620358</v>
      </c>
      <c r="E149" s="11"/>
      <c r="F149" s="12">
        <v>558</v>
      </c>
      <c r="G149" s="12" t="s">
        <v>21</v>
      </c>
      <c r="H149" s="13"/>
      <c r="I149" s="14">
        <v>0.21</v>
      </c>
      <c r="J149" s="14"/>
      <c r="K149" s="31">
        <v>6.2</v>
      </c>
      <c r="L149" s="13">
        <v>1.6</v>
      </c>
      <c r="M149" s="13">
        <v>0.3</v>
      </c>
      <c r="P149" s="12" t="s">
        <v>14</v>
      </c>
      <c r="Q149" s="12"/>
      <c r="R149" s="12"/>
      <c r="T149">
        <f t="shared" si="4"/>
        <v>0.21</v>
      </c>
      <c r="U149">
        <f t="shared" si="5"/>
        <v>6.2</v>
      </c>
    </row>
    <row r="150" spans="1:21">
      <c r="A150" s="12">
        <v>40</v>
      </c>
      <c r="B150" s="12">
        <v>-10</v>
      </c>
      <c r="C150" s="11">
        <v>47.838459784886211</v>
      </c>
      <c r="D150" s="11">
        <v>-2.6503101513682941</v>
      </c>
      <c r="E150" s="11"/>
      <c r="F150" s="12">
        <v>462</v>
      </c>
      <c r="G150" s="12" t="s">
        <v>13</v>
      </c>
      <c r="H150" s="13"/>
      <c r="I150" s="14">
        <v>0.22</v>
      </c>
      <c r="J150" s="14"/>
      <c r="K150" s="14">
        <v>7.2</v>
      </c>
      <c r="L150" s="13">
        <v>1.4</v>
      </c>
      <c r="M150" s="13">
        <v>0.4</v>
      </c>
      <c r="P150" s="12" t="s">
        <v>14</v>
      </c>
      <c r="Q150" s="12"/>
      <c r="R150" s="12"/>
      <c r="T150">
        <f t="shared" si="4"/>
        <v>0.22</v>
      </c>
      <c r="U150">
        <f t="shared" si="5"/>
        <v>7.2</v>
      </c>
    </row>
    <row r="151" spans="1:21">
      <c r="A151" s="9">
        <v>0</v>
      </c>
      <c r="B151" s="9">
        <v>-10</v>
      </c>
      <c r="C151" s="11">
        <v>0.35800174195920847</v>
      </c>
      <c r="D151" s="11">
        <v>-3.3896872424404778</v>
      </c>
      <c r="E151" s="11"/>
      <c r="F151" s="10">
        <v>401</v>
      </c>
      <c r="G151" s="12" t="s">
        <v>11</v>
      </c>
      <c r="H151" s="13"/>
      <c r="I151" s="14">
        <v>0.24</v>
      </c>
      <c r="J151" s="14"/>
      <c r="K151" s="14">
        <v>9.9</v>
      </c>
      <c r="L151" s="13">
        <v>1.6</v>
      </c>
      <c r="M151" s="13">
        <v>0</v>
      </c>
      <c r="P151" s="12" t="s">
        <v>14</v>
      </c>
      <c r="Q151" s="12"/>
      <c r="R151" s="12"/>
      <c r="T151">
        <f t="shared" si="4"/>
        <v>0.24</v>
      </c>
      <c r="U151">
        <f t="shared" si="5"/>
        <v>9.9</v>
      </c>
    </row>
    <row r="152" spans="1:21">
      <c r="A152" s="12">
        <v>30</v>
      </c>
      <c r="B152" s="12">
        <v>-10</v>
      </c>
      <c r="C152" s="11">
        <v>38.977269466040433</v>
      </c>
      <c r="D152" s="11">
        <v>-4.0167799426306585</v>
      </c>
      <c r="E152" s="11"/>
      <c r="F152" s="12">
        <v>444</v>
      </c>
      <c r="G152" s="12" t="s">
        <v>13</v>
      </c>
      <c r="H152" s="13"/>
      <c r="I152" s="14">
        <v>0.26</v>
      </c>
      <c r="J152" s="14" t="s">
        <v>70</v>
      </c>
      <c r="K152" s="14"/>
      <c r="L152" s="13">
        <v>1</v>
      </c>
      <c r="M152" s="13"/>
      <c r="P152" s="12" t="s">
        <v>12</v>
      </c>
      <c r="Q152" s="12"/>
      <c r="R152" s="12"/>
      <c r="T152">
        <f t="shared" si="4"/>
        <v>0.26</v>
      </c>
      <c r="U152" t="str">
        <f t="shared" si="5"/>
        <v>dead</v>
      </c>
    </row>
    <row r="153" spans="1:21">
      <c r="A153" s="12">
        <v>30</v>
      </c>
      <c r="B153" s="12">
        <v>-20</v>
      </c>
      <c r="C153" s="11">
        <v>38.237587459751978</v>
      </c>
      <c r="D153" s="11">
        <v>-18.662534388848133</v>
      </c>
      <c r="E153" s="11"/>
      <c r="F153" s="10">
        <v>515</v>
      </c>
      <c r="G153" s="12" t="s">
        <v>21</v>
      </c>
      <c r="H153" s="13"/>
      <c r="I153" s="14">
        <v>0.28000000000000003</v>
      </c>
      <c r="J153" s="14"/>
      <c r="K153" s="14">
        <v>4.5</v>
      </c>
      <c r="L153" s="13">
        <v>1.4</v>
      </c>
      <c r="M153" s="13">
        <v>0.2</v>
      </c>
      <c r="P153" s="12" t="s">
        <v>14</v>
      </c>
      <c r="Q153" s="12"/>
      <c r="R153" s="12"/>
      <c r="T153">
        <f t="shared" si="4"/>
        <v>0.28000000000000003</v>
      </c>
      <c r="U153">
        <f t="shared" si="5"/>
        <v>4.5</v>
      </c>
    </row>
    <row r="154" spans="1:21">
      <c r="A154" s="12">
        <v>30</v>
      </c>
      <c r="B154" s="12">
        <v>-20</v>
      </c>
      <c r="C154" s="11">
        <v>30.072596810592465</v>
      </c>
      <c r="D154" s="11">
        <v>-12.997259734314172</v>
      </c>
      <c r="E154" s="11"/>
      <c r="F154" s="12">
        <v>530</v>
      </c>
      <c r="G154" s="12" t="s">
        <v>13</v>
      </c>
      <c r="H154" s="13"/>
      <c r="I154" s="14">
        <v>0.28000000000000003</v>
      </c>
      <c r="J154" s="14"/>
      <c r="K154" s="14">
        <v>7</v>
      </c>
      <c r="L154" s="13">
        <v>1.4</v>
      </c>
      <c r="M154" s="13">
        <v>0.3</v>
      </c>
      <c r="P154" s="12" t="s">
        <v>14</v>
      </c>
      <c r="Q154" s="12"/>
      <c r="R154" s="12"/>
      <c r="T154">
        <f t="shared" si="4"/>
        <v>0.28000000000000003</v>
      </c>
      <c r="U154">
        <f t="shared" si="5"/>
        <v>7</v>
      </c>
    </row>
    <row r="155" spans="1:21">
      <c r="A155" s="12">
        <v>40</v>
      </c>
      <c r="B155" s="12">
        <v>30</v>
      </c>
      <c r="C155" s="11">
        <v>48.896603355268482</v>
      </c>
      <c r="D155" s="11">
        <v>30.463621450236197</v>
      </c>
      <c r="E155" s="11"/>
      <c r="F155" s="12">
        <v>326</v>
      </c>
      <c r="G155" s="12" t="s">
        <v>30</v>
      </c>
      <c r="H155" s="13"/>
      <c r="I155" s="14">
        <v>0.3</v>
      </c>
      <c r="J155" s="14" t="s">
        <v>85</v>
      </c>
      <c r="K155" s="14"/>
      <c r="L155" s="13">
        <v>1.3</v>
      </c>
      <c r="M155" s="13">
        <v>0.7</v>
      </c>
      <c r="P155" s="12" t="s">
        <v>14</v>
      </c>
      <c r="Q155" s="12"/>
      <c r="R155" s="12"/>
      <c r="S155" t="s">
        <v>86</v>
      </c>
      <c r="T155">
        <f t="shared" si="4"/>
        <v>0.3</v>
      </c>
      <c r="U155" t="e">
        <f t="shared" si="5"/>
        <v>#VALUE!</v>
      </c>
    </row>
    <row r="156" spans="1:21">
      <c r="A156" s="12">
        <v>30</v>
      </c>
      <c r="B156" s="12">
        <v>10</v>
      </c>
      <c r="C156" s="11">
        <v>39.475523248039664</v>
      </c>
      <c r="D156" s="11">
        <v>13.752043600035297</v>
      </c>
      <c r="E156" s="11"/>
      <c r="F156" s="10">
        <v>239</v>
      </c>
      <c r="G156" s="12" t="s">
        <v>21</v>
      </c>
      <c r="H156" s="13"/>
      <c r="I156" s="14">
        <v>0.34</v>
      </c>
      <c r="J156" s="14"/>
      <c r="K156" s="14">
        <v>7</v>
      </c>
      <c r="L156" s="13">
        <v>1.8</v>
      </c>
      <c r="M156" s="13">
        <v>0.7</v>
      </c>
      <c r="P156" s="12" t="s">
        <v>14</v>
      </c>
      <c r="Q156" s="12"/>
      <c r="R156" s="12"/>
      <c r="T156">
        <f t="shared" si="4"/>
        <v>0.34</v>
      </c>
      <c r="U156">
        <f t="shared" si="5"/>
        <v>7</v>
      </c>
    </row>
    <row r="157" spans="1:21">
      <c r="A157" s="12">
        <v>30</v>
      </c>
      <c r="B157" s="12">
        <v>10</v>
      </c>
      <c r="C157" s="11">
        <v>33.495831695602774</v>
      </c>
      <c r="D157" s="11">
        <v>12.926722064274653</v>
      </c>
      <c r="E157" s="11"/>
      <c r="F157" s="12">
        <v>234</v>
      </c>
      <c r="G157" s="12" t="s">
        <v>11</v>
      </c>
      <c r="H157" s="13"/>
      <c r="I157" s="14">
        <v>0.36</v>
      </c>
      <c r="J157" s="14"/>
      <c r="K157" s="14">
        <v>10.5</v>
      </c>
      <c r="L157" s="13">
        <v>1.5</v>
      </c>
      <c r="M157" s="13">
        <v>0.1</v>
      </c>
      <c r="P157" s="12" t="s">
        <v>14</v>
      </c>
      <c r="Q157" s="12"/>
      <c r="R157" s="12"/>
      <c r="T157">
        <f t="shared" si="4"/>
        <v>0.36</v>
      </c>
      <c r="U157">
        <f t="shared" si="5"/>
        <v>10.5</v>
      </c>
    </row>
    <row r="158" spans="1:21">
      <c r="A158" s="12">
        <v>30</v>
      </c>
      <c r="B158" s="12">
        <v>0</v>
      </c>
      <c r="C158" s="11">
        <v>34.050937810882921</v>
      </c>
      <c r="D158" s="11">
        <v>9.6930927280564454</v>
      </c>
      <c r="E158" s="11"/>
      <c r="F158" s="12">
        <v>246</v>
      </c>
      <c r="G158" s="12" t="s">
        <v>13</v>
      </c>
      <c r="H158" s="13"/>
      <c r="I158" s="14">
        <v>0.36</v>
      </c>
      <c r="J158" s="14"/>
      <c r="K158" s="14">
        <v>10.3</v>
      </c>
      <c r="L158" s="13">
        <v>1.6</v>
      </c>
      <c r="M158" s="13">
        <v>0.4</v>
      </c>
      <c r="P158" s="12" t="s">
        <v>14</v>
      </c>
      <c r="Q158" s="12"/>
      <c r="R158" s="12"/>
      <c r="T158">
        <f t="shared" si="4"/>
        <v>0.36</v>
      </c>
      <c r="U158">
        <f t="shared" si="5"/>
        <v>10.3</v>
      </c>
    </row>
    <row r="159" spans="1:21">
      <c r="A159" s="12">
        <v>40</v>
      </c>
      <c r="B159" s="12">
        <v>30</v>
      </c>
      <c r="C159" s="11">
        <v>48.673566100653304</v>
      </c>
      <c r="D159" s="11">
        <v>31.017407216696064</v>
      </c>
      <c r="E159" s="11"/>
      <c r="F159" s="10">
        <v>337</v>
      </c>
      <c r="G159" s="12" t="s">
        <v>30</v>
      </c>
      <c r="H159" s="13"/>
      <c r="I159" s="14">
        <v>0.37</v>
      </c>
      <c r="J159" s="14" t="s">
        <v>79</v>
      </c>
      <c r="K159" s="14"/>
      <c r="L159" s="13">
        <v>1.3</v>
      </c>
      <c r="M159" s="13">
        <v>0.6</v>
      </c>
      <c r="P159" s="12" t="s">
        <v>14</v>
      </c>
      <c r="Q159" s="12"/>
      <c r="R159" s="12"/>
      <c r="T159">
        <f t="shared" si="4"/>
        <v>0.37</v>
      </c>
      <c r="U159" t="str">
        <f t="shared" si="5"/>
        <v>dead</v>
      </c>
    </row>
    <row r="160" spans="1:21">
      <c r="A160" s="9">
        <v>0</v>
      </c>
      <c r="B160" s="9">
        <v>0</v>
      </c>
      <c r="C160" s="11">
        <v>4.9136324761842101</v>
      </c>
      <c r="D160" s="11">
        <v>8.9188592077476532</v>
      </c>
      <c r="E160" s="11"/>
      <c r="F160" s="10">
        <v>15</v>
      </c>
      <c r="G160" s="12" t="s">
        <v>13</v>
      </c>
      <c r="H160" s="13"/>
      <c r="I160" s="14">
        <v>0.39</v>
      </c>
      <c r="J160" s="14"/>
      <c r="K160" s="14">
        <v>8.5</v>
      </c>
      <c r="L160" s="13">
        <v>1.5</v>
      </c>
      <c r="M160" s="13">
        <v>0.4</v>
      </c>
      <c r="P160" s="12" t="s">
        <v>14</v>
      </c>
      <c r="Q160" s="12"/>
      <c r="R160" s="12"/>
      <c r="T160">
        <f t="shared" si="4"/>
        <v>0.39</v>
      </c>
      <c r="U160">
        <f t="shared" si="5"/>
        <v>8.5</v>
      </c>
    </row>
    <row r="161" spans="1:21" s="27" customFormat="1">
      <c r="A161" s="12">
        <v>30</v>
      </c>
      <c r="B161" s="12">
        <v>-20</v>
      </c>
      <c r="C161" s="11">
        <v>38.593859788306851</v>
      </c>
      <c r="D161" s="11">
        <v>-14.808624512795685</v>
      </c>
      <c r="E161" s="11"/>
      <c r="F161" s="12">
        <v>518</v>
      </c>
      <c r="G161" s="12" t="s">
        <v>11</v>
      </c>
      <c r="H161" s="13"/>
      <c r="I161" s="14">
        <v>0.39</v>
      </c>
      <c r="J161" s="14"/>
      <c r="K161" s="14">
        <v>9.3000000000000007</v>
      </c>
      <c r="L161" s="13">
        <v>1.5</v>
      </c>
      <c r="M161" s="13">
        <v>0</v>
      </c>
      <c r="N161"/>
      <c r="O161"/>
      <c r="P161" s="12" t="s">
        <v>14</v>
      </c>
      <c r="Q161" s="12"/>
      <c r="R161" s="12"/>
      <c r="S161"/>
      <c r="T161">
        <f t="shared" si="4"/>
        <v>0.39</v>
      </c>
      <c r="U161">
        <f t="shared" si="5"/>
        <v>9.3000000000000007</v>
      </c>
    </row>
    <row r="162" spans="1:21">
      <c r="A162" s="12">
        <v>20</v>
      </c>
      <c r="B162" s="12">
        <v>20</v>
      </c>
      <c r="C162" s="11">
        <v>24.174543443410826</v>
      </c>
      <c r="D162" s="11">
        <v>27.529531811649555</v>
      </c>
      <c r="E162" s="11"/>
      <c r="F162" s="10">
        <v>167</v>
      </c>
      <c r="G162" s="12" t="s">
        <v>21</v>
      </c>
      <c r="H162" s="13"/>
      <c r="I162" s="14">
        <v>0.4</v>
      </c>
      <c r="J162" s="14"/>
      <c r="K162" s="14">
        <v>5.4</v>
      </c>
      <c r="L162" s="13">
        <v>1.8</v>
      </c>
      <c r="M162" s="13">
        <v>0.5</v>
      </c>
      <c r="P162" s="12" t="s">
        <v>14</v>
      </c>
      <c r="Q162" s="12"/>
      <c r="R162" s="12"/>
      <c r="T162">
        <f t="shared" si="4"/>
        <v>0.4</v>
      </c>
      <c r="U162">
        <f t="shared" si="5"/>
        <v>5.4</v>
      </c>
    </row>
    <row r="163" spans="1:21">
      <c r="A163" s="12">
        <v>0</v>
      </c>
      <c r="B163" s="12">
        <v>-20</v>
      </c>
      <c r="C163" s="11">
        <v>8.3512926746389606</v>
      </c>
      <c r="D163" s="11">
        <v>-18.76972124200773</v>
      </c>
      <c r="E163" s="11"/>
      <c r="F163" s="12">
        <v>580</v>
      </c>
      <c r="G163" s="12" t="s">
        <v>11</v>
      </c>
      <c r="H163" s="13"/>
      <c r="I163" s="14">
        <v>0.4</v>
      </c>
      <c r="J163" s="14"/>
      <c r="K163" s="14">
        <v>6.3</v>
      </c>
      <c r="L163" s="13">
        <v>1.4</v>
      </c>
      <c r="M163" s="13">
        <v>0</v>
      </c>
      <c r="P163" s="12" t="s">
        <v>14</v>
      </c>
      <c r="Q163" s="12"/>
      <c r="R163" s="12"/>
      <c r="T163">
        <f t="shared" si="4"/>
        <v>0.4</v>
      </c>
      <c r="U163">
        <f t="shared" si="5"/>
        <v>6.3</v>
      </c>
    </row>
    <row r="164" spans="1:21">
      <c r="A164" s="12">
        <v>20</v>
      </c>
      <c r="B164" s="12">
        <v>-20</v>
      </c>
      <c r="C164" s="11">
        <v>23.673803585367654</v>
      </c>
      <c r="D164" s="11">
        <v>-16.862901036066745</v>
      </c>
      <c r="E164" s="11"/>
      <c r="F164" s="12">
        <v>568</v>
      </c>
      <c r="G164" s="12" t="s">
        <v>21</v>
      </c>
      <c r="H164" s="13"/>
      <c r="I164" s="14">
        <v>0.41</v>
      </c>
      <c r="J164" s="14"/>
      <c r="K164" s="14">
        <v>8.3000000000000007</v>
      </c>
      <c r="L164" s="13">
        <v>1.7</v>
      </c>
      <c r="M164" s="13">
        <v>0.3</v>
      </c>
      <c r="P164" s="12" t="s">
        <v>14</v>
      </c>
      <c r="Q164" s="12"/>
      <c r="R164" s="12"/>
      <c r="T164">
        <f t="shared" si="4"/>
        <v>0.41</v>
      </c>
      <c r="U164">
        <f t="shared" si="5"/>
        <v>8.3000000000000007</v>
      </c>
    </row>
    <row r="165" spans="1:21">
      <c r="A165" s="9">
        <v>20</v>
      </c>
      <c r="B165" s="9">
        <v>-10</v>
      </c>
      <c r="C165" s="11">
        <v>21.464943970627026</v>
      </c>
      <c r="D165" s="11">
        <v>-9.2555552485210217</v>
      </c>
      <c r="E165" s="11"/>
      <c r="F165" s="12">
        <v>416</v>
      </c>
      <c r="G165" s="12" t="s">
        <v>13</v>
      </c>
      <c r="H165" s="13"/>
      <c r="I165" s="14">
        <v>0.43</v>
      </c>
      <c r="J165" s="14"/>
      <c r="K165" s="14">
        <v>5</v>
      </c>
      <c r="L165" s="13">
        <v>1.4</v>
      </c>
      <c r="M165" s="13">
        <v>0.9</v>
      </c>
      <c r="P165" s="12" t="s">
        <v>14</v>
      </c>
      <c r="Q165" s="12"/>
      <c r="R165" s="12"/>
      <c r="T165">
        <f t="shared" si="4"/>
        <v>0.43</v>
      </c>
      <c r="U165">
        <f t="shared" si="5"/>
        <v>5</v>
      </c>
    </row>
    <row r="166" spans="1:21">
      <c r="A166" s="12">
        <v>10</v>
      </c>
      <c r="B166" s="12">
        <v>-40</v>
      </c>
      <c r="C166" s="11">
        <v>19.350085857963784</v>
      </c>
      <c r="D166" s="11">
        <v>-30.682495267041411</v>
      </c>
      <c r="E166" s="11"/>
      <c r="F166" s="10">
        <v>721</v>
      </c>
      <c r="G166" s="12" t="s">
        <v>11</v>
      </c>
      <c r="H166" s="13"/>
      <c r="I166" s="14">
        <v>0.43</v>
      </c>
      <c r="J166" s="14"/>
      <c r="K166" s="14">
        <v>11.2</v>
      </c>
      <c r="L166" s="13">
        <v>1.6</v>
      </c>
      <c r="M166" s="13">
        <v>0</v>
      </c>
      <c r="P166" s="12" t="s">
        <v>14</v>
      </c>
      <c r="Q166" s="12"/>
      <c r="R166" s="12"/>
      <c r="S166" t="s">
        <v>133</v>
      </c>
      <c r="T166">
        <f t="shared" si="4"/>
        <v>0.43</v>
      </c>
      <c r="U166">
        <f t="shared" si="5"/>
        <v>11.2</v>
      </c>
    </row>
    <row r="167" spans="1:21">
      <c r="A167" s="12">
        <v>10</v>
      </c>
      <c r="B167" s="12">
        <v>10</v>
      </c>
      <c r="C167" s="11">
        <v>19.674728156140318</v>
      </c>
      <c r="D167" s="11">
        <v>13.733166900204932</v>
      </c>
      <c r="E167" s="11"/>
      <c r="F167" s="12">
        <v>108</v>
      </c>
      <c r="G167" s="12" t="s">
        <v>13</v>
      </c>
      <c r="H167" s="13"/>
      <c r="I167" s="14">
        <v>0.44</v>
      </c>
      <c r="J167" s="14"/>
      <c r="K167" s="14">
        <v>8</v>
      </c>
      <c r="L167" s="13">
        <v>1.6</v>
      </c>
      <c r="M167" s="13">
        <v>0.6</v>
      </c>
      <c r="P167" s="12" t="s">
        <v>14</v>
      </c>
      <c r="Q167" s="12"/>
      <c r="R167" s="12"/>
      <c r="T167">
        <f t="shared" si="4"/>
        <v>0.44</v>
      </c>
      <c r="U167">
        <f t="shared" si="5"/>
        <v>8</v>
      </c>
    </row>
    <row r="168" spans="1:21" s="27" customFormat="1">
      <c r="A168" s="12">
        <v>30</v>
      </c>
      <c r="B168" s="12">
        <v>-20</v>
      </c>
      <c r="C168" s="11">
        <v>38.533061832444758</v>
      </c>
      <c r="D168" s="11">
        <v>-15.79728319237293</v>
      </c>
      <c r="E168" s="11"/>
      <c r="F168" s="10">
        <v>517</v>
      </c>
      <c r="G168" s="12" t="s">
        <v>21</v>
      </c>
      <c r="H168" s="13"/>
      <c r="I168" s="14">
        <v>0.45</v>
      </c>
      <c r="J168" s="31"/>
      <c r="K168" s="14">
        <v>6.9</v>
      </c>
      <c r="L168" s="13">
        <v>1.6</v>
      </c>
      <c r="M168" s="13">
        <v>0.4</v>
      </c>
      <c r="N168"/>
      <c r="O168"/>
      <c r="P168" s="12" t="s">
        <v>14</v>
      </c>
      <c r="Q168" s="12"/>
      <c r="R168" s="12"/>
      <c r="S168"/>
      <c r="T168">
        <f t="shared" si="4"/>
        <v>0.45</v>
      </c>
      <c r="U168">
        <f t="shared" si="5"/>
        <v>6.9</v>
      </c>
    </row>
    <row r="169" spans="1:21">
      <c r="A169" s="12">
        <v>10</v>
      </c>
      <c r="B169" s="12">
        <v>-20</v>
      </c>
      <c r="C169" s="11">
        <v>12.642308249250132</v>
      </c>
      <c r="D169" s="11">
        <v>-18.965943859866712</v>
      </c>
      <c r="E169" s="11"/>
      <c r="F169" s="10">
        <v>577</v>
      </c>
      <c r="G169" s="12" t="s">
        <v>11</v>
      </c>
      <c r="H169" s="13"/>
      <c r="I169" s="14">
        <v>0.45</v>
      </c>
      <c r="J169" s="14"/>
      <c r="K169" s="14"/>
      <c r="L169" s="13">
        <v>1.6</v>
      </c>
      <c r="M169" s="13">
        <v>0</v>
      </c>
      <c r="P169" s="12" t="s">
        <v>14</v>
      </c>
      <c r="Q169" s="12"/>
      <c r="R169" s="12"/>
      <c r="T169">
        <f t="shared" si="4"/>
        <v>0.45</v>
      </c>
      <c r="U169">
        <f t="shared" si="5"/>
        <v>0</v>
      </c>
    </row>
    <row r="170" spans="1:21">
      <c r="A170" s="12">
        <v>30</v>
      </c>
      <c r="B170" s="12">
        <v>20</v>
      </c>
      <c r="C170" s="11">
        <v>34.094149764448233</v>
      </c>
      <c r="D170" s="11">
        <v>24.037380054722185</v>
      </c>
      <c r="E170" s="11"/>
      <c r="F170" s="12">
        <v>210</v>
      </c>
      <c r="G170" s="12" t="s">
        <v>21</v>
      </c>
      <c r="H170" s="13"/>
      <c r="I170" s="14">
        <v>0.46</v>
      </c>
      <c r="J170" s="14" t="s">
        <v>70</v>
      </c>
      <c r="K170" s="14"/>
      <c r="L170" s="13">
        <v>1.8</v>
      </c>
      <c r="M170" s="13">
        <v>0.6</v>
      </c>
      <c r="P170" s="12" t="s">
        <v>14</v>
      </c>
      <c r="Q170" s="12"/>
      <c r="R170" s="12"/>
      <c r="T170">
        <f t="shared" si="4"/>
        <v>0.46</v>
      </c>
      <c r="U170" t="str">
        <f t="shared" si="5"/>
        <v>dead</v>
      </c>
    </row>
    <row r="171" spans="1:21">
      <c r="A171" s="12">
        <v>40</v>
      </c>
      <c r="B171" s="12">
        <v>40</v>
      </c>
      <c r="C171" s="11">
        <v>41.896156810321528</v>
      </c>
      <c r="D171" s="11">
        <v>49.159728465249501</v>
      </c>
      <c r="E171" s="11"/>
      <c r="F171" s="12">
        <v>368</v>
      </c>
      <c r="G171" s="12" t="s">
        <v>13</v>
      </c>
      <c r="H171" s="13"/>
      <c r="I171" s="14">
        <v>0.49</v>
      </c>
      <c r="J171" s="14"/>
      <c r="K171" s="14">
        <v>6.4</v>
      </c>
      <c r="L171" s="13">
        <v>2.1</v>
      </c>
      <c r="M171" s="13">
        <v>0.7</v>
      </c>
      <c r="P171" s="12" t="s">
        <v>14</v>
      </c>
      <c r="Q171" s="12"/>
      <c r="R171" s="12"/>
      <c r="T171">
        <f t="shared" si="4"/>
        <v>0.49</v>
      </c>
      <c r="U171">
        <f t="shared" si="5"/>
        <v>6.4</v>
      </c>
    </row>
    <row r="172" spans="1:21">
      <c r="A172" s="12">
        <v>30</v>
      </c>
      <c r="B172" s="12">
        <v>-20</v>
      </c>
      <c r="C172" s="11">
        <v>34.564016467039586</v>
      </c>
      <c r="D172" s="11">
        <v>-16.165912992362379</v>
      </c>
      <c r="E172" s="11"/>
      <c r="F172" s="12">
        <v>524</v>
      </c>
      <c r="G172" s="12" t="s">
        <v>11</v>
      </c>
      <c r="H172" s="13"/>
      <c r="I172" s="14">
        <v>0.49</v>
      </c>
      <c r="J172" s="14"/>
      <c r="K172" s="14">
        <v>1.33</v>
      </c>
      <c r="L172" s="13">
        <v>1.7</v>
      </c>
      <c r="M172" s="13">
        <v>0</v>
      </c>
      <c r="P172" s="12" t="s">
        <v>14</v>
      </c>
      <c r="Q172" s="12"/>
      <c r="R172" s="12"/>
      <c r="S172" t="s">
        <v>97</v>
      </c>
      <c r="T172">
        <f t="shared" si="4"/>
        <v>0.49</v>
      </c>
      <c r="U172">
        <f t="shared" si="5"/>
        <v>1.33</v>
      </c>
    </row>
    <row r="173" spans="1:21">
      <c r="A173" s="12">
        <v>40</v>
      </c>
      <c r="B173" s="12">
        <v>-40</v>
      </c>
      <c r="C173" s="11">
        <v>42.934938877920068</v>
      </c>
      <c r="D173" s="11">
        <v>-35.514943279859963</v>
      </c>
      <c r="E173" s="11"/>
      <c r="F173" s="10">
        <v>711</v>
      </c>
      <c r="G173" s="12" t="s">
        <v>51</v>
      </c>
      <c r="H173" s="13"/>
      <c r="I173" s="14">
        <v>0.49</v>
      </c>
      <c r="J173" s="14"/>
      <c r="K173" s="14">
        <v>5.8</v>
      </c>
      <c r="L173" s="13">
        <v>1.7</v>
      </c>
      <c r="M173" s="13">
        <v>0.8</v>
      </c>
      <c r="P173" s="12" t="s">
        <v>14</v>
      </c>
      <c r="Q173" s="12"/>
      <c r="R173" s="12" t="s">
        <v>16</v>
      </c>
      <c r="T173">
        <f t="shared" si="4"/>
        <v>0.49</v>
      </c>
      <c r="U173">
        <f t="shared" si="5"/>
        <v>5.8</v>
      </c>
    </row>
    <row r="174" spans="1:21">
      <c r="A174" s="9">
        <v>0</v>
      </c>
      <c r="B174" s="12">
        <v>20</v>
      </c>
      <c r="C174" s="11">
        <v>6.3672798251672251</v>
      </c>
      <c r="D174" s="11">
        <v>26.70971293186366</v>
      </c>
      <c r="E174" s="11"/>
      <c r="F174" s="12">
        <v>42</v>
      </c>
      <c r="G174" s="12" t="s">
        <v>11</v>
      </c>
      <c r="H174" s="13"/>
      <c r="I174" s="14">
        <v>0.5</v>
      </c>
      <c r="J174" s="14"/>
      <c r="K174" s="14">
        <v>11.6</v>
      </c>
      <c r="L174" s="13">
        <v>1.7</v>
      </c>
      <c r="M174" s="13">
        <v>0.1</v>
      </c>
      <c r="P174" s="12" t="s">
        <v>14</v>
      </c>
      <c r="Q174" s="12"/>
      <c r="R174" s="12"/>
      <c r="T174">
        <f t="shared" si="4"/>
        <v>0.5</v>
      </c>
      <c r="U174">
        <f t="shared" si="5"/>
        <v>11.6</v>
      </c>
    </row>
    <row r="175" spans="1:21">
      <c r="A175" s="12">
        <v>30</v>
      </c>
      <c r="B175" s="12">
        <v>10</v>
      </c>
      <c r="C175" s="11">
        <v>33.598797543972296</v>
      </c>
      <c r="D175" s="11">
        <v>14.841244700753974</v>
      </c>
      <c r="E175" s="11"/>
      <c r="F175" s="10">
        <v>231</v>
      </c>
      <c r="G175" s="12" t="s">
        <v>21</v>
      </c>
      <c r="H175" s="13"/>
      <c r="I175" s="14">
        <v>0.5</v>
      </c>
      <c r="J175" s="14"/>
      <c r="K175" s="14">
        <v>11.9</v>
      </c>
      <c r="L175" s="13">
        <v>1.8</v>
      </c>
      <c r="M175" s="13">
        <v>0.4</v>
      </c>
      <c r="P175" s="12" t="s">
        <v>14</v>
      </c>
      <c r="Q175" s="12"/>
      <c r="R175" s="12"/>
      <c r="T175">
        <f t="shared" si="4"/>
        <v>0.5</v>
      </c>
      <c r="U175">
        <f t="shared" si="5"/>
        <v>11.9</v>
      </c>
    </row>
    <row r="176" spans="1:21">
      <c r="A176" s="9">
        <v>20</v>
      </c>
      <c r="B176" s="9">
        <v>-10</v>
      </c>
      <c r="C176" s="11">
        <v>21.487636454088175</v>
      </c>
      <c r="D176" s="11">
        <v>-9.1917327521203234</v>
      </c>
      <c r="E176" s="11"/>
      <c r="F176" s="10">
        <v>417</v>
      </c>
      <c r="G176" s="12" t="s">
        <v>13</v>
      </c>
      <c r="H176" s="13"/>
      <c r="I176" s="14">
        <v>0.5</v>
      </c>
      <c r="J176" s="14"/>
      <c r="K176" s="14">
        <v>6.4</v>
      </c>
      <c r="L176" s="13">
        <v>1.7</v>
      </c>
      <c r="M176" s="13">
        <v>1.2</v>
      </c>
      <c r="P176" s="12" t="s">
        <v>14</v>
      </c>
      <c r="Q176" s="12"/>
      <c r="R176" s="12"/>
      <c r="T176">
        <f t="shared" si="4"/>
        <v>0.5</v>
      </c>
      <c r="U176">
        <f t="shared" si="5"/>
        <v>6.4</v>
      </c>
    </row>
    <row r="177" spans="1:21" s="27" customFormat="1">
      <c r="A177" s="12">
        <v>20</v>
      </c>
      <c r="B177" s="12">
        <v>-40</v>
      </c>
      <c r="C177" s="11">
        <v>29.127893214767482</v>
      </c>
      <c r="D177" s="11">
        <v>-30.172685474109159</v>
      </c>
      <c r="E177" s="11"/>
      <c r="F177" s="12">
        <v>472</v>
      </c>
      <c r="G177" s="12" t="s">
        <v>21</v>
      </c>
      <c r="H177" s="13"/>
      <c r="I177" s="14">
        <v>0.5</v>
      </c>
      <c r="J177" s="14"/>
      <c r="K177" s="14">
        <v>8.9</v>
      </c>
      <c r="L177" s="13">
        <v>2</v>
      </c>
      <c r="M177" s="13">
        <v>0.6</v>
      </c>
      <c r="N177"/>
      <c r="O177"/>
      <c r="P177" s="12" t="s">
        <v>14</v>
      </c>
      <c r="Q177" s="12"/>
      <c r="R177" s="12"/>
      <c r="S177"/>
      <c r="T177">
        <f t="shared" si="4"/>
        <v>0.5</v>
      </c>
      <c r="U177">
        <f t="shared" si="5"/>
        <v>8.9</v>
      </c>
    </row>
    <row r="178" spans="1:21">
      <c r="A178" s="12">
        <v>40</v>
      </c>
      <c r="B178" s="12">
        <v>-40</v>
      </c>
      <c r="C178" s="11">
        <v>43.030489044404334</v>
      </c>
      <c r="D178" s="11">
        <v>-35.639697699500033</v>
      </c>
      <c r="E178" s="11"/>
      <c r="F178" s="12">
        <v>710</v>
      </c>
      <c r="G178" s="12" t="s">
        <v>51</v>
      </c>
      <c r="H178" s="13"/>
      <c r="I178" s="14">
        <v>0.5</v>
      </c>
      <c r="J178" s="14"/>
      <c r="K178" s="14">
        <v>5.6</v>
      </c>
      <c r="L178" s="13">
        <v>1.2</v>
      </c>
      <c r="M178" s="13">
        <v>0.9</v>
      </c>
      <c r="P178" s="12" t="s">
        <v>14</v>
      </c>
      <c r="Q178" s="12"/>
      <c r="R178" s="12" t="s">
        <v>53</v>
      </c>
      <c r="S178" t="s">
        <v>109</v>
      </c>
      <c r="T178">
        <f t="shared" si="4"/>
        <v>0.5</v>
      </c>
      <c r="U178">
        <f t="shared" si="5"/>
        <v>5.6</v>
      </c>
    </row>
    <row r="179" spans="1:21">
      <c r="A179" s="12">
        <v>30</v>
      </c>
      <c r="B179" s="12">
        <v>0</v>
      </c>
      <c r="C179" s="11">
        <v>38.619257460528999</v>
      </c>
      <c r="D179" s="11">
        <v>7.5983782229193677</v>
      </c>
      <c r="E179" s="11"/>
      <c r="F179" s="10">
        <v>259</v>
      </c>
      <c r="G179" s="12" t="s">
        <v>11</v>
      </c>
      <c r="H179" s="13"/>
      <c r="I179" s="14">
        <v>0.51</v>
      </c>
      <c r="J179" s="14"/>
      <c r="K179" s="14">
        <v>13.5</v>
      </c>
      <c r="L179" s="13">
        <v>1.8</v>
      </c>
      <c r="M179" s="13">
        <v>0.2</v>
      </c>
      <c r="P179" s="12" t="s">
        <v>14</v>
      </c>
      <c r="Q179" s="12"/>
      <c r="R179" s="12"/>
      <c r="T179">
        <f t="shared" si="4"/>
        <v>0.51</v>
      </c>
      <c r="U179">
        <f t="shared" si="5"/>
        <v>13.5</v>
      </c>
    </row>
    <row r="180" spans="1:21" s="27" customFormat="1">
      <c r="A180" s="12">
        <v>40</v>
      </c>
      <c r="B180" s="12">
        <v>-40</v>
      </c>
      <c r="C180" s="11">
        <v>43.057162405751079</v>
      </c>
      <c r="D180" s="11">
        <v>-35.633919603939674</v>
      </c>
      <c r="E180" s="11"/>
      <c r="F180" s="10">
        <v>709</v>
      </c>
      <c r="G180" s="12" t="s">
        <v>51</v>
      </c>
      <c r="H180" s="13"/>
      <c r="I180" s="14">
        <v>0.51</v>
      </c>
      <c r="J180" s="14"/>
      <c r="K180" s="14">
        <v>7.1</v>
      </c>
      <c r="L180" s="13">
        <v>1.9</v>
      </c>
      <c r="M180" s="13">
        <v>1.6</v>
      </c>
      <c r="N180"/>
      <c r="O180"/>
      <c r="P180" s="12" t="s">
        <v>14</v>
      </c>
      <c r="Q180" s="12"/>
      <c r="R180" s="12"/>
      <c r="S180"/>
      <c r="T180">
        <f t="shared" si="4"/>
        <v>0.51</v>
      </c>
      <c r="U180">
        <f t="shared" si="5"/>
        <v>7.1</v>
      </c>
    </row>
    <row r="181" spans="1:21">
      <c r="A181" s="9">
        <v>0</v>
      </c>
      <c r="B181" s="9">
        <v>0</v>
      </c>
      <c r="C181" s="11">
        <v>4.9059474370510188</v>
      </c>
      <c r="D181" s="11">
        <v>8.7299100481017451</v>
      </c>
      <c r="E181" s="11"/>
      <c r="F181" s="10">
        <v>13</v>
      </c>
      <c r="G181" s="12" t="s">
        <v>13</v>
      </c>
      <c r="H181" s="13"/>
      <c r="I181" s="14">
        <v>0.54</v>
      </c>
      <c r="J181" s="14"/>
      <c r="K181" s="14">
        <v>5.9</v>
      </c>
      <c r="L181" s="13">
        <v>1.7</v>
      </c>
      <c r="M181" s="13">
        <v>0.6</v>
      </c>
      <c r="P181" s="12" t="s">
        <v>14</v>
      </c>
      <c r="Q181" s="12"/>
      <c r="R181" s="12"/>
      <c r="T181">
        <f t="shared" si="4"/>
        <v>0.54</v>
      </c>
      <c r="U181">
        <f t="shared" si="5"/>
        <v>5.9</v>
      </c>
    </row>
    <row r="182" spans="1:21">
      <c r="A182" s="12">
        <v>20</v>
      </c>
      <c r="B182" s="12">
        <v>10</v>
      </c>
      <c r="C182" s="11">
        <v>23.803244960068398</v>
      </c>
      <c r="D182" s="11">
        <v>10.799899433500032</v>
      </c>
      <c r="E182" s="11"/>
      <c r="F182" s="10">
        <v>141</v>
      </c>
      <c r="G182" s="12" t="s">
        <v>13</v>
      </c>
      <c r="H182" s="13"/>
      <c r="I182" s="14">
        <v>0.55000000000000004</v>
      </c>
      <c r="J182" s="14"/>
      <c r="K182" s="14">
        <v>5.8</v>
      </c>
      <c r="L182" s="13">
        <v>1.5</v>
      </c>
      <c r="M182" s="13">
        <v>0.4</v>
      </c>
      <c r="P182" s="12" t="s">
        <v>14</v>
      </c>
      <c r="Q182" s="12"/>
      <c r="R182" s="12"/>
      <c r="T182">
        <f t="shared" si="4"/>
        <v>0.55000000000000004</v>
      </c>
      <c r="U182">
        <f t="shared" si="5"/>
        <v>5.8</v>
      </c>
    </row>
    <row r="183" spans="1:21">
      <c r="A183" s="12">
        <v>30</v>
      </c>
      <c r="B183" s="12">
        <v>0</v>
      </c>
      <c r="C183" s="11">
        <v>37.787935082170875</v>
      </c>
      <c r="D183" s="11">
        <v>9.6982970418767067</v>
      </c>
      <c r="E183" s="11"/>
      <c r="F183" s="12">
        <v>242</v>
      </c>
      <c r="G183" s="12" t="s">
        <v>11</v>
      </c>
      <c r="H183" s="13"/>
      <c r="I183" s="14">
        <v>0.55000000000000004</v>
      </c>
      <c r="J183" s="14"/>
      <c r="K183" s="14">
        <v>11.6</v>
      </c>
      <c r="L183" s="13">
        <v>1.6</v>
      </c>
      <c r="M183" s="13">
        <v>0.1</v>
      </c>
      <c r="P183" s="12" t="s">
        <v>14</v>
      </c>
      <c r="Q183" s="12"/>
      <c r="R183" s="12"/>
      <c r="T183">
        <f t="shared" si="4"/>
        <v>0.55000000000000004</v>
      </c>
      <c r="U183">
        <f t="shared" si="5"/>
        <v>11.6</v>
      </c>
    </row>
    <row r="184" spans="1:21">
      <c r="A184" s="12">
        <v>40</v>
      </c>
      <c r="B184" s="12">
        <v>30</v>
      </c>
      <c r="C184" s="11">
        <v>48.923210114886899</v>
      </c>
      <c r="D184" s="11">
        <v>30.400201900908641</v>
      </c>
      <c r="E184" s="11"/>
      <c r="F184" s="10">
        <v>327</v>
      </c>
      <c r="G184" s="12" t="s">
        <v>30</v>
      </c>
      <c r="H184" s="13"/>
      <c r="I184" s="14">
        <v>0.56000000000000005</v>
      </c>
      <c r="J184" s="14"/>
      <c r="K184" s="14">
        <v>9.1</v>
      </c>
      <c r="L184" s="13">
        <v>1.7</v>
      </c>
      <c r="M184" s="13">
        <v>0.7</v>
      </c>
      <c r="P184" s="12" t="s">
        <v>14</v>
      </c>
      <c r="Q184" s="12"/>
      <c r="R184" s="12"/>
      <c r="T184">
        <f t="shared" si="4"/>
        <v>0.56000000000000005</v>
      </c>
      <c r="U184">
        <f t="shared" si="5"/>
        <v>9.1</v>
      </c>
    </row>
    <row r="185" spans="1:21">
      <c r="A185" s="12">
        <v>40</v>
      </c>
      <c r="B185" s="12">
        <v>-50</v>
      </c>
      <c r="C185" s="11">
        <v>45.530277221602518</v>
      </c>
      <c r="D185" s="11">
        <v>-41.054956801117626</v>
      </c>
      <c r="E185" s="11"/>
      <c r="F185" s="10">
        <v>829</v>
      </c>
      <c r="G185" s="12" t="s">
        <v>11</v>
      </c>
      <c r="H185" s="13"/>
      <c r="I185" s="14">
        <v>0.56000000000000005</v>
      </c>
      <c r="J185" s="14"/>
      <c r="K185" s="14">
        <v>10</v>
      </c>
      <c r="L185" s="13">
        <v>1.4</v>
      </c>
      <c r="M185" s="13">
        <v>0.2</v>
      </c>
      <c r="P185" s="12" t="s">
        <v>14</v>
      </c>
      <c r="Q185" s="12"/>
      <c r="R185" s="12"/>
      <c r="T185">
        <f t="shared" si="4"/>
        <v>0.56000000000000005</v>
      </c>
      <c r="U185">
        <f t="shared" si="5"/>
        <v>10</v>
      </c>
    </row>
    <row r="186" spans="1:21">
      <c r="A186" s="9">
        <v>0</v>
      </c>
      <c r="B186" s="12">
        <v>30</v>
      </c>
      <c r="C186" s="11">
        <v>1.087553511959648</v>
      </c>
      <c r="D186" s="11">
        <v>30.011100207201217</v>
      </c>
      <c r="E186" s="11"/>
      <c r="F186" s="10">
        <v>51</v>
      </c>
      <c r="G186" s="12" t="s">
        <v>13</v>
      </c>
      <c r="H186" s="13"/>
      <c r="I186" s="14">
        <v>0.56999999999999995</v>
      </c>
      <c r="J186" s="14"/>
      <c r="K186" s="14">
        <v>11.5</v>
      </c>
      <c r="L186" s="13">
        <v>2</v>
      </c>
      <c r="M186" s="13">
        <v>0.5</v>
      </c>
      <c r="P186" s="12" t="s">
        <v>14</v>
      </c>
      <c r="Q186" s="12"/>
      <c r="R186" s="12"/>
      <c r="T186">
        <f t="shared" si="4"/>
        <v>0.56999999999999995</v>
      </c>
      <c r="U186">
        <f t="shared" si="5"/>
        <v>11.5</v>
      </c>
    </row>
    <row r="187" spans="1:21">
      <c r="A187" s="12">
        <v>20</v>
      </c>
      <c r="B187" s="12">
        <v>-30</v>
      </c>
      <c r="C187" s="11">
        <v>27.649205185971031</v>
      </c>
      <c r="D187" s="11">
        <v>-29.791765098404603</v>
      </c>
      <c r="E187" s="11"/>
      <c r="F187" s="10">
        <v>653</v>
      </c>
      <c r="G187" s="12" t="s">
        <v>11</v>
      </c>
      <c r="H187" s="13"/>
      <c r="I187" s="14">
        <v>0.56999999999999995</v>
      </c>
      <c r="J187" s="14"/>
      <c r="K187" s="14">
        <v>13.7</v>
      </c>
      <c r="L187" s="13">
        <v>1.8</v>
      </c>
      <c r="M187" s="13">
        <v>0.4</v>
      </c>
      <c r="P187" s="12" t="s">
        <v>14</v>
      </c>
      <c r="Q187" s="12"/>
      <c r="R187" s="12"/>
      <c r="T187">
        <f t="shared" si="4"/>
        <v>0.56999999999999995</v>
      </c>
      <c r="U187">
        <f t="shared" si="5"/>
        <v>13.7</v>
      </c>
    </row>
    <row r="188" spans="1:21">
      <c r="A188" s="12">
        <v>20</v>
      </c>
      <c r="B188" s="12">
        <v>-30</v>
      </c>
      <c r="C188" s="11">
        <v>27.530935199189845</v>
      </c>
      <c r="D188" s="11">
        <v>-29.411515234509281</v>
      </c>
      <c r="E188" s="11"/>
      <c r="F188" s="12">
        <v>654</v>
      </c>
      <c r="G188" s="12" t="s">
        <v>21</v>
      </c>
      <c r="H188" s="13"/>
      <c r="I188" s="14">
        <v>0.56999999999999995</v>
      </c>
      <c r="J188" s="14"/>
      <c r="K188" s="14">
        <v>7.8</v>
      </c>
      <c r="L188" s="13">
        <v>1.9</v>
      </c>
      <c r="M188" s="13">
        <v>0.9</v>
      </c>
      <c r="P188" s="12" t="s">
        <v>14</v>
      </c>
      <c r="Q188" s="12"/>
      <c r="R188" s="12"/>
      <c r="T188">
        <f t="shared" si="4"/>
        <v>0.56999999999999995</v>
      </c>
      <c r="U188">
        <f t="shared" si="5"/>
        <v>7.8</v>
      </c>
    </row>
    <row r="189" spans="1:21">
      <c r="A189" s="9">
        <v>0</v>
      </c>
      <c r="B189" s="12">
        <v>40</v>
      </c>
      <c r="C189" s="11">
        <v>9.9747237977389585</v>
      </c>
      <c r="D189" s="11">
        <v>48.323144662228238</v>
      </c>
      <c r="E189" s="11"/>
      <c r="F189" s="10">
        <v>71</v>
      </c>
      <c r="G189" s="12" t="s">
        <v>11</v>
      </c>
      <c r="H189" s="13"/>
      <c r="I189" s="14">
        <v>0.6</v>
      </c>
      <c r="J189" s="14"/>
      <c r="K189" s="14">
        <v>8.1999999999999993</v>
      </c>
      <c r="L189" s="13">
        <v>1.7</v>
      </c>
      <c r="M189" s="13">
        <v>0.2</v>
      </c>
      <c r="P189" s="12" t="s">
        <v>14</v>
      </c>
      <c r="Q189" s="12"/>
      <c r="R189" s="12"/>
      <c r="T189">
        <f t="shared" si="4"/>
        <v>0.6</v>
      </c>
      <c r="U189">
        <f t="shared" si="5"/>
        <v>8.1999999999999993</v>
      </c>
    </row>
    <row r="190" spans="1:21">
      <c r="A190" s="12">
        <v>40</v>
      </c>
      <c r="B190" s="12">
        <v>40</v>
      </c>
      <c r="C190" s="11">
        <v>48.783013822605028</v>
      </c>
      <c r="D190" s="11">
        <v>29.943368126254718</v>
      </c>
      <c r="E190" s="11"/>
      <c r="F190" s="12">
        <v>318</v>
      </c>
      <c r="G190" s="12" t="s">
        <v>30</v>
      </c>
      <c r="H190" s="13"/>
      <c r="I190" s="14">
        <v>0.6</v>
      </c>
      <c r="J190" s="14"/>
      <c r="K190" s="14">
        <v>6.9</v>
      </c>
      <c r="L190" s="13">
        <v>1.1000000000000001</v>
      </c>
      <c r="M190" s="13">
        <v>0.3</v>
      </c>
      <c r="N190" s="32"/>
      <c r="O190" s="32"/>
      <c r="P190" s="12" t="s">
        <v>14</v>
      </c>
      <c r="Q190" s="12"/>
      <c r="R190" s="12"/>
      <c r="T190">
        <f t="shared" si="4"/>
        <v>0.6</v>
      </c>
      <c r="U190">
        <f t="shared" si="5"/>
        <v>6.9</v>
      </c>
    </row>
    <row r="191" spans="1:21">
      <c r="A191" s="12">
        <v>10</v>
      </c>
      <c r="B191" s="12">
        <v>10</v>
      </c>
      <c r="C191" s="11">
        <v>18.06974470609142</v>
      </c>
      <c r="D191" s="11">
        <v>14.418056176477329</v>
      </c>
      <c r="E191" s="11"/>
      <c r="F191" s="10">
        <v>107</v>
      </c>
      <c r="G191" s="12" t="s">
        <v>21</v>
      </c>
      <c r="H191" s="13"/>
      <c r="I191" s="14">
        <v>0.61</v>
      </c>
      <c r="J191" s="14"/>
      <c r="K191" s="14">
        <v>8.5</v>
      </c>
      <c r="L191" s="13">
        <v>2</v>
      </c>
      <c r="M191" s="13">
        <v>0.9</v>
      </c>
      <c r="P191" s="12" t="s">
        <v>14</v>
      </c>
      <c r="Q191" s="12"/>
      <c r="R191" s="12"/>
      <c r="T191">
        <f t="shared" si="4"/>
        <v>0.61</v>
      </c>
      <c r="U191">
        <f t="shared" si="5"/>
        <v>8.5</v>
      </c>
    </row>
    <row r="192" spans="1:21" s="27" customFormat="1">
      <c r="A192" s="12">
        <v>30</v>
      </c>
      <c r="B192" s="12">
        <v>-20</v>
      </c>
      <c r="C192" s="11">
        <v>30.241353318909049</v>
      </c>
      <c r="D192" s="11">
        <v>-13.002151720621825</v>
      </c>
      <c r="E192" s="11"/>
      <c r="F192" s="12">
        <v>528</v>
      </c>
      <c r="G192" s="12" t="s">
        <v>13</v>
      </c>
      <c r="H192" s="13"/>
      <c r="I192" s="14">
        <v>0.61</v>
      </c>
      <c r="J192" s="14"/>
      <c r="K192" s="14">
        <v>7.2</v>
      </c>
      <c r="L192" s="13">
        <v>1.3</v>
      </c>
      <c r="M192" s="13">
        <v>1</v>
      </c>
      <c r="N192"/>
      <c r="O192"/>
      <c r="P192" s="12" t="s">
        <v>14</v>
      </c>
      <c r="Q192" s="12"/>
      <c r="R192" s="12"/>
      <c r="S192"/>
      <c r="T192">
        <f t="shared" si="4"/>
        <v>0.61</v>
      </c>
      <c r="U192">
        <f t="shared" si="5"/>
        <v>7.2</v>
      </c>
    </row>
    <row r="193" spans="1:21">
      <c r="A193" s="9">
        <v>0</v>
      </c>
      <c r="B193" s="12">
        <v>20</v>
      </c>
      <c r="C193" s="11">
        <v>8.9461265962646888</v>
      </c>
      <c r="D193" s="11">
        <v>22.230519877428932</v>
      </c>
      <c r="E193" s="11"/>
      <c r="F193" s="10">
        <v>35</v>
      </c>
      <c r="G193" s="12" t="s">
        <v>13</v>
      </c>
      <c r="H193" s="13"/>
      <c r="I193" s="14">
        <v>0.62</v>
      </c>
      <c r="J193" s="14"/>
      <c r="K193" s="14">
        <v>10.6</v>
      </c>
      <c r="L193" s="13">
        <v>2.1</v>
      </c>
      <c r="M193" s="13">
        <v>0.5</v>
      </c>
      <c r="P193" s="12" t="s">
        <v>14</v>
      </c>
      <c r="Q193" s="12"/>
      <c r="R193" s="12"/>
      <c r="T193">
        <f t="shared" si="4"/>
        <v>0.62</v>
      </c>
      <c r="U193">
        <f t="shared" si="5"/>
        <v>10.6</v>
      </c>
    </row>
    <row r="194" spans="1:21">
      <c r="A194" s="9">
        <v>0</v>
      </c>
      <c r="B194" s="12">
        <v>30</v>
      </c>
      <c r="C194" s="11">
        <v>5.6418608251179263</v>
      </c>
      <c r="D194" s="11">
        <v>31.120715194177023</v>
      </c>
      <c r="E194" s="11"/>
      <c r="F194" s="12">
        <v>58</v>
      </c>
      <c r="G194" s="12" t="s">
        <v>11</v>
      </c>
      <c r="H194" s="13"/>
      <c r="I194" s="14">
        <v>0.62</v>
      </c>
      <c r="J194" s="14"/>
      <c r="K194" s="14">
        <v>13</v>
      </c>
      <c r="L194" s="13">
        <v>1.8</v>
      </c>
      <c r="M194" s="13">
        <v>0.1</v>
      </c>
      <c r="P194" s="12" t="s">
        <v>14</v>
      </c>
      <c r="Q194" s="12"/>
      <c r="R194" s="12"/>
      <c r="T194">
        <f t="shared" ref="T194:T257" si="6">IF(H194="",I194,H194/PI())</f>
        <v>0.62</v>
      </c>
      <c r="U194">
        <f t="shared" ref="U194:U257" si="7">IF(J194="dead","dead",J194/PI()+K194)</f>
        <v>13</v>
      </c>
    </row>
    <row r="195" spans="1:21">
      <c r="A195" s="12">
        <v>20</v>
      </c>
      <c r="B195" s="12">
        <v>10</v>
      </c>
      <c r="C195" s="11">
        <v>24.042660540170019</v>
      </c>
      <c r="D195" s="11">
        <v>10.755324065640806</v>
      </c>
      <c r="E195" s="11"/>
      <c r="F195" s="10">
        <v>137</v>
      </c>
      <c r="G195" s="12" t="s">
        <v>13</v>
      </c>
      <c r="H195" s="13"/>
      <c r="I195" s="14">
        <v>0.63</v>
      </c>
      <c r="J195" s="14"/>
      <c r="K195" s="14">
        <v>12.7</v>
      </c>
      <c r="L195" s="13">
        <v>2.2999999999999998</v>
      </c>
      <c r="M195" s="13">
        <v>0.6</v>
      </c>
      <c r="P195" s="12" t="s">
        <v>14</v>
      </c>
      <c r="Q195" s="12"/>
      <c r="R195" s="12"/>
      <c r="T195">
        <f t="shared" si="6"/>
        <v>0.63</v>
      </c>
      <c r="U195">
        <f t="shared" si="7"/>
        <v>12.7</v>
      </c>
    </row>
    <row r="196" spans="1:21">
      <c r="A196" s="12">
        <v>20</v>
      </c>
      <c r="B196" s="12">
        <v>20</v>
      </c>
      <c r="C196" s="11">
        <v>26.373923925033939</v>
      </c>
      <c r="D196" s="11">
        <v>20.920997717978985</v>
      </c>
      <c r="E196" s="11"/>
      <c r="F196" s="10">
        <v>163</v>
      </c>
      <c r="G196" s="12" t="s">
        <v>21</v>
      </c>
      <c r="H196" s="13"/>
      <c r="I196" s="14">
        <v>0.63</v>
      </c>
      <c r="J196" s="14"/>
      <c r="K196" s="14">
        <v>9.5</v>
      </c>
      <c r="L196" s="13">
        <v>2</v>
      </c>
      <c r="M196" s="13">
        <v>0.6</v>
      </c>
      <c r="P196" s="12" t="s">
        <v>14</v>
      </c>
      <c r="Q196" s="12"/>
      <c r="R196" s="12"/>
      <c r="T196">
        <f t="shared" si="6"/>
        <v>0.63</v>
      </c>
      <c r="U196">
        <f t="shared" si="7"/>
        <v>9.5</v>
      </c>
    </row>
    <row r="197" spans="1:21">
      <c r="A197" s="12">
        <v>40</v>
      </c>
      <c r="B197" s="12">
        <v>30</v>
      </c>
      <c r="C197" s="11">
        <v>44.901832820608057</v>
      </c>
      <c r="D197" s="11">
        <v>34.030813170039757</v>
      </c>
      <c r="E197" s="11"/>
      <c r="F197" s="10">
        <v>341</v>
      </c>
      <c r="G197" s="12" t="s">
        <v>11</v>
      </c>
      <c r="H197" s="13"/>
      <c r="I197" s="14">
        <v>0.63</v>
      </c>
      <c r="J197" s="14"/>
      <c r="K197" s="14">
        <v>13.9</v>
      </c>
      <c r="L197" s="13">
        <v>1.4</v>
      </c>
      <c r="M197" s="13">
        <v>0.2</v>
      </c>
      <c r="P197" s="12" t="s">
        <v>14</v>
      </c>
      <c r="Q197" s="12"/>
      <c r="R197" s="12"/>
      <c r="T197">
        <f t="shared" si="6"/>
        <v>0.63</v>
      </c>
      <c r="U197">
        <f t="shared" si="7"/>
        <v>13.9</v>
      </c>
    </row>
    <row r="198" spans="1:21">
      <c r="A198" s="12">
        <v>20</v>
      </c>
      <c r="B198" s="12">
        <v>-20</v>
      </c>
      <c r="C198" s="11">
        <v>27.136801048343358</v>
      </c>
      <c r="D198" s="11">
        <v>-19.380006009065209</v>
      </c>
      <c r="E198" s="11"/>
      <c r="F198" s="12">
        <v>566</v>
      </c>
      <c r="G198" s="12" t="s">
        <v>43</v>
      </c>
      <c r="H198" s="13"/>
      <c r="I198" s="14">
        <v>0.63</v>
      </c>
      <c r="J198" s="14"/>
      <c r="K198" s="14">
        <v>7.8</v>
      </c>
      <c r="L198" s="13">
        <v>1.8</v>
      </c>
      <c r="M198" s="13">
        <v>0.9</v>
      </c>
      <c r="P198" s="12" t="s">
        <v>14</v>
      </c>
      <c r="Q198" s="12"/>
      <c r="R198" s="12"/>
      <c r="T198">
        <f t="shared" si="6"/>
        <v>0.63</v>
      </c>
      <c r="U198">
        <f t="shared" si="7"/>
        <v>7.8</v>
      </c>
    </row>
    <row r="199" spans="1:21">
      <c r="A199" s="9">
        <v>0</v>
      </c>
      <c r="B199" s="12">
        <v>20</v>
      </c>
      <c r="C199" s="11">
        <v>1.2251623958207458</v>
      </c>
      <c r="D199" s="11">
        <v>21.399491730546046</v>
      </c>
      <c r="E199" s="11"/>
      <c r="F199" s="10">
        <v>27</v>
      </c>
      <c r="G199" s="12" t="s">
        <v>11</v>
      </c>
      <c r="H199" s="13"/>
      <c r="I199" s="14">
        <v>0.64</v>
      </c>
      <c r="J199" s="14" t="s">
        <v>70</v>
      </c>
      <c r="K199" s="14"/>
      <c r="L199" s="13">
        <v>1.7</v>
      </c>
      <c r="M199" s="13"/>
      <c r="P199" s="12" t="s">
        <v>12</v>
      </c>
      <c r="Q199" s="12"/>
      <c r="R199" s="12"/>
      <c r="T199">
        <f t="shared" si="6"/>
        <v>0.64</v>
      </c>
      <c r="U199" t="str">
        <f t="shared" si="7"/>
        <v>dead</v>
      </c>
    </row>
    <row r="200" spans="1:21">
      <c r="A200" s="12">
        <v>40</v>
      </c>
      <c r="B200" s="12">
        <v>-20</v>
      </c>
      <c r="C200" s="11">
        <v>42.104570371554374</v>
      </c>
      <c r="D200" s="11">
        <v>-19.816943697056402</v>
      </c>
      <c r="E200" s="11"/>
      <c r="F200" s="10">
        <v>511</v>
      </c>
      <c r="G200" s="12" t="s">
        <v>11</v>
      </c>
      <c r="H200" s="13"/>
      <c r="I200" s="14">
        <v>0.64</v>
      </c>
      <c r="J200" s="14" t="s">
        <v>70</v>
      </c>
      <c r="K200" s="14"/>
      <c r="L200" s="13">
        <v>1.9</v>
      </c>
      <c r="M200" s="13">
        <v>0</v>
      </c>
      <c r="P200" s="12" t="s">
        <v>14</v>
      </c>
      <c r="Q200" s="12"/>
      <c r="R200" s="12"/>
      <c r="T200">
        <f t="shared" si="6"/>
        <v>0.64</v>
      </c>
      <c r="U200" t="str">
        <f t="shared" si="7"/>
        <v>dead</v>
      </c>
    </row>
    <row r="201" spans="1:21">
      <c r="A201" s="12">
        <v>0</v>
      </c>
      <c r="B201" s="12">
        <v>-30</v>
      </c>
      <c r="C201" s="11">
        <v>4.6665728265819304</v>
      </c>
      <c r="D201" s="11">
        <v>-20.335313157045952</v>
      </c>
      <c r="E201" s="11"/>
      <c r="F201" s="12">
        <v>602</v>
      </c>
      <c r="G201" s="12" t="s">
        <v>11</v>
      </c>
      <c r="H201" s="13"/>
      <c r="I201" s="14">
        <v>0.64</v>
      </c>
      <c r="J201" s="14"/>
      <c r="K201" s="14">
        <v>10</v>
      </c>
      <c r="L201" s="13">
        <v>1.7</v>
      </c>
      <c r="M201" s="13">
        <v>0.5</v>
      </c>
      <c r="P201" s="12" t="s">
        <v>14</v>
      </c>
      <c r="Q201" s="12"/>
      <c r="R201" s="12"/>
      <c r="T201">
        <f t="shared" si="6"/>
        <v>0.64</v>
      </c>
      <c r="U201">
        <f t="shared" si="7"/>
        <v>10</v>
      </c>
    </row>
    <row r="202" spans="1:21">
      <c r="A202" s="12">
        <v>10</v>
      </c>
      <c r="B202" s="12">
        <v>0</v>
      </c>
      <c r="C202" s="11">
        <v>16.93600320004315</v>
      </c>
      <c r="D202" s="11">
        <v>5.5275965491209815</v>
      </c>
      <c r="E202" s="11"/>
      <c r="F202" s="10">
        <v>115</v>
      </c>
      <c r="G202" s="12" t="s">
        <v>11</v>
      </c>
      <c r="H202" s="13"/>
      <c r="I202" s="14">
        <v>0.65</v>
      </c>
      <c r="J202" s="14"/>
      <c r="K202" s="14">
        <v>12.5</v>
      </c>
      <c r="L202" s="13">
        <v>1.8</v>
      </c>
      <c r="M202" s="13">
        <v>0.2</v>
      </c>
      <c r="P202" s="12" t="s">
        <v>14</v>
      </c>
      <c r="Q202" s="12"/>
      <c r="R202" s="12"/>
      <c r="T202">
        <f t="shared" si="6"/>
        <v>0.65</v>
      </c>
      <c r="U202">
        <f t="shared" si="7"/>
        <v>12.5</v>
      </c>
    </row>
    <row r="203" spans="1:21">
      <c r="A203" s="12">
        <v>20</v>
      </c>
      <c r="B203" s="12">
        <v>10</v>
      </c>
      <c r="C203" s="11">
        <v>22.275538913106644</v>
      </c>
      <c r="D203" s="11">
        <v>12.646913562404759</v>
      </c>
      <c r="E203" s="11"/>
      <c r="F203" s="10">
        <v>153</v>
      </c>
      <c r="G203" s="12" t="s">
        <v>13</v>
      </c>
      <c r="H203" s="13"/>
      <c r="I203" s="14">
        <v>0.65</v>
      </c>
      <c r="J203" s="14" t="s">
        <v>79</v>
      </c>
      <c r="K203" s="14"/>
      <c r="L203" s="13">
        <v>1.3</v>
      </c>
      <c r="M203" s="13">
        <v>0.7</v>
      </c>
      <c r="P203" s="12" t="s">
        <v>14</v>
      </c>
      <c r="Q203" s="12"/>
      <c r="R203" s="12" t="s">
        <v>23</v>
      </c>
      <c r="T203">
        <f t="shared" si="6"/>
        <v>0.65</v>
      </c>
      <c r="U203" t="str">
        <f t="shared" si="7"/>
        <v>dead</v>
      </c>
    </row>
    <row r="204" spans="1:21">
      <c r="A204" s="12">
        <v>20</v>
      </c>
      <c r="B204" s="12">
        <v>-20</v>
      </c>
      <c r="C204" s="11">
        <v>27.340618084048792</v>
      </c>
      <c r="D204" s="11">
        <v>-13.250376825244652</v>
      </c>
      <c r="E204" s="11"/>
      <c r="F204" s="10">
        <v>545</v>
      </c>
      <c r="G204" s="12" t="s">
        <v>13</v>
      </c>
      <c r="H204" s="13"/>
      <c r="I204" s="14">
        <v>0.65</v>
      </c>
      <c r="J204" s="14"/>
      <c r="K204" s="14">
        <v>11.8</v>
      </c>
      <c r="L204" s="13">
        <v>2.1</v>
      </c>
      <c r="M204" s="13">
        <v>1.1000000000000001</v>
      </c>
      <c r="P204" s="12" t="s">
        <v>14</v>
      </c>
      <c r="Q204" s="12"/>
      <c r="R204" s="12"/>
      <c r="T204">
        <f t="shared" si="6"/>
        <v>0.65</v>
      </c>
      <c r="U204">
        <f t="shared" si="7"/>
        <v>11.8</v>
      </c>
    </row>
    <row r="205" spans="1:21">
      <c r="A205" s="12">
        <v>30</v>
      </c>
      <c r="B205" s="12">
        <v>-20</v>
      </c>
      <c r="C205" s="11">
        <v>36.71062998926508</v>
      </c>
      <c r="D205" s="11">
        <v>-14.445328439213212</v>
      </c>
      <c r="E205" s="11"/>
      <c r="F205" s="10">
        <v>519</v>
      </c>
      <c r="G205" s="12" t="s">
        <v>11</v>
      </c>
      <c r="H205" s="13"/>
      <c r="I205" s="14">
        <v>0.67</v>
      </c>
      <c r="J205" s="14"/>
      <c r="K205" s="14">
        <v>11.3</v>
      </c>
      <c r="L205" s="13">
        <v>1.7</v>
      </c>
      <c r="M205" s="13">
        <v>0.1</v>
      </c>
      <c r="P205" s="12" t="s">
        <v>14</v>
      </c>
      <c r="Q205" s="12"/>
      <c r="R205" s="12"/>
      <c r="T205">
        <f t="shared" si="6"/>
        <v>0.67</v>
      </c>
      <c r="U205">
        <f t="shared" si="7"/>
        <v>11.3</v>
      </c>
    </row>
    <row r="206" spans="1:21">
      <c r="A206" s="12">
        <v>10</v>
      </c>
      <c r="B206" s="12">
        <v>20</v>
      </c>
      <c r="C206" s="11">
        <v>19.555892102460898</v>
      </c>
      <c r="D206" s="11">
        <v>28.665978541221271</v>
      </c>
      <c r="E206" s="11"/>
      <c r="F206" s="10">
        <v>93</v>
      </c>
      <c r="G206" s="12" t="s">
        <v>13</v>
      </c>
      <c r="H206" s="13"/>
      <c r="I206" s="14">
        <v>0.69</v>
      </c>
      <c r="J206" s="14"/>
      <c r="K206" s="14">
        <v>7.2</v>
      </c>
      <c r="L206" s="13">
        <v>1.6</v>
      </c>
      <c r="M206" s="13">
        <v>0.7</v>
      </c>
      <c r="P206" s="12" t="s">
        <v>14</v>
      </c>
      <c r="Q206" s="12"/>
      <c r="R206" s="12"/>
      <c r="T206">
        <f t="shared" si="6"/>
        <v>0.69</v>
      </c>
      <c r="U206">
        <f t="shared" si="7"/>
        <v>7.2</v>
      </c>
    </row>
    <row r="207" spans="1:21">
      <c r="A207" s="12">
        <v>20</v>
      </c>
      <c r="B207" s="12">
        <v>20</v>
      </c>
      <c r="C207" s="11">
        <v>25.099509798458744</v>
      </c>
      <c r="D207" s="11">
        <v>23.482844796581301</v>
      </c>
      <c r="E207" s="11"/>
      <c r="F207" s="12">
        <v>166</v>
      </c>
      <c r="G207" s="12" t="s">
        <v>11</v>
      </c>
      <c r="H207" s="13"/>
      <c r="I207" s="14">
        <v>0.69</v>
      </c>
      <c r="J207" s="14" t="s">
        <v>70</v>
      </c>
      <c r="K207" s="14"/>
      <c r="L207" s="13">
        <v>1.8</v>
      </c>
      <c r="M207" s="13"/>
      <c r="P207" s="12" t="s">
        <v>12</v>
      </c>
      <c r="Q207" s="12"/>
      <c r="R207" s="12"/>
      <c r="S207" t="s">
        <v>78</v>
      </c>
      <c r="T207">
        <f t="shared" si="6"/>
        <v>0.69</v>
      </c>
      <c r="U207" t="str">
        <f t="shared" si="7"/>
        <v>dead</v>
      </c>
    </row>
    <row r="208" spans="1:21">
      <c r="A208" s="12">
        <v>30</v>
      </c>
      <c r="B208" s="12">
        <v>-10</v>
      </c>
      <c r="C208" s="11">
        <v>38.88133355192322</v>
      </c>
      <c r="D208" s="11">
        <v>-4.1357451131497296</v>
      </c>
      <c r="E208" s="11"/>
      <c r="F208" s="12">
        <v>442</v>
      </c>
      <c r="G208" s="12" t="s">
        <v>13</v>
      </c>
      <c r="H208" s="13"/>
      <c r="I208" s="14">
        <v>0.69</v>
      </c>
      <c r="J208" s="14" t="s">
        <v>70</v>
      </c>
      <c r="K208" s="14"/>
      <c r="L208" s="13">
        <v>1.4</v>
      </c>
      <c r="M208" s="13">
        <v>1</v>
      </c>
      <c r="P208" s="12" t="s">
        <v>14</v>
      </c>
      <c r="Q208" s="12"/>
      <c r="R208" s="12"/>
      <c r="T208">
        <f t="shared" si="6"/>
        <v>0.69</v>
      </c>
      <c r="U208" t="str">
        <f t="shared" si="7"/>
        <v>dead</v>
      </c>
    </row>
    <row r="209" spans="1:21" s="27" customFormat="1">
      <c r="A209" s="12">
        <v>40</v>
      </c>
      <c r="B209" s="12">
        <v>-30</v>
      </c>
      <c r="C209" s="11">
        <v>42.444352749424425</v>
      </c>
      <c r="D209" s="11">
        <v>-21.066857369985712</v>
      </c>
      <c r="E209" s="11"/>
      <c r="F209" s="12">
        <v>694</v>
      </c>
      <c r="G209" s="12" t="s">
        <v>11</v>
      </c>
      <c r="H209" s="13"/>
      <c r="I209" s="14">
        <v>0.69</v>
      </c>
      <c r="J209" s="14"/>
      <c r="K209" s="14">
        <v>14.2</v>
      </c>
      <c r="L209" s="13">
        <v>2</v>
      </c>
      <c r="M209" s="13">
        <v>0</v>
      </c>
      <c r="N209"/>
      <c r="O209"/>
      <c r="P209" s="12" t="s">
        <v>14</v>
      </c>
      <c r="Q209" s="12"/>
      <c r="R209" s="12"/>
      <c r="S209" t="s">
        <v>125</v>
      </c>
      <c r="T209">
        <f t="shared" si="6"/>
        <v>0.69</v>
      </c>
      <c r="U209">
        <f t="shared" si="7"/>
        <v>14.2</v>
      </c>
    </row>
    <row r="210" spans="1:21">
      <c r="A210" s="12">
        <v>20</v>
      </c>
      <c r="B210" s="12">
        <v>10</v>
      </c>
      <c r="C210" s="11">
        <v>22.0218331717933</v>
      </c>
      <c r="D210" s="11">
        <v>12.081998618831085</v>
      </c>
      <c r="E210" s="11"/>
      <c r="F210" s="12">
        <v>150</v>
      </c>
      <c r="G210" s="12" t="s">
        <v>13</v>
      </c>
      <c r="H210" s="13"/>
      <c r="I210" s="14">
        <v>0.7</v>
      </c>
      <c r="J210" s="14"/>
      <c r="K210" s="14">
        <v>11.1</v>
      </c>
      <c r="L210" s="13">
        <v>2</v>
      </c>
      <c r="M210" s="13">
        <v>0.6</v>
      </c>
      <c r="P210" s="12" t="s">
        <v>14</v>
      </c>
      <c r="Q210" s="12"/>
      <c r="R210" s="12"/>
      <c r="T210">
        <f t="shared" si="6"/>
        <v>0.7</v>
      </c>
      <c r="U210">
        <f t="shared" si="7"/>
        <v>11.1</v>
      </c>
    </row>
    <row r="211" spans="1:21">
      <c r="A211" s="12">
        <v>30</v>
      </c>
      <c r="B211" s="12">
        <v>-30</v>
      </c>
      <c r="C211" s="11">
        <v>30.913785784552751</v>
      </c>
      <c r="D211" s="11">
        <v>-26.758505422055183</v>
      </c>
      <c r="E211" s="11"/>
      <c r="F211" s="10">
        <v>667</v>
      </c>
      <c r="G211" s="12" t="s">
        <v>11</v>
      </c>
      <c r="H211" s="13"/>
      <c r="I211" s="14">
        <v>0.7</v>
      </c>
      <c r="J211" s="14" t="s">
        <v>70</v>
      </c>
      <c r="K211" s="14"/>
      <c r="L211" s="13">
        <v>2</v>
      </c>
      <c r="M211" s="13"/>
      <c r="P211" s="12" t="s">
        <v>12</v>
      </c>
      <c r="Q211" s="12"/>
      <c r="R211" s="12"/>
      <c r="T211">
        <f t="shared" si="6"/>
        <v>0.7</v>
      </c>
      <c r="U211" t="str">
        <f t="shared" si="7"/>
        <v>dead</v>
      </c>
    </row>
    <row r="212" spans="1:21">
      <c r="A212" s="12">
        <v>30</v>
      </c>
      <c r="B212" s="12">
        <v>0</v>
      </c>
      <c r="C212" s="11">
        <v>33.817488071652981</v>
      </c>
      <c r="D212" s="11">
        <v>9.145595846620802</v>
      </c>
      <c r="E212" s="11"/>
      <c r="F212" s="12">
        <v>252</v>
      </c>
      <c r="G212" s="12" t="s">
        <v>13</v>
      </c>
      <c r="H212" s="13"/>
      <c r="I212" s="14">
        <v>0.73</v>
      </c>
      <c r="J212" s="14"/>
      <c r="K212" s="14">
        <v>10.8</v>
      </c>
      <c r="L212" s="13">
        <v>2.5</v>
      </c>
      <c r="M212" s="13">
        <v>0.7</v>
      </c>
      <c r="P212" s="12" t="s">
        <v>14</v>
      </c>
      <c r="Q212" s="12"/>
      <c r="R212" s="12"/>
      <c r="T212">
        <f t="shared" si="6"/>
        <v>0.73</v>
      </c>
      <c r="U212">
        <f t="shared" si="7"/>
        <v>10.8</v>
      </c>
    </row>
    <row r="213" spans="1:21">
      <c r="A213" s="12">
        <v>0</v>
      </c>
      <c r="B213" s="12">
        <v>-20</v>
      </c>
      <c r="C213" s="11">
        <v>3.4091697728968855</v>
      </c>
      <c r="D213" s="11">
        <v>-18.835069974797381</v>
      </c>
      <c r="E213" s="11"/>
      <c r="F213" s="12">
        <v>586</v>
      </c>
      <c r="G213" s="12" t="s">
        <v>11</v>
      </c>
      <c r="H213" s="13"/>
      <c r="I213" s="14">
        <v>0.73</v>
      </c>
      <c r="J213" s="14"/>
      <c r="K213" s="14">
        <v>13.1</v>
      </c>
      <c r="L213" s="13">
        <v>1.6</v>
      </c>
      <c r="M213" s="13">
        <v>0.1</v>
      </c>
      <c r="P213" s="12" t="s">
        <v>14</v>
      </c>
      <c r="Q213" s="12"/>
      <c r="R213" s="12"/>
      <c r="T213">
        <f t="shared" si="6"/>
        <v>0.73</v>
      </c>
      <c r="U213">
        <f t="shared" si="7"/>
        <v>13.1</v>
      </c>
    </row>
    <row r="214" spans="1:21">
      <c r="A214" s="12">
        <v>10</v>
      </c>
      <c r="B214" s="12">
        <v>-30</v>
      </c>
      <c r="C214" s="11">
        <v>11.494315595062826</v>
      </c>
      <c r="D214" s="11">
        <v>-22.19747141833485</v>
      </c>
      <c r="E214" s="11"/>
      <c r="F214" s="12">
        <v>616</v>
      </c>
      <c r="G214" s="12" t="s">
        <v>11</v>
      </c>
      <c r="H214" s="13"/>
      <c r="I214" s="14">
        <v>0.74</v>
      </c>
      <c r="J214" s="14"/>
      <c r="K214" s="14">
        <v>11.4</v>
      </c>
      <c r="L214" s="13">
        <v>1.8</v>
      </c>
      <c r="M214" s="13">
        <v>0</v>
      </c>
      <c r="P214" s="12" t="s">
        <v>14</v>
      </c>
      <c r="Q214" s="12"/>
      <c r="R214" s="12"/>
      <c r="T214">
        <f t="shared" si="6"/>
        <v>0.74</v>
      </c>
      <c r="U214">
        <f t="shared" si="7"/>
        <v>11.4</v>
      </c>
    </row>
    <row r="215" spans="1:21">
      <c r="A215" s="12">
        <v>30</v>
      </c>
      <c r="B215" s="12">
        <v>0</v>
      </c>
      <c r="C215" s="11">
        <v>32.51296487374573</v>
      </c>
      <c r="D215" s="11">
        <v>8.1260144024241967</v>
      </c>
      <c r="E215" s="11"/>
      <c r="F215" s="12">
        <v>254</v>
      </c>
      <c r="G215" s="12" t="s">
        <v>21</v>
      </c>
      <c r="H215" s="13"/>
      <c r="I215" s="14">
        <v>0.75</v>
      </c>
      <c r="J215" s="14"/>
      <c r="K215" s="14">
        <v>13.1</v>
      </c>
      <c r="L215" s="13">
        <v>2</v>
      </c>
      <c r="M215" s="13">
        <v>0.7</v>
      </c>
      <c r="P215" s="12" t="s">
        <v>14</v>
      </c>
      <c r="Q215" s="12"/>
      <c r="R215" s="12"/>
      <c r="T215">
        <f t="shared" si="6"/>
        <v>0.75</v>
      </c>
      <c r="U215">
        <f t="shared" si="7"/>
        <v>13.1</v>
      </c>
    </row>
    <row r="216" spans="1:21">
      <c r="A216" s="12">
        <v>40</v>
      </c>
      <c r="B216" s="12">
        <v>40</v>
      </c>
      <c r="C216" s="11">
        <v>41.788521062382372</v>
      </c>
      <c r="D216" s="11">
        <v>44.856255106258537</v>
      </c>
      <c r="E216" s="11"/>
      <c r="F216" s="10">
        <v>355</v>
      </c>
      <c r="G216" s="12" t="s">
        <v>11</v>
      </c>
      <c r="H216" s="13"/>
      <c r="I216" s="14">
        <v>0.75</v>
      </c>
      <c r="J216" s="14" t="s">
        <v>70</v>
      </c>
      <c r="K216" s="14"/>
      <c r="L216" s="13">
        <v>1.8</v>
      </c>
      <c r="M216" s="13">
        <v>0.2</v>
      </c>
      <c r="P216" s="12" t="s">
        <v>14</v>
      </c>
      <c r="Q216" s="12"/>
      <c r="R216" s="12"/>
      <c r="T216">
        <f t="shared" si="6"/>
        <v>0.75</v>
      </c>
      <c r="U216" t="str">
        <f t="shared" si="7"/>
        <v>dead</v>
      </c>
    </row>
    <row r="217" spans="1:21">
      <c r="A217" s="9">
        <v>0</v>
      </c>
      <c r="B217" s="9">
        <v>-10</v>
      </c>
      <c r="C217" s="11">
        <v>1.7255461288273115</v>
      </c>
      <c r="D217" s="11">
        <v>-2.0859308470743647</v>
      </c>
      <c r="E217" s="11"/>
      <c r="F217" s="10">
        <v>403</v>
      </c>
      <c r="G217" s="12" t="s">
        <v>11</v>
      </c>
      <c r="H217" s="13"/>
      <c r="I217" s="14">
        <v>0.75</v>
      </c>
      <c r="J217" s="14"/>
      <c r="K217" s="14">
        <v>11.5</v>
      </c>
      <c r="L217" s="13">
        <v>1.8</v>
      </c>
      <c r="M217" s="13">
        <v>0</v>
      </c>
      <c r="P217" s="12" t="s">
        <v>14</v>
      </c>
      <c r="Q217" s="12"/>
      <c r="R217" s="12"/>
      <c r="T217">
        <f t="shared" si="6"/>
        <v>0.75</v>
      </c>
      <c r="U217">
        <f t="shared" si="7"/>
        <v>11.5</v>
      </c>
    </row>
    <row r="218" spans="1:21">
      <c r="A218" s="9">
        <v>0</v>
      </c>
      <c r="B218" s="9">
        <v>0</v>
      </c>
      <c r="C218" s="11">
        <v>4.3575671820445905</v>
      </c>
      <c r="D218" s="11">
        <v>8.8929986924760307</v>
      </c>
      <c r="E218" s="11"/>
      <c r="F218" s="12">
        <v>12</v>
      </c>
      <c r="G218" s="12" t="s">
        <v>13</v>
      </c>
      <c r="H218" s="13"/>
      <c r="I218" s="14">
        <v>0.76</v>
      </c>
      <c r="J218" s="14"/>
      <c r="K218" s="14">
        <v>7.1</v>
      </c>
      <c r="L218" s="13">
        <v>2.1</v>
      </c>
      <c r="M218" s="13">
        <v>0.7</v>
      </c>
      <c r="N218" s="32"/>
      <c r="O218" s="32"/>
      <c r="P218" s="12" t="s">
        <v>14</v>
      </c>
      <c r="Q218" s="12"/>
      <c r="R218" s="12"/>
      <c r="S218" s="32" t="s">
        <v>73</v>
      </c>
      <c r="T218">
        <f t="shared" si="6"/>
        <v>0.76</v>
      </c>
      <c r="U218">
        <f t="shared" si="7"/>
        <v>7.1</v>
      </c>
    </row>
    <row r="219" spans="1:21">
      <c r="A219" s="12">
        <v>30</v>
      </c>
      <c r="B219" s="12">
        <v>10</v>
      </c>
      <c r="C219" s="11">
        <v>31.992592005271483</v>
      </c>
      <c r="D219" s="11">
        <v>17.257432389068928</v>
      </c>
      <c r="E219" s="11"/>
      <c r="F219" s="12">
        <v>230</v>
      </c>
      <c r="G219" s="12" t="s">
        <v>13</v>
      </c>
      <c r="H219" s="13"/>
      <c r="I219" s="14">
        <v>0.76</v>
      </c>
      <c r="J219" s="14"/>
      <c r="K219" s="14">
        <v>12.3</v>
      </c>
      <c r="L219" s="13">
        <v>2.1</v>
      </c>
      <c r="M219" s="13">
        <v>0.7</v>
      </c>
      <c r="P219" s="12" t="s">
        <v>14</v>
      </c>
      <c r="Q219" s="12"/>
      <c r="R219" s="12"/>
      <c r="T219">
        <f t="shared" si="6"/>
        <v>0.76</v>
      </c>
      <c r="U219">
        <f t="shared" si="7"/>
        <v>12.3</v>
      </c>
    </row>
    <row r="220" spans="1:21">
      <c r="A220" s="12">
        <v>40</v>
      </c>
      <c r="B220" s="12">
        <v>30</v>
      </c>
      <c r="C220" s="11">
        <v>49.026122660403686</v>
      </c>
      <c r="D220" s="11">
        <v>30.067630548181324</v>
      </c>
      <c r="E220" s="11"/>
      <c r="F220" s="10">
        <v>319</v>
      </c>
      <c r="G220" s="12" t="s">
        <v>30</v>
      </c>
      <c r="H220" s="13"/>
      <c r="I220" s="14">
        <v>0.78</v>
      </c>
      <c r="J220" s="14"/>
      <c r="K220" s="14">
        <v>9</v>
      </c>
      <c r="L220" s="13">
        <v>1.6</v>
      </c>
      <c r="M220" s="13">
        <v>0.2</v>
      </c>
      <c r="P220" s="12" t="s">
        <v>14</v>
      </c>
      <c r="Q220" s="12"/>
      <c r="R220" s="12"/>
      <c r="T220">
        <f t="shared" si="6"/>
        <v>0.78</v>
      </c>
      <c r="U220">
        <f t="shared" si="7"/>
        <v>9</v>
      </c>
    </row>
    <row r="221" spans="1:21">
      <c r="A221" s="12">
        <v>40</v>
      </c>
      <c r="B221" s="12">
        <v>-30</v>
      </c>
      <c r="C221" s="11">
        <v>48.268851088723402</v>
      </c>
      <c r="D221" s="11">
        <v>-23.650476667238095</v>
      </c>
      <c r="E221" s="11"/>
      <c r="F221" s="12">
        <v>700</v>
      </c>
      <c r="G221" s="12" t="s">
        <v>13</v>
      </c>
      <c r="H221" s="13"/>
      <c r="I221" s="14">
        <v>0.79</v>
      </c>
      <c r="J221" s="14"/>
      <c r="K221" s="14">
        <v>11</v>
      </c>
      <c r="L221" s="13">
        <v>2.4</v>
      </c>
      <c r="M221" s="13">
        <v>1.3</v>
      </c>
      <c r="P221" s="12" t="s">
        <v>14</v>
      </c>
      <c r="Q221" s="12"/>
      <c r="R221" s="12"/>
      <c r="T221">
        <f t="shared" si="6"/>
        <v>0.79</v>
      </c>
      <c r="U221">
        <f t="shared" si="7"/>
        <v>11</v>
      </c>
    </row>
    <row r="222" spans="1:21">
      <c r="A222" s="12">
        <v>10</v>
      </c>
      <c r="B222" s="12">
        <v>40</v>
      </c>
      <c r="C222" s="11">
        <v>10.977000017227384</v>
      </c>
      <c r="D222" s="11">
        <v>48.181556777954015</v>
      </c>
      <c r="E222" s="11"/>
      <c r="F222" s="12">
        <v>72</v>
      </c>
      <c r="G222" s="12" t="s">
        <v>11</v>
      </c>
      <c r="H222" s="13"/>
      <c r="I222" s="14">
        <v>0.8</v>
      </c>
      <c r="J222" s="14"/>
      <c r="K222" s="14">
        <v>12.3</v>
      </c>
      <c r="L222" s="13">
        <v>1.8</v>
      </c>
      <c r="M222" s="13">
        <v>0.2</v>
      </c>
      <c r="P222" s="12" t="s">
        <v>14</v>
      </c>
      <c r="Q222" s="12"/>
      <c r="R222" s="12"/>
      <c r="T222">
        <f t="shared" si="6"/>
        <v>0.8</v>
      </c>
      <c r="U222">
        <f t="shared" si="7"/>
        <v>12.3</v>
      </c>
    </row>
    <row r="223" spans="1:21">
      <c r="A223" s="12">
        <v>30</v>
      </c>
      <c r="B223" s="12">
        <v>0</v>
      </c>
      <c r="C223" s="11">
        <v>39.175844745901799</v>
      </c>
      <c r="D223" s="11">
        <v>9.4772927717291982</v>
      </c>
      <c r="E223" s="11"/>
      <c r="F223" s="10">
        <v>241</v>
      </c>
      <c r="G223" s="12" t="s">
        <v>11</v>
      </c>
      <c r="H223" s="13"/>
      <c r="I223" s="14">
        <v>0.8</v>
      </c>
      <c r="J223" s="14"/>
      <c r="K223" s="14">
        <v>14.3</v>
      </c>
      <c r="L223" s="13">
        <v>1.8</v>
      </c>
      <c r="M223" s="13">
        <v>0.3</v>
      </c>
      <c r="P223" s="12" t="s">
        <v>14</v>
      </c>
      <c r="Q223" s="12"/>
      <c r="R223" s="12"/>
      <c r="T223">
        <f t="shared" si="6"/>
        <v>0.8</v>
      </c>
      <c r="U223">
        <f t="shared" si="7"/>
        <v>14.3</v>
      </c>
    </row>
    <row r="224" spans="1:21">
      <c r="A224" s="9">
        <v>0</v>
      </c>
      <c r="B224" s="9">
        <v>0</v>
      </c>
      <c r="C224" s="11">
        <v>4.9059474370510188</v>
      </c>
      <c r="D224" s="11">
        <v>8.7299100481017451</v>
      </c>
      <c r="E224" s="11"/>
      <c r="F224" s="12">
        <v>14</v>
      </c>
      <c r="G224" s="12" t="s">
        <v>13</v>
      </c>
      <c r="H224" s="13"/>
      <c r="I224" s="14">
        <v>0.81</v>
      </c>
      <c r="J224" s="14"/>
      <c r="K224" s="14">
        <v>13.3</v>
      </c>
      <c r="L224" s="13">
        <v>2.1</v>
      </c>
      <c r="M224" s="13">
        <v>0.6</v>
      </c>
      <c r="P224" s="12" t="s">
        <v>14</v>
      </c>
      <c r="Q224" s="12"/>
      <c r="R224" s="12"/>
      <c r="T224">
        <f t="shared" si="6"/>
        <v>0.81</v>
      </c>
      <c r="U224">
        <f t="shared" si="7"/>
        <v>13.3</v>
      </c>
    </row>
    <row r="225" spans="1:21">
      <c r="A225" s="12">
        <v>20</v>
      </c>
      <c r="B225" s="12">
        <v>-20</v>
      </c>
      <c r="C225" s="11">
        <v>21.722359954660718</v>
      </c>
      <c r="D225" s="11">
        <v>-34.630679248749715</v>
      </c>
      <c r="E225" s="11"/>
      <c r="F225" s="12">
        <v>720</v>
      </c>
      <c r="G225" s="12" t="s">
        <v>21</v>
      </c>
      <c r="H225" s="13"/>
      <c r="I225" s="14">
        <v>0.81</v>
      </c>
      <c r="J225" s="14"/>
      <c r="K225" s="14">
        <v>12</v>
      </c>
      <c r="L225" s="13">
        <v>2.2999999999999998</v>
      </c>
      <c r="M225" s="13">
        <v>0.1</v>
      </c>
      <c r="P225" s="12" t="s">
        <v>14</v>
      </c>
      <c r="Q225" s="12"/>
      <c r="R225" s="12"/>
      <c r="S225" t="s">
        <v>132</v>
      </c>
      <c r="T225">
        <f t="shared" si="6"/>
        <v>0.81</v>
      </c>
      <c r="U225">
        <f t="shared" si="7"/>
        <v>12</v>
      </c>
    </row>
    <row r="226" spans="1:21">
      <c r="A226" s="12">
        <v>10</v>
      </c>
      <c r="B226" s="12">
        <v>30</v>
      </c>
      <c r="C226" s="11">
        <v>17.134050908049542</v>
      </c>
      <c r="D226" s="11">
        <v>31.254967768961702</v>
      </c>
      <c r="E226" s="11"/>
      <c r="F226" s="12">
        <v>86</v>
      </c>
      <c r="G226" s="12" t="s">
        <v>11</v>
      </c>
      <c r="H226" s="13"/>
      <c r="I226" s="14">
        <v>0.82</v>
      </c>
      <c r="J226" s="14"/>
      <c r="K226" s="14">
        <v>15.8</v>
      </c>
      <c r="L226" s="13">
        <v>1.8</v>
      </c>
      <c r="M226" s="13">
        <v>0.1</v>
      </c>
      <c r="P226" s="12" t="s">
        <v>14</v>
      </c>
      <c r="Q226" s="12"/>
      <c r="R226" s="12"/>
      <c r="T226">
        <f t="shared" si="6"/>
        <v>0.82</v>
      </c>
      <c r="U226">
        <f t="shared" si="7"/>
        <v>15.8</v>
      </c>
    </row>
    <row r="227" spans="1:21">
      <c r="A227" s="12">
        <v>40</v>
      </c>
      <c r="B227" s="12">
        <v>30</v>
      </c>
      <c r="C227" s="11">
        <v>49.93570259265578</v>
      </c>
      <c r="D227" s="11">
        <v>30.790224441203314</v>
      </c>
      <c r="E227" s="11"/>
      <c r="F227" s="10">
        <v>339</v>
      </c>
      <c r="G227" s="12" t="s">
        <v>30</v>
      </c>
      <c r="H227" s="13"/>
      <c r="I227" s="14">
        <v>0.83</v>
      </c>
      <c r="J227" s="14" t="s">
        <v>70</v>
      </c>
      <c r="K227" s="14"/>
      <c r="L227" s="13">
        <v>1.5</v>
      </c>
      <c r="M227" s="13">
        <v>1</v>
      </c>
      <c r="P227" s="12" t="s">
        <v>14</v>
      </c>
      <c r="Q227" s="12"/>
      <c r="R227" s="12"/>
      <c r="T227">
        <f t="shared" si="6"/>
        <v>0.83</v>
      </c>
      <c r="U227" t="str">
        <f t="shared" si="7"/>
        <v>dead</v>
      </c>
    </row>
    <row r="228" spans="1:21">
      <c r="A228" s="12">
        <v>40</v>
      </c>
      <c r="B228" s="12">
        <v>20</v>
      </c>
      <c r="C228" s="11">
        <v>41.818732140228228</v>
      </c>
      <c r="D228" s="11">
        <v>29.333872218834813</v>
      </c>
      <c r="E228" s="11"/>
      <c r="F228" s="12">
        <v>308</v>
      </c>
      <c r="G228" s="12" t="s">
        <v>13</v>
      </c>
      <c r="H228" s="13"/>
      <c r="I228" s="14">
        <v>0.84</v>
      </c>
      <c r="J228" s="14"/>
      <c r="K228" s="14">
        <v>11.3</v>
      </c>
      <c r="L228" s="13">
        <v>1.6</v>
      </c>
      <c r="M228" s="13">
        <v>1</v>
      </c>
      <c r="P228" s="12" t="s">
        <v>14</v>
      </c>
      <c r="Q228" s="12"/>
      <c r="R228" s="12"/>
      <c r="T228">
        <f t="shared" si="6"/>
        <v>0.84</v>
      </c>
      <c r="U228">
        <f t="shared" si="7"/>
        <v>11.3</v>
      </c>
    </row>
    <row r="229" spans="1:21">
      <c r="A229" s="12">
        <v>20</v>
      </c>
      <c r="B229" s="12">
        <v>-20</v>
      </c>
      <c r="C229" s="11">
        <v>27.200450190790999</v>
      </c>
      <c r="D229" s="11">
        <v>-13.143870970885699</v>
      </c>
      <c r="E229" s="11"/>
      <c r="F229" s="12">
        <v>544</v>
      </c>
      <c r="G229" s="12" t="s">
        <v>13</v>
      </c>
      <c r="H229" s="13"/>
      <c r="I229" s="14">
        <v>0.84</v>
      </c>
      <c r="J229" s="14"/>
      <c r="K229" s="14">
        <v>9.5</v>
      </c>
      <c r="L229" s="13">
        <v>2.6</v>
      </c>
      <c r="M229" s="13">
        <v>1.5</v>
      </c>
      <c r="P229" s="12" t="s">
        <v>14</v>
      </c>
      <c r="Q229" s="12"/>
      <c r="R229" s="12"/>
      <c r="T229">
        <f t="shared" si="6"/>
        <v>0.84</v>
      </c>
      <c r="U229">
        <f t="shared" si="7"/>
        <v>9.5</v>
      </c>
    </row>
    <row r="230" spans="1:21">
      <c r="A230" s="12">
        <v>20</v>
      </c>
      <c r="B230" s="12">
        <v>-20</v>
      </c>
      <c r="C230" s="11">
        <v>27.711031855444549</v>
      </c>
      <c r="D230" s="11">
        <v>-18.928457982322666</v>
      </c>
      <c r="E230" s="11"/>
      <c r="F230" s="12">
        <v>564</v>
      </c>
      <c r="G230" s="12" t="s">
        <v>13</v>
      </c>
      <c r="H230" s="13"/>
      <c r="I230" s="14">
        <v>0.84</v>
      </c>
      <c r="J230" s="14"/>
      <c r="K230" s="14">
        <v>12.5</v>
      </c>
      <c r="L230" s="13">
        <v>2.2000000000000002</v>
      </c>
      <c r="M230" s="13">
        <v>0.6</v>
      </c>
      <c r="P230" s="12" t="s">
        <v>14</v>
      </c>
      <c r="Q230" s="12"/>
      <c r="R230" s="12"/>
      <c r="S230" t="s">
        <v>100</v>
      </c>
      <c r="T230">
        <f t="shared" si="6"/>
        <v>0.84</v>
      </c>
      <c r="U230">
        <f t="shared" si="7"/>
        <v>12.5</v>
      </c>
    </row>
    <row r="231" spans="1:21">
      <c r="A231" s="12">
        <v>20</v>
      </c>
      <c r="B231" s="12">
        <v>0</v>
      </c>
      <c r="C231" s="11">
        <v>26.528558261896087</v>
      </c>
      <c r="D231" s="11">
        <v>4.760706567415002</v>
      </c>
      <c r="E231" s="11"/>
      <c r="F231" s="12">
        <v>120</v>
      </c>
      <c r="G231" s="12" t="s">
        <v>21</v>
      </c>
      <c r="H231" s="13"/>
      <c r="I231" s="14">
        <v>0.85</v>
      </c>
      <c r="J231" s="14"/>
      <c r="K231" s="14">
        <v>12.7</v>
      </c>
      <c r="L231" s="13">
        <v>2.2000000000000002</v>
      </c>
      <c r="M231" s="13">
        <v>0.6</v>
      </c>
      <c r="P231" s="12" t="s">
        <v>14</v>
      </c>
      <c r="Q231" s="12"/>
      <c r="R231" s="12"/>
      <c r="T231">
        <f t="shared" si="6"/>
        <v>0.85</v>
      </c>
      <c r="U231">
        <f t="shared" si="7"/>
        <v>12.7</v>
      </c>
    </row>
    <row r="232" spans="1:21">
      <c r="A232" s="9">
        <v>0</v>
      </c>
      <c r="B232" s="12">
        <v>20</v>
      </c>
      <c r="C232" s="11">
        <v>6.0533561384906731</v>
      </c>
      <c r="D232" s="11">
        <v>26.914693012751709</v>
      </c>
      <c r="E232" s="11"/>
      <c r="F232" s="10">
        <v>43</v>
      </c>
      <c r="G232" s="12" t="s">
        <v>11</v>
      </c>
      <c r="H232" s="13"/>
      <c r="I232" s="14">
        <v>0.86</v>
      </c>
      <c r="J232" s="14"/>
      <c r="K232" s="14">
        <v>17.399999999999999</v>
      </c>
      <c r="L232" s="13">
        <v>1.9</v>
      </c>
      <c r="M232" s="13">
        <v>0.2</v>
      </c>
      <c r="P232" s="12" t="s">
        <v>14</v>
      </c>
      <c r="Q232" s="12"/>
      <c r="R232" s="12"/>
      <c r="T232">
        <f t="shared" si="6"/>
        <v>0.86</v>
      </c>
      <c r="U232">
        <f t="shared" si="7"/>
        <v>17.399999999999999</v>
      </c>
    </row>
    <row r="233" spans="1:21">
      <c r="A233" s="12">
        <v>40</v>
      </c>
      <c r="B233" s="12">
        <v>20</v>
      </c>
      <c r="C233" s="11">
        <v>42.095122478025289</v>
      </c>
      <c r="D233" s="11">
        <v>29.899743039168619</v>
      </c>
      <c r="E233" s="11"/>
      <c r="F233" s="12">
        <v>314</v>
      </c>
      <c r="G233" s="12" t="s">
        <v>13</v>
      </c>
      <c r="H233" s="13"/>
      <c r="I233" s="14">
        <v>0.86</v>
      </c>
      <c r="J233" s="14"/>
      <c r="K233" s="14">
        <v>10.5</v>
      </c>
      <c r="L233" s="13">
        <v>2.5</v>
      </c>
      <c r="M233" s="13">
        <v>0.7</v>
      </c>
      <c r="P233" s="12" t="s">
        <v>14</v>
      </c>
      <c r="Q233" s="12"/>
      <c r="R233" s="12"/>
      <c r="T233">
        <f t="shared" si="6"/>
        <v>0.86</v>
      </c>
      <c r="U233">
        <f t="shared" si="7"/>
        <v>10.5</v>
      </c>
    </row>
    <row r="234" spans="1:21">
      <c r="A234" s="12">
        <v>20</v>
      </c>
      <c r="B234" s="12">
        <v>-20</v>
      </c>
      <c r="C234" s="11">
        <v>29.893250275501281</v>
      </c>
      <c r="D234" s="11">
        <v>-12.955420444935895</v>
      </c>
      <c r="E234" s="11"/>
      <c r="F234" s="12">
        <v>538</v>
      </c>
      <c r="G234" s="12" t="s">
        <v>13</v>
      </c>
      <c r="H234" s="13"/>
      <c r="I234" s="14">
        <v>0.86</v>
      </c>
      <c r="J234" s="14"/>
      <c r="K234" s="14">
        <v>8.8000000000000007</v>
      </c>
      <c r="L234" s="13">
        <v>1.7</v>
      </c>
      <c r="M234" s="13">
        <v>0.9</v>
      </c>
      <c r="P234" s="12" t="s">
        <v>14</v>
      </c>
      <c r="Q234" s="12"/>
      <c r="R234" s="12"/>
      <c r="T234">
        <f t="shared" si="6"/>
        <v>0.86</v>
      </c>
      <c r="U234">
        <f t="shared" si="7"/>
        <v>8.8000000000000007</v>
      </c>
    </row>
    <row r="235" spans="1:21">
      <c r="A235" s="12">
        <v>40</v>
      </c>
      <c r="B235" s="12">
        <v>20</v>
      </c>
      <c r="C235" s="11">
        <v>42.255591812176434</v>
      </c>
      <c r="D235" s="11">
        <v>29.924382566855925</v>
      </c>
      <c r="E235" s="11"/>
      <c r="F235" s="10">
        <v>317</v>
      </c>
      <c r="G235" s="12" t="s">
        <v>13</v>
      </c>
      <c r="H235" s="13"/>
      <c r="I235" s="14">
        <v>0.87</v>
      </c>
      <c r="J235" s="14"/>
      <c r="K235" s="14">
        <v>9.9</v>
      </c>
      <c r="L235" s="13">
        <v>2</v>
      </c>
      <c r="M235" s="13">
        <v>0.7</v>
      </c>
      <c r="P235" s="12" t="s">
        <v>14</v>
      </c>
      <c r="Q235" s="12"/>
      <c r="R235" s="12"/>
      <c r="T235">
        <f t="shared" si="6"/>
        <v>0.87</v>
      </c>
      <c r="U235">
        <f t="shared" si="7"/>
        <v>9.9</v>
      </c>
    </row>
    <row r="236" spans="1:21">
      <c r="A236" s="12">
        <v>20</v>
      </c>
      <c r="B236" s="12">
        <v>-20</v>
      </c>
      <c r="C236" s="11">
        <v>26.855187291478849</v>
      </c>
      <c r="D236" s="11">
        <v>-19.034179478951081</v>
      </c>
      <c r="E236" s="11"/>
      <c r="F236" s="10">
        <v>567</v>
      </c>
      <c r="G236" s="12" t="s">
        <v>43</v>
      </c>
      <c r="H236" s="13"/>
      <c r="I236" s="14">
        <v>0.89</v>
      </c>
      <c r="J236" s="14" t="s">
        <v>70</v>
      </c>
      <c r="K236" s="14"/>
      <c r="L236" s="13">
        <v>1.8</v>
      </c>
      <c r="M236" s="13"/>
      <c r="P236" s="12" t="s">
        <v>12</v>
      </c>
      <c r="Q236" s="12"/>
      <c r="R236" s="12"/>
      <c r="T236">
        <f t="shared" si="6"/>
        <v>0.89</v>
      </c>
      <c r="U236" t="str">
        <f t="shared" si="7"/>
        <v>dead</v>
      </c>
    </row>
    <row r="237" spans="1:21">
      <c r="A237" s="12">
        <v>20</v>
      </c>
      <c r="B237" s="12">
        <v>10</v>
      </c>
      <c r="C237" s="11">
        <v>23.975810626973125</v>
      </c>
      <c r="D237" s="11">
        <v>10.577472753850401</v>
      </c>
      <c r="E237" s="11"/>
      <c r="F237" s="12">
        <v>138</v>
      </c>
      <c r="G237" s="12" t="s">
        <v>13</v>
      </c>
      <c r="H237" s="13"/>
      <c r="I237" s="14">
        <v>0.9</v>
      </c>
      <c r="J237" s="14"/>
      <c r="K237" s="14">
        <v>14.7</v>
      </c>
      <c r="L237" s="13">
        <v>1.9</v>
      </c>
      <c r="M237" s="13">
        <v>0.7</v>
      </c>
      <c r="P237" s="12" t="s">
        <v>14</v>
      </c>
      <c r="Q237" s="12"/>
      <c r="R237" s="12"/>
      <c r="T237">
        <f t="shared" si="6"/>
        <v>0.9</v>
      </c>
      <c r="U237">
        <f t="shared" si="7"/>
        <v>14.7</v>
      </c>
    </row>
    <row r="238" spans="1:21">
      <c r="A238" s="12">
        <v>20</v>
      </c>
      <c r="B238" s="12">
        <v>-20</v>
      </c>
      <c r="C238" s="11">
        <v>28.085472499046794</v>
      </c>
      <c r="D238" s="11">
        <v>-18.593028245562195</v>
      </c>
      <c r="E238" s="11"/>
      <c r="F238" s="10">
        <v>565</v>
      </c>
      <c r="G238" s="12" t="s">
        <v>13</v>
      </c>
      <c r="H238" s="13"/>
      <c r="I238" s="14">
        <v>0.9</v>
      </c>
      <c r="J238" s="14"/>
      <c r="K238" s="14">
        <v>16.5</v>
      </c>
      <c r="L238" s="13">
        <v>1.8</v>
      </c>
      <c r="M238" s="13">
        <v>0.5</v>
      </c>
      <c r="N238" s="32"/>
      <c r="O238" s="32"/>
      <c r="P238" s="12" t="s">
        <v>14</v>
      </c>
      <c r="Q238" s="12"/>
      <c r="R238" s="12"/>
      <c r="S238" s="32"/>
      <c r="T238">
        <f t="shared" si="6"/>
        <v>0.9</v>
      </c>
      <c r="U238">
        <f t="shared" si="7"/>
        <v>16.5</v>
      </c>
    </row>
    <row r="239" spans="1:21">
      <c r="A239" s="12">
        <v>40</v>
      </c>
      <c r="B239" s="12">
        <v>-30</v>
      </c>
      <c r="C239" s="11">
        <v>44.623379133287443</v>
      </c>
      <c r="D239" s="11">
        <v>-27.132298558258295</v>
      </c>
      <c r="E239" s="11"/>
      <c r="F239" s="10">
        <v>695</v>
      </c>
      <c r="G239" s="12" t="s">
        <v>21</v>
      </c>
      <c r="H239" s="13"/>
      <c r="I239" s="14">
        <v>0.9</v>
      </c>
      <c r="J239" s="14"/>
      <c r="K239" s="14">
        <v>14.2</v>
      </c>
      <c r="L239" s="13">
        <v>2.4</v>
      </c>
      <c r="M239" s="13">
        <v>0.7</v>
      </c>
      <c r="P239" s="12" t="s">
        <v>14</v>
      </c>
      <c r="Q239" s="12"/>
      <c r="R239" s="12"/>
      <c r="S239" t="s">
        <v>126</v>
      </c>
      <c r="T239">
        <f t="shared" si="6"/>
        <v>0.9</v>
      </c>
      <c r="U239">
        <f t="shared" si="7"/>
        <v>14.2</v>
      </c>
    </row>
    <row r="240" spans="1:21">
      <c r="A240" s="12">
        <v>40</v>
      </c>
      <c r="B240" s="12">
        <v>30</v>
      </c>
      <c r="C240" s="11">
        <v>41.809840918419845</v>
      </c>
      <c r="D240" s="11">
        <v>38.003454428666828</v>
      </c>
      <c r="E240" s="11"/>
      <c r="F240" s="10">
        <v>345</v>
      </c>
      <c r="G240" s="12" t="s">
        <v>11</v>
      </c>
      <c r="H240" s="13"/>
      <c r="I240" s="14">
        <v>0.91</v>
      </c>
      <c r="J240" s="14"/>
      <c r="K240" s="14">
        <v>19.899999999999999</v>
      </c>
      <c r="L240" s="13">
        <v>2.4</v>
      </c>
      <c r="M240" s="13">
        <v>0.2</v>
      </c>
      <c r="P240" s="12" t="s">
        <v>14</v>
      </c>
      <c r="Q240" s="12"/>
      <c r="R240" s="12"/>
      <c r="T240">
        <f t="shared" si="6"/>
        <v>0.91</v>
      </c>
      <c r="U240">
        <f t="shared" si="7"/>
        <v>19.899999999999999</v>
      </c>
    </row>
    <row r="241" spans="1:21">
      <c r="A241" s="12">
        <v>20</v>
      </c>
      <c r="B241" s="12">
        <v>-20</v>
      </c>
      <c r="C241" s="11">
        <v>22.699862220695191</v>
      </c>
      <c r="D241" s="11">
        <v>-35.871637861391832</v>
      </c>
      <c r="E241" s="11"/>
      <c r="F241" s="10">
        <v>719</v>
      </c>
      <c r="G241" s="12" t="s">
        <v>11</v>
      </c>
      <c r="H241" s="13"/>
      <c r="I241" s="14">
        <v>0.91</v>
      </c>
      <c r="J241" s="14"/>
      <c r="K241" s="14">
        <v>15.8</v>
      </c>
      <c r="L241" s="13">
        <v>2</v>
      </c>
      <c r="M241" s="13">
        <v>0.1</v>
      </c>
      <c r="P241" s="12" t="s">
        <v>14</v>
      </c>
      <c r="Q241" s="12"/>
      <c r="R241" s="12"/>
      <c r="T241">
        <f t="shared" si="6"/>
        <v>0.91</v>
      </c>
      <c r="U241">
        <f t="shared" si="7"/>
        <v>15.8</v>
      </c>
    </row>
    <row r="242" spans="1:21">
      <c r="A242" s="12">
        <v>10</v>
      </c>
      <c r="B242" s="12">
        <v>-30</v>
      </c>
      <c r="C242" s="11">
        <v>13.891661250622271</v>
      </c>
      <c r="D242" s="11">
        <v>-21.129319282775551</v>
      </c>
      <c r="E242" s="11"/>
      <c r="F242" s="12">
        <v>620</v>
      </c>
      <c r="G242" s="12" t="s">
        <v>11</v>
      </c>
      <c r="H242" s="13"/>
      <c r="I242" s="14">
        <v>0.92</v>
      </c>
      <c r="J242" s="14"/>
      <c r="K242" s="14">
        <v>12.7</v>
      </c>
      <c r="L242" s="13">
        <v>1.7</v>
      </c>
      <c r="M242" s="13">
        <v>0</v>
      </c>
      <c r="P242" s="12" t="s">
        <v>14</v>
      </c>
      <c r="Q242" s="12"/>
      <c r="R242" s="12"/>
      <c r="T242">
        <f t="shared" si="6"/>
        <v>0.92</v>
      </c>
      <c r="U242">
        <f t="shared" si="7"/>
        <v>12.7</v>
      </c>
    </row>
    <row r="243" spans="1:21">
      <c r="A243" s="12">
        <v>40</v>
      </c>
      <c r="B243" s="12">
        <v>30</v>
      </c>
      <c r="C243" s="11">
        <v>48.923878928480136</v>
      </c>
      <c r="D243" s="11">
        <v>30.406164508423601</v>
      </c>
      <c r="E243" s="11"/>
      <c r="F243" s="10">
        <v>323</v>
      </c>
      <c r="G243" s="12" t="s">
        <v>30</v>
      </c>
      <c r="H243" s="13"/>
      <c r="I243" s="14">
        <v>0.94</v>
      </c>
      <c r="J243" s="14"/>
      <c r="K243" s="14">
        <v>12.2</v>
      </c>
      <c r="L243" s="13">
        <v>2.1</v>
      </c>
      <c r="M243" s="13">
        <v>1.1000000000000001</v>
      </c>
      <c r="P243" s="12" t="s">
        <v>14</v>
      </c>
      <c r="Q243" s="12"/>
      <c r="R243" s="12"/>
      <c r="T243">
        <f t="shared" si="6"/>
        <v>0.94</v>
      </c>
      <c r="U243">
        <f t="shared" si="7"/>
        <v>12.2</v>
      </c>
    </row>
    <row r="244" spans="1:21">
      <c r="A244" s="12">
        <v>40</v>
      </c>
      <c r="B244" s="12">
        <v>-10</v>
      </c>
      <c r="C244" s="11">
        <v>43.598885535307346</v>
      </c>
      <c r="D244" s="11">
        <v>-9.3912940744862272</v>
      </c>
      <c r="E244" s="11"/>
      <c r="F244" s="12">
        <v>448</v>
      </c>
      <c r="G244" s="12" t="s">
        <v>13</v>
      </c>
      <c r="H244" s="13"/>
      <c r="I244" s="14">
        <v>0.95</v>
      </c>
      <c r="J244" s="14"/>
      <c r="K244" s="14">
        <v>10.4</v>
      </c>
      <c r="L244" s="13">
        <v>2</v>
      </c>
      <c r="M244" s="13">
        <v>1.2</v>
      </c>
      <c r="P244" s="12" t="s">
        <v>14</v>
      </c>
      <c r="Q244" s="12"/>
      <c r="R244" s="12"/>
      <c r="T244">
        <f t="shared" si="6"/>
        <v>0.95</v>
      </c>
      <c r="U244">
        <f t="shared" si="7"/>
        <v>10.4</v>
      </c>
    </row>
    <row r="245" spans="1:21">
      <c r="A245" s="12">
        <v>30</v>
      </c>
      <c r="B245" s="12">
        <v>0</v>
      </c>
      <c r="C245" s="11">
        <v>34.068567064814381</v>
      </c>
      <c r="D245" s="11">
        <v>9.4180847704201529</v>
      </c>
      <c r="E245" s="11"/>
      <c r="F245" s="12">
        <v>248</v>
      </c>
      <c r="G245" s="12" t="s">
        <v>13</v>
      </c>
      <c r="H245" s="13"/>
      <c r="I245" s="14">
        <v>0.96</v>
      </c>
      <c r="J245" s="14"/>
      <c r="K245" s="14">
        <v>10.3</v>
      </c>
      <c r="L245" s="13">
        <v>1.5</v>
      </c>
      <c r="M245" s="13">
        <v>0.7</v>
      </c>
      <c r="P245" s="12" t="s">
        <v>14</v>
      </c>
      <c r="Q245" s="12"/>
      <c r="R245" s="12"/>
      <c r="T245">
        <f t="shared" si="6"/>
        <v>0.96</v>
      </c>
      <c r="U245">
        <f t="shared" si="7"/>
        <v>10.3</v>
      </c>
    </row>
    <row r="246" spans="1:21">
      <c r="A246" s="12">
        <v>10</v>
      </c>
      <c r="B246" s="12">
        <v>-20</v>
      </c>
      <c r="C246" s="11">
        <v>16.17530308633452</v>
      </c>
      <c r="D246" s="11">
        <v>-17.610064118308244</v>
      </c>
      <c r="E246" s="11"/>
      <c r="F246" s="12">
        <v>572</v>
      </c>
      <c r="G246" s="12" t="s">
        <v>21</v>
      </c>
      <c r="H246" s="13"/>
      <c r="I246" s="14">
        <v>0.96</v>
      </c>
      <c r="J246" s="14"/>
      <c r="K246" s="14">
        <v>13.5</v>
      </c>
      <c r="L246" s="13">
        <v>2.5</v>
      </c>
      <c r="M246" s="13">
        <v>0.6</v>
      </c>
      <c r="P246" s="12" t="s">
        <v>14</v>
      </c>
      <c r="Q246" s="12"/>
      <c r="R246" s="12"/>
      <c r="S246" t="s">
        <v>101</v>
      </c>
      <c r="T246">
        <f t="shared" si="6"/>
        <v>0.96</v>
      </c>
      <c r="U246">
        <f t="shared" si="7"/>
        <v>13.5</v>
      </c>
    </row>
    <row r="247" spans="1:21">
      <c r="A247" s="12">
        <v>40</v>
      </c>
      <c r="B247" s="12">
        <v>0</v>
      </c>
      <c r="C247" s="11">
        <v>40.675863550722838</v>
      </c>
      <c r="D247" s="11">
        <v>5.0660757544522106</v>
      </c>
      <c r="E247" s="11"/>
      <c r="F247" s="12">
        <v>262</v>
      </c>
      <c r="G247" s="12" t="s">
        <v>13</v>
      </c>
      <c r="H247" s="13"/>
      <c r="I247" s="14">
        <v>0.97</v>
      </c>
      <c r="J247" s="14"/>
      <c r="K247" s="14">
        <v>23.1</v>
      </c>
      <c r="L247" s="13">
        <v>2.1</v>
      </c>
      <c r="M247" s="13">
        <v>1.4</v>
      </c>
      <c r="P247" s="12" t="s">
        <v>14</v>
      </c>
      <c r="Q247" s="12"/>
      <c r="R247" s="12"/>
      <c r="T247">
        <f t="shared" si="6"/>
        <v>0.97</v>
      </c>
      <c r="U247">
        <f t="shared" si="7"/>
        <v>23.1</v>
      </c>
    </row>
    <row r="248" spans="1:21">
      <c r="A248" s="12">
        <v>40</v>
      </c>
      <c r="B248" s="12">
        <v>0</v>
      </c>
      <c r="C248" s="11">
        <v>40.628453171262755</v>
      </c>
      <c r="D248" s="11">
        <v>7.808323333260633</v>
      </c>
      <c r="E248" s="11"/>
      <c r="F248" s="10">
        <v>273</v>
      </c>
      <c r="G248" s="12" t="s">
        <v>11</v>
      </c>
      <c r="H248" s="13"/>
      <c r="I248" s="14">
        <v>0.97</v>
      </c>
      <c r="J248" s="14" t="s">
        <v>70</v>
      </c>
      <c r="K248" s="14"/>
      <c r="L248" s="13">
        <v>2</v>
      </c>
      <c r="M248" s="13"/>
      <c r="P248" s="12" t="s">
        <v>12</v>
      </c>
      <c r="Q248" s="12"/>
      <c r="R248" s="12"/>
      <c r="T248">
        <f t="shared" si="6"/>
        <v>0.97</v>
      </c>
      <c r="U248" t="str">
        <f t="shared" si="7"/>
        <v>dead</v>
      </c>
    </row>
    <row r="249" spans="1:21">
      <c r="A249" s="12">
        <v>20</v>
      </c>
      <c r="B249" s="12">
        <v>-20</v>
      </c>
      <c r="C249" s="11">
        <v>26.875698166707046</v>
      </c>
      <c r="D249" s="11">
        <v>-13.369747971083783</v>
      </c>
      <c r="E249" s="11"/>
      <c r="F249" s="10">
        <v>553</v>
      </c>
      <c r="G249" s="12" t="s">
        <v>13</v>
      </c>
      <c r="H249" s="13"/>
      <c r="I249" s="14">
        <v>0.99</v>
      </c>
      <c r="J249" s="14"/>
      <c r="K249" s="14">
        <v>11.4</v>
      </c>
      <c r="L249" s="13">
        <v>3.4</v>
      </c>
      <c r="M249" s="13">
        <v>1.3</v>
      </c>
      <c r="P249" s="12" t="s">
        <v>14</v>
      </c>
      <c r="Q249" s="12"/>
      <c r="R249" s="12"/>
      <c r="T249">
        <f t="shared" si="6"/>
        <v>0.99</v>
      </c>
      <c r="U249">
        <f t="shared" si="7"/>
        <v>11.4</v>
      </c>
    </row>
    <row r="250" spans="1:21">
      <c r="A250" s="12">
        <v>10</v>
      </c>
      <c r="B250" s="12">
        <v>10</v>
      </c>
      <c r="C250" s="11">
        <v>19.669675453237815</v>
      </c>
      <c r="D250" s="11">
        <v>13.828495347920654</v>
      </c>
      <c r="E250" s="11"/>
      <c r="F250" s="12">
        <v>110</v>
      </c>
      <c r="G250" s="12" t="s">
        <v>13</v>
      </c>
      <c r="H250" s="13"/>
      <c r="I250" s="14">
        <v>1</v>
      </c>
      <c r="J250" s="14"/>
      <c r="K250" s="14">
        <v>12.8</v>
      </c>
      <c r="L250" s="13">
        <v>2.4</v>
      </c>
      <c r="M250" s="13">
        <v>0.9</v>
      </c>
      <c r="P250" s="12" t="s">
        <v>14</v>
      </c>
      <c r="Q250" s="12"/>
      <c r="R250" s="12"/>
      <c r="T250">
        <f t="shared" si="6"/>
        <v>1</v>
      </c>
      <c r="U250">
        <f t="shared" si="7"/>
        <v>12.8</v>
      </c>
    </row>
    <row r="251" spans="1:21">
      <c r="A251" s="12">
        <v>40</v>
      </c>
      <c r="B251" s="12">
        <v>20</v>
      </c>
      <c r="C251" s="11">
        <v>42.470638986410691</v>
      </c>
      <c r="D251" s="11">
        <v>29.603684879805961</v>
      </c>
      <c r="E251" s="11"/>
      <c r="F251" s="10">
        <v>297</v>
      </c>
      <c r="G251" s="12" t="s">
        <v>13</v>
      </c>
      <c r="H251" s="13"/>
      <c r="I251" s="14">
        <v>1</v>
      </c>
      <c r="J251" s="14"/>
      <c r="K251" s="14">
        <v>12.1</v>
      </c>
      <c r="L251" s="13">
        <v>2.7</v>
      </c>
      <c r="M251" s="13">
        <v>1.4</v>
      </c>
      <c r="P251" s="12" t="s">
        <v>14</v>
      </c>
      <c r="Q251" s="12"/>
      <c r="R251" s="12"/>
      <c r="T251">
        <f t="shared" si="6"/>
        <v>1</v>
      </c>
      <c r="U251">
        <f t="shared" si="7"/>
        <v>12.1</v>
      </c>
    </row>
    <row r="252" spans="1:21" s="27" customFormat="1">
      <c r="A252" s="12">
        <v>40</v>
      </c>
      <c r="B252" s="12">
        <v>30</v>
      </c>
      <c r="C252" s="11">
        <v>49.098880675068742</v>
      </c>
      <c r="D252" s="11">
        <v>31.568014233750425</v>
      </c>
      <c r="E252" s="11"/>
      <c r="F252" s="10">
        <v>335</v>
      </c>
      <c r="G252" s="12" t="s">
        <v>30</v>
      </c>
      <c r="H252" s="13"/>
      <c r="I252" s="14">
        <v>1</v>
      </c>
      <c r="J252" s="14"/>
      <c r="K252" s="14">
        <v>12.1</v>
      </c>
      <c r="L252" s="13">
        <v>1.7</v>
      </c>
      <c r="M252" s="13">
        <v>0.7</v>
      </c>
      <c r="N252"/>
      <c r="O252"/>
      <c r="P252" s="12" t="s">
        <v>14</v>
      </c>
      <c r="Q252" s="12"/>
      <c r="R252" s="12"/>
      <c r="S252"/>
      <c r="T252">
        <f t="shared" si="6"/>
        <v>1</v>
      </c>
      <c r="U252">
        <f t="shared" si="7"/>
        <v>12.1</v>
      </c>
    </row>
    <row r="253" spans="1:21">
      <c r="A253" s="12">
        <v>40</v>
      </c>
      <c r="B253" s="12">
        <v>-20</v>
      </c>
      <c r="C253" s="11">
        <v>44.622154275334118</v>
      </c>
      <c r="D253" s="11">
        <v>-19.561385352291296</v>
      </c>
      <c r="E253" s="11"/>
      <c r="F253" s="12">
        <v>510</v>
      </c>
      <c r="G253" s="12" t="s">
        <v>21</v>
      </c>
      <c r="H253" s="13"/>
      <c r="I253" s="14">
        <v>1</v>
      </c>
      <c r="J253" s="14"/>
      <c r="K253" s="14">
        <v>15.3</v>
      </c>
      <c r="L253" s="13">
        <v>2.5</v>
      </c>
      <c r="M253" s="13">
        <v>0.4</v>
      </c>
      <c r="P253" s="12" t="s">
        <v>14</v>
      </c>
      <c r="Q253" s="12"/>
      <c r="R253" s="12"/>
      <c r="T253">
        <f t="shared" si="6"/>
        <v>1</v>
      </c>
      <c r="U253">
        <f t="shared" si="7"/>
        <v>15.3</v>
      </c>
    </row>
    <row r="254" spans="1:21">
      <c r="A254" s="12">
        <v>20</v>
      </c>
      <c r="B254" s="12">
        <v>10</v>
      </c>
      <c r="C254" s="11">
        <v>21.836540619572311</v>
      </c>
      <c r="D254" s="11">
        <v>11.595461118586918</v>
      </c>
      <c r="E254" s="11"/>
      <c r="F254" s="12">
        <v>126</v>
      </c>
      <c r="G254" s="12" t="s">
        <v>13</v>
      </c>
      <c r="H254" s="13"/>
      <c r="I254" s="14">
        <v>1.01</v>
      </c>
      <c r="J254" s="14"/>
      <c r="K254" s="14">
        <v>10.9</v>
      </c>
      <c r="L254" s="13"/>
      <c r="M254" s="13"/>
      <c r="P254" s="12" t="s">
        <v>14</v>
      </c>
      <c r="Q254" s="12"/>
      <c r="R254" s="12"/>
      <c r="T254">
        <f t="shared" si="6"/>
        <v>1.01</v>
      </c>
      <c r="U254">
        <f t="shared" si="7"/>
        <v>10.9</v>
      </c>
    </row>
    <row r="255" spans="1:21">
      <c r="A255" s="12">
        <v>20</v>
      </c>
      <c r="B255" s="12">
        <v>-20</v>
      </c>
      <c r="C255" s="11">
        <v>27.258718247585577</v>
      </c>
      <c r="D255" s="11">
        <v>-13.129558963430984</v>
      </c>
      <c r="E255" s="11"/>
      <c r="F255" s="10">
        <v>543</v>
      </c>
      <c r="G255" s="12" t="s">
        <v>13</v>
      </c>
      <c r="H255" s="13"/>
      <c r="I255" s="14">
        <v>1.02</v>
      </c>
      <c r="J255" s="14" t="s">
        <v>70</v>
      </c>
      <c r="K255" s="14"/>
      <c r="L255" s="13">
        <v>2.1</v>
      </c>
      <c r="M255" s="13"/>
      <c r="P255" s="12" t="s">
        <v>12</v>
      </c>
      <c r="Q255" s="12"/>
      <c r="R255" s="12"/>
      <c r="T255">
        <f t="shared" si="6"/>
        <v>1.02</v>
      </c>
      <c r="U255" t="str">
        <f t="shared" si="7"/>
        <v>dead</v>
      </c>
    </row>
    <row r="256" spans="1:21">
      <c r="A256" s="12">
        <v>40</v>
      </c>
      <c r="B256" s="12">
        <v>-40</v>
      </c>
      <c r="C256" s="11">
        <v>43.072423340402423</v>
      </c>
      <c r="D256" s="11">
        <v>-35.595784426557842</v>
      </c>
      <c r="E256" s="11"/>
      <c r="F256" s="12">
        <v>708</v>
      </c>
      <c r="G256" s="12" t="s">
        <v>51</v>
      </c>
      <c r="H256" s="13"/>
      <c r="I256" s="14">
        <v>1.02</v>
      </c>
      <c r="J256" s="14" t="s">
        <v>70</v>
      </c>
      <c r="K256" s="14"/>
      <c r="L256" s="13">
        <v>2.2000000000000002</v>
      </c>
      <c r="M256" s="13">
        <v>1.7</v>
      </c>
      <c r="P256" s="12" t="s">
        <v>14</v>
      </c>
      <c r="Q256" s="12"/>
      <c r="R256" s="12"/>
      <c r="T256">
        <f t="shared" si="6"/>
        <v>1.02</v>
      </c>
      <c r="U256" t="str">
        <f t="shared" si="7"/>
        <v>dead</v>
      </c>
    </row>
    <row r="257" spans="1:21">
      <c r="A257" s="12">
        <v>10</v>
      </c>
      <c r="B257" s="12">
        <v>-30</v>
      </c>
      <c r="C257" s="11">
        <v>11.346698213507807</v>
      </c>
      <c r="D257" s="11">
        <v>-20.397333295205016</v>
      </c>
      <c r="E257" s="11"/>
      <c r="F257" s="12">
        <v>618</v>
      </c>
      <c r="G257" s="12" t="s">
        <v>11</v>
      </c>
      <c r="H257" s="13"/>
      <c r="I257" s="14">
        <v>1.03</v>
      </c>
      <c r="J257" s="14"/>
      <c r="K257" s="14">
        <v>15.8</v>
      </c>
      <c r="L257" s="13">
        <v>2.1</v>
      </c>
      <c r="M257" s="13">
        <v>0.1</v>
      </c>
      <c r="P257" s="12" t="s">
        <v>14</v>
      </c>
      <c r="Q257" s="12"/>
      <c r="R257" s="12"/>
      <c r="T257">
        <f t="shared" si="6"/>
        <v>1.03</v>
      </c>
      <c r="U257">
        <f t="shared" si="7"/>
        <v>15.8</v>
      </c>
    </row>
    <row r="258" spans="1:21">
      <c r="A258" s="12">
        <v>10</v>
      </c>
      <c r="B258" s="12">
        <v>-30</v>
      </c>
      <c r="C258" s="11">
        <v>19.847311696024597</v>
      </c>
      <c r="D258" s="11">
        <v>-22.474958626385718</v>
      </c>
      <c r="E258" s="11"/>
      <c r="F258" s="10">
        <v>629</v>
      </c>
      <c r="G258" s="12" t="s">
        <v>11</v>
      </c>
      <c r="H258" s="13"/>
      <c r="I258" s="14">
        <v>1.04</v>
      </c>
      <c r="J258" s="14"/>
      <c r="K258" s="14">
        <v>13.4</v>
      </c>
      <c r="L258" s="13">
        <v>2.4</v>
      </c>
      <c r="M258" s="13">
        <v>0.4</v>
      </c>
      <c r="P258" s="12" t="s">
        <v>14</v>
      </c>
      <c r="Q258" s="12"/>
      <c r="R258" s="12"/>
      <c r="T258">
        <f t="shared" ref="T258:T321" si="8">IF(H258="",I258,H258/PI())</f>
        <v>1.04</v>
      </c>
      <c r="U258">
        <f t="shared" ref="U258:U321" si="9">IF(J258="dead","dead",J258/PI()+K258)</f>
        <v>13.4</v>
      </c>
    </row>
    <row r="259" spans="1:21">
      <c r="A259" s="12">
        <v>40</v>
      </c>
      <c r="B259" s="12">
        <v>40</v>
      </c>
      <c r="C259" s="11">
        <v>49.237615308286394</v>
      </c>
      <c r="D259" s="11">
        <v>42.694210381882002</v>
      </c>
      <c r="E259" s="11"/>
      <c r="F259" s="10">
        <v>351</v>
      </c>
      <c r="G259" s="12" t="s">
        <v>13</v>
      </c>
      <c r="H259" s="13"/>
      <c r="I259" s="14">
        <v>1.05</v>
      </c>
      <c r="J259" s="14"/>
      <c r="K259" s="14">
        <v>11.3</v>
      </c>
      <c r="L259" s="13">
        <v>2.2000000000000002</v>
      </c>
      <c r="M259" s="13">
        <v>1.3</v>
      </c>
      <c r="P259" s="12" t="s">
        <v>14</v>
      </c>
      <c r="Q259" s="12"/>
      <c r="R259" s="12"/>
      <c r="T259">
        <f t="shared" si="8"/>
        <v>1.05</v>
      </c>
      <c r="U259">
        <f t="shared" si="9"/>
        <v>11.3</v>
      </c>
    </row>
    <row r="260" spans="1:21">
      <c r="A260" s="12">
        <v>20</v>
      </c>
      <c r="B260" s="12">
        <v>-20</v>
      </c>
      <c r="C260" s="11">
        <v>27.354652244018268</v>
      </c>
      <c r="D260" s="11">
        <v>-13.459375685046041</v>
      </c>
      <c r="E260" s="11"/>
      <c r="F260" s="12">
        <v>556</v>
      </c>
      <c r="G260" s="12" t="s">
        <v>13</v>
      </c>
      <c r="H260" s="13"/>
      <c r="I260" s="14">
        <v>1.05</v>
      </c>
      <c r="J260" s="14" t="s">
        <v>70</v>
      </c>
      <c r="K260" s="14"/>
      <c r="L260" s="13">
        <v>1</v>
      </c>
      <c r="M260" s="13"/>
      <c r="P260" s="12" t="s">
        <v>12</v>
      </c>
      <c r="Q260" s="12"/>
      <c r="R260" s="12" t="s">
        <v>41</v>
      </c>
      <c r="T260">
        <f t="shared" si="8"/>
        <v>1.05</v>
      </c>
      <c r="U260" t="str">
        <f t="shared" si="9"/>
        <v>dead</v>
      </c>
    </row>
    <row r="261" spans="1:21">
      <c r="A261" s="12">
        <v>20</v>
      </c>
      <c r="B261" s="12">
        <v>-20</v>
      </c>
      <c r="C261" s="11">
        <v>27.245017801982723</v>
      </c>
      <c r="D261" s="11">
        <v>-13.513307434350482</v>
      </c>
      <c r="E261" s="11"/>
      <c r="F261" s="10">
        <v>551</v>
      </c>
      <c r="G261" s="12" t="s">
        <v>13</v>
      </c>
      <c r="H261" s="13"/>
      <c r="I261" s="14">
        <v>1.06</v>
      </c>
      <c r="J261" s="14"/>
      <c r="K261" s="14">
        <v>11</v>
      </c>
      <c r="L261" s="13">
        <v>2</v>
      </c>
      <c r="M261" s="13">
        <v>1.7</v>
      </c>
      <c r="P261" s="12" t="s">
        <v>14</v>
      </c>
      <c r="Q261" s="12"/>
      <c r="R261" s="12"/>
      <c r="T261">
        <f t="shared" si="8"/>
        <v>1.06</v>
      </c>
      <c r="U261">
        <f t="shared" si="9"/>
        <v>11</v>
      </c>
    </row>
    <row r="262" spans="1:21">
      <c r="A262" s="12">
        <v>20</v>
      </c>
      <c r="B262" s="12">
        <v>20</v>
      </c>
      <c r="C262" s="11">
        <v>25.677496816558932</v>
      </c>
      <c r="D262" s="11">
        <v>20.358548791109246</v>
      </c>
      <c r="E262" s="11"/>
      <c r="F262" s="12">
        <v>164</v>
      </c>
      <c r="G262" s="12" t="s">
        <v>21</v>
      </c>
      <c r="H262" s="13"/>
      <c r="I262" s="14">
        <v>1.08</v>
      </c>
      <c r="J262" s="14"/>
      <c r="K262" s="14">
        <v>20.2</v>
      </c>
      <c r="L262" s="13">
        <v>2.5</v>
      </c>
      <c r="M262" s="13">
        <v>0.6</v>
      </c>
      <c r="P262" s="12" t="s">
        <v>14</v>
      </c>
      <c r="Q262" s="12"/>
      <c r="R262" s="12"/>
      <c r="T262">
        <f t="shared" si="8"/>
        <v>1.08</v>
      </c>
      <c r="U262">
        <f t="shared" si="9"/>
        <v>20.2</v>
      </c>
    </row>
    <row r="263" spans="1:21">
      <c r="A263" s="12">
        <v>40</v>
      </c>
      <c r="B263" s="12">
        <v>0</v>
      </c>
      <c r="C263" s="11">
        <v>49.221325124819906</v>
      </c>
      <c r="D263" s="11">
        <v>2.2897754285387277</v>
      </c>
      <c r="E263" s="11"/>
      <c r="F263" s="10">
        <v>275</v>
      </c>
      <c r="G263" s="12" t="s">
        <v>21</v>
      </c>
      <c r="H263" s="13"/>
      <c r="I263" s="14">
        <v>1.08</v>
      </c>
      <c r="J263" s="14">
        <v>6.4</v>
      </c>
      <c r="K263" s="14"/>
      <c r="L263" s="13">
        <v>2.8</v>
      </c>
      <c r="M263" s="13">
        <v>0.7</v>
      </c>
      <c r="P263" s="12" t="s">
        <v>14</v>
      </c>
      <c r="Q263" s="12"/>
      <c r="R263" s="12"/>
      <c r="S263" t="s">
        <v>81</v>
      </c>
      <c r="T263">
        <f t="shared" si="8"/>
        <v>1.08</v>
      </c>
      <c r="U263">
        <f t="shared" si="9"/>
        <v>2.0371832715762603</v>
      </c>
    </row>
    <row r="264" spans="1:21">
      <c r="A264" s="12">
        <v>40</v>
      </c>
      <c r="B264" s="12">
        <v>40</v>
      </c>
      <c r="C264" s="11">
        <v>40.403688025885337</v>
      </c>
      <c r="D264" s="11">
        <v>48.917443383361821</v>
      </c>
      <c r="E264" s="11"/>
      <c r="F264" s="10">
        <v>361</v>
      </c>
      <c r="G264" s="12" t="s">
        <v>11</v>
      </c>
      <c r="H264" s="13"/>
      <c r="I264" s="14">
        <v>1.08</v>
      </c>
      <c r="J264" s="14">
        <v>5.5</v>
      </c>
      <c r="K264" s="14"/>
      <c r="L264" s="13">
        <v>2.4</v>
      </c>
      <c r="M264" s="13">
        <v>0.5</v>
      </c>
      <c r="P264" s="12" t="s">
        <v>14</v>
      </c>
      <c r="Q264" s="12"/>
      <c r="R264" s="12"/>
      <c r="T264">
        <f t="shared" si="8"/>
        <v>1.08</v>
      </c>
      <c r="U264">
        <f t="shared" si="9"/>
        <v>1.7507043740108488</v>
      </c>
    </row>
    <row r="265" spans="1:21">
      <c r="A265" s="12">
        <v>30</v>
      </c>
      <c r="B265" s="12">
        <v>40</v>
      </c>
      <c r="C265" s="11">
        <v>37.586645506147292</v>
      </c>
      <c r="D265" s="11">
        <v>46.055567672903109</v>
      </c>
      <c r="E265" s="11"/>
      <c r="F265" s="10">
        <v>201</v>
      </c>
      <c r="G265" s="12" t="s">
        <v>13</v>
      </c>
      <c r="H265" s="13"/>
      <c r="I265" s="14">
        <v>1.0900000000000001</v>
      </c>
      <c r="J265" s="14"/>
      <c r="K265" s="14">
        <v>11.7</v>
      </c>
      <c r="L265" s="13">
        <v>1.9</v>
      </c>
      <c r="M265" s="13">
        <v>1.2</v>
      </c>
      <c r="P265" s="12" t="s">
        <v>14</v>
      </c>
      <c r="Q265" s="12"/>
      <c r="R265" s="12"/>
      <c r="T265">
        <f t="shared" si="8"/>
        <v>1.0900000000000001</v>
      </c>
      <c r="U265">
        <f t="shared" si="9"/>
        <v>11.7</v>
      </c>
    </row>
    <row r="266" spans="1:21">
      <c r="A266" s="12">
        <v>40</v>
      </c>
      <c r="B266" s="12">
        <v>20</v>
      </c>
      <c r="C266" s="11">
        <v>41.934145126044378</v>
      </c>
      <c r="D266" s="11">
        <v>29.733251261038692</v>
      </c>
      <c r="E266" s="11"/>
      <c r="F266" s="10">
        <v>311</v>
      </c>
      <c r="G266" s="12" t="s">
        <v>13</v>
      </c>
      <c r="H266" s="13"/>
      <c r="I266" s="14">
        <v>1.0900000000000001</v>
      </c>
      <c r="J266" s="14"/>
      <c r="K266" s="14">
        <v>11.8</v>
      </c>
      <c r="L266" s="13">
        <v>2</v>
      </c>
      <c r="M266" s="13">
        <v>1.4</v>
      </c>
      <c r="P266" s="12" t="s">
        <v>14</v>
      </c>
      <c r="Q266" s="12"/>
      <c r="R266" s="12"/>
      <c r="T266">
        <f t="shared" si="8"/>
        <v>1.0900000000000001</v>
      </c>
      <c r="U266">
        <f t="shared" si="9"/>
        <v>11.8</v>
      </c>
    </row>
    <row r="267" spans="1:21">
      <c r="A267" s="12">
        <v>30</v>
      </c>
      <c r="B267" s="12">
        <v>-10</v>
      </c>
      <c r="C267" s="11">
        <v>39.01488078418457</v>
      </c>
      <c r="D267" s="11">
        <v>-2.2019784476682034</v>
      </c>
      <c r="E267" s="11"/>
      <c r="F267" s="12">
        <v>446</v>
      </c>
      <c r="G267" s="12" t="s">
        <v>13</v>
      </c>
      <c r="H267" s="13"/>
      <c r="I267" s="14">
        <v>1.0900000000000001</v>
      </c>
      <c r="J267" s="14"/>
      <c r="K267" s="14">
        <v>13.3</v>
      </c>
      <c r="L267" s="13">
        <v>2</v>
      </c>
      <c r="M267" s="13">
        <v>1.1000000000000001</v>
      </c>
      <c r="P267" s="12" t="s">
        <v>14</v>
      </c>
      <c r="Q267" s="12"/>
      <c r="R267" s="12"/>
      <c r="T267">
        <f t="shared" si="8"/>
        <v>1.0900000000000001</v>
      </c>
      <c r="U267">
        <f t="shared" si="9"/>
        <v>13.3</v>
      </c>
    </row>
    <row r="268" spans="1:21">
      <c r="A268" s="12">
        <v>30</v>
      </c>
      <c r="B268" s="12">
        <v>0</v>
      </c>
      <c r="C268" s="11">
        <v>30.958879013021043</v>
      </c>
      <c r="D268" s="11">
        <v>1.4622266506827504</v>
      </c>
      <c r="E268" s="11"/>
      <c r="F268" s="12">
        <v>260</v>
      </c>
      <c r="G268" s="12" t="s">
        <v>11</v>
      </c>
      <c r="H268" s="13"/>
      <c r="I268" s="14">
        <v>1.1000000000000001</v>
      </c>
      <c r="J268" s="14" t="s">
        <v>70</v>
      </c>
      <c r="K268" s="14"/>
      <c r="L268" s="13">
        <v>2.1</v>
      </c>
      <c r="M268" s="13"/>
      <c r="P268" s="12" t="s">
        <v>12</v>
      </c>
      <c r="Q268" s="12"/>
      <c r="R268" s="12"/>
      <c r="T268">
        <f t="shared" si="8"/>
        <v>1.1000000000000001</v>
      </c>
      <c r="U268" t="str">
        <f t="shared" si="9"/>
        <v>dead</v>
      </c>
    </row>
    <row r="269" spans="1:21">
      <c r="A269" s="12">
        <v>20</v>
      </c>
      <c r="B269" s="12">
        <v>-30</v>
      </c>
      <c r="C269" s="11">
        <v>20.689156705470445</v>
      </c>
      <c r="D269" s="11">
        <v>-23.025276374930733</v>
      </c>
      <c r="E269" s="11"/>
      <c r="F269" s="12">
        <v>632</v>
      </c>
      <c r="G269" s="12" t="s">
        <v>11</v>
      </c>
      <c r="H269" s="13"/>
      <c r="I269" s="14">
        <v>1.1000000000000001</v>
      </c>
      <c r="J269" s="14"/>
      <c r="K269" s="14">
        <v>15.1</v>
      </c>
      <c r="L269" s="13">
        <v>2.2999999999999998</v>
      </c>
      <c r="M269" s="13">
        <v>0.3</v>
      </c>
      <c r="P269" s="12" t="s">
        <v>14</v>
      </c>
      <c r="Q269" s="12"/>
      <c r="R269" s="12"/>
      <c r="T269">
        <f t="shared" si="8"/>
        <v>1.1000000000000001</v>
      </c>
      <c r="U269">
        <f t="shared" si="9"/>
        <v>15.1</v>
      </c>
    </row>
    <row r="270" spans="1:21">
      <c r="A270" s="12">
        <v>30</v>
      </c>
      <c r="B270" s="12">
        <v>-10</v>
      </c>
      <c r="C270" s="11">
        <v>36.140434147170858</v>
      </c>
      <c r="D270" s="11">
        <v>-1.9804145102333841</v>
      </c>
      <c r="E270" s="11"/>
      <c r="F270" s="12">
        <v>434</v>
      </c>
      <c r="G270" s="12" t="s">
        <v>13</v>
      </c>
      <c r="H270" s="13"/>
      <c r="I270" s="14">
        <v>1.1299999999999999</v>
      </c>
      <c r="J270" s="14"/>
      <c r="K270" s="14">
        <v>15.5</v>
      </c>
      <c r="L270" s="13">
        <v>2.7</v>
      </c>
      <c r="M270" s="13">
        <v>0.6</v>
      </c>
      <c r="P270" s="12" t="s">
        <v>14</v>
      </c>
      <c r="Q270" s="12"/>
      <c r="R270" s="12"/>
      <c r="T270">
        <f t="shared" si="8"/>
        <v>1.1299999999999999</v>
      </c>
      <c r="U270">
        <f t="shared" si="9"/>
        <v>15.5</v>
      </c>
    </row>
    <row r="271" spans="1:21">
      <c r="A271" s="12">
        <v>20</v>
      </c>
      <c r="B271" s="12">
        <v>10</v>
      </c>
      <c r="C271" s="11">
        <v>22.650337940557488</v>
      </c>
      <c r="D271" s="11">
        <v>15.505115568767668</v>
      </c>
      <c r="E271" s="11"/>
      <c r="F271" s="10">
        <v>157</v>
      </c>
      <c r="G271" s="12" t="s">
        <v>11</v>
      </c>
      <c r="H271" s="13"/>
      <c r="I271" s="14">
        <v>1.1499999999999999</v>
      </c>
      <c r="J271" s="14"/>
      <c r="K271" s="14">
        <v>21.8</v>
      </c>
      <c r="L271" s="13">
        <v>1.4</v>
      </c>
      <c r="M271" s="13">
        <v>0.1</v>
      </c>
      <c r="P271" s="12" t="s">
        <v>14</v>
      </c>
      <c r="Q271" s="12"/>
      <c r="R271" s="12"/>
      <c r="T271">
        <f t="shared" si="8"/>
        <v>1.1499999999999999</v>
      </c>
      <c r="U271">
        <f t="shared" si="9"/>
        <v>21.8</v>
      </c>
    </row>
    <row r="272" spans="1:21">
      <c r="A272" s="12">
        <v>30</v>
      </c>
      <c r="B272" s="12">
        <v>-30</v>
      </c>
      <c r="C272" s="11">
        <v>30.787315303096907</v>
      </c>
      <c r="D272" s="11">
        <v>-27.247360527358179</v>
      </c>
      <c r="E272" s="11"/>
      <c r="F272" s="12">
        <v>668</v>
      </c>
      <c r="G272" s="12" t="s">
        <v>21</v>
      </c>
      <c r="H272" s="13"/>
      <c r="I272" s="14">
        <v>1.1499999999999999</v>
      </c>
      <c r="J272" s="14"/>
      <c r="K272" s="14">
        <v>13.6</v>
      </c>
      <c r="L272" s="13">
        <v>2.9</v>
      </c>
      <c r="M272" s="13">
        <v>0.5</v>
      </c>
      <c r="P272" s="12" t="s">
        <v>14</v>
      </c>
      <c r="Q272" s="12"/>
      <c r="R272" s="12"/>
      <c r="T272">
        <f t="shared" si="8"/>
        <v>1.1499999999999999</v>
      </c>
      <c r="U272">
        <f t="shared" si="9"/>
        <v>13.6</v>
      </c>
    </row>
    <row r="273" spans="1:21">
      <c r="A273" s="9">
        <v>0</v>
      </c>
      <c r="B273" s="12">
        <v>20</v>
      </c>
      <c r="C273" s="11">
        <v>0.56912983370203873</v>
      </c>
      <c r="D273" s="11">
        <v>24.635190528164973</v>
      </c>
      <c r="E273" s="11"/>
      <c r="F273" s="12">
        <v>28</v>
      </c>
      <c r="G273" s="12" t="s">
        <v>11</v>
      </c>
      <c r="H273" s="13"/>
      <c r="I273" s="14">
        <v>1.18</v>
      </c>
      <c r="J273" s="14" t="s">
        <v>70</v>
      </c>
      <c r="K273" s="14"/>
      <c r="L273" s="13">
        <v>2.2000000000000002</v>
      </c>
      <c r="M273" s="13"/>
      <c r="P273" s="12" t="s">
        <v>12</v>
      </c>
      <c r="Q273" s="12"/>
      <c r="R273" s="12"/>
      <c r="T273">
        <f t="shared" si="8"/>
        <v>1.18</v>
      </c>
      <c r="U273" t="str">
        <f t="shared" si="9"/>
        <v>dead</v>
      </c>
    </row>
    <row r="274" spans="1:21">
      <c r="A274" s="12">
        <v>30</v>
      </c>
      <c r="B274" s="12">
        <v>-10</v>
      </c>
      <c r="C274" s="11">
        <v>36.376280380840498</v>
      </c>
      <c r="D274" s="11">
        <v>-1.9368581730371055</v>
      </c>
      <c r="E274" s="11"/>
      <c r="F274" s="12">
        <v>436</v>
      </c>
      <c r="G274" s="12" t="s">
        <v>13</v>
      </c>
      <c r="H274" s="13"/>
      <c r="I274" s="14">
        <v>1.18</v>
      </c>
      <c r="J274" s="14"/>
      <c r="K274" s="14">
        <v>23.1</v>
      </c>
      <c r="L274" s="13">
        <v>3.2</v>
      </c>
      <c r="M274" s="13">
        <v>1</v>
      </c>
      <c r="P274" s="12" t="s">
        <v>14</v>
      </c>
      <c r="Q274" s="12"/>
      <c r="R274" s="12"/>
      <c r="T274">
        <f t="shared" si="8"/>
        <v>1.18</v>
      </c>
      <c r="U274">
        <f t="shared" si="9"/>
        <v>23.1</v>
      </c>
    </row>
    <row r="275" spans="1:21">
      <c r="A275" s="12">
        <v>10</v>
      </c>
      <c r="B275" s="12">
        <v>20</v>
      </c>
      <c r="C275" s="11">
        <v>18.750671087244616</v>
      </c>
      <c r="D275" s="11">
        <v>23.475231471135253</v>
      </c>
      <c r="E275" s="11"/>
      <c r="F275" s="10">
        <v>101</v>
      </c>
      <c r="G275" s="12" t="s">
        <v>11</v>
      </c>
      <c r="H275" s="13"/>
      <c r="I275" s="14">
        <v>1.19</v>
      </c>
      <c r="J275" s="14" t="s">
        <v>70</v>
      </c>
      <c r="K275" s="14"/>
      <c r="L275" s="13">
        <v>2.1</v>
      </c>
      <c r="M275" s="13"/>
      <c r="P275" s="12" t="s">
        <v>12</v>
      </c>
      <c r="Q275" s="12"/>
      <c r="R275" s="12"/>
      <c r="T275">
        <f t="shared" si="8"/>
        <v>1.19</v>
      </c>
      <c r="U275" t="str">
        <f t="shared" si="9"/>
        <v>dead</v>
      </c>
    </row>
    <row r="276" spans="1:21">
      <c r="A276" s="12">
        <v>40</v>
      </c>
      <c r="B276" s="12">
        <v>20</v>
      </c>
      <c r="C276" s="11">
        <v>42.296976774514143</v>
      </c>
      <c r="D276" s="11">
        <v>29.435802149635169</v>
      </c>
      <c r="E276" s="11"/>
      <c r="F276" s="10">
        <v>295</v>
      </c>
      <c r="G276" s="12" t="s">
        <v>13</v>
      </c>
      <c r="H276" s="13"/>
      <c r="I276" s="14">
        <v>1.22</v>
      </c>
      <c r="J276" s="14"/>
      <c r="K276" s="14">
        <v>13.6</v>
      </c>
      <c r="L276" s="13">
        <v>2.1</v>
      </c>
      <c r="M276" s="13">
        <v>1</v>
      </c>
      <c r="P276" s="12" t="s">
        <v>14</v>
      </c>
      <c r="Q276" s="12"/>
      <c r="R276" s="12"/>
      <c r="T276">
        <f t="shared" si="8"/>
        <v>1.22</v>
      </c>
      <c r="U276">
        <f t="shared" si="9"/>
        <v>13.6</v>
      </c>
    </row>
    <row r="277" spans="1:21">
      <c r="A277" s="12">
        <v>40</v>
      </c>
      <c r="B277" s="12">
        <v>40</v>
      </c>
      <c r="C277" s="11">
        <v>41.347856998834331</v>
      </c>
      <c r="D277" s="11">
        <v>45.661803730912965</v>
      </c>
      <c r="E277" s="11"/>
      <c r="F277" s="12">
        <v>360</v>
      </c>
      <c r="G277" s="12" t="s">
        <v>13</v>
      </c>
      <c r="H277" s="13"/>
      <c r="I277" s="14">
        <v>1.22</v>
      </c>
      <c r="J277" s="14">
        <v>5.3</v>
      </c>
      <c r="K277" s="14"/>
      <c r="L277" s="13">
        <v>2.8</v>
      </c>
      <c r="M277" s="13">
        <v>0.4</v>
      </c>
      <c r="P277" s="12" t="s">
        <v>14</v>
      </c>
      <c r="Q277" s="12"/>
      <c r="R277" s="12"/>
      <c r="T277">
        <f t="shared" si="8"/>
        <v>1.22</v>
      </c>
      <c r="U277">
        <f t="shared" si="9"/>
        <v>1.6870423967740906</v>
      </c>
    </row>
    <row r="278" spans="1:21">
      <c r="A278" s="12">
        <v>30</v>
      </c>
      <c r="B278" s="12">
        <v>-10</v>
      </c>
      <c r="C278" s="11">
        <v>36.357692293398046</v>
      </c>
      <c r="D278" s="11">
        <v>-1.8575191390812584</v>
      </c>
      <c r="E278" s="11"/>
      <c r="F278" s="10">
        <v>437</v>
      </c>
      <c r="G278" s="12" t="s">
        <v>13</v>
      </c>
      <c r="H278" s="13"/>
      <c r="I278" s="14">
        <v>1.22</v>
      </c>
      <c r="J278" s="14"/>
      <c r="K278" s="14">
        <v>16.100000000000001</v>
      </c>
      <c r="L278" s="13">
        <v>3.1</v>
      </c>
      <c r="M278" s="13">
        <v>0.8</v>
      </c>
      <c r="P278" s="12" t="s">
        <v>14</v>
      </c>
      <c r="Q278" s="12"/>
      <c r="R278" s="12"/>
      <c r="T278">
        <f t="shared" si="8"/>
        <v>1.22</v>
      </c>
      <c r="U278">
        <f t="shared" si="9"/>
        <v>16.100000000000001</v>
      </c>
    </row>
    <row r="279" spans="1:21">
      <c r="A279" s="12">
        <v>40</v>
      </c>
      <c r="B279" s="12">
        <v>-10</v>
      </c>
      <c r="C279" s="11">
        <v>43.511176741472546</v>
      </c>
      <c r="D279" s="11">
        <v>-9.4124305231359866</v>
      </c>
      <c r="E279" s="11"/>
      <c r="F279" s="10">
        <v>449</v>
      </c>
      <c r="G279" s="12" t="s">
        <v>13</v>
      </c>
      <c r="H279" s="13"/>
      <c r="I279" s="14">
        <v>1.22</v>
      </c>
      <c r="J279" s="14"/>
      <c r="K279" s="14">
        <v>12.1</v>
      </c>
      <c r="L279" s="13">
        <v>1.8</v>
      </c>
      <c r="M279" s="13">
        <v>1.6</v>
      </c>
      <c r="P279" s="12" t="s">
        <v>14</v>
      </c>
      <c r="Q279" s="12"/>
      <c r="R279" s="12"/>
      <c r="T279">
        <f t="shared" si="8"/>
        <v>1.22</v>
      </c>
      <c r="U279">
        <f t="shared" si="9"/>
        <v>12.1</v>
      </c>
    </row>
    <row r="280" spans="1:21">
      <c r="A280" s="12">
        <v>0</v>
      </c>
      <c r="B280" s="12">
        <v>-20</v>
      </c>
      <c r="C280" s="11">
        <v>4.283786838883505</v>
      </c>
      <c r="D280" s="11">
        <v>-18.299684952997218</v>
      </c>
      <c r="E280" s="11"/>
      <c r="F280" s="10">
        <v>583</v>
      </c>
      <c r="G280" s="12" t="s">
        <v>11</v>
      </c>
      <c r="H280" s="13"/>
      <c r="I280" s="14">
        <v>1.22</v>
      </c>
      <c r="J280" s="14" t="s">
        <v>70</v>
      </c>
      <c r="K280" s="14"/>
      <c r="L280" s="13">
        <v>2.2000000000000002</v>
      </c>
      <c r="M280" s="13"/>
      <c r="P280" s="12" t="s">
        <v>12</v>
      </c>
      <c r="Q280" s="12"/>
      <c r="R280" s="12"/>
      <c r="T280">
        <f t="shared" si="8"/>
        <v>1.22</v>
      </c>
      <c r="U280" t="str">
        <f t="shared" si="9"/>
        <v>dead</v>
      </c>
    </row>
    <row r="281" spans="1:21">
      <c r="A281" s="12">
        <v>40</v>
      </c>
      <c r="B281" s="12">
        <v>20</v>
      </c>
      <c r="C281" s="11">
        <v>42.033215261247165</v>
      </c>
      <c r="D281" s="11">
        <v>29.849072569358412</v>
      </c>
      <c r="E281" s="11"/>
      <c r="F281" s="10">
        <v>315</v>
      </c>
      <c r="G281" s="12" t="s">
        <v>13</v>
      </c>
      <c r="H281" s="13"/>
      <c r="I281" s="14">
        <v>1.23</v>
      </c>
      <c r="J281" s="14" t="s">
        <v>70</v>
      </c>
      <c r="K281" s="14"/>
      <c r="L281" s="13">
        <v>1.5</v>
      </c>
      <c r="M281" s="13"/>
      <c r="P281" s="12" t="s">
        <v>12</v>
      </c>
      <c r="Q281" s="12"/>
      <c r="R281" s="12" t="s">
        <v>16</v>
      </c>
      <c r="T281">
        <f t="shared" si="8"/>
        <v>1.23</v>
      </c>
      <c r="U281" t="str">
        <f t="shared" si="9"/>
        <v>dead</v>
      </c>
    </row>
    <row r="282" spans="1:21">
      <c r="A282" s="12">
        <v>10</v>
      </c>
      <c r="B282" s="12">
        <v>20</v>
      </c>
      <c r="C282" s="11">
        <v>19.395037262242923</v>
      </c>
      <c r="D282" s="11">
        <v>28.232704877268993</v>
      </c>
      <c r="E282" s="11"/>
      <c r="F282" s="12">
        <v>96</v>
      </c>
      <c r="G282" s="12" t="s">
        <v>13</v>
      </c>
      <c r="H282" s="13"/>
      <c r="I282" s="14">
        <v>1.24</v>
      </c>
      <c r="J282" s="14"/>
      <c r="K282" s="14">
        <v>19.3</v>
      </c>
      <c r="L282" s="13">
        <v>3.3</v>
      </c>
      <c r="M282" s="13">
        <v>0.5</v>
      </c>
      <c r="P282" s="12" t="s">
        <v>14</v>
      </c>
      <c r="Q282" s="12"/>
      <c r="R282" s="12"/>
      <c r="T282">
        <f t="shared" si="8"/>
        <v>1.24</v>
      </c>
      <c r="U282">
        <f t="shared" si="9"/>
        <v>19.3</v>
      </c>
    </row>
    <row r="283" spans="1:21">
      <c r="A283" s="12">
        <v>40</v>
      </c>
      <c r="B283" s="12">
        <v>20</v>
      </c>
      <c r="C283" s="11">
        <v>42.314959564929261</v>
      </c>
      <c r="D283" s="11">
        <v>29.279987657004579</v>
      </c>
      <c r="E283" s="11"/>
      <c r="F283" s="10">
        <v>291</v>
      </c>
      <c r="G283" s="12" t="s">
        <v>13</v>
      </c>
      <c r="H283" s="13"/>
      <c r="I283" s="14">
        <v>1.24</v>
      </c>
      <c r="J283" s="14"/>
      <c r="K283" s="14">
        <v>5.5</v>
      </c>
      <c r="L283" s="13">
        <v>3.4</v>
      </c>
      <c r="M283" s="13">
        <v>1</v>
      </c>
      <c r="P283" s="12" t="s">
        <v>14</v>
      </c>
      <c r="Q283" s="12"/>
      <c r="R283" s="12"/>
      <c r="T283">
        <f t="shared" si="8"/>
        <v>1.24</v>
      </c>
      <c r="U283">
        <f t="shared" si="9"/>
        <v>5.5</v>
      </c>
    </row>
    <row r="284" spans="1:21">
      <c r="A284" s="12">
        <v>20</v>
      </c>
      <c r="B284" s="12">
        <v>-20</v>
      </c>
      <c r="C284" s="11">
        <v>29.815354348993672</v>
      </c>
      <c r="D284" s="11">
        <v>-13.113758655297145</v>
      </c>
      <c r="E284" s="11"/>
      <c r="F284" s="10">
        <v>539</v>
      </c>
      <c r="G284" s="12" t="s">
        <v>13</v>
      </c>
      <c r="H284" s="13"/>
      <c r="I284" s="14">
        <v>1.25</v>
      </c>
      <c r="J284" s="14"/>
      <c r="K284" s="14">
        <v>13.4</v>
      </c>
      <c r="L284" s="13">
        <v>2.2999999999999998</v>
      </c>
      <c r="M284" s="13">
        <v>1.3</v>
      </c>
      <c r="P284" s="12" t="s">
        <v>14</v>
      </c>
      <c r="Q284" s="12"/>
      <c r="R284" s="12"/>
      <c r="T284">
        <f t="shared" si="8"/>
        <v>1.25</v>
      </c>
      <c r="U284">
        <f t="shared" si="9"/>
        <v>13.4</v>
      </c>
    </row>
    <row r="285" spans="1:21">
      <c r="A285" s="12">
        <v>40</v>
      </c>
      <c r="B285" s="12">
        <v>0</v>
      </c>
      <c r="C285" s="11">
        <v>40.044069004266788</v>
      </c>
      <c r="D285" s="11">
        <v>4.9501922885259351</v>
      </c>
      <c r="E285" s="11"/>
      <c r="F285" s="10">
        <v>263</v>
      </c>
      <c r="G285" s="12" t="s">
        <v>13</v>
      </c>
      <c r="H285" s="13"/>
      <c r="I285" s="14">
        <v>1.26</v>
      </c>
      <c r="J285" s="14" t="s">
        <v>70</v>
      </c>
      <c r="K285" s="14"/>
      <c r="L285" s="13">
        <v>2.5</v>
      </c>
      <c r="M285" s="13"/>
      <c r="P285" s="12" t="s">
        <v>12</v>
      </c>
      <c r="Q285" s="12"/>
      <c r="R285" s="12"/>
      <c r="T285">
        <f t="shared" si="8"/>
        <v>1.26</v>
      </c>
      <c r="U285" t="str">
        <f t="shared" si="9"/>
        <v>dead</v>
      </c>
    </row>
    <row r="286" spans="1:21">
      <c r="A286" s="12">
        <v>30</v>
      </c>
      <c r="B286" s="12">
        <v>-30</v>
      </c>
      <c r="C286" s="11">
        <v>32.172249041042093</v>
      </c>
      <c r="D286" s="11">
        <v>-27.886300406635019</v>
      </c>
      <c r="E286" s="11"/>
      <c r="F286" s="12">
        <v>670</v>
      </c>
      <c r="G286" s="12" t="s">
        <v>11</v>
      </c>
      <c r="H286" s="13"/>
      <c r="I286" s="14">
        <v>1.26</v>
      </c>
      <c r="J286" s="14" t="s">
        <v>70</v>
      </c>
      <c r="K286" s="14"/>
      <c r="L286" s="13">
        <v>2.5</v>
      </c>
      <c r="M286" s="13"/>
      <c r="P286" s="12" t="s">
        <v>12</v>
      </c>
      <c r="Q286" s="12"/>
      <c r="R286" s="12"/>
      <c r="T286">
        <f t="shared" si="8"/>
        <v>1.26</v>
      </c>
      <c r="U286" t="str">
        <f t="shared" si="9"/>
        <v>dead</v>
      </c>
    </row>
    <row r="287" spans="1:21">
      <c r="A287" s="12">
        <v>20</v>
      </c>
      <c r="B287" s="12">
        <v>30</v>
      </c>
      <c r="C287" s="11">
        <v>20.548209621882769</v>
      </c>
      <c r="D287" s="11">
        <v>33.73393534900292</v>
      </c>
      <c r="E287" s="11"/>
      <c r="F287" s="10">
        <v>175</v>
      </c>
      <c r="G287" s="12" t="s">
        <v>13</v>
      </c>
      <c r="H287" s="13"/>
      <c r="I287" s="14">
        <v>1.27</v>
      </c>
      <c r="J287" s="14">
        <v>6.3</v>
      </c>
      <c r="K287" s="14"/>
      <c r="L287" s="13">
        <v>2.8</v>
      </c>
      <c r="M287" s="13">
        <v>0.8</v>
      </c>
      <c r="P287" s="12" t="s">
        <v>14</v>
      </c>
      <c r="Q287" s="12"/>
      <c r="R287" s="12"/>
      <c r="T287">
        <f t="shared" si="8"/>
        <v>1.27</v>
      </c>
      <c r="U287">
        <f t="shared" si="9"/>
        <v>2.0053522829578814</v>
      </c>
    </row>
    <row r="288" spans="1:21">
      <c r="A288" s="12">
        <v>30</v>
      </c>
      <c r="B288" s="12">
        <v>-20</v>
      </c>
      <c r="C288" s="11">
        <v>35.246860320498655</v>
      </c>
      <c r="D288" s="11">
        <v>-17.046819366717855</v>
      </c>
      <c r="E288" s="11"/>
      <c r="F288" s="10">
        <v>523</v>
      </c>
      <c r="G288" s="12" t="s">
        <v>21</v>
      </c>
      <c r="H288" s="13"/>
      <c r="I288" s="14">
        <v>1.27</v>
      </c>
      <c r="J288" s="14"/>
      <c r="K288" s="14">
        <v>1.92</v>
      </c>
      <c r="L288" s="13">
        <v>3.1</v>
      </c>
      <c r="M288" s="13">
        <v>0.6</v>
      </c>
      <c r="P288" s="12" t="s">
        <v>14</v>
      </c>
      <c r="Q288" s="12"/>
      <c r="R288" s="12"/>
      <c r="T288">
        <f t="shared" si="8"/>
        <v>1.27</v>
      </c>
      <c r="U288">
        <f t="shared" si="9"/>
        <v>1.92</v>
      </c>
    </row>
    <row r="289" spans="1:21">
      <c r="A289" s="12">
        <v>0</v>
      </c>
      <c r="B289" s="12">
        <v>-30</v>
      </c>
      <c r="C289" s="11">
        <v>9.309286328818267</v>
      </c>
      <c r="D289" s="11">
        <v>-23.147976576191382</v>
      </c>
      <c r="E289" s="11"/>
      <c r="F289" s="10">
        <v>609</v>
      </c>
      <c r="G289" s="12" t="s">
        <v>13</v>
      </c>
      <c r="H289" s="13"/>
      <c r="I289" s="14">
        <v>1.27</v>
      </c>
      <c r="J289" s="14"/>
      <c r="K289" s="14">
        <v>16.3</v>
      </c>
      <c r="L289" s="13">
        <v>2.2999999999999998</v>
      </c>
      <c r="M289" s="13">
        <v>1.7</v>
      </c>
      <c r="P289" s="12" t="s">
        <v>14</v>
      </c>
      <c r="Q289" s="12"/>
      <c r="R289" s="12"/>
      <c r="T289">
        <f t="shared" si="8"/>
        <v>1.27</v>
      </c>
      <c r="U289">
        <f t="shared" si="9"/>
        <v>16.3</v>
      </c>
    </row>
    <row r="290" spans="1:21">
      <c r="A290" s="12">
        <v>20</v>
      </c>
      <c r="B290" s="12">
        <v>30</v>
      </c>
      <c r="C290" s="11">
        <v>24.676352046017037</v>
      </c>
      <c r="D290" s="11">
        <v>39.225834938974714</v>
      </c>
      <c r="E290" s="11"/>
      <c r="F290" s="10">
        <v>129</v>
      </c>
      <c r="G290" s="12" t="s">
        <v>11</v>
      </c>
      <c r="H290" s="13"/>
      <c r="I290" s="14">
        <v>1.28</v>
      </c>
      <c r="J290" s="14">
        <v>7</v>
      </c>
      <c r="K290" s="14"/>
      <c r="L290" s="13">
        <v>2.5</v>
      </c>
      <c r="M290" s="13">
        <v>0.2</v>
      </c>
      <c r="P290" s="12" t="s">
        <v>14</v>
      </c>
      <c r="Q290" s="12"/>
      <c r="R290" s="12"/>
      <c r="T290">
        <f t="shared" si="8"/>
        <v>1.28</v>
      </c>
      <c r="U290">
        <f t="shared" si="9"/>
        <v>2.228169203286535</v>
      </c>
    </row>
    <row r="291" spans="1:21" s="27" customFormat="1">
      <c r="A291" s="12">
        <v>40</v>
      </c>
      <c r="B291" s="12">
        <v>30</v>
      </c>
      <c r="C291" s="11">
        <v>48.785431380698043</v>
      </c>
      <c r="D291" s="11">
        <v>31.465996070483271</v>
      </c>
      <c r="E291" s="11"/>
      <c r="F291" s="12">
        <v>336</v>
      </c>
      <c r="G291" s="12" t="s">
        <v>30</v>
      </c>
      <c r="H291" s="13"/>
      <c r="I291" s="14">
        <v>1.28</v>
      </c>
      <c r="J291" s="14"/>
      <c r="K291" s="14">
        <v>17.100000000000001</v>
      </c>
      <c r="L291" s="13">
        <v>2.1</v>
      </c>
      <c r="M291" s="13">
        <v>1</v>
      </c>
      <c r="N291"/>
      <c r="O291"/>
      <c r="P291" s="12" t="s">
        <v>14</v>
      </c>
      <c r="Q291" s="12"/>
      <c r="R291" s="12"/>
      <c r="S291"/>
      <c r="T291">
        <f t="shared" si="8"/>
        <v>1.28</v>
      </c>
      <c r="U291">
        <f t="shared" si="9"/>
        <v>17.100000000000001</v>
      </c>
    </row>
    <row r="292" spans="1:21">
      <c r="A292" s="12">
        <v>40</v>
      </c>
      <c r="B292" s="12">
        <v>20</v>
      </c>
      <c r="C292" s="11">
        <v>41.994523250760842</v>
      </c>
      <c r="D292" s="11">
        <v>29.817403525727038</v>
      </c>
      <c r="E292" s="11"/>
      <c r="F292" s="10">
        <v>313</v>
      </c>
      <c r="G292" s="12" t="s">
        <v>13</v>
      </c>
      <c r="H292" s="13"/>
      <c r="I292" s="14">
        <v>1.3</v>
      </c>
      <c r="J292" s="14">
        <v>6</v>
      </c>
      <c r="K292" s="14"/>
      <c r="L292" s="13">
        <v>3.1</v>
      </c>
      <c r="M292" s="13">
        <v>0.8</v>
      </c>
      <c r="P292" s="12" t="s">
        <v>14</v>
      </c>
      <c r="Q292" s="12"/>
      <c r="R292" s="12"/>
      <c r="T292">
        <f t="shared" si="8"/>
        <v>1.3</v>
      </c>
      <c r="U292">
        <f t="shared" si="9"/>
        <v>1.909859317102744</v>
      </c>
    </row>
    <row r="293" spans="1:21">
      <c r="A293" s="12">
        <v>30</v>
      </c>
      <c r="B293" s="12">
        <v>-20</v>
      </c>
      <c r="C293" s="11">
        <v>30.272031637104213</v>
      </c>
      <c r="D293" s="11">
        <v>-12.789450040868029</v>
      </c>
      <c r="E293" s="11"/>
      <c r="F293" s="10">
        <v>531</v>
      </c>
      <c r="G293" s="12" t="s">
        <v>13</v>
      </c>
      <c r="H293" s="13"/>
      <c r="I293" s="14">
        <v>1.3</v>
      </c>
      <c r="J293" s="14"/>
      <c r="K293" s="14">
        <v>14.8</v>
      </c>
      <c r="L293" s="13">
        <v>2.7</v>
      </c>
      <c r="M293" s="13">
        <v>1.4</v>
      </c>
      <c r="P293" s="12" t="s">
        <v>14</v>
      </c>
      <c r="Q293" s="12"/>
      <c r="R293" s="12"/>
      <c r="T293">
        <f t="shared" si="8"/>
        <v>1.3</v>
      </c>
      <c r="U293">
        <f t="shared" si="9"/>
        <v>14.8</v>
      </c>
    </row>
    <row r="294" spans="1:21">
      <c r="A294" s="12">
        <v>0</v>
      </c>
      <c r="B294" s="12">
        <v>-20</v>
      </c>
      <c r="C294" s="11">
        <v>0.82101434437614929</v>
      </c>
      <c r="D294" s="11">
        <v>-14.108775419310309</v>
      </c>
      <c r="E294" s="11"/>
      <c r="F294" s="10">
        <v>589</v>
      </c>
      <c r="G294" s="12" t="s">
        <v>11</v>
      </c>
      <c r="H294" s="13"/>
      <c r="I294" s="14">
        <v>1.3</v>
      </c>
      <c r="J294" s="14"/>
      <c r="K294" s="14">
        <v>20.5</v>
      </c>
      <c r="L294" s="13">
        <v>1.9</v>
      </c>
      <c r="M294" s="13">
        <v>0.2</v>
      </c>
      <c r="P294" s="12" t="s">
        <v>14</v>
      </c>
      <c r="Q294" s="12"/>
      <c r="R294" s="12"/>
      <c r="S294" t="s">
        <v>104</v>
      </c>
      <c r="T294">
        <f t="shared" si="8"/>
        <v>1.3</v>
      </c>
      <c r="U294">
        <f t="shared" si="9"/>
        <v>20.5</v>
      </c>
    </row>
    <row r="295" spans="1:21">
      <c r="A295" s="12">
        <v>20</v>
      </c>
      <c r="B295" s="12">
        <v>40</v>
      </c>
      <c r="C295" s="11">
        <v>25.933414994968828</v>
      </c>
      <c r="D295" s="11">
        <v>46.753864560196561</v>
      </c>
      <c r="E295" s="11"/>
      <c r="F295" s="12">
        <v>190</v>
      </c>
      <c r="G295" s="12" t="s">
        <v>13</v>
      </c>
      <c r="H295" s="13"/>
      <c r="I295" s="14">
        <v>1.31</v>
      </c>
      <c r="J295" s="14"/>
      <c r="K295" s="14">
        <v>14.3</v>
      </c>
      <c r="L295" s="13">
        <v>1.8</v>
      </c>
      <c r="M295" s="13">
        <v>1.1000000000000001</v>
      </c>
      <c r="P295" s="12" t="s">
        <v>14</v>
      </c>
      <c r="Q295" s="12"/>
      <c r="R295" s="12"/>
      <c r="T295">
        <f t="shared" si="8"/>
        <v>1.31</v>
      </c>
      <c r="U295">
        <f t="shared" si="9"/>
        <v>14.3</v>
      </c>
    </row>
    <row r="296" spans="1:21">
      <c r="A296" s="12">
        <v>40</v>
      </c>
      <c r="B296" s="12">
        <v>20</v>
      </c>
      <c r="C296" s="11">
        <v>42.537382672775671</v>
      </c>
      <c r="D296" s="11">
        <v>29.97268447893466</v>
      </c>
      <c r="E296" s="11"/>
      <c r="F296" s="10">
        <v>301</v>
      </c>
      <c r="G296" s="12" t="s">
        <v>13</v>
      </c>
      <c r="H296" s="13"/>
      <c r="I296" s="14">
        <v>1.31</v>
      </c>
      <c r="J296" s="14">
        <v>6</v>
      </c>
      <c r="K296" s="14"/>
      <c r="L296" s="13">
        <v>3.1</v>
      </c>
      <c r="M296" s="13">
        <v>1</v>
      </c>
      <c r="P296" s="12" t="s">
        <v>14</v>
      </c>
      <c r="Q296" s="12"/>
      <c r="R296" s="12"/>
      <c r="T296">
        <f t="shared" si="8"/>
        <v>1.31</v>
      </c>
      <c r="U296">
        <f t="shared" si="9"/>
        <v>1.909859317102744</v>
      </c>
    </row>
    <row r="297" spans="1:21">
      <c r="A297" s="9">
        <v>0</v>
      </c>
      <c r="B297" s="12">
        <v>20</v>
      </c>
      <c r="C297" s="11">
        <v>3.8226077947344206</v>
      </c>
      <c r="D297" s="11">
        <v>29.704255234052518</v>
      </c>
      <c r="E297" s="11"/>
      <c r="F297" s="10">
        <v>45</v>
      </c>
      <c r="G297" s="12" t="s">
        <v>11</v>
      </c>
      <c r="H297" s="13"/>
      <c r="I297" s="14">
        <v>1.32</v>
      </c>
      <c r="J297" s="14">
        <v>8.3000000000000007</v>
      </c>
      <c r="K297" s="14"/>
      <c r="L297" s="13">
        <v>2.1</v>
      </c>
      <c r="M297" s="13">
        <v>0.2</v>
      </c>
      <c r="P297" s="12" t="s">
        <v>14</v>
      </c>
      <c r="Q297" s="12"/>
      <c r="R297" s="12"/>
      <c r="T297">
        <f t="shared" si="8"/>
        <v>1.32</v>
      </c>
      <c r="U297">
        <f t="shared" si="9"/>
        <v>2.6419720553254629</v>
      </c>
    </row>
    <row r="298" spans="1:21">
      <c r="A298" s="12">
        <v>40</v>
      </c>
      <c r="B298" s="12">
        <v>30</v>
      </c>
      <c r="C298" s="11">
        <v>43.446618132143705</v>
      </c>
      <c r="D298" s="11">
        <v>36.456599642426447</v>
      </c>
      <c r="E298" s="11"/>
      <c r="F298" s="12">
        <v>344</v>
      </c>
      <c r="G298" s="12" t="s">
        <v>11</v>
      </c>
      <c r="H298" s="13"/>
      <c r="I298" s="14">
        <v>1.32</v>
      </c>
      <c r="J298" s="14">
        <v>7.4</v>
      </c>
      <c r="K298" s="14"/>
      <c r="L298" s="13">
        <v>2.6</v>
      </c>
      <c r="M298" s="13">
        <v>0.3</v>
      </c>
      <c r="P298" s="12" t="s">
        <v>14</v>
      </c>
      <c r="Q298" s="12"/>
      <c r="R298" s="12"/>
      <c r="T298">
        <f t="shared" si="8"/>
        <v>1.32</v>
      </c>
      <c r="U298">
        <f t="shared" si="9"/>
        <v>2.3554931577600513</v>
      </c>
    </row>
    <row r="299" spans="1:21">
      <c r="A299" s="12">
        <v>20</v>
      </c>
      <c r="B299" s="12">
        <v>10</v>
      </c>
      <c r="C299" s="11">
        <v>21.971325740910526</v>
      </c>
      <c r="D299" s="11">
        <v>11.532730588339588</v>
      </c>
      <c r="E299" s="11"/>
      <c r="F299" s="10">
        <v>145</v>
      </c>
      <c r="G299" s="12" t="s">
        <v>13</v>
      </c>
      <c r="H299" s="13"/>
      <c r="I299" s="14">
        <v>1.33</v>
      </c>
      <c r="J299" s="14" t="s">
        <v>70</v>
      </c>
      <c r="K299" s="14"/>
      <c r="L299" s="13">
        <v>1.3</v>
      </c>
      <c r="M299" s="13"/>
      <c r="P299" s="12" t="s">
        <v>12</v>
      </c>
      <c r="Q299" s="12"/>
      <c r="R299" s="12" t="s">
        <v>16</v>
      </c>
      <c r="T299">
        <f t="shared" si="8"/>
        <v>1.33</v>
      </c>
      <c r="U299" t="str">
        <f t="shared" si="9"/>
        <v>dead</v>
      </c>
    </row>
    <row r="300" spans="1:21">
      <c r="A300" s="12">
        <v>40</v>
      </c>
      <c r="B300" s="12">
        <v>-10</v>
      </c>
      <c r="C300" s="11">
        <v>43.411546288263949</v>
      </c>
      <c r="D300" s="11">
        <v>-9.4229801363622858</v>
      </c>
      <c r="E300" s="11"/>
      <c r="F300" s="10">
        <v>447</v>
      </c>
      <c r="G300" s="12" t="s">
        <v>13</v>
      </c>
      <c r="H300" s="13"/>
      <c r="I300" s="14">
        <v>1.33</v>
      </c>
      <c r="J300" s="14"/>
      <c r="K300" s="14">
        <v>15.9</v>
      </c>
      <c r="L300" s="13">
        <v>1.8</v>
      </c>
      <c r="M300" s="13">
        <v>1.3</v>
      </c>
      <c r="P300" s="12" t="s">
        <v>14</v>
      </c>
      <c r="Q300" s="12"/>
      <c r="R300" s="12"/>
      <c r="T300">
        <f t="shared" si="8"/>
        <v>1.33</v>
      </c>
      <c r="U300">
        <f t="shared" si="9"/>
        <v>15.9</v>
      </c>
    </row>
    <row r="301" spans="1:21">
      <c r="A301" s="12">
        <v>10</v>
      </c>
      <c r="B301" s="12">
        <v>20</v>
      </c>
      <c r="C301" s="11">
        <v>18.480876301162375</v>
      </c>
      <c r="D301" s="11">
        <v>20.580784935354586</v>
      </c>
      <c r="E301" s="11"/>
      <c r="F301" s="12">
        <v>104</v>
      </c>
      <c r="G301" s="12" t="s">
        <v>11</v>
      </c>
      <c r="H301" s="13"/>
      <c r="I301" s="14">
        <v>1.34</v>
      </c>
      <c r="J301" s="14" t="s">
        <v>70</v>
      </c>
      <c r="K301" s="14"/>
      <c r="L301" s="13">
        <v>2.1</v>
      </c>
      <c r="M301" s="13"/>
      <c r="P301" s="12" t="s">
        <v>12</v>
      </c>
      <c r="Q301" s="12"/>
      <c r="R301" s="12"/>
      <c r="T301">
        <f t="shared" si="8"/>
        <v>1.34</v>
      </c>
      <c r="U301" t="str">
        <f t="shared" si="9"/>
        <v>dead</v>
      </c>
    </row>
    <row r="302" spans="1:21">
      <c r="A302" s="12">
        <v>20</v>
      </c>
      <c r="B302" s="12">
        <v>0</v>
      </c>
      <c r="C302" s="11">
        <v>27.161315759394988</v>
      </c>
      <c r="D302" s="11">
        <v>7.1363615795614637</v>
      </c>
      <c r="E302" s="11"/>
      <c r="F302" s="10">
        <v>123</v>
      </c>
      <c r="G302" s="12" t="s">
        <v>11</v>
      </c>
      <c r="H302" s="13"/>
      <c r="I302" s="14">
        <v>1.34</v>
      </c>
      <c r="J302" s="14" t="s">
        <v>79</v>
      </c>
      <c r="K302" s="14"/>
      <c r="L302" s="13">
        <v>2.4</v>
      </c>
      <c r="M302" s="13"/>
      <c r="P302" s="12" t="s">
        <v>12</v>
      </c>
      <c r="Q302" s="12"/>
      <c r="R302" s="12"/>
      <c r="T302">
        <f t="shared" si="8"/>
        <v>1.34</v>
      </c>
      <c r="U302" t="str">
        <f t="shared" si="9"/>
        <v>dead</v>
      </c>
    </row>
    <row r="303" spans="1:21">
      <c r="A303" s="12">
        <v>20</v>
      </c>
      <c r="B303" s="12">
        <v>20</v>
      </c>
      <c r="C303" s="11">
        <v>29.620093591599371</v>
      </c>
      <c r="D303" s="11">
        <v>21.086119526062333</v>
      </c>
      <c r="E303" s="11"/>
      <c r="F303" s="12">
        <v>162</v>
      </c>
      <c r="G303" s="12" t="s">
        <v>21</v>
      </c>
      <c r="H303" s="13"/>
      <c r="I303" s="14">
        <v>1.34</v>
      </c>
      <c r="J303" s="14"/>
      <c r="K303" s="14">
        <v>21.2</v>
      </c>
      <c r="L303" s="13">
        <v>1.6</v>
      </c>
      <c r="M303" s="13">
        <v>0.6</v>
      </c>
      <c r="P303" s="12" t="s">
        <v>14</v>
      </c>
      <c r="Q303" s="12"/>
      <c r="R303" s="12"/>
      <c r="T303">
        <f t="shared" si="8"/>
        <v>1.34</v>
      </c>
      <c r="U303">
        <f t="shared" si="9"/>
        <v>21.2</v>
      </c>
    </row>
    <row r="304" spans="1:21">
      <c r="A304" s="12">
        <v>40</v>
      </c>
      <c r="B304" s="12">
        <v>-10</v>
      </c>
      <c r="C304" s="11">
        <v>48.499274544622907</v>
      </c>
      <c r="D304" s="11">
        <v>-2.9838604370149775</v>
      </c>
      <c r="E304" s="11"/>
      <c r="F304" s="12">
        <v>470</v>
      </c>
      <c r="G304" s="12" t="s">
        <v>13</v>
      </c>
      <c r="H304" s="13"/>
      <c r="I304" s="14">
        <v>1.34</v>
      </c>
      <c r="J304" s="14" t="s">
        <v>70</v>
      </c>
      <c r="K304" s="14"/>
      <c r="L304" s="13">
        <v>2</v>
      </c>
      <c r="M304" s="13"/>
      <c r="P304" s="12" t="s">
        <v>12</v>
      </c>
      <c r="Q304" s="12"/>
      <c r="R304" s="12"/>
      <c r="T304">
        <f t="shared" si="8"/>
        <v>1.34</v>
      </c>
      <c r="U304" t="str">
        <f t="shared" si="9"/>
        <v>dead</v>
      </c>
    </row>
    <row r="305" spans="1:21">
      <c r="A305" s="12">
        <v>20</v>
      </c>
      <c r="B305" s="12">
        <v>40</v>
      </c>
      <c r="C305" s="11">
        <v>26.382700868550014</v>
      </c>
      <c r="D305" s="11">
        <v>47.29090046719957</v>
      </c>
      <c r="E305" s="11"/>
      <c r="F305" s="12">
        <v>194</v>
      </c>
      <c r="G305" s="12" t="s">
        <v>13</v>
      </c>
      <c r="H305" s="13"/>
      <c r="I305" s="14">
        <v>1.35</v>
      </c>
      <c r="J305" s="14"/>
      <c r="K305" s="14">
        <v>14.8</v>
      </c>
      <c r="L305" s="13">
        <v>2.7</v>
      </c>
      <c r="M305" s="13">
        <v>1.1000000000000001</v>
      </c>
      <c r="P305" s="12" t="s">
        <v>14</v>
      </c>
      <c r="Q305" s="12"/>
      <c r="R305" s="12"/>
      <c r="T305">
        <f t="shared" si="8"/>
        <v>1.35</v>
      </c>
      <c r="U305">
        <f t="shared" si="9"/>
        <v>14.8</v>
      </c>
    </row>
    <row r="306" spans="1:21">
      <c r="A306" s="12">
        <v>30</v>
      </c>
      <c r="B306" s="12">
        <v>20</v>
      </c>
      <c r="C306" s="11">
        <v>35.208951740241446</v>
      </c>
      <c r="D306" s="11">
        <v>23.344087583756682</v>
      </c>
      <c r="E306" s="11"/>
      <c r="F306" s="10">
        <v>211</v>
      </c>
      <c r="G306" s="12" t="s">
        <v>13</v>
      </c>
      <c r="H306" s="13"/>
      <c r="I306" s="14">
        <v>1.35</v>
      </c>
      <c r="J306" s="14">
        <v>7.5</v>
      </c>
      <c r="K306" s="14"/>
      <c r="L306" s="13">
        <v>2.6</v>
      </c>
      <c r="M306" s="13">
        <v>0.4</v>
      </c>
      <c r="P306" s="12" t="s">
        <v>14</v>
      </c>
      <c r="Q306" s="12"/>
      <c r="R306" s="12"/>
      <c r="T306">
        <f t="shared" si="8"/>
        <v>1.35</v>
      </c>
      <c r="U306">
        <f t="shared" si="9"/>
        <v>2.3873241463784303</v>
      </c>
    </row>
    <row r="307" spans="1:21">
      <c r="A307" s="12">
        <v>40</v>
      </c>
      <c r="B307" s="12">
        <v>30</v>
      </c>
      <c r="C307" s="11">
        <v>48.85269318912912</v>
      </c>
      <c r="D307" s="11">
        <v>30.519167384573795</v>
      </c>
      <c r="E307" s="11"/>
      <c r="F307" s="10">
        <v>325</v>
      </c>
      <c r="G307" s="12" t="s">
        <v>30</v>
      </c>
      <c r="H307" s="13"/>
      <c r="I307" s="14">
        <v>1.35</v>
      </c>
      <c r="J307" s="14"/>
      <c r="K307" s="14">
        <v>18.3</v>
      </c>
      <c r="L307" s="13">
        <v>1.4</v>
      </c>
      <c r="M307" s="13">
        <v>0.9</v>
      </c>
      <c r="P307" s="12" t="s">
        <v>14</v>
      </c>
      <c r="Q307" s="12"/>
      <c r="R307" s="12"/>
      <c r="T307">
        <f t="shared" si="8"/>
        <v>1.35</v>
      </c>
      <c r="U307">
        <f t="shared" si="9"/>
        <v>18.3</v>
      </c>
    </row>
    <row r="308" spans="1:21">
      <c r="A308" s="12">
        <v>10</v>
      </c>
      <c r="B308" s="12">
        <v>-30</v>
      </c>
      <c r="C308" s="11">
        <v>19.934757230768518</v>
      </c>
      <c r="D308" s="11">
        <v>-22.323744391372124</v>
      </c>
      <c r="E308" s="11"/>
      <c r="F308" s="12">
        <v>628</v>
      </c>
      <c r="G308" s="12" t="s">
        <v>11</v>
      </c>
      <c r="H308" s="13"/>
      <c r="I308" s="14">
        <v>1.35</v>
      </c>
      <c r="J308" s="14"/>
      <c r="K308" s="14">
        <v>19</v>
      </c>
      <c r="L308" s="13">
        <v>2.6</v>
      </c>
      <c r="M308" s="13">
        <v>0.7</v>
      </c>
      <c r="P308" s="12" t="s">
        <v>14</v>
      </c>
      <c r="Q308" s="12"/>
      <c r="R308" s="12"/>
      <c r="T308">
        <f t="shared" si="8"/>
        <v>1.35</v>
      </c>
      <c r="U308">
        <f t="shared" si="9"/>
        <v>19</v>
      </c>
    </row>
    <row r="309" spans="1:21">
      <c r="A309" s="12">
        <v>30</v>
      </c>
      <c r="B309" s="12">
        <v>20</v>
      </c>
      <c r="C309" s="11">
        <v>33.939110065365163</v>
      </c>
      <c r="D309" s="11">
        <v>24.008467524246502</v>
      </c>
      <c r="E309" s="11"/>
      <c r="F309" s="10">
        <v>209</v>
      </c>
      <c r="G309" s="12" t="s">
        <v>21</v>
      </c>
      <c r="H309" s="13"/>
      <c r="I309" s="14">
        <v>1.36</v>
      </c>
      <c r="J309" s="14"/>
      <c r="K309" s="31">
        <v>21.4</v>
      </c>
      <c r="L309" s="13">
        <v>2.7</v>
      </c>
      <c r="M309" s="13">
        <v>0.5</v>
      </c>
      <c r="P309" s="12" t="s">
        <v>14</v>
      </c>
      <c r="Q309" s="12"/>
      <c r="R309" s="12"/>
      <c r="T309">
        <f t="shared" si="8"/>
        <v>1.36</v>
      </c>
      <c r="U309">
        <f t="shared" si="9"/>
        <v>21.4</v>
      </c>
    </row>
    <row r="310" spans="1:21">
      <c r="A310" s="9">
        <v>0</v>
      </c>
      <c r="B310" s="12">
        <v>40</v>
      </c>
      <c r="C310" s="11">
        <v>6.9523180845387946</v>
      </c>
      <c r="D310" s="11">
        <v>42.049935901299008</v>
      </c>
      <c r="E310" s="11"/>
      <c r="F310" s="12">
        <v>64</v>
      </c>
      <c r="G310" s="12" t="s">
        <v>11</v>
      </c>
      <c r="H310" s="13"/>
      <c r="I310" s="14">
        <v>1.38</v>
      </c>
      <c r="J310" s="14"/>
      <c r="K310" s="14">
        <v>19.8</v>
      </c>
      <c r="L310" s="13">
        <v>3.2</v>
      </c>
      <c r="M310" s="13">
        <v>0.6</v>
      </c>
      <c r="P310" s="12" t="s">
        <v>14</v>
      </c>
      <c r="Q310" s="12"/>
      <c r="R310" s="12"/>
      <c r="T310">
        <f t="shared" si="8"/>
        <v>1.38</v>
      </c>
      <c r="U310">
        <f t="shared" si="9"/>
        <v>19.8</v>
      </c>
    </row>
    <row r="311" spans="1:21">
      <c r="A311" s="12">
        <v>40</v>
      </c>
      <c r="B311" s="12">
        <v>-30</v>
      </c>
      <c r="C311" s="11">
        <v>42.673689076497766</v>
      </c>
      <c r="D311" s="11">
        <v>-25.82924567952502</v>
      </c>
      <c r="E311" s="11"/>
      <c r="F311" s="12">
        <v>682</v>
      </c>
      <c r="G311" s="12" t="s">
        <v>13</v>
      </c>
      <c r="H311" s="13"/>
      <c r="I311" s="14">
        <v>1.38</v>
      </c>
      <c r="J311" s="14"/>
      <c r="K311" s="14">
        <v>16.8</v>
      </c>
      <c r="L311" s="13">
        <v>1.8</v>
      </c>
      <c r="M311" s="13">
        <v>1.2</v>
      </c>
      <c r="P311" s="12" t="s">
        <v>14</v>
      </c>
      <c r="Q311" s="12"/>
      <c r="R311" s="12"/>
      <c r="T311">
        <f t="shared" si="8"/>
        <v>1.38</v>
      </c>
      <c r="U311">
        <f t="shared" si="9"/>
        <v>16.8</v>
      </c>
    </row>
    <row r="312" spans="1:21">
      <c r="A312" s="12">
        <v>20</v>
      </c>
      <c r="B312" s="12">
        <v>-20</v>
      </c>
      <c r="C312" s="11">
        <v>28.615447336791203</v>
      </c>
      <c r="D312" s="11">
        <v>-30.660464995618224</v>
      </c>
      <c r="E312" s="11"/>
      <c r="F312" s="12">
        <v>714</v>
      </c>
      <c r="G312" s="12" t="s">
        <v>21</v>
      </c>
      <c r="H312" s="13"/>
      <c r="I312" s="14">
        <v>1.38</v>
      </c>
      <c r="J312" s="14"/>
      <c r="K312" s="14">
        <v>18.8</v>
      </c>
      <c r="L312" s="13">
        <v>3.4</v>
      </c>
      <c r="M312" s="13">
        <v>0.6</v>
      </c>
      <c r="P312" s="12" t="s">
        <v>14</v>
      </c>
      <c r="Q312" s="12"/>
      <c r="R312" s="12"/>
      <c r="S312" t="s">
        <v>129</v>
      </c>
      <c r="T312">
        <f t="shared" si="8"/>
        <v>1.38</v>
      </c>
      <c r="U312">
        <f t="shared" si="9"/>
        <v>18.8</v>
      </c>
    </row>
    <row r="313" spans="1:21">
      <c r="A313" s="12">
        <v>40</v>
      </c>
      <c r="B313" s="12">
        <v>30</v>
      </c>
      <c r="C313" s="11">
        <v>49.824853784818124</v>
      </c>
      <c r="D313" s="11">
        <v>32.281987056028768</v>
      </c>
      <c r="E313" s="11"/>
      <c r="F313" s="12">
        <v>340</v>
      </c>
      <c r="G313" s="12" t="s">
        <v>30</v>
      </c>
      <c r="H313" s="13"/>
      <c r="I313" s="14">
        <v>1.4</v>
      </c>
      <c r="J313" s="14" t="s">
        <v>70</v>
      </c>
      <c r="K313" s="14"/>
      <c r="L313" s="13">
        <v>1.4</v>
      </c>
      <c r="M313" s="13">
        <v>1</v>
      </c>
      <c r="P313" s="12" t="s">
        <v>14</v>
      </c>
      <c r="Q313" s="12"/>
      <c r="R313" s="12"/>
      <c r="S313" t="s">
        <v>70</v>
      </c>
      <c r="T313">
        <f t="shared" si="8"/>
        <v>1.4</v>
      </c>
      <c r="U313" t="str">
        <f t="shared" si="9"/>
        <v>dead</v>
      </c>
    </row>
    <row r="314" spans="1:21">
      <c r="A314" s="12">
        <v>40</v>
      </c>
      <c r="B314" s="12">
        <v>-30</v>
      </c>
      <c r="C314" s="11">
        <v>42.331454315224569</v>
      </c>
      <c r="D314" s="11">
        <v>-26.014452133946147</v>
      </c>
      <c r="E314" s="11"/>
      <c r="F314" s="12">
        <v>684</v>
      </c>
      <c r="G314" s="12" t="s">
        <v>13</v>
      </c>
      <c r="H314" s="13"/>
      <c r="I314" s="14">
        <v>1.4</v>
      </c>
      <c r="J314" s="14"/>
      <c r="K314" s="14">
        <v>16.2</v>
      </c>
      <c r="L314" s="13">
        <v>1.7</v>
      </c>
      <c r="M314" s="13">
        <v>1.3</v>
      </c>
      <c r="P314" s="12" t="s">
        <v>14</v>
      </c>
      <c r="Q314" s="12"/>
      <c r="R314" s="12"/>
      <c r="T314">
        <f t="shared" si="8"/>
        <v>1.4</v>
      </c>
      <c r="U314">
        <f t="shared" si="9"/>
        <v>16.2</v>
      </c>
    </row>
    <row r="315" spans="1:21" ht="26">
      <c r="A315" s="12">
        <v>40</v>
      </c>
      <c r="B315" s="12">
        <v>10</v>
      </c>
      <c r="C315" s="11">
        <v>41.378009384887001</v>
      </c>
      <c r="D315" s="11">
        <v>14.425970717925551</v>
      </c>
      <c r="E315" s="11"/>
      <c r="F315" s="10">
        <v>281</v>
      </c>
      <c r="G315" s="12" t="s">
        <v>11</v>
      </c>
      <c r="H315" s="13"/>
      <c r="I315" s="14">
        <v>1.41</v>
      </c>
      <c r="J315" s="14">
        <v>7.7</v>
      </c>
      <c r="K315" s="14"/>
      <c r="L315" s="13">
        <v>2.2000000000000002</v>
      </c>
      <c r="M315" s="13">
        <v>0.6</v>
      </c>
      <c r="P315" s="12" t="s">
        <v>14</v>
      </c>
      <c r="Q315" s="12"/>
      <c r="R315" s="21" t="s">
        <v>83</v>
      </c>
      <c r="S315" t="s">
        <v>84</v>
      </c>
      <c r="T315">
        <f t="shared" si="8"/>
        <v>1.41</v>
      </c>
      <c r="U315">
        <f t="shared" si="9"/>
        <v>2.4509861236151882</v>
      </c>
    </row>
    <row r="316" spans="1:21">
      <c r="A316" s="12">
        <v>30</v>
      </c>
      <c r="B316" s="12">
        <v>-30</v>
      </c>
      <c r="C316" s="11">
        <v>31.654135647274799</v>
      </c>
      <c r="D316" s="11">
        <v>-25.548687706153121</v>
      </c>
      <c r="E316" s="11"/>
      <c r="F316" s="12">
        <v>664</v>
      </c>
      <c r="G316" s="12" t="s">
        <v>11</v>
      </c>
      <c r="H316" s="13"/>
      <c r="I316" s="14">
        <v>1.42</v>
      </c>
      <c r="J316" s="14" t="s">
        <v>70</v>
      </c>
      <c r="K316" s="14"/>
      <c r="L316" s="13">
        <v>2.2999999999999998</v>
      </c>
      <c r="M316" s="13"/>
      <c r="P316" s="12" t="s">
        <v>12</v>
      </c>
      <c r="Q316" s="12"/>
      <c r="R316" s="12"/>
      <c r="T316">
        <f t="shared" si="8"/>
        <v>1.42</v>
      </c>
      <c r="U316" t="str">
        <f t="shared" si="9"/>
        <v>dead</v>
      </c>
    </row>
    <row r="317" spans="1:21">
      <c r="A317" s="12">
        <v>10</v>
      </c>
      <c r="B317" s="12">
        <v>-30</v>
      </c>
      <c r="C317" s="11">
        <v>17.181672912791875</v>
      </c>
      <c r="D317" s="11">
        <v>-22.458583419269921</v>
      </c>
      <c r="E317" s="11"/>
      <c r="F317" s="10">
        <v>623</v>
      </c>
      <c r="G317" s="12" t="s">
        <v>11</v>
      </c>
      <c r="H317" s="13"/>
      <c r="I317" s="14">
        <v>1.44</v>
      </c>
      <c r="J317" s="14"/>
      <c r="K317" s="14">
        <v>21</v>
      </c>
      <c r="L317" s="13">
        <v>2.2000000000000002</v>
      </c>
      <c r="M317" s="13">
        <v>0.1</v>
      </c>
      <c r="P317" s="12" t="s">
        <v>14</v>
      </c>
      <c r="Q317" s="12"/>
      <c r="R317" s="12"/>
      <c r="S317" t="s">
        <v>111</v>
      </c>
      <c r="T317">
        <f t="shared" si="8"/>
        <v>1.44</v>
      </c>
      <c r="U317">
        <f t="shared" si="9"/>
        <v>21</v>
      </c>
    </row>
    <row r="318" spans="1:21">
      <c r="A318" s="12">
        <v>30</v>
      </c>
      <c r="B318" s="12">
        <v>-30</v>
      </c>
      <c r="C318" s="11">
        <v>32.218880714326836</v>
      </c>
      <c r="D318" s="11">
        <v>-27.73815665230347</v>
      </c>
      <c r="E318" s="11"/>
      <c r="F318" s="10">
        <v>669</v>
      </c>
      <c r="G318" s="12" t="s">
        <v>11</v>
      </c>
      <c r="H318" s="13"/>
      <c r="I318" s="14">
        <v>1.45</v>
      </c>
      <c r="J318" s="14" t="s">
        <v>70</v>
      </c>
      <c r="K318" s="14"/>
      <c r="L318" s="13">
        <v>2.5</v>
      </c>
      <c r="M318" s="13"/>
      <c r="P318" s="12" t="s">
        <v>12</v>
      </c>
      <c r="Q318" s="12"/>
      <c r="R318" s="12"/>
      <c r="T318">
        <f t="shared" si="8"/>
        <v>1.45</v>
      </c>
      <c r="U318" t="str">
        <f t="shared" si="9"/>
        <v>dead</v>
      </c>
    </row>
    <row r="319" spans="1:21">
      <c r="A319" s="12">
        <v>20</v>
      </c>
      <c r="B319" s="12">
        <v>-20</v>
      </c>
      <c r="C319" s="11">
        <v>27.708774059127435</v>
      </c>
      <c r="D319" s="11">
        <v>-30.421093209825571</v>
      </c>
      <c r="E319" s="11"/>
      <c r="F319" s="12">
        <v>716</v>
      </c>
      <c r="G319" s="12" t="s">
        <v>21</v>
      </c>
      <c r="H319" s="13"/>
      <c r="I319" s="14">
        <v>1.46</v>
      </c>
      <c r="J319" s="14"/>
      <c r="K319" s="14">
        <v>5.7</v>
      </c>
      <c r="L319" s="13">
        <v>3</v>
      </c>
      <c r="M319" s="13">
        <v>0.8</v>
      </c>
      <c r="P319" s="12" t="s">
        <v>14</v>
      </c>
      <c r="Q319" s="12"/>
      <c r="R319" s="12"/>
      <c r="S319" t="s">
        <v>130</v>
      </c>
      <c r="T319">
        <f t="shared" si="8"/>
        <v>1.46</v>
      </c>
      <c r="U319">
        <f t="shared" si="9"/>
        <v>5.7</v>
      </c>
    </row>
    <row r="320" spans="1:21">
      <c r="A320" s="12">
        <v>10</v>
      </c>
      <c r="B320" s="12">
        <v>10</v>
      </c>
      <c r="C320" s="11">
        <v>13.695974146610109</v>
      </c>
      <c r="D320" s="11">
        <v>10.572167027702303</v>
      </c>
      <c r="E320" s="11"/>
      <c r="F320" s="10">
        <v>113</v>
      </c>
      <c r="G320" s="12" t="s">
        <v>11</v>
      </c>
      <c r="H320" s="13"/>
      <c r="I320" s="14">
        <v>1.47</v>
      </c>
      <c r="J320" s="14" t="s">
        <v>79</v>
      </c>
      <c r="K320" s="14"/>
      <c r="L320" s="13">
        <v>2.2000000000000002</v>
      </c>
      <c r="M320" s="13"/>
      <c r="P320" s="12" t="s">
        <v>12</v>
      </c>
      <c r="Q320" s="12"/>
      <c r="R320" s="12"/>
      <c r="T320">
        <f t="shared" si="8"/>
        <v>1.47</v>
      </c>
      <c r="U320" t="str">
        <f t="shared" si="9"/>
        <v>dead</v>
      </c>
    </row>
    <row r="321" spans="1:21">
      <c r="A321" s="12">
        <v>40</v>
      </c>
      <c r="B321" s="12">
        <v>30</v>
      </c>
      <c r="C321" s="11">
        <v>48.780725712693545</v>
      </c>
      <c r="D321" s="11">
        <v>30.982052882594992</v>
      </c>
      <c r="E321" s="11"/>
      <c r="F321" s="12">
        <v>324</v>
      </c>
      <c r="G321" s="12" t="s">
        <v>30</v>
      </c>
      <c r="H321" s="13"/>
      <c r="I321" s="14">
        <v>1.47</v>
      </c>
      <c r="J321" s="14" t="s">
        <v>79</v>
      </c>
      <c r="K321" s="14"/>
      <c r="L321" s="13">
        <v>1</v>
      </c>
      <c r="M321" s="13">
        <v>0.9</v>
      </c>
      <c r="P321" s="12" t="s">
        <v>14</v>
      </c>
      <c r="Q321" s="12"/>
      <c r="R321" s="12" t="s">
        <v>31</v>
      </c>
      <c r="T321">
        <f t="shared" si="8"/>
        <v>1.47</v>
      </c>
      <c r="U321" t="str">
        <f t="shared" si="9"/>
        <v>dead</v>
      </c>
    </row>
    <row r="322" spans="1:21">
      <c r="A322" s="12">
        <v>40</v>
      </c>
      <c r="B322" s="12">
        <v>-20</v>
      </c>
      <c r="C322" s="11">
        <v>41.077045145116749</v>
      </c>
      <c r="D322" s="11">
        <v>-13.612876105733552</v>
      </c>
      <c r="E322" s="11"/>
      <c r="F322" s="10">
        <v>513</v>
      </c>
      <c r="G322" s="12" t="s">
        <v>21</v>
      </c>
      <c r="H322" s="13"/>
      <c r="I322" s="14">
        <v>1.47</v>
      </c>
      <c r="J322" s="14"/>
      <c r="K322" s="14">
        <v>17.5</v>
      </c>
      <c r="L322" s="13">
        <v>3</v>
      </c>
      <c r="M322" s="13">
        <v>1.3</v>
      </c>
      <c r="P322" s="12" t="s">
        <v>14</v>
      </c>
      <c r="Q322" s="12"/>
      <c r="R322" s="12"/>
      <c r="S322" t="s">
        <v>95</v>
      </c>
      <c r="T322">
        <f t="shared" ref="T322:T385" si="10">IF(H322="",I322,H322/PI())</f>
        <v>1.47</v>
      </c>
      <c r="U322">
        <f t="shared" ref="U322:U385" si="11">IF(J322="dead","dead",J322/PI()+K322)</f>
        <v>17.5</v>
      </c>
    </row>
    <row r="323" spans="1:21">
      <c r="A323" s="12">
        <v>0</v>
      </c>
      <c r="B323" s="12">
        <v>-30</v>
      </c>
      <c r="C323" s="11">
        <v>3.8441714100243498</v>
      </c>
      <c r="D323" s="11">
        <v>-21.83114306271171</v>
      </c>
      <c r="E323" s="11"/>
      <c r="F323" s="10">
        <v>603</v>
      </c>
      <c r="G323" s="12" t="s">
        <v>11</v>
      </c>
      <c r="H323" s="13"/>
      <c r="I323" s="14">
        <v>1.48</v>
      </c>
      <c r="J323" s="14"/>
      <c r="K323" s="14">
        <v>20.8</v>
      </c>
      <c r="L323" s="13">
        <v>2.2999999999999998</v>
      </c>
      <c r="M323" s="13">
        <v>0.3</v>
      </c>
      <c r="P323" s="12" t="s">
        <v>14</v>
      </c>
      <c r="Q323" s="12"/>
      <c r="R323" s="12"/>
      <c r="T323">
        <f t="shared" si="10"/>
        <v>1.48</v>
      </c>
      <c r="U323">
        <f t="shared" si="11"/>
        <v>20.8</v>
      </c>
    </row>
    <row r="324" spans="1:21">
      <c r="A324" s="9">
        <v>0</v>
      </c>
      <c r="B324" s="12">
        <v>20</v>
      </c>
      <c r="C324" s="11">
        <v>0.66636346065243546</v>
      </c>
      <c r="D324" s="11">
        <v>24.864571896714789</v>
      </c>
      <c r="E324" s="11"/>
      <c r="F324" s="10">
        <v>29</v>
      </c>
      <c r="G324" s="12" t="s">
        <v>11</v>
      </c>
      <c r="H324" s="13"/>
      <c r="I324" s="14">
        <v>1.5</v>
      </c>
      <c r="J324" s="14"/>
      <c r="K324" s="14">
        <v>20.3</v>
      </c>
      <c r="L324" s="13">
        <v>2</v>
      </c>
      <c r="M324" s="13">
        <v>0.2</v>
      </c>
      <c r="P324" s="12" t="s">
        <v>14</v>
      </c>
      <c r="Q324" s="12"/>
      <c r="R324" s="12"/>
      <c r="T324">
        <f t="shared" si="10"/>
        <v>1.5</v>
      </c>
      <c r="U324">
        <f t="shared" si="11"/>
        <v>20.3</v>
      </c>
    </row>
    <row r="325" spans="1:21">
      <c r="A325" s="12">
        <v>40</v>
      </c>
      <c r="B325" s="12">
        <v>40</v>
      </c>
      <c r="C325" s="11">
        <v>41.55964685708858</v>
      </c>
      <c r="D325" s="11">
        <v>45.418610414390876</v>
      </c>
      <c r="E325" s="11"/>
      <c r="F325" s="12">
        <v>356</v>
      </c>
      <c r="G325" s="12" t="s">
        <v>13</v>
      </c>
      <c r="H325" s="13"/>
      <c r="I325" s="14">
        <v>1.51</v>
      </c>
      <c r="J325" s="14"/>
      <c r="K325" s="14">
        <v>15.7</v>
      </c>
      <c r="L325" s="13">
        <v>2.9</v>
      </c>
      <c r="M325" s="13">
        <v>1.5</v>
      </c>
      <c r="P325" s="12" t="s">
        <v>14</v>
      </c>
      <c r="Q325" s="12"/>
      <c r="R325" s="12"/>
      <c r="T325">
        <f t="shared" si="10"/>
        <v>1.51</v>
      </c>
      <c r="U325">
        <f t="shared" si="11"/>
        <v>15.7</v>
      </c>
    </row>
    <row r="326" spans="1:21">
      <c r="A326" s="12">
        <v>30</v>
      </c>
      <c r="B326" s="12">
        <v>-20</v>
      </c>
      <c r="C326" s="11">
        <v>36.093682459167503</v>
      </c>
      <c r="D326" s="11">
        <v>-15.517090108941883</v>
      </c>
      <c r="E326" s="11"/>
      <c r="F326" s="12">
        <v>520</v>
      </c>
      <c r="G326" s="12" t="s">
        <v>11</v>
      </c>
      <c r="H326" s="13"/>
      <c r="I326" s="14">
        <v>1.51</v>
      </c>
      <c r="J326" s="14" t="s">
        <v>70</v>
      </c>
      <c r="K326" s="14"/>
      <c r="L326" s="13">
        <v>2.2000000000000002</v>
      </c>
      <c r="M326" s="13">
        <v>0.1</v>
      </c>
      <c r="P326" s="12" t="s">
        <v>14</v>
      </c>
      <c r="Q326" s="12"/>
      <c r="R326" s="12"/>
      <c r="T326">
        <f t="shared" si="10"/>
        <v>1.51</v>
      </c>
      <c r="U326" t="str">
        <f t="shared" si="11"/>
        <v>dead</v>
      </c>
    </row>
    <row r="327" spans="1:21">
      <c r="A327" s="12">
        <v>20</v>
      </c>
      <c r="B327" s="12">
        <v>-20</v>
      </c>
      <c r="C327" s="11">
        <v>27.573886755230106</v>
      </c>
      <c r="D327" s="11">
        <v>-13.029159888179269</v>
      </c>
      <c r="E327" s="11"/>
      <c r="F327" s="12">
        <v>540</v>
      </c>
      <c r="G327" s="12" t="s">
        <v>13</v>
      </c>
      <c r="H327" s="13"/>
      <c r="I327" s="14">
        <v>1.51</v>
      </c>
      <c r="J327" s="14"/>
      <c r="K327" s="14">
        <v>17.3</v>
      </c>
      <c r="L327" s="13">
        <v>3.3</v>
      </c>
      <c r="M327" s="13">
        <v>1.3</v>
      </c>
      <c r="P327" s="12" t="s">
        <v>14</v>
      </c>
      <c r="Q327" s="12"/>
      <c r="R327" s="12"/>
      <c r="T327">
        <f t="shared" si="10"/>
        <v>1.51</v>
      </c>
      <c r="U327">
        <f t="shared" si="11"/>
        <v>17.3</v>
      </c>
    </row>
    <row r="328" spans="1:21">
      <c r="A328" s="12">
        <v>20</v>
      </c>
      <c r="B328" s="12">
        <v>10</v>
      </c>
      <c r="C328" s="11">
        <v>20.025377074440154</v>
      </c>
      <c r="D328" s="11">
        <v>14.539977854319202</v>
      </c>
      <c r="E328" s="11"/>
      <c r="F328" s="10">
        <v>155</v>
      </c>
      <c r="G328" s="12" t="s">
        <v>11</v>
      </c>
      <c r="H328" s="13"/>
      <c r="I328" s="14">
        <v>1.52</v>
      </c>
      <c r="J328" s="14"/>
      <c r="K328" s="14">
        <v>21.1</v>
      </c>
      <c r="L328" s="13">
        <v>2.4</v>
      </c>
      <c r="M328" s="13">
        <v>0.2</v>
      </c>
      <c r="P328" s="12" t="s">
        <v>14</v>
      </c>
      <c r="Q328" s="12"/>
      <c r="R328" s="12"/>
      <c r="T328">
        <f t="shared" si="10"/>
        <v>1.52</v>
      </c>
      <c r="U328">
        <f t="shared" si="11"/>
        <v>21.1</v>
      </c>
    </row>
    <row r="329" spans="1:21">
      <c r="A329" s="12">
        <v>10</v>
      </c>
      <c r="B329" s="12">
        <v>20</v>
      </c>
      <c r="C329" s="11">
        <v>18.888959746745883</v>
      </c>
      <c r="D329" s="11">
        <v>21.51976961603188</v>
      </c>
      <c r="E329" s="11"/>
      <c r="F329" s="12">
        <v>102</v>
      </c>
      <c r="G329" s="12" t="s">
        <v>11</v>
      </c>
      <c r="H329" s="13"/>
      <c r="I329" s="14">
        <v>1.53</v>
      </c>
      <c r="J329" s="14" t="s">
        <v>70</v>
      </c>
      <c r="K329" s="14"/>
      <c r="L329" s="13">
        <v>2.6</v>
      </c>
      <c r="M329" s="13"/>
      <c r="P329" s="12" t="s">
        <v>12</v>
      </c>
      <c r="Q329" s="12"/>
      <c r="R329" s="12"/>
      <c r="T329">
        <f t="shared" si="10"/>
        <v>1.53</v>
      </c>
      <c r="U329" t="str">
        <f t="shared" si="11"/>
        <v>dead</v>
      </c>
    </row>
    <row r="330" spans="1:21">
      <c r="A330" s="12">
        <v>40</v>
      </c>
      <c r="B330" s="12">
        <v>10</v>
      </c>
      <c r="C330" s="11">
        <v>42.941695206502793</v>
      </c>
      <c r="D330" s="11">
        <v>16.264571620016966</v>
      </c>
      <c r="E330" s="11"/>
      <c r="F330" s="12">
        <v>282</v>
      </c>
      <c r="G330" s="12" t="s">
        <v>11</v>
      </c>
      <c r="H330" s="13"/>
      <c r="I330" s="14">
        <v>1.53</v>
      </c>
      <c r="J330" s="14">
        <v>8.3000000000000007</v>
      </c>
      <c r="K330" s="14"/>
      <c r="L330" s="13">
        <v>3.1</v>
      </c>
      <c r="M330" s="13">
        <v>0.3</v>
      </c>
      <c r="P330" s="12" t="s">
        <v>14</v>
      </c>
      <c r="Q330" s="12"/>
      <c r="R330" s="15"/>
      <c r="T330">
        <f t="shared" si="10"/>
        <v>1.53</v>
      </c>
      <c r="U330">
        <f t="shared" si="11"/>
        <v>2.6419720553254629</v>
      </c>
    </row>
    <row r="331" spans="1:21" s="27" customFormat="1">
      <c r="A331" s="9">
        <v>0</v>
      </c>
      <c r="B331" s="12">
        <v>30</v>
      </c>
      <c r="C331" s="11">
        <v>1.0700791983558624</v>
      </c>
      <c r="D331" s="11">
        <v>30.012983097421369</v>
      </c>
      <c r="E331" s="11"/>
      <c r="F331" s="12">
        <v>50</v>
      </c>
      <c r="G331" s="12" t="s">
        <v>13</v>
      </c>
      <c r="H331" s="13"/>
      <c r="I331" s="14">
        <v>1.54</v>
      </c>
      <c r="J331" s="14"/>
      <c r="K331" s="14">
        <v>15.5</v>
      </c>
      <c r="L331" s="13">
        <v>2.2000000000000002</v>
      </c>
      <c r="M331" s="13">
        <v>1.2</v>
      </c>
      <c r="N331"/>
      <c r="O331"/>
      <c r="P331" s="12" t="s">
        <v>14</v>
      </c>
      <c r="Q331" s="12"/>
      <c r="R331" s="12"/>
      <c r="S331"/>
      <c r="T331">
        <f t="shared" si="10"/>
        <v>1.54</v>
      </c>
      <c r="U331">
        <f t="shared" si="11"/>
        <v>15.5</v>
      </c>
    </row>
    <row r="332" spans="1:21">
      <c r="A332" s="12">
        <v>40</v>
      </c>
      <c r="B332" s="12">
        <v>-30</v>
      </c>
      <c r="C332" s="11">
        <v>42.781270294175009</v>
      </c>
      <c r="D332" s="11">
        <v>-25.663879383182479</v>
      </c>
      <c r="E332" s="11"/>
      <c r="F332" s="12">
        <v>680</v>
      </c>
      <c r="G332" s="12" t="s">
        <v>13</v>
      </c>
      <c r="H332" s="13"/>
      <c r="I332" s="14">
        <v>1.54</v>
      </c>
      <c r="J332" s="14"/>
      <c r="K332" s="14">
        <v>17.5</v>
      </c>
      <c r="L332" s="13">
        <v>2.8</v>
      </c>
      <c r="M332" s="13">
        <v>1.1000000000000001</v>
      </c>
      <c r="P332" s="12" t="s">
        <v>14</v>
      </c>
      <c r="Q332" s="12"/>
      <c r="R332" s="12"/>
      <c r="T332">
        <f t="shared" si="10"/>
        <v>1.54</v>
      </c>
      <c r="U332">
        <f t="shared" si="11"/>
        <v>17.5</v>
      </c>
    </row>
    <row r="333" spans="1:21">
      <c r="A333" s="12">
        <v>40</v>
      </c>
      <c r="B333" s="12">
        <v>0</v>
      </c>
      <c r="C333" s="11">
        <v>49.012604403629609</v>
      </c>
      <c r="D333" s="11">
        <v>2.6494992100077894</v>
      </c>
      <c r="E333" s="11"/>
      <c r="F333" s="12">
        <v>276</v>
      </c>
      <c r="G333" s="12" t="s">
        <v>21</v>
      </c>
      <c r="H333" s="13"/>
      <c r="I333" s="14">
        <v>1.55</v>
      </c>
      <c r="J333" s="14">
        <v>8.4</v>
      </c>
      <c r="K333" s="14"/>
      <c r="L333" s="13">
        <v>3.2</v>
      </c>
      <c r="M333" s="13">
        <v>0.7</v>
      </c>
      <c r="P333" s="12" t="s">
        <v>14</v>
      </c>
      <c r="Q333" s="12"/>
      <c r="R333" s="12"/>
      <c r="S333" t="s">
        <v>82</v>
      </c>
      <c r="T333">
        <f t="shared" si="10"/>
        <v>1.55</v>
      </c>
      <c r="U333">
        <f t="shared" si="11"/>
        <v>2.6738030439438418</v>
      </c>
    </row>
    <row r="334" spans="1:21">
      <c r="A334" s="12">
        <v>40</v>
      </c>
      <c r="B334" s="12">
        <v>20</v>
      </c>
      <c r="C334" s="11">
        <v>41.793904923765879</v>
      </c>
      <c r="D334" s="11">
        <v>29.381295574128924</v>
      </c>
      <c r="E334" s="11"/>
      <c r="F334" s="10">
        <v>307</v>
      </c>
      <c r="G334" s="12" t="s">
        <v>13</v>
      </c>
      <c r="H334" s="13"/>
      <c r="I334" s="14">
        <v>1.56</v>
      </c>
      <c r="J334" s="14">
        <v>6.1</v>
      </c>
      <c r="K334" s="14"/>
      <c r="L334" s="13">
        <v>3.9</v>
      </c>
      <c r="M334" s="13">
        <v>1.2</v>
      </c>
      <c r="P334" s="12" t="s">
        <v>14</v>
      </c>
      <c r="Q334" s="12"/>
      <c r="R334" s="12"/>
      <c r="T334">
        <f t="shared" si="10"/>
        <v>1.56</v>
      </c>
      <c r="U334">
        <f t="shared" si="11"/>
        <v>1.941690305721123</v>
      </c>
    </row>
    <row r="335" spans="1:21">
      <c r="A335" s="12">
        <v>30</v>
      </c>
      <c r="B335" s="12">
        <v>-30</v>
      </c>
      <c r="C335" s="11">
        <v>33.53647369957767</v>
      </c>
      <c r="D335" s="11">
        <v>-24.559194421407735</v>
      </c>
      <c r="E335" s="11"/>
      <c r="F335" s="12">
        <v>662</v>
      </c>
      <c r="G335" s="12" t="s">
        <v>11</v>
      </c>
      <c r="H335" s="13"/>
      <c r="I335" s="16">
        <v>1.57</v>
      </c>
      <c r="J335" s="16" t="s">
        <v>70</v>
      </c>
      <c r="K335" s="16"/>
      <c r="L335" s="17">
        <v>5</v>
      </c>
      <c r="M335" s="13">
        <v>0.4</v>
      </c>
      <c r="P335" s="12" t="s">
        <v>14</v>
      </c>
      <c r="Q335" s="12"/>
      <c r="R335" s="12"/>
      <c r="T335">
        <f t="shared" si="10"/>
        <v>1.57</v>
      </c>
      <c r="U335" t="str">
        <f t="shared" si="11"/>
        <v>dead</v>
      </c>
    </row>
    <row r="336" spans="1:21" s="27" customFormat="1">
      <c r="A336" s="12">
        <v>30</v>
      </c>
      <c r="B336" s="12">
        <v>-30</v>
      </c>
      <c r="C336" s="11">
        <v>35.356399276918161</v>
      </c>
      <c r="D336" s="11">
        <v>-28.844466450059642</v>
      </c>
      <c r="E336" s="11"/>
      <c r="F336" s="12">
        <v>674</v>
      </c>
      <c r="G336" s="12" t="s">
        <v>11</v>
      </c>
      <c r="H336" s="13"/>
      <c r="I336" s="14">
        <v>1.57</v>
      </c>
      <c r="J336" s="14"/>
      <c r="K336" s="14">
        <v>29</v>
      </c>
      <c r="L336" s="13">
        <v>2.7</v>
      </c>
      <c r="M336" s="13">
        <v>0.3</v>
      </c>
      <c r="N336"/>
      <c r="O336"/>
      <c r="P336" s="12" t="s">
        <v>14</v>
      </c>
      <c r="Q336" s="12"/>
      <c r="R336" s="12"/>
      <c r="S336" t="s">
        <v>123</v>
      </c>
      <c r="T336">
        <f t="shared" si="10"/>
        <v>1.57</v>
      </c>
      <c r="U336">
        <f t="shared" si="11"/>
        <v>29</v>
      </c>
    </row>
    <row r="337" spans="1:21">
      <c r="A337" s="12">
        <v>50</v>
      </c>
      <c r="B337" s="12">
        <v>-30</v>
      </c>
      <c r="C337" s="11">
        <v>50.215139710240834</v>
      </c>
      <c r="D337" s="11">
        <v>-27.437723206428444</v>
      </c>
      <c r="E337" s="11"/>
      <c r="F337" s="12">
        <v>2010</v>
      </c>
      <c r="G337" s="12" t="s">
        <v>13</v>
      </c>
      <c r="H337" s="13"/>
      <c r="I337" s="14">
        <v>1.57</v>
      </c>
      <c r="J337" s="14">
        <v>44.8</v>
      </c>
      <c r="K337" s="14"/>
      <c r="L337" s="13"/>
      <c r="M337" s="13"/>
      <c r="N337">
        <v>8.5</v>
      </c>
      <c r="O337" t="s">
        <v>70</v>
      </c>
      <c r="P337" s="12"/>
      <c r="Q337" s="12"/>
      <c r="R337" s="12" t="s">
        <v>57</v>
      </c>
      <c r="S337" t="s">
        <v>144</v>
      </c>
      <c r="T337">
        <f t="shared" si="10"/>
        <v>1.57</v>
      </c>
      <c r="U337">
        <f t="shared" si="11"/>
        <v>14.260282901033822</v>
      </c>
    </row>
    <row r="338" spans="1:21">
      <c r="A338" s="12">
        <v>10</v>
      </c>
      <c r="B338" s="12">
        <v>-30</v>
      </c>
      <c r="C338" s="11">
        <v>10.075594505370871</v>
      </c>
      <c r="D338" s="11">
        <v>-21.922856006986763</v>
      </c>
      <c r="E338" s="11"/>
      <c r="F338" s="12">
        <v>614</v>
      </c>
      <c r="G338" s="12" t="s">
        <v>11</v>
      </c>
      <c r="H338" s="13"/>
      <c r="I338" s="14">
        <v>1.59</v>
      </c>
      <c r="J338" s="14" t="s">
        <v>70</v>
      </c>
      <c r="K338" s="14"/>
      <c r="L338" s="13">
        <v>2.2999999999999998</v>
      </c>
      <c r="M338" s="13"/>
      <c r="P338" s="12" t="s">
        <v>12</v>
      </c>
      <c r="Q338" s="12"/>
      <c r="R338" s="12"/>
      <c r="T338">
        <f t="shared" si="10"/>
        <v>1.59</v>
      </c>
      <c r="U338" t="str">
        <f t="shared" si="11"/>
        <v>dead</v>
      </c>
    </row>
    <row r="339" spans="1:21">
      <c r="A339" s="12">
        <v>10</v>
      </c>
      <c r="B339" s="12">
        <v>-30</v>
      </c>
      <c r="C339" s="11">
        <v>20.370058669255478</v>
      </c>
      <c r="D339" s="11">
        <v>-20.100000000000001</v>
      </c>
      <c r="E339" s="11"/>
      <c r="F339" s="10">
        <v>627</v>
      </c>
      <c r="G339" s="12" t="s">
        <v>11</v>
      </c>
      <c r="H339" s="13"/>
      <c r="I339" s="14">
        <v>1.59</v>
      </c>
      <c r="J339" s="14"/>
      <c r="K339" s="14">
        <v>22.4</v>
      </c>
      <c r="L339" s="13">
        <v>2.5</v>
      </c>
      <c r="M339" s="13">
        <v>0.3</v>
      </c>
      <c r="P339" s="12" t="s">
        <v>14</v>
      </c>
      <c r="Q339" s="12"/>
      <c r="R339" s="12"/>
      <c r="S339" t="s">
        <v>112</v>
      </c>
      <c r="T339">
        <f t="shared" si="10"/>
        <v>1.59</v>
      </c>
      <c r="U339">
        <f t="shared" si="11"/>
        <v>22.4</v>
      </c>
    </row>
    <row r="340" spans="1:21">
      <c r="A340" s="12">
        <v>10</v>
      </c>
      <c r="B340" s="12">
        <v>20</v>
      </c>
      <c r="C340" s="11">
        <v>12.785030728212849</v>
      </c>
      <c r="D340" s="11">
        <v>39.991395380979618</v>
      </c>
      <c r="E340" s="11"/>
      <c r="F340" s="10">
        <v>83</v>
      </c>
      <c r="G340" s="12" t="s">
        <v>11</v>
      </c>
      <c r="H340" s="13"/>
      <c r="I340" s="14">
        <v>1.61</v>
      </c>
      <c r="J340" s="14">
        <v>8.6999999999999993</v>
      </c>
      <c r="K340" s="14"/>
      <c r="L340" s="13">
        <v>2.9</v>
      </c>
      <c r="M340" s="13">
        <v>0.4</v>
      </c>
      <c r="P340" s="12" t="s">
        <v>14</v>
      </c>
      <c r="Q340" s="12"/>
      <c r="R340" s="12"/>
      <c r="T340">
        <f t="shared" si="10"/>
        <v>1.61</v>
      </c>
      <c r="U340">
        <f t="shared" si="11"/>
        <v>2.7692960097989787</v>
      </c>
    </row>
    <row r="341" spans="1:21">
      <c r="A341" s="12">
        <v>20</v>
      </c>
      <c r="B341" s="12">
        <v>-20</v>
      </c>
      <c r="C341" s="11">
        <v>26.865716922766467</v>
      </c>
      <c r="D341" s="11">
        <v>-13.642459065946641</v>
      </c>
      <c r="E341" s="11"/>
      <c r="F341" s="10">
        <v>557</v>
      </c>
      <c r="G341" s="12" t="s">
        <v>13</v>
      </c>
      <c r="H341" s="13"/>
      <c r="I341" s="14">
        <v>1.61</v>
      </c>
      <c r="J341" s="14"/>
      <c r="K341" s="14">
        <v>11.2</v>
      </c>
      <c r="L341" s="13">
        <v>0.9</v>
      </c>
      <c r="M341" s="13">
        <v>0</v>
      </c>
      <c r="P341" s="12" t="s">
        <v>14</v>
      </c>
      <c r="Q341" s="12"/>
      <c r="R341" s="12" t="s">
        <v>42</v>
      </c>
      <c r="S341" t="s">
        <v>99</v>
      </c>
      <c r="T341">
        <f t="shared" si="10"/>
        <v>1.61</v>
      </c>
      <c r="U341">
        <f t="shared" si="11"/>
        <v>11.2</v>
      </c>
    </row>
    <row r="342" spans="1:21" s="27" customFormat="1">
      <c r="A342" s="12">
        <v>40</v>
      </c>
      <c r="B342" s="12">
        <v>10</v>
      </c>
      <c r="C342" s="11">
        <v>42.95207783888543</v>
      </c>
      <c r="D342" s="11">
        <v>10.555182391625927</v>
      </c>
      <c r="E342" s="11"/>
      <c r="F342" s="10">
        <v>279</v>
      </c>
      <c r="G342" s="12" t="s">
        <v>21</v>
      </c>
      <c r="H342" s="13"/>
      <c r="I342" s="14">
        <v>1.63</v>
      </c>
      <c r="J342" s="14">
        <v>8.3000000000000007</v>
      </c>
      <c r="K342" s="14"/>
      <c r="L342" s="13">
        <v>3.2</v>
      </c>
      <c r="M342" s="13">
        <v>0.7</v>
      </c>
      <c r="N342"/>
      <c r="O342"/>
      <c r="P342" s="12" t="s">
        <v>14</v>
      </c>
      <c r="Q342" s="12"/>
      <c r="R342" s="12"/>
      <c r="S342"/>
      <c r="T342">
        <f t="shared" si="10"/>
        <v>1.63</v>
      </c>
      <c r="U342">
        <f t="shared" si="11"/>
        <v>2.6419720553254629</v>
      </c>
    </row>
    <row r="343" spans="1:21">
      <c r="A343" s="12">
        <v>40</v>
      </c>
      <c r="B343" s="12">
        <v>40</v>
      </c>
      <c r="C343" s="11">
        <v>49.266331268088543</v>
      </c>
      <c r="D343" s="11">
        <v>42.28511054258113</v>
      </c>
      <c r="E343" s="11"/>
      <c r="F343" s="12">
        <v>350</v>
      </c>
      <c r="G343" s="12" t="s">
        <v>13</v>
      </c>
      <c r="H343" s="13"/>
      <c r="I343" s="14">
        <v>1.63</v>
      </c>
      <c r="J343" s="14"/>
      <c r="K343" s="14">
        <v>16.8</v>
      </c>
      <c r="L343" s="13">
        <v>3.4</v>
      </c>
      <c r="M343" s="13">
        <v>2.1</v>
      </c>
      <c r="P343" s="12" t="s">
        <v>14</v>
      </c>
      <c r="Q343" s="12"/>
      <c r="R343" s="12"/>
      <c r="T343">
        <f t="shared" si="10"/>
        <v>1.63</v>
      </c>
      <c r="U343">
        <f t="shared" si="11"/>
        <v>16.8</v>
      </c>
    </row>
    <row r="344" spans="1:21">
      <c r="A344" s="9">
        <v>0</v>
      </c>
      <c r="B344" s="12">
        <v>40</v>
      </c>
      <c r="C344" s="11">
        <v>8.1404010585722872</v>
      </c>
      <c r="D344" s="11">
        <v>40.771855251893008</v>
      </c>
      <c r="E344" s="11"/>
      <c r="F344" s="12">
        <v>62</v>
      </c>
      <c r="G344" s="12" t="s">
        <v>11</v>
      </c>
      <c r="H344" s="13"/>
      <c r="I344" s="14">
        <v>1.64</v>
      </c>
      <c r="J344" s="14" t="s">
        <v>70</v>
      </c>
      <c r="K344" s="14"/>
      <c r="L344" s="13">
        <v>2.5</v>
      </c>
      <c r="M344" s="13">
        <v>0.2</v>
      </c>
      <c r="P344" s="12" t="s">
        <v>14</v>
      </c>
      <c r="Q344" s="12"/>
      <c r="R344" s="12"/>
      <c r="T344">
        <f t="shared" si="10"/>
        <v>1.64</v>
      </c>
      <c r="U344" t="str">
        <f t="shared" si="11"/>
        <v>dead</v>
      </c>
    </row>
    <row r="345" spans="1:21">
      <c r="A345" s="12">
        <v>0</v>
      </c>
      <c r="B345" s="12">
        <v>-30</v>
      </c>
      <c r="C345" s="11">
        <v>9.9566634226198119</v>
      </c>
      <c r="D345" s="11">
        <v>-21.057995003103628</v>
      </c>
      <c r="E345" s="11"/>
      <c r="F345" s="12">
        <v>612</v>
      </c>
      <c r="G345" s="12" t="s">
        <v>11</v>
      </c>
      <c r="H345" s="13"/>
      <c r="I345" s="14">
        <v>1.64</v>
      </c>
      <c r="J345" s="14"/>
      <c r="K345" s="14">
        <v>22.2</v>
      </c>
      <c r="L345" s="13">
        <v>3</v>
      </c>
      <c r="M345" s="13">
        <v>0.4</v>
      </c>
      <c r="P345" s="12" t="s">
        <v>14</v>
      </c>
      <c r="Q345" s="12"/>
      <c r="R345" s="12"/>
      <c r="S345" t="s">
        <v>108</v>
      </c>
      <c r="T345">
        <f t="shared" si="10"/>
        <v>1.64</v>
      </c>
      <c r="U345">
        <f t="shared" si="11"/>
        <v>22.2</v>
      </c>
    </row>
    <row r="346" spans="1:21">
      <c r="A346" s="12">
        <v>10</v>
      </c>
      <c r="B346" s="12">
        <v>30</v>
      </c>
      <c r="C346" s="11">
        <v>17.517240329533635</v>
      </c>
      <c r="D346" s="11">
        <v>31.159712865363531</v>
      </c>
      <c r="E346" s="11"/>
      <c r="F346" s="10">
        <v>87</v>
      </c>
      <c r="G346" s="12" t="s">
        <v>11</v>
      </c>
      <c r="H346" s="13"/>
      <c r="I346" s="14">
        <v>1.67</v>
      </c>
      <c r="J346" s="14">
        <v>9.8000000000000007</v>
      </c>
      <c r="K346" s="14"/>
      <c r="L346" s="13">
        <v>2.5</v>
      </c>
      <c r="M346" s="13">
        <v>0.2</v>
      </c>
      <c r="P346" s="12" t="s">
        <v>14</v>
      </c>
      <c r="Q346" s="12"/>
      <c r="R346" s="12"/>
      <c r="T346">
        <f t="shared" si="10"/>
        <v>1.67</v>
      </c>
      <c r="U346">
        <f t="shared" si="11"/>
        <v>3.1194368846011491</v>
      </c>
    </row>
    <row r="347" spans="1:21">
      <c r="A347" s="12">
        <v>30</v>
      </c>
      <c r="B347" s="12">
        <v>-10</v>
      </c>
      <c r="C347" s="11">
        <v>38.887856973840393</v>
      </c>
      <c r="D347" s="11">
        <v>-4.1141493487037444</v>
      </c>
      <c r="E347" s="11"/>
      <c r="F347" s="10">
        <v>441</v>
      </c>
      <c r="G347" s="12" t="s">
        <v>13</v>
      </c>
      <c r="H347" s="13"/>
      <c r="I347" s="14">
        <v>1.68</v>
      </c>
      <c r="J347" s="14" t="s">
        <v>70</v>
      </c>
      <c r="K347" s="14"/>
      <c r="L347" s="13">
        <v>1.6</v>
      </c>
      <c r="M347" s="13">
        <v>1.3</v>
      </c>
      <c r="P347" s="12" t="s">
        <v>14</v>
      </c>
      <c r="Q347" s="12"/>
      <c r="R347" s="12"/>
      <c r="T347">
        <f t="shared" si="10"/>
        <v>1.68</v>
      </c>
      <c r="U347" t="str">
        <f t="shared" si="11"/>
        <v>dead</v>
      </c>
    </row>
    <row r="348" spans="1:21">
      <c r="A348" s="9">
        <v>0</v>
      </c>
      <c r="B348" s="9">
        <v>0</v>
      </c>
      <c r="C348" s="11">
        <v>4.4428325442296615</v>
      </c>
      <c r="D348" s="11">
        <v>8.5628187767275055</v>
      </c>
      <c r="E348" s="11"/>
      <c r="F348" s="10">
        <v>5</v>
      </c>
      <c r="G348" s="12" t="s">
        <v>13</v>
      </c>
      <c r="H348" s="13"/>
      <c r="I348" s="14">
        <v>1.69</v>
      </c>
      <c r="J348" s="14"/>
      <c r="K348" s="14">
        <v>19.2</v>
      </c>
      <c r="L348" s="13">
        <v>3.6</v>
      </c>
      <c r="M348" s="13">
        <v>0.9</v>
      </c>
      <c r="P348" s="12" t="s">
        <v>14</v>
      </c>
      <c r="Q348" s="12"/>
      <c r="R348" s="12" t="s">
        <v>71</v>
      </c>
      <c r="T348">
        <f t="shared" si="10"/>
        <v>1.69</v>
      </c>
      <c r="U348">
        <f t="shared" si="11"/>
        <v>19.2</v>
      </c>
    </row>
    <row r="349" spans="1:21">
      <c r="A349" s="12">
        <v>20</v>
      </c>
      <c r="B349" s="12">
        <v>30</v>
      </c>
      <c r="C349" s="11">
        <v>20.605733397222572</v>
      </c>
      <c r="D349" s="11">
        <v>34.513335525887406</v>
      </c>
      <c r="E349" s="11"/>
      <c r="F349" s="12">
        <v>180</v>
      </c>
      <c r="G349" s="12" t="s">
        <v>13</v>
      </c>
      <c r="H349" s="13"/>
      <c r="I349" s="14">
        <v>1.69</v>
      </c>
      <c r="J349" s="14">
        <v>6.7</v>
      </c>
      <c r="K349" s="14"/>
      <c r="L349" s="13">
        <v>2.7</v>
      </c>
      <c r="M349" s="13">
        <v>0.8</v>
      </c>
      <c r="P349" s="12" t="s">
        <v>14</v>
      </c>
      <c r="Q349" s="12"/>
      <c r="R349" s="12"/>
      <c r="T349">
        <f t="shared" si="10"/>
        <v>1.69</v>
      </c>
      <c r="U349">
        <f t="shared" si="11"/>
        <v>2.1326762374313977</v>
      </c>
    </row>
    <row r="350" spans="1:21">
      <c r="A350" s="12">
        <v>20</v>
      </c>
      <c r="B350" s="12">
        <v>-30</v>
      </c>
      <c r="C350" s="11">
        <v>25.63549269867908</v>
      </c>
      <c r="D350" s="11">
        <v>-22.899771718035126</v>
      </c>
      <c r="E350" s="11"/>
      <c r="F350" s="12">
        <v>636</v>
      </c>
      <c r="G350" s="12" t="s">
        <v>21</v>
      </c>
      <c r="H350" s="13"/>
      <c r="I350" s="14">
        <v>1.69</v>
      </c>
      <c r="J350" s="14">
        <v>23.5</v>
      </c>
      <c r="K350" s="14"/>
      <c r="L350" s="13">
        <v>3.7</v>
      </c>
      <c r="M350" s="13">
        <v>0.9</v>
      </c>
      <c r="P350" s="12" t="s">
        <v>14</v>
      </c>
      <c r="Q350" s="12"/>
      <c r="R350" s="12" t="s">
        <v>45</v>
      </c>
      <c r="S350" t="s">
        <v>113</v>
      </c>
      <c r="T350">
        <f t="shared" si="10"/>
        <v>1.69</v>
      </c>
      <c r="U350">
        <f t="shared" si="11"/>
        <v>7.4802823253190809</v>
      </c>
    </row>
    <row r="351" spans="1:21">
      <c r="A351" s="12">
        <v>20</v>
      </c>
      <c r="B351" s="12">
        <v>-30</v>
      </c>
      <c r="C351" s="11">
        <v>25.63549269867908</v>
      </c>
      <c r="D351" s="11">
        <v>-22.899771718035126</v>
      </c>
      <c r="E351" s="11"/>
      <c r="F351" s="10">
        <v>637</v>
      </c>
      <c r="G351" s="12" t="s">
        <v>21</v>
      </c>
      <c r="H351" s="13"/>
      <c r="I351" s="14">
        <v>1.69</v>
      </c>
      <c r="J351" s="14">
        <v>21.9</v>
      </c>
      <c r="K351" s="14"/>
      <c r="L351" s="13">
        <v>3.4</v>
      </c>
      <c r="M351" s="13">
        <v>1.1000000000000001</v>
      </c>
      <c r="P351" s="12" t="s">
        <v>14</v>
      </c>
      <c r="Q351" s="12"/>
      <c r="R351" s="12"/>
      <c r="S351" t="s">
        <v>114</v>
      </c>
      <c r="T351">
        <f t="shared" si="10"/>
        <v>1.69</v>
      </c>
      <c r="U351">
        <f t="shared" si="11"/>
        <v>6.9709865074250157</v>
      </c>
    </row>
    <row r="352" spans="1:21">
      <c r="A352" s="12">
        <v>10</v>
      </c>
      <c r="B352" s="12">
        <v>10</v>
      </c>
      <c r="C352" s="11">
        <v>17.062022304305565</v>
      </c>
      <c r="D352" s="11">
        <v>15.739149847624711</v>
      </c>
      <c r="E352" s="11"/>
      <c r="F352" s="12">
        <v>106</v>
      </c>
      <c r="G352" s="12" t="s">
        <v>21</v>
      </c>
      <c r="H352" s="13"/>
      <c r="I352" s="14">
        <v>1.7</v>
      </c>
      <c r="J352" s="14"/>
      <c r="K352" s="14">
        <v>23.5</v>
      </c>
      <c r="L352" s="13">
        <v>2.8</v>
      </c>
      <c r="M352" s="13">
        <v>0.5</v>
      </c>
      <c r="P352" s="12" t="s">
        <v>14</v>
      </c>
      <c r="Q352" s="12"/>
      <c r="R352" s="12"/>
      <c r="T352">
        <f t="shared" si="10"/>
        <v>1.7</v>
      </c>
      <c r="U352">
        <f t="shared" si="11"/>
        <v>23.5</v>
      </c>
    </row>
    <row r="353" spans="1:21">
      <c r="A353" s="12">
        <v>30</v>
      </c>
      <c r="B353" s="12">
        <v>-10</v>
      </c>
      <c r="C353" s="11">
        <v>38.84947872844365</v>
      </c>
      <c r="D353" s="11">
        <v>-3.9687562805258523</v>
      </c>
      <c r="E353" s="11"/>
      <c r="F353" s="12">
        <v>440</v>
      </c>
      <c r="G353" s="12" t="s">
        <v>13</v>
      </c>
      <c r="H353" s="13"/>
      <c r="I353" s="14">
        <v>1.73</v>
      </c>
      <c r="J353" s="14"/>
      <c r="K353" s="14">
        <v>19.3</v>
      </c>
      <c r="L353" s="13">
        <v>3</v>
      </c>
      <c r="M353" s="13">
        <v>1.3</v>
      </c>
      <c r="P353" s="12" t="s">
        <v>14</v>
      </c>
      <c r="Q353" s="12"/>
      <c r="R353" s="12"/>
      <c r="T353">
        <f t="shared" si="10"/>
        <v>1.73</v>
      </c>
      <c r="U353">
        <f t="shared" si="11"/>
        <v>19.3</v>
      </c>
    </row>
    <row r="354" spans="1:21">
      <c r="A354" s="9">
        <v>0</v>
      </c>
      <c r="B354" s="12">
        <v>20</v>
      </c>
      <c r="C354" s="11">
        <v>2.0869868475753837</v>
      </c>
      <c r="D354" s="11">
        <v>29.185906917558405</v>
      </c>
      <c r="E354" s="11"/>
      <c r="F354" s="12">
        <v>46</v>
      </c>
      <c r="G354" s="12" t="s">
        <v>11</v>
      </c>
      <c r="H354" s="13"/>
      <c r="I354" s="14">
        <v>1.74</v>
      </c>
      <c r="J354" s="14" t="s">
        <v>70</v>
      </c>
      <c r="K354" s="14"/>
      <c r="L354" s="13">
        <v>3.8</v>
      </c>
      <c r="M354" s="13"/>
      <c r="P354" s="12" t="s">
        <v>12</v>
      </c>
      <c r="Q354" s="12"/>
      <c r="R354" s="12" t="s">
        <v>17</v>
      </c>
      <c r="T354">
        <f t="shared" si="10"/>
        <v>1.74</v>
      </c>
      <c r="U354" t="str">
        <f t="shared" si="11"/>
        <v>dead</v>
      </c>
    </row>
    <row r="355" spans="1:21">
      <c r="A355" s="9">
        <v>0</v>
      </c>
      <c r="B355" s="12">
        <v>30</v>
      </c>
      <c r="C355" s="11">
        <v>4.2100548133568347</v>
      </c>
      <c r="D355" s="11">
        <v>38.681486516563155</v>
      </c>
      <c r="E355" s="11"/>
      <c r="F355" s="12">
        <v>56</v>
      </c>
      <c r="G355" s="12" t="s">
        <v>11</v>
      </c>
      <c r="H355" s="13"/>
      <c r="I355" s="14">
        <v>1.74</v>
      </c>
      <c r="J355" s="14" t="s">
        <v>70</v>
      </c>
      <c r="K355" s="14"/>
      <c r="L355" s="13">
        <v>2.1</v>
      </c>
      <c r="M355" s="13"/>
      <c r="P355" s="12" t="s">
        <v>12</v>
      </c>
      <c r="Q355" s="12"/>
      <c r="R355" s="12"/>
      <c r="S355" t="s">
        <v>78</v>
      </c>
      <c r="T355">
        <f t="shared" si="10"/>
        <v>1.74</v>
      </c>
      <c r="U355" t="str">
        <f t="shared" si="11"/>
        <v>dead</v>
      </c>
    </row>
    <row r="356" spans="1:21">
      <c r="A356" s="9">
        <v>0</v>
      </c>
      <c r="B356" s="12">
        <v>10</v>
      </c>
      <c r="C356" s="11">
        <v>6.59703322326639</v>
      </c>
      <c r="D356" s="11">
        <v>17.789083201279034</v>
      </c>
      <c r="E356" s="11"/>
      <c r="F356" s="12">
        <v>24</v>
      </c>
      <c r="G356" s="12" t="s">
        <v>13</v>
      </c>
      <c r="H356" s="13"/>
      <c r="I356" s="14">
        <v>1.76</v>
      </c>
      <c r="J356" s="14">
        <v>6</v>
      </c>
      <c r="K356" s="14"/>
      <c r="L356" s="13">
        <v>3.1</v>
      </c>
      <c r="M356" s="13">
        <v>1.1000000000000001</v>
      </c>
      <c r="P356" s="12" t="s">
        <v>14</v>
      </c>
      <c r="Q356" s="12"/>
      <c r="R356" s="12"/>
      <c r="T356">
        <f t="shared" si="10"/>
        <v>1.76</v>
      </c>
      <c r="U356">
        <f t="shared" si="11"/>
        <v>1.909859317102744</v>
      </c>
    </row>
    <row r="357" spans="1:21">
      <c r="A357" s="12">
        <v>40</v>
      </c>
      <c r="B357" s="12">
        <v>0</v>
      </c>
      <c r="C357" s="11">
        <v>48.235042680231857</v>
      </c>
      <c r="D357" s="11">
        <v>2.3206984656962657</v>
      </c>
      <c r="E357" s="11"/>
      <c r="F357" s="12">
        <v>274</v>
      </c>
      <c r="G357" s="12" t="s">
        <v>11</v>
      </c>
      <c r="H357" s="13"/>
      <c r="I357" s="14">
        <v>1.79</v>
      </c>
      <c r="J357" s="14">
        <v>9.6999999999999993</v>
      </c>
      <c r="K357" s="14"/>
      <c r="L357" s="13">
        <v>2.9</v>
      </c>
      <c r="M357" s="13">
        <v>0.2</v>
      </c>
      <c r="P357" s="12" t="s">
        <v>14</v>
      </c>
      <c r="Q357" s="12"/>
      <c r="R357" s="12"/>
      <c r="T357">
        <f t="shared" si="10"/>
        <v>1.79</v>
      </c>
      <c r="U357">
        <f t="shared" si="11"/>
        <v>3.0876058959827692</v>
      </c>
    </row>
    <row r="358" spans="1:21">
      <c r="A358" s="12">
        <v>40</v>
      </c>
      <c r="B358" s="12">
        <v>20</v>
      </c>
      <c r="C358" s="11">
        <v>42.210517931122659</v>
      </c>
      <c r="D358" s="11">
        <v>29.301921944078657</v>
      </c>
      <c r="E358" s="11"/>
      <c r="F358" s="12">
        <v>294</v>
      </c>
      <c r="G358" s="12" t="s">
        <v>13</v>
      </c>
      <c r="H358" s="13"/>
      <c r="I358" s="14">
        <v>1.8</v>
      </c>
      <c r="J358" s="14"/>
      <c r="K358" s="14">
        <v>18.3</v>
      </c>
      <c r="L358" s="13">
        <v>3.5</v>
      </c>
      <c r="M358" s="13">
        <v>2.1</v>
      </c>
      <c r="P358" s="12" t="s">
        <v>14</v>
      </c>
      <c r="Q358" s="12"/>
      <c r="R358" s="12"/>
      <c r="T358">
        <f t="shared" si="10"/>
        <v>1.8</v>
      </c>
      <c r="U358">
        <f t="shared" si="11"/>
        <v>18.3</v>
      </c>
    </row>
    <row r="359" spans="1:21">
      <c r="A359" s="12">
        <v>40</v>
      </c>
      <c r="B359" s="12">
        <v>-20</v>
      </c>
      <c r="C359" s="11">
        <v>49.439942488289539</v>
      </c>
      <c r="D359" s="11">
        <v>-10.032951749359711</v>
      </c>
      <c r="E359" s="11"/>
      <c r="F359" s="10">
        <v>503</v>
      </c>
      <c r="G359" s="12" t="s">
        <v>13</v>
      </c>
      <c r="H359" s="13"/>
      <c r="I359" s="14">
        <v>1.8</v>
      </c>
      <c r="J359" s="14"/>
      <c r="K359" s="14">
        <v>24</v>
      </c>
      <c r="L359" s="13">
        <v>3.7</v>
      </c>
      <c r="M359" s="13">
        <v>1.3</v>
      </c>
      <c r="P359" s="12" t="s">
        <v>14</v>
      </c>
      <c r="Q359" s="12"/>
      <c r="R359" s="12"/>
      <c r="T359">
        <f t="shared" si="10"/>
        <v>1.8</v>
      </c>
      <c r="U359">
        <f t="shared" si="11"/>
        <v>24</v>
      </c>
    </row>
    <row r="360" spans="1:21">
      <c r="A360" s="12">
        <v>40</v>
      </c>
      <c r="B360" s="12">
        <v>30</v>
      </c>
      <c r="C360" s="11">
        <v>49.643761131667816</v>
      </c>
      <c r="D360" s="11">
        <v>30.726840135709438</v>
      </c>
      <c r="E360" s="11"/>
      <c r="F360" s="10">
        <v>329</v>
      </c>
      <c r="G360" s="12" t="s">
        <v>30</v>
      </c>
      <c r="H360" s="13"/>
      <c r="I360" s="14">
        <v>1.81</v>
      </c>
      <c r="J360" s="14">
        <v>7.6</v>
      </c>
      <c r="K360" s="14"/>
      <c r="L360" s="13">
        <v>3.3</v>
      </c>
      <c r="M360" s="13">
        <v>1.1000000000000001</v>
      </c>
      <c r="P360" s="12" t="s">
        <v>14</v>
      </c>
      <c r="Q360" s="12"/>
      <c r="R360" s="12"/>
      <c r="T360">
        <f t="shared" si="10"/>
        <v>1.81</v>
      </c>
      <c r="U360">
        <f t="shared" si="11"/>
        <v>2.4191551349968092</v>
      </c>
    </row>
    <row r="361" spans="1:21">
      <c r="A361" s="9">
        <v>0</v>
      </c>
      <c r="B361" s="12">
        <v>20</v>
      </c>
      <c r="C361" s="11">
        <v>8.3029446827353137</v>
      </c>
      <c r="D361" s="11">
        <v>22.162755093725913</v>
      </c>
      <c r="E361" s="11"/>
      <c r="F361" s="12">
        <v>30</v>
      </c>
      <c r="G361" s="12" t="s">
        <v>13</v>
      </c>
      <c r="H361" s="13"/>
      <c r="I361" s="14">
        <v>1.82</v>
      </c>
      <c r="J361" s="14">
        <v>8.5</v>
      </c>
      <c r="K361" s="14"/>
      <c r="L361" s="13">
        <v>3.8</v>
      </c>
      <c r="M361" s="13">
        <v>0.8</v>
      </c>
      <c r="P361" s="12" t="s">
        <v>14</v>
      </c>
      <c r="Q361" s="12"/>
      <c r="R361" s="12"/>
      <c r="T361">
        <f t="shared" si="10"/>
        <v>1.82</v>
      </c>
      <c r="U361">
        <f t="shared" si="11"/>
        <v>2.7056340325622208</v>
      </c>
    </row>
    <row r="362" spans="1:21">
      <c r="A362" s="9">
        <v>0</v>
      </c>
      <c r="B362" s="9">
        <v>0</v>
      </c>
      <c r="C362" s="11">
        <v>4.3074786275277868</v>
      </c>
      <c r="D362" s="11">
        <v>9.0576091978658386</v>
      </c>
      <c r="E362" s="11"/>
      <c r="F362" s="10">
        <v>7</v>
      </c>
      <c r="G362" s="12" t="s">
        <v>13</v>
      </c>
      <c r="H362" s="13"/>
      <c r="I362" s="14">
        <v>1.83</v>
      </c>
      <c r="J362" s="14">
        <v>7.4</v>
      </c>
      <c r="K362" s="14"/>
      <c r="L362" s="13">
        <v>3.5</v>
      </c>
      <c r="M362" s="13">
        <v>1.5</v>
      </c>
      <c r="P362" s="12" t="s">
        <v>14</v>
      </c>
      <c r="Q362" s="12"/>
      <c r="R362" s="12"/>
      <c r="T362">
        <f t="shared" si="10"/>
        <v>1.83</v>
      </c>
      <c r="U362">
        <f t="shared" si="11"/>
        <v>2.3554931577600513</v>
      </c>
    </row>
    <row r="363" spans="1:21">
      <c r="A363" s="9">
        <v>0</v>
      </c>
      <c r="B363" s="12">
        <v>20</v>
      </c>
      <c r="C363" s="11">
        <v>7.1383060376698781E-2</v>
      </c>
      <c r="D363" s="11">
        <v>28.179688530664919</v>
      </c>
      <c r="E363" s="11"/>
      <c r="F363" s="10">
        <v>49</v>
      </c>
      <c r="G363" s="12" t="s">
        <v>11</v>
      </c>
      <c r="H363" s="13"/>
      <c r="I363" s="14">
        <v>1.83</v>
      </c>
      <c r="J363" s="14" t="s">
        <v>70</v>
      </c>
      <c r="K363" s="14"/>
      <c r="L363" s="13">
        <v>2.9</v>
      </c>
      <c r="M363" s="13"/>
      <c r="P363" s="12" t="s">
        <v>12</v>
      </c>
      <c r="Q363" s="12"/>
      <c r="R363" s="12"/>
      <c r="T363">
        <f t="shared" si="10"/>
        <v>1.83</v>
      </c>
      <c r="U363" t="str">
        <f t="shared" si="11"/>
        <v>dead</v>
      </c>
    </row>
    <row r="364" spans="1:21">
      <c r="A364" s="12">
        <v>40</v>
      </c>
      <c r="B364" s="12">
        <v>0</v>
      </c>
      <c r="C364" s="11">
        <v>40.795535078290051</v>
      </c>
      <c r="D364" s="11">
        <v>5.0333085520429153</v>
      </c>
      <c r="E364" s="11"/>
      <c r="F364" s="10">
        <v>261</v>
      </c>
      <c r="G364" s="12" t="s">
        <v>13</v>
      </c>
      <c r="H364" s="13"/>
      <c r="I364" s="14">
        <v>1.84</v>
      </c>
      <c r="J364" s="14"/>
      <c r="K364" s="14">
        <v>19.5</v>
      </c>
      <c r="L364" s="13">
        <v>2</v>
      </c>
      <c r="M364" s="13">
        <v>1.5</v>
      </c>
      <c r="P364" s="12" t="s">
        <v>14</v>
      </c>
      <c r="Q364" s="12"/>
      <c r="R364" s="12"/>
      <c r="T364">
        <f t="shared" si="10"/>
        <v>1.84</v>
      </c>
      <c r="U364">
        <f t="shared" si="11"/>
        <v>19.5</v>
      </c>
    </row>
    <row r="365" spans="1:21">
      <c r="A365" s="12">
        <v>40</v>
      </c>
      <c r="B365" s="12">
        <v>20</v>
      </c>
      <c r="C365" s="11">
        <v>41.955044382048811</v>
      </c>
      <c r="D365" s="11">
        <v>29.612102466330828</v>
      </c>
      <c r="E365" s="11"/>
      <c r="F365" s="12">
        <v>312</v>
      </c>
      <c r="G365" s="12" t="s">
        <v>13</v>
      </c>
      <c r="H365" s="13"/>
      <c r="I365" s="14">
        <v>1.84</v>
      </c>
      <c r="J365" s="14"/>
      <c r="K365" s="14">
        <v>18.600000000000001</v>
      </c>
      <c r="L365" s="13">
        <v>3</v>
      </c>
      <c r="M365" s="13">
        <v>2.1</v>
      </c>
      <c r="P365" s="12" t="s">
        <v>14</v>
      </c>
      <c r="Q365" s="12"/>
      <c r="R365" s="12"/>
      <c r="T365">
        <f t="shared" si="10"/>
        <v>1.84</v>
      </c>
      <c r="U365">
        <f t="shared" si="11"/>
        <v>18.600000000000001</v>
      </c>
    </row>
    <row r="366" spans="1:21">
      <c r="A366" s="12">
        <v>20</v>
      </c>
      <c r="B366" s="12">
        <v>-20</v>
      </c>
      <c r="C366" s="11">
        <v>27.296469722438403</v>
      </c>
      <c r="D366" s="11">
        <v>-13.073307418250858</v>
      </c>
      <c r="E366" s="11"/>
      <c r="F366" s="12">
        <v>542</v>
      </c>
      <c r="G366" s="12" t="s">
        <v>13</v>
      </c>
      <c r="H366" s="13"/>
      <c r="I366" s="14">
        <v>1.84</v>
      </c>
      <c r="J366" s="14" t="s">
        <v>70</v>
      </c>
      <c r="K366" s="14"/>
      <c r="L366" s="13">
        <v>2.5</v>
      </c>
      <c r="M366" s="13"/>
      <c r="P366" s="12" t="s">
        <v>12</v>
      </c>
      <c r="Q366" s="12"/>
      <c r="R366" s="12"/>
      <c r="T366">
        <f t="shared" si="10"/>
        <v>1.84</v>
      </c>
      <c r="U366" t="str">
        <f t="shared" si="11"/>
        <v>dead</v>
      </c>
    </row>
    <row r="367" spans="1:21">
      <c r="A367" s="12">
        <v>10</v>
      </c>
      <c r="B367" s="12">
        <v>-30</v>
      </c>
      <c r="C367" s="11">
        <v>15.238000848139492</v>
      </c>
      <c r="D367" s="11">
        <v>-22.295516668774031</v>
      </c>
      <c r="E367" s="11"/>
      <c r="F367" s="10">
        <v>621</v>
      </c>
      <c r="G367" s="12" t="s">
        <v>11</v>
      </c>
      <c r="H367" s="13"/>
      <c r="I367" s="14">
        <v>1.84</v>
      </c>
      <c r="J367" s="14">
        <v>9.5</v>
      </c>
      <c r="K367" s="14"/>
      <c r="L367" s="13">
        <v>2.8</v>
      </c>
      <c r="M367" s="13">
        <v>0.2</v>
      </c>
      <c r="P367" s="12" t="s">
        <v>14</v>
      </c>
      <c r="Q367" s="12"/>
      <c r="R367" s="12"/>
      <c r="S367" t="s">
        <v>110</v>
      </c>
      <c r="T367">
        <f t="shared" si="10"/>
        <v>1.84</v>
      </c>
      <c r="U367">
        <f t="shared" si="11"/>
        <v>3.0239439187460113</v>
      </c>
    </row>
    <row r="368" spans="1:21">
      <c r="A368" s="12">
        <v>10</v>
      </c>
      <c r="B368" s="12">
        <v>40</v>
      </c>
      <c r="C368" s="11">
        <v>17.19336699698033</v>
      </c>
      <c r="D368" s="11">
        <v>46.911903586303907</v>
      </c>
      <c r="E368" s="11"/>
      <c r="F368" s="12">
        <v>78</v>
      </c>
      <c r="G368" s="12" t="s">
        <v>11</v>
      </c>
      <c r="H368" s="13"/>
      <c r="I368" s="14">
        <v>1.86</v>
      </c>
      <c r="J368" s="14" t="s">
        <v>79</v>
      </c>
      <c r="K368" s="14"/>
      <c r="L368" s="13">
        <v>2.5</v>
      </c>
      <c r="M368" s="13"/>
      <c r="P368" s="12" t="s">
        <v>12</v>
      </c>
      <c r="Q368" s="12"/>
      <c r="R368" s="12"/>
      <c r="T368">
        <f t="shared" si="10"/>
        <v>1.86</v>
      </c>
      <c r="U368" t="str">
        <f t="shared" si="11"/>
        <v>dead</v>
      </c>
    </row>
    <row r="369" spans="1:21">
      <c r="A369" s="12">
        <v>10</v>
      </c>
      <c r="B369" s="12">
        <v>20</v>
      </c>
      <c r="C369" s="11">
        <v>19.014335911764277</v>
      </c>
      <c r="D369" s="11">
        <v>28.505523489744252</v>
      </c>
      <c r="E369" s="11"/>
      <c r="F369" s="12">
        <v>90</v>
      </c>
      <c r="G369" s="12" t="s">
        <v>13</v>
      </c>
      <c r="H369" s="13"/>
      <c r="I369" s="14">
        <v>1.86</v>
      </c>
      <c r="J369" s="14"/>
      <c r="K369" s="14">
        <v>20.7</v>
      </c>
      <c r="L369" s="13">
        <v>2.6</v>
      </c>
      <c r="M369" s="13">
        <v>1.3</v>
      </c>
      <c r="P369" s="12" t="s">
        <v>14</v>
      </c>
      <c r="Q369" s="12"/>
      <c r="R369" s="12"/>
      <c r="T369">
        <f t="shared" si="10"/>
        <v>1.86</v>
      </c>
      <c r="U369">
        <f t="shared" si="11"/>
        <v>20.7</v>
      </c>
    </row>
    <row r="370" spans="1:21">
      <c r="A370" s="12">
        <v>10</v>
      </c>
      <c r="B370" s="12">
        <v>20</v>
      </c>
      <c r="C370" s="11">
        <v>19.166810907643413</v>
      </c>
      <c r="D370" s="11">
        <v>28.65414696146544</v>
      </c>
      <c r="E370" s="11"/>
      <c r="F370" s="10">
        <v>89</v>
      </c>
      <c r="G370" s="12" t="s">
        <v>13</v>
      </c>
      <c r="H370" s="13"/>
      <c r="I370" s="14">
        <v>1.87</v>
      </c>
      <c r="J370" s="14"/>
      <c r="K370" s="14">
        <v>22.1</v>
      </c>
      <c r="L370" s="13">
        <v>2.8</v>
      </c>
      <c r="M370" s="13">
        <v>0.7</v>
      </c>
      <c r="P370" s="12" t="s">
        <v>14</v>
      </c>
      <c r="Q370" s="12"/>
      <c r="R370" s="12"/>
      <c r="T370">
        <f t="shared" si="10"/>
        <v>1.87</v>
      </c>
      <c r="U370">
        <f t="shared" si="11"/>
        <v>22.1</v>
      </c>
    </row>
    <row r="371" spans="1:21">
      <c r="A371" s="12">
        <v>40</v>
      </c>
      <c r="B371" s="12">
        <v>40</v>
      </c>
      <c r="C371" s="11">
        <v>41.956430674594081</v>
      </c>
      <c r="D371" s="11">
        <v>49.384593358659124</v>
      </c>
      <c r="E371" s="11"/>
      <c r="F371" s="10">
        <v>367</v>
      </c>
      <c r="G371" s="12" t="s">
        <v>13</v>
      </c>
      <c r="H371" s="13"/>
      <c r="I371" s="14">
        <v>1.88</v>
      </c>
      <c r="J371" s="14">
        <v>6.8</v>
      </c>
      <c r="K371" s="14"/>
      <c r="L371" s="13">
        <v>4</v>
      </c>
      <c r="M371" s="13">
        <v>1.5</v>
      </c>
      <c r="P371" s="12" t="s">
        <v>14</v>
      </c>
      <c r="Q371" s="12"/>
      <c r="R371" s="12"/>
      <c r="T371">
        <f t="shared" si="10"/>
        <v>1.88</v>
      </c>
      <c r="U371">
        <f t="shared" si="11"/>
        <v>2.1645072260497766</v>
      </c>
    </row>
    <row r="372" spans="1:21">
      <c r="A372" s="12">
        <v>30</v>
      </c>
      <c r="B372" s="12">
        <v>30</v>
      </c>
      <c r="C372" s="11">
        <v>39.177377799053929</v>
      </c>
      <c r="D372" s="11">
        <v>30.783382434720195</v>
      </c>
      <c r="E372" s="11"/>
      <c r="F372" s="12">
        <v>206</v>
      </c>
      <c r="G372" s="12" t="s">
        <v>11</v>
      </c>
      <c r="H372" s="13"/>
      <c r="I372" s="14">
        <v>1.89</v>
      </c>
      <c r="J372" s="14" t="s">
        <v>70</v>
      </c>
      <c r="K372" s="14"/>
      <c r="L372" s="13">
        <v>2.9</v>
      </c>
      <c r="M372" s="13">
        <v>0.1</v>
      </c>
      <c r="P372" s="12" t="s">
        <v>14</v>
      </c>
      <c r="Q372" s="12"/>
      <c r="R372" s="12"/>
      <c r="T372">
        <f t="shared" si="10"/>
        <v>1.89</v>
      </c>
      <c r="U372" t="str">
        <f t="shared" si="11"/>
        <v>dead</v>
      </c>
    </row>
    <row r="373" spans="1:21">
      <c r="A373" s="12">
        <v>40</v>
      </c>
      <c r="B373" s="12">
        <v>30</v>
      </c>
      <c r="C373" s="11">
        <v>48.75869591198731</v>
      </c>
      <c r="D373" s="11">
        <v>30.571359368335063</v>
      </c>
      <c r="E373" s="11"/>
      <c r="F373" s="10">
        <v>331</v>
      </c>
      <c r="G373" s="12" t="s">
        <v>30</v>
      </c>
      <c r="H373" s="13"/>
      <c r="I373" s="14">
        <v>1.93</v>
      </c>
      <c r="J373" s="14">
        <v>7</v>
      </c>
      <c r="K373" s="14"/>
      <c r="L373" s="13">
        <v>3.2</v>
      </c>
      <c r="M373" s="13">
        <v>1.2</v>
      </c>
      <c r="P373" s="12" t="s">
        <v>14</v>
      </c>
      <c r="Q373" s="12"/>
      <c r="R373" s="12"/>
      <c r="T373">
        <f t="shared" si="10"/>
        <v>1.93</v>
      </c>
      <c r="U373">
        <f t="shared" si="11"/>
        <v>2.228169203286535</v>
      </c>
    </row>
    <row r="374" spans="1:21">
      <c r="A374" s="12">
        <v>20</v>
      </c>
      <c r="B374" s="12">
        <v>-20</v>
      </c>
      <c r="C374" s="11">
        <v>22.928535532501993</v>
      </c>
      <c r="D374" s="11">
        <v>-15.546855049030304</v>
      </c>
      <c r="E374" s="11"/>
      <c r="F374" s="10">
        <v>569</v>
      </c>
      <c r="G374" s="12" t="s">
        <v>21</v>
      </c>
      <c r="H374" s="13"/>
      <c r="I374" s="14">
        <v>1.94</v>
      </c>
      <c r="J374" s="14"/>
      <c r="K374" s="14">
        <v>27.1</v>
      </c>
      <c r="L374" s="13">
        <v>3.9</v>
      </c>
      <c r="M374" s="13">
        <v>1.1000000000000001</v>
      </c>
      <c r="P374" s="12" t="s">
        <v>14</v>
      </c>
      <c r="Q374" s="12"/>
      <c r="R374" s="12"/>
      <c r="T374">
        <f t="shared" si="10"/>
        <v>1.94</v>
      </c>
      <c r="U374">
        <f t="shared" si="11"/>
        <v>27.1</v>
      </c>
    </row>
    <row r="375" spans="1:21">
      <c r="A375" s="12">
        <v>30</v>
      </c>
      <c r="B375" s="12">
        <v>-30</v>
      </c>
      <c r="C375" s="11">
        <v>32.394255554027595</v>
      </c>
      <c r="D375" s="11">
        <v>-28.134982504099689</v>
      </c>
      <c r="E375" s="11"/>
      <c r="F375" s="10">
        <v>671</v>
      </c>
      <c r="G375" s="12" t="s">
        <v>11</v>
      </c>
      <c r="H375" s="13"/>
      <c r="I375" s="14">
        <v>1.94</v>
      </c>
      <c r="J375" s="14"/>
      <c r="K375" s="14">
        <v>25.3</v>
      </c>
      <c r="L375" s="13">
        <v>2.9</v>
      </c>
      <c r="M375" s="13">
        <v>0.2</v>
      </c>
      <c r="P375" s="12" t="s">
        <v>14</v>
      </c>
      <c r="Q375" s="12"/>
      <c r="R375" s="12"/>
      <c r="S375" t="s">
        <v>121</v>
      </c>
      <c r="T375">
        <f t="shared" si="10"/>
        <v>1.94</v>
      </c>
      <c r="U375">
        <f t="shared" si="11"/>
        <v>25.3</v>
      </c>
    </row>
    <row r="376" spans="1:21">
      <c r="A376" s="12">
        <v>30</v>
      </c>
      <c r="B376" s="12">
        <v>-30</v>
      </c>
      <c r="C376" s="11">
        <v>30.694094957487589</v>
      </c>
      <c r="D376" s="11">
        <v>-25.002072789353459</v>
      </c>
      <c r="E376" s="11"/>
      <c r="F376" s="10">
        <v>665</v>
      </c>
      <c r="G376" s="12" t="s">
        <v>11</v>
      </c>
      <c r="H376" s="13"/>
      <c r="I376" s="14">
        <v>1.96</v>
      </c>
      <c r="J376" s="14" t="s">
        <v>70</v>
      </c>
      <c r="K376" s="14"/>
      <c r="L376" s="13">
        <v>3.2</v>
      </c>
      <c r="M376" s="13"/>
      <c r="P376" s="12" t="s">
        <v>12</v>
      </c>
      <c r="Q376" s="12"/>
      <c r="R376" s="12"/>
      <c r="T376">
        <f t="shared" si="10"/>
        <v>1.96</v>
      </c>
      <c r="U376" t="str">
        <f t="shared" si="11"/>
        <v>dead</v>
      </c>
    </row>
    <row r="377" spans="1:21">
      <c r="A377" s="12">
        <v>30</v>
      </c>
      <c r="B377" s="12">
        <v>10</v>
      </c>
      <c r="C377" s="11">
        <v>36.223984999037157</v>
      </c>
      <c r="D377" s="11">
        <v>18.902543517144998</v>
      </c>
      <c r="E377" s="11"/>
      <c r="F377" s="12">
        <v>216</v>
      </c>
      <c r="G377" s="12" t="s">
        <v>11</v>
      </c>
      <c r="H377" s="13"/>
      <c r="I377" s="14">
        <v>1.97</v>
      </c>
      <c r="J377" s="14">
        <v>9.1</v>
      </c>
      <c r="K377" s="14"/>
      <c r="L377" s="13">
        <v>2.8</v>
      </c>
      <c r="M377" s="13">
        <v>0.2</v>
      </c>
      <c r="P377" s="12" t="s">
        <v>14</v>
      </c>
      <c r="Q377" s="12"/>
      <c r="R377" s="12"/>
      <c r="T377">
        <f t="shared" si="10"/>
        <v>1.97</v>
      </c>
      <c r="U377">
        <f t="shared" si="11"/>
        <v>2.896619964272495</v>
      </c>
    </row>
    <row r="378" spans="1:21">
      <c r="A378" s="12">
        <v>30</v>
      </c>
      <c r="B378" s="12">
        <v>-30</v>
      </c>
      <c r="C378" s="11">
        <v>30.382963040855245</v>
      </c>
      <c r="D378" s="11">
        <v>-25.476626635926436</v>
      </c>
      <c r="E378" s="11"/>
      <c r="F378" s="12">
        <v>666</v>
      </c>
      <c r="G378" s="12" t="s">
        <v>11</v>
      </c>
      <c r="H378" s="13"/>
      <c r="I378" s="14">
        <v>1.97</v>
      </c>
      <c r="J378" s="14">
        <v>9</v>
      </c>
      <c r="K378" s="14"/>
      <c r="L378" s="13">
        <v>2.8</v>
      </c>
      <c r="M378" s="13">
        <v>0.2</v>
      </c>
      <c r="P378" s="12" t="s">
        <v>14</v>
      </c>
      <c r="Q378" s="12"/>
      <c r="R378" s="12"/>
      <c r="S378" t="s">
        <v>120</v>
      </c>
      <c r="T378">
        <f t="shared" si="10"/>
        <v>1.97</v>
      </c>
      <c r="U378">
        <f t="shared" si="11"/>
        <v>2.8647889756541161</v>
      </c>
    </row>
    <row r="379" spans="1:21">
      <c r="A379" s="9">
        <v>0</v>
      </c>
      <c r="B379" s="12">
        <v>10</v>
      </c>
      <c r="C379" s="11">
        <v>6.5904406558154331</v>
      </c>
      <c r="D379" s="11">
        <v>17.622165379895907</v>
      </c>
      <c r="E379" s="11"/>
      <c r="F379" s="10">
        <v>25</v>
      </c>
      <c r="G379" s="12" t="s">
        <v>13</v>
      </c>
      <c r="H379" s="13"/>
      <c r="I379" s="14">
        <v>1.98</v>
      </c>
      <c r="J379" s="14">
        <v>6.9</v>
      </c>
      <c r="K379" s="14"/>
      <c r="L379" s="13">
        <v>3.7</v>
      </c>
      <c r="M379" s="13">
        <v>0.9</v>
      </c>
      <c r="P379" s="12" t="s">
        <v>14</v>
      </c>
      <c r="Q379" s="12"/>
      <c r="R379" s="12"/>
      <c r="T379">
        <f t="shared" si="10"/>
        <v>1.98</v>
      </c>
      <c r="U379">
        <f t="shared" si="11"/>
        <v>2.196338214668156</v>
      </c>
    </row>
    <row r="380" spans="1:21">
      <c r="A380" s="9">
        <v>0</v>
      </c>
      <c r="B380" s="12">
        <v>20</v>
      </c>
      <c r="C380" s="11">
        <v>0.32706413342566815</v>
      </c>
      <c r="D380" s="11">
        <v>28.513720047818492</v>
      </c>
      <c r="E380" s="11"/>
      <c r="F380" s="12">
        <v>48</v>
      </c>
      <c r="G380" s="12" t="s">
        <v>11</v>
      </c>
      <c r="H380" s="13"/>
      <c r="I380" s="14">
        <v>1.98</v>
      </c>
      <c r="J380" s="14" t="s">
        <v>70</v>
      </c>
      <c r="K380" s="14"/>
      <c r="L380" s="13">
        <v>2.8</v>
      </c>
      <c r="M380" s="13"/>
      <c r="P380" s="12" t="s">
        <v>12</v>
      </c>
      <c r="Q380" s="12"/>
      <c r="R380" s="12"/>
      <c r="T380">
        <f t="shared" si="10"/>
        <v>1.98</v>
      </c>
      <c r="U380" t="str">
        <f t="shared" si="11"/>
        <v>dead</v>
      </c>
    </row>
    <row r="381" spans="1:21">
      <c r="A381" s="12">
        <v>30</v>
      </c>
      <c r="B381" s="12">
        <v>-10</v>
      </c>
      <c r="C381" s="11">
        <v>36.443441690078132</v>
      </c>
      <c r="D381" s="11">
        <v>-2.0492143163001968</v>
      </c>
      <c r="E381" s="11"/>
      <c r="F381" s="12">
        <v>438</v>
      </c>
      <c r="G381" s="12" t="s">
        <v>13</v>
      </c>
      <c r="H381" s="13"/>
      <c r="I381" s="14">
        <v>1.99</v>
      </c>
      <c r="J381" s="14"/>
      <c r="K381" s="14">
        <v>20.8</v>
      </c>
      <c r="L381" s="13">
        <v>2.4</v>
      </c>
      <c r="M381" s="13">
        <v>0.9</v>
      </c>
      <c r="P381" s="12" t="s">
        <v>14</v>
      </c>
      <c r="Q381" s="12"/>
      <c r="R381" s="12"/>
      <c r="T381">
        <f t="shared" si="10"/>
        <v>1.99</v>
      </c>
      <c r="U381">
        <f t="shared" si="11"/>
        <v>20.8</v>
      </c>
    </row>
    <row r="382" spans="1:21">
      <c r="A382" s="12">
        <v>10</v>
      </c>
      <c r="B382" s="12">
        <v>20</v>
      </c>
      <c r="C382" s="11">
        <v>19.312191825432201</v>
      </c>
      <c r="D382" s="11">
        <v>28.19753907570496</v>
      </c>
      <c r="E382" s="11"/>
      <c r="F382" s="10">
        <v>95</v>
      </c>
      <c r="G382" s="12" t="s">
        <v>13</v>
      </c>
      <c r="H382" s="13"/>
      <c r="I382" s="14">
        <v>2.02</v>
      </c>
      <c r="J382" s="14"/>
      <c r="K382" s="14">
        <v>27.4</v>
      </c>
      <c r="L382" s="13">
        <v>3.4</v>
      </c>
      <c r="M382" s="13">
        <v>0.7</v>
      </c>
      <c r="P382" s="12" t="s">
        <v>14</v>
      </c>
      <c r="Q382" s="12"/>
      <c r="R382" s="12"/>
      <c r="T382">
        <f t="shared" si="10"/>
        <v>2.02</v>
      </c>
      <c r="U382">
        <f t="shared" si="11"/>
        <v>27.4</v>
      </c>
    </row>
    <row r="383" spans="1:21">
      <c r="A383" s="12">
        <v>30</v>
      </c>
      <c r="B383" s="12">
        <v>-20</v>
      </c>
      <c r="C383" s="11">
        <v>38.614147537104941</v>
      </c>
      <c r="D383" s="11">
        <v>-15.817199751692192</v>
      </c>
      <c r="E383" s="11"/>
      <c r="F383" s="12">
        <v>516</v>
      </c>
      <c r="G383" s="12" t="s">
        <v>21</v>
      </c>
      <c r="H383" s="13"/>
      <c r="I383" s="14">
        <v>2.0299999999999998</v>
      </c>
      <c r="J383" s="14"/>
      <c r="K383" s="31">
        <v>24.7</v>
      </c>
      <c r="L383" s="13">
        <v>3.7</v>
      </c>
      <c r="M383" s="13">
        <v>0.9</v>
      </c>
      <c r="P383" s="12" t="s">
        <v>14</v>
      </c>
      <c r="Q383" s="12"/>
      <c r="R383" s="12"/>
      <c r="T383">
        <f t="shared" si="10"/>
        <v>2.0299999999999998</v>
      </c>
      <c r="U383">
        <f t="shared" si="11"/>
        <v>24.7</v>
      </c>
    </row>
    <row r="384" spans="1:21">
      <c r="A384" s="12">
        <v>40</v>
      </c>
      <c r="B384" s="12">
        <v>20</v>
      </c>
      <c r="C384" s="11">
        <v>42.367641332774518</v>
      </c>
      <c r="D384" s="11">
        <v>29.524366008498795</v>
      </c>
      <c r="E384" s="11"/>
      <c r="F384" s="12">
        <v>296</v>
      </c>
      <c r="G384" s="12" t="s">
        <v>13</v>
      </c>
      <c r="H384" s="13"/>
      <c r="I384" s="14">
        <v>2.0499999999999998</v>
      </c>
      <c r="J384" s="31">
        <v>7.2</v>
      </c>
      <c r="K384" s="14"/>
      <c r="L384" s="13">
        <v>3</v>
      </c>
      <c r="M384" s="13">
        <v>2.2000000000000002</v>
      </c>
      <c r="P384" s="12" t="s">
        <v>14</v>
      </c>
      <c r="Q384" s="12"/>
      <c r="R384" s="12"/>
      <c r="T384">
        <f t="shared" si="10"/>
        <v>2.0499999999999998</v>
      </c>
      <c r="U384">
        <f t="shared" si="11"/>
        <v>2.2918311805232929</v>
      </c>
    </row>
    <row r="385" spans="1:21">
      <c r="A385" s="9">
        <v>0</v>
      </c>
      <c r="B385" s="12">
        <v>20</v>
      </c>
      <c r="C385" s="11">
        <v>1.7956392668405727</v>
      </c>
      <c r="D385" s="11">
        <v>29.979743464808116</v>
      </c>
      <c r="E385" s="11"/>
      <c r="F385" s="10">
        <v>47</v>
      </c>
      <c r="G385" s="12" t="s">
        <v>11</v>
      </c>
      <c r="H385" s="13"/>
      <c r="I385" s="14">
        <v>2.06</v>
      </c>
      <c r="J385" s="14">
        <v>11.2</v>
      </c>
      <c r="K385" s="14"/>
      <c r="L385" s="13">
        <v>3.3</v>
      </c>
      <c r="M385" s="13">
        <v>0.2</v>
      </c>
      <c r="P385" s="12" t="s">
        <v>14</v>
      </c>
      <c r="Q385" s="12"/>
      <c r="R385" s="12"/>
      <c r="T385">
        <f t="shared" si="10"/>
        <v>2.06</v>
      </c>
      <c r="U385">
        <f t="shared" si="11"/>
        <v>3.5650707252584555</v>
      </c>
    </row>
    <row r="386" spans="1:21">
      <c r="A386" s="12">
        <v>30</v>
      </c>
      <c r="B386" s="12">
        <v>10</v>
      </c>
      <c r="C386" s="11">
        <v>32.1725155843124</v>
      </c>
      <c r="D386" s="11">
        <v>17.931141368792993</v>
      </c>
      <c r="E386" s="11"/>
      <c r="F386" s="12">
        <v>218</v>
      </c>
      <c r="G386" s="12" t="s">
        <v>13</v>
      </c>
      <c r="H386" s="13"/>
      <c r="I386" s="14">
        <v>2.06</v>
      </c>
      <c r="J386" s="14"/>
      <c r="K386" s="14">
        <v>21.5</v>
      </c>
      <c r="L386" s="13">
        <v>2.4</v>
      </c>
      <c r="M386" s="13">
        <v>1.1000000000000001</v>
      </c>
      <c r="P386" s="12" t="s">
        <v>14</v>
      </c>
      <c r="Q386" s="12"/>
      <c r="R386" s="12"/>
      <c r="T386">
        <f t="shared" ref="T386:T449" si="12">IF(H386="",I386,H386/PI())</f>
        <v>2.06</v>
      </c>
      <c r="U386">
        <f t="shared" ref="U386:U449" si="13">IF(J386="dead","dead",J386/PI()+K386)</f>
        <v>21.5</v>
      </c>
    </row>
    <row r="387" spans="1:21">
      <c r="A387" s="12">
        <v>40</v>
      </c>
      <c r="B387" s="12">
        <v>30</v>
      </c>
      <c r="C387" s="11">
        <v>48.684961231235185</v>
      </c>
      <c r="D387" s="11">
        <v>30.874263151030185</v>
      </c>
      <c r="E387" s="11"/>
      <c r="F387" s="12">
        <v>332</v>
      </c>
      <c r="G387" s="12" t="s">
        <v>30</v>
      </c>
      <c r="H387" s="13"/>
      <c r="I387" s="14">
        <v>2.0699999999999998</v>
      </c>
      <c r="J387" s="14">
        <v>9</v>
      </c>
      <c r="K387" s="14"/>
      <c r="L387" s="13">
        <v>3.6</v>
      </c>
      <c r="M387" s="13">
        <v>1.5</v>
      </c>
      <c r="P387" s="12" t="s">
        <v>14</v>
      </c>
      <c r="Q387" s="12"/>
      <c r="R387" s="12"/>
      <c r="T387">
        <f t="shared" si="12"/>
        <v>2.0699999999999998</v>
      </c>
      <c r="U387">
        <f t="shared" si="13"/>
        <v>2.8647889756541161</v>
      </c>
    </row>
    <row r="388" spans="1:21">
      <c r="A388" s="12">
        <v>30</v>
      </c>
      <c r="B388" s="12">
        <v>0</v>
      </c>
      <c r="C388" s="11">
        <v>33.894852414965456</v>
      </c>
      <c r="D388" s="11">
        <v>9.4075223287711989</v>
      </c>
      <c r="E388" s="11"/>
      <c r="F388" s="10">
        <v>247</v>
      </c>
      <c r="G388" s="12" t="s">
        <v>13</v>
      </c>
      <c r="H388" s="13"/>
      <c r="I388" s="14">
        <v>2.08</v>
      </c>
      <c r="J388" s="14"/>
      <c r="K388" s="14">
        <v>22.2</v>
      </c>
      <c r="L388" s="13">
        <v>3</v>
      </c>
      <c r="M388" s="13">
        <v>2</v>
      </c>
      <c r="P388" s="12" t="s">
        <v>14</v>
      </c>
      <c r="Q388" s="12"/>
      <c r="R388" s="12"/>
      <c r="T388">
        <f t="shared" si="12"/>
        <v>2.08</v>
      </c>
      <c r="U388">
        <f t="shared" si="13"/>
        <v>22.2</v>
      </c>
    </row>
    <row r="389" spans="1:21">
      <c r="A389" s="12">
        <v>40</v>
      </c>
      <c r="B389" s="12">
        <v>30</v>
      </c>
      <c r="C389" s="11">
        <v>48.923210114886899</v>
      </c>
      <c r="D389" s="11">
        <v>30.400201900908641</v>
      </c>
      <c r="E389" s="11"/>
      <c r="F389" s="10">
        <v>321</v>
      </c>
      <c r="G389" s="12" t="s">
        <v>30</v>
      </c>
      <c r="H389" s="13"/>
      <c r="I389" s="14">
        <v>2.08</v>
      </c>
      <c r="J389" s="14">
        <v>8.5</v>
      </c>
      <c r="K389" s="14"/>
      <c r="L389" s="13">
        <v>3.3</v>
      </c>
      <c r="M389" s="13">
        <v>1.1000000000000001</v>
      </c>
      <c r="P389" s="12" t="s">
        <v>14</v>
      </c>
      <c r="Q389" s="12"/>
      <c r="R389" s="12"/>
      <c r="T389">
        <f t="shared" si="12"/>
        <v>2.08</v>
      </c>
      <c r="U389">
        <f t="shared" si="13"/>
        <v>2.7056340325622208</v>
      </c>
    </row>
    <row r="390" spans="1:21">
      <c r="A390" s="12">
        <v>20</v>
      </c>
      <c r="B390" s="12">
        <v>-30</v>
      </c>
      <c r="C390" s="11">
        <v>24.625619283291407</v>
      </c>
      <c r="D390" s="11">
        <v>-25.803803228217753</v>
      </c>
      <c r="E390" s="11"/>
      <c r="F390" s="12">
        <v>642</v>
      </c>
      <c r="G390" s="12" t="s">
        <v>13</v>
      </c>
      <c r="H390" s="13"/>
      <c r="I390" s="14">
        <v>2.09</v>
      </c>
      <c r="J390" s="14"/>
      <c r="K390" s="14">
        <v>23</v>
      </c>
      <c r="L390" s="13">
        <v>3.9</v>
      </c>
      <c r="M390" s="13">
        <v>1.8</v>
      </c>
      <c r="P390" s="12" t="s">
        <v>14</v>
      </c>
      <c r="Q390" s="12"/>
      <c r="R390" s="12"/>
      <c r="T390">
        <f t="shared" si="12"/>
        <v>2.09</v>
      </c>
      <c r="U390">
        <f t="shared" si="13"/>
        <v>23</v>
      </c>
    </row>
    <row r="391" spans="1:21">
      <c r="A391" s="12">
        <v>30</v>
      </c>
      <c r="B391" s="12">
        <v>10</v>
      </c>
      <c r="C391" s="11">
        <v>37.037694491441883</v>
      </c>
      <c r="D391" s="11">
        <v>18.258346692039844</v>
      </c>
      <c r="E391" s="11"/>
      <c r="F391" s="12">
        <v>214</v>
      </c>
      <c r="G391" s="12" t="s">
        <v>11</v>
      </c>
      <c r="H391" s="13"/>
      <c r="I391" s="14">
        <v>2.1</v>
      </c>
      <c r="J391" s="14">
        <v>9.5</v>
      </c>
      <c r="K391" s="14"/>
      <c r="L391" s="13">
        <v>2.5</v>
      </c>
      <c r="M391" s="13">
        <v>0.3</v>
      </c>
      <c r="P391" s="12" t="s">
        <v>14</v>
      </c>
      <c r="Q391" s="12"/>
      <c r="R391" s="12"/>
      <c r="T391">
        <f t="shared" si="12"/>
        <v>2.1</v>
      </c>
      <c r="U391">
        <f t="shared" si="13"/>
        <v>3.0239439187460113</v>
      </c>
    </row>
    <row r="392" spans="1:21">
      <c r="A392" s="12">
        <v>20</v>
      </c>
      <c r="B392" s="12">
        <v>10</v>
      </c>
      <c r="C392" s="11">
        <v>26.909703103773136</v>
      </c>
      <c r="D392" s="11">
        <v>14.486493813815263</v>
      </c>
      <c r="E392" s="11"/>
      <c r="F392" s="10">
        <v>159</v>
      </c>
      <c r="G392" s="12" t="s">
        <v>21</v>
      </c>
      <c r="H392" s="13"/>
      <c r="I392" s="14">
        <v>2.12</v>
      </c>
      <c r="J392" s="14">
        <v>9.5</v>
      </c>
      <c r="K392" s="14"/>
      <c r="L392" s="13">
        <v>3.5</v>
      </c>
      <c r="M392" s="13">
        <v>0.9</v>
      </c>
      <c r="P392" s="12" t="s">
        <v>14</v>
      </c>
      <c r="Q392" s="12"/>
      <c r="R392" s="12"/>
      <c r="T392">
        <f t="shared" si="12"/>
        <v>2.12</v>
      </c>
      <c r="U392">
        <f t="shared" si="13"/>
        <v>3.0239439187460113</v>
      </c>
    </row>
    <row r="393" spans="1:21">
      <c r="A393" s="12">
        <v>30</v>
      </c>
      <c r="B393" s="12">
        <v>30</v>
      </c>
      <c r="C393" s="11">
        <v>34.511392259886222</v>
      </c>
      <c r="D393" s="11">
        <v>39.264884580685361</v>
      </c>
      <c r="E393" s="11"/>
      <c r="F393" s="12">
        <v>204</v>
      </c>
      <c r="G393" s="12" t="s">
        <v>11</v>
      </c>
      <c r="H393" s="13"/>
      <c r="I393" s="14">
        <v>2.12</v>
      </c>
      <c r="J393" s="14">
        <v>11.3</v>
      </c>
      <c r="K393" s="14"/>
      <c r="L393" s="13">
        <v>3.3</v>
      </c>
      <c r="M393" s="13">
        <v>0.1</v>
      </c>
      <c r="P393" s="12" t="s">
        <v>14</v>
      </c>
      <c r="Q393" s="12"/>
      <c r="R393" s="12"/>
      <c r="T393">
        <f t="shared" si="12"/>
        <v>2.12</v>
      </c>
      <c r="U393">
        <f t="shared" si="13"/>
        <v>3.5969017138768349</v>
      </c>
    </row>
    <row r="394" spans="1:21" s="27" customFormat="1">
      <c r="A394" s="12">
        <v>0</v>
      </c>
      <c r="B394" s="12">
        <v>-30</v>
      </c>
      <c r="C394" s="11">
        <v>3.6767165407509381</v>
      </c>
      <c r="D394" s="11">
        <v>-20.101695673448518</v>
      </c>
      <c r="E394" s="11"/>
      <c r="F394" s="10">
        <v>601</v>
      </c>
      <c r="G394" s="12" t="s">
        <v>11</v>
      </c>
      <c r="H394" s="13"/>
      <c r="I394" s="14">
        <v>2.12</v>
      </c>
      <c r="J394" s="14">
        <v>10</v>
      </c>
      <c r="K394" s="14"/>
      <c r="L394" s="13">
        <v>3.2</v>
      </c>
      <c r="M394" s="13">
        <v>0.3</v>
      </c>
      <c r="N394"/>
      <c r="O394"/>
      <c r="P394" s="12" t="s">
        <v>14</v>
      </c>
      <c r="Q394" s="12"/>
      <c r="R394" s="12"/>
      <c r="S394"/>
      <c r="T394">
        <f t="shared" si="12"/>
        <v>2.12</v>
      </c>
      <c r="U394">
        <f t="shared" si="13"/>
        <v>3.183098861837907</v>
      </c>
    </row>
    <row r="395" spans="1:21">
      <c r="A395" s="12">
        <v>30</v>
      </c>
      <c r="B395" s="12">
        <v>10</v>
      </c>
      <c r="C395" s="11">
        <v>32.119407180101206</v>
      </c>
      <c r="D395" s="11">
        <v>17.114776749550312</v>
      </c>
      <c r="E395" s="11"/>
      <c r="F395" s="12">
        <v>226</v>
      </c>
      <c r="G395" s="12" t="s">
        <v>13</v>
      </c>
      <c r="H395" s="13"/>
      <c r="I395" s="14">
        <v>2.13</v>
      </c>
      <c r="J395" s="14">
        <v>7.9</v>
      </c>
      <c r="K395" s="14"/>
      <c r="L395" s="13">
        <v>1.9</v>
      </c>
      <c r="M395" s="13">
        <v>1.5</v>
      </c>
      <c r="P395" s="12" t="s">
        <v>14</v>
      </c>
      <c r="Q395" s="12"/>
      <c r="R395" s="12" t="s">
        <v>16</v>
      </c>
      <c r="T395">
        <f t="shared" si="12"/>
        <v>2.13</v>
      </c>
      <c r="U395">
        <f t="shared" si="13"/>
        <v>2.5146481008519466</v>
      </c>
    </row>
    <row r="396" spans="1:21">
      <c r="A396" s="12">
        <v>20</v>
      </c>
      <c r="B396" s="12">
        <v>0</v>
      </c>
      <c r="C396" s="11">
        <v>29.141634328646191</v>
      </c>
      <c r="D396" s="11">
        <v>7.350062707305125</v>
      </c>
      <c r="E396" s="11"/>
      <c r="F396" s="10">
        <v>125</v>
      </c>
      <c r="G396" s="12" t="s">
        <v>11</v>
      </c>
      <c r="H396" s="13"/>
      <c r="I396" s="14">
        <v>2.14</v>
      </c>
      <c r="J396" s="14" t="s">
        <v>70</v>
      </c>
      <c r="K396" s="14"/>
      <c r="L396" s="13">
        <v>2.9</v>
      </c>
      <c r="M396" s="13"/>
      <c r="N396" s="32"/>
      <c r="O396" s="32"/>
      <c r="P396" s="12" t="s">
        <v>12</v>
      </c>
      <c r="Q396" s="12"/>
      <c r="R396" s="12"/>
      <c r="S396" s="32" t="s">
        <v>78</v>
      </c>
      <c r="T396">
        <f t="shared" si="12"/>
        <v>2.14</v>
      </c>
      <c r="U396" t="str">
        <f t="shared" si="13"/>
        <v>dead</v>
      </c>
    </row>
    <row r="397" spans="1:21">
      <c r="A397" s="12">
        <v>40</v>
      </c>
      <c r="B397" s="12">
        <v>30</v>
      </c>
      <c r="C397" s="11">
        <v>48.911560240158103</v>
      </c>
      <c r="D397" s="11">
        <v>31.005618482119225</v>
      </c>
      <c r="E397" s="11"/>
      <c r="F397" s="12">
        <v>334</v>
      </c>
      <c r="G397" s="12" t="s">
        <v>30</v>
      </c>
      <c r="H397" s="13"/>
      <c r="I397" s="14">
        <v>2.14</v>
      </c>
      <c r="J397" s="14">
        <v>12.5</v>
      </c>
      <c r="K397" s="14"/>
      <c r="L397" s="13">
        <v>1.7</v>
      </c>
      <c r="M397" s="13">
        <v>0.9</v>
      </c>
      <c r="P397" s="12" t="s">
        <v>14</v>
      </c>
      <c r="Q397" s="12"/>
      <c r="R397" s="12" t="s">
        <v>31</v>
      </c>
      <c r="T397">
        <f t="shared" si="12"/>
        <v>2.14</v>
      </c>
      <c r="U397">
        <f t="shared" si="13"/>
        <v>3.9788735772973833</v>
      </c>
    </row>
    <row r="398" spans="1:21">
      <c r="A398" s="12">
        <v>20</v>
      </c>
      <c r="B398" s="12">
        <v>-30</v>
      </c>
      <c r="C398" s="11">
        <v>20.068510563484196</v>
      </c>
      <c r="D398" s="11">
        <v>-22.494617720688876</v>
      </c>
      <c r="E398" s="11"/>
      <c r="F398" s="12">
        <v>630</v>
      </c>
      <c r="G398" s="12" t="s">
        <v>11</v>
      </c>
      <c r="H398" s="13"/>
      <c r="I398" s="14">
        <v>2.14</v>
      </c>
      <c r="J398" s="14"/>
      <c r="K398" s="14">
        <v>28.2</v>
      </c>
      <c r="L398" s="13">
        <v>3.6</v>
      </c>
      <c r="M398" s="13">
        <v>0.7</v>
      </c>
      <c r="P398" s="12" t="s">
        <v>14</v>
      </c>
      <c r="Q398" s="12"/>
      <c r="R398" s="12"/>
      <c r="T398">
        <f t="shared" si="12"/>
        <v>2.14</v>
      </c>
      <c r="U398">
        <f t="shared" si="13"/>
        <v>28.2</v>
      </c>
    </row>
    <row r="399" spans="1:21">
      <c r="A399" s="12">
        <v>40</v>
      </c>
      <c r="B399" s="12">
        <v>-50</v>
      </c>
      <c r="C399" s="11">
        <v>45.382901456243502</v>
      </c>
      <c r="D399" s="11">
        <v>-40.852567834469262</v>
      </c>
      <c r="E399" s="11"/>
      <c r="F399" s="12">
        <v>828</v>
      </c>
      <c r="G399" s="12" t="s">
        <v>13</v>
      </c>
      <c r="H399" s="13"/>
      <c r="I399" s="14">
        <v>2.14</v>
      </c>
      <c r="J399" s="14">
        <v>8.6</v>
      </c>
      <c r="K399" s="14"/>
      <c r="L399" s="13">
        <v>3.6</v>
      </c>
      <c r="M399" s="13">
        <v>1.5</v>
      </c>
      <c r="P399" s="12" t="s">
        <v>14</v>
      </c>
      <c r="Q399" s="12"/>
      <c r="R399" s="12"/>
      <c r="S399" t="s">
        <v>134</v>
      </c>
      <c r="T399">
        <f t="shared" si="12"/>
        <v>2.14</v>
      </c>
      <c r="U399">
        <f t="shared" si="13"/>
        <v>2.7374650211805998</v>
      </c>
    </row>
    <row r="400" spans="1:21">
      <c r="A400" s="12">
        <v>20</v>
      </c>
      <c r="B400" s="12">
        <v>-30</v>
      </c>
      <c r="C400" s="11">
        <v>20.777557086264643</v>
      </c>
      <c r="D400" s="11">
        <v>-22.907825081206319</v>
      </c>
      <c r="E400" s="11"/>
      <c r="F400" s="10">
        <v>633</v>
      </c>
      <c r="G400" s="12" t="s">
        <v>11</v>
      </c>
      <c r="H400" s="13"/>
      <c r="I400" s="14">
        <v>2.1800000000000002</v>
      </c>
      <c r="J400" s="14" t="s">
        <v>70</v>
      </c>
      <c r="K400" s="14"/>
      <c r="L400" s="13">
        <v>3.8</v>
      </c>
      <c r="M400" s="13"/>
      <c r="P400" s="12" t="s">
        <v>12</v>
      </c>
      <c r="Q400" s="12"/>
      <c r="R400" s="12"/>
      <c r="T400">
        <f t="shared" si="12"/>
        <v>2.1800000000000002</v>
      </c>
      <c r="U400" t="str">
        <f t="shared" si="13"/>
        <v>dead</v>
      </c>
    </row>
    <row r="401" spans="1:21">
      <c r="A401" s="12">
        <v>30</v>
      </c>
      <c r="B401" s="12">
        <v>-20</v>
      </c>
      <c r="C401" s="11">
        <v>35.588236187970651</v>
      </c>
      <c r="D401" s="11">
        <v>-16.565397175104358</v>
      </c>
      <c r="E401" s="11"/>
      <c r="F401" s="12">
        <v>522</v>
      </c>
      <c r="G401" s="12" t="s">
        <v>11</v>
      </c>
      <c r="H401" s="13"/>
      <c r="I401" s="14">
        <v>2.2000000000000002</v>
      </c>
      <c r="J401" s="14">
        <v>10.6</v>
      </c>
      <c r="K401" s="14"/>
      <c r="L401" s="13">
        <v>3.3</v>
      </c>
      <c r="M401" s="13">
        <v>0</v>
      </c>
      <c r="P401" s="12" t="s">
        <v>14</v>
      </c>
      <c r="Q401" s="12"/>
      <c r="R401" s="12"/>
      <c r="T401">
        <f t="shared" si="12"/>
        <v>2.2000000000000002</v>
      </c>
      <c r="U401">
        <f t="shared" si="13"/>
        <v>3.3740847935481812</v>
      </c>
    </row>
    <row r="402" spans="1:21">
      <c r="A402" s="12">
        <v>20</v>
      </c>
      <c r="B402" s="12">
        <v>-20</v>
      </c>
      <c r="C402" s="11">
        <v>24.662897967014203</v>
      </c>
      <c r="D402" s="11">
        <v>-31.711201556181109</v>
      </c>
      <c r="E402" s="11"/>
      <c r="F402" s="12">
        <v>718</v>
      </c>
      <c r="G402" s="12" t="s">
        <v>21</v>
      </c>
      <c r="H402" s="13"/>
      <c r="I402" s="14">
        <v>2.21</v>
      </c>
      <c r="J402" s="14"/>
      <c r="K402" s="14">
        <v>9.6</v>
      </c>
      <c r="L402" s="13">
        <v>2.2999999999999998</v>
      </c>
      <c r="M402" s="13">
        <v>1.2</v>
      </c>
      <c r="P402" s="12" t="s">
        <v>14</v>
      </c>
      <c r="Q402" s="12"/>
      <c r="R402" s="12"/>
      <c r="S402" t="s">
        <v>131</v>
      </c>
      <c r="T402">
        <f t="shared" si="12"/>
        <v>2.21</v>
      </c>
      <c r="U402">
        <f t="shared" si="13"/>
        <v>9.6</v>
      </c>
    </row>
    <row r="403" spans="1:21">
      <c r="A403" s="12">
        <v>20</v>
      </c>
      <c r="B403" s="12">
        <v>30</v>
      </c>
      <c r="C403" s="11">
        <v>24.907350780199291</v>
      </c>
      <c r="D403" s="11">
        <v>34.663296118381929</v>
      </c>
      <c r="E403" s="11"/>
      <c r="F403" s="12">
        <v>172</v>
      </c>
      <c r="G403" s="12" t="s">
        <v>13</v>
      </c>
      <c r="H403" s="13"/>
      <c r="I403" s="14">
        <v>2.2200000000000002</v>
      </c>
      <c r="J403" s="14">
        <v>7.7</v>
      </c>
      <c r="K403" s="14"/>
      <c r="L403" s="13">
        <v>3.6</v>
      </c>
      <c r="M403" s="13">
        <v>1.7</v>
      </c>
      <c r="P403" s="12" t="s">
        <v>14</v>
      </c>
      <c r="Q403" s="12"/>
      <c r="R403" s="12"/>
      <c r="T403">
        <f t="shared" si="12"/>
        <v>2.2200000000000002</v>
      </c>
      <c r="U403">
        <f t="shared" si="13"/>
        <v>2.4509861236151882</v>
      </c>
    </row>
    <row r="404" spans="1:21">
      <c r="A404" s="12">
        <v>40</v>
      </c>
      <c r="B404" s="12">
        <v>-10</v>
      </c>
      <c r="C404" s="11">
        <v>43.818712041029102</v>
      </c>
      <c r="D404" s="11">
        <v>-9.7061661222742828</v>
      </c>
      <c r="E404" s="11"/>
      <c r="F404" s="10">
        <v>455</v>
      </c>
      <c r="G404" s="12" t="s">
        <v>13</v>
      </c>
      <c r="H404" s="13"/>
      <c r="I404" s="14">
        <v>2.2200000000000002</v>
      </c>
      <c r="J404" s="14"/>
      <c r="K404" s="14">
        <v>23.3</v>
      </c>
      <c r="L404" s="13">
        <v>2.2999999999999998</v>
      </c>
      <c r="M404" s="13">
        <v>6</v>
      </c>
      <c r="P404" s="12" t="s">
        <v>14</v>
      </c>
      <c r="Q404" s="12"/>
      <c r="R404" s="12" t="s">
        <v>36</v>
      </c>
      <c r="T404">
        <f t="shared" si="12"/>
        <v>2.2200000000000002</v>
      </c>
      <c r="U404">
        <f t="shared" si="13"/>
        <v>23.3</v>
      </c>
    </row>
    <row r="405" spans="1:21">
      <c r="A405" s="9">
        <v>0</v>
      </c>
      <c r="B405" s="12">
        <v>30</v>
      </c>
      <c r="C405" s="11">
        <v>9.4615067739142642</v>
      </c>
      <c r="D405" s="11">
        <v>30.508067832250347</v>
      </c>
      <c r="E405" s="11"/>
      <c r="F405" s="10">
        <v>59</v>
      </c>
      <c r="G405" s="12" t="s">
        <v>11</v>
      </c>
      <c r="H405" s="13"/>
      <c r="I405" s="14">
        <v>2.23</v>
      </c>
      <c r="J405" s="14" t="s">
        <v>70</v>
      </c>
      <c r="K405" s="14"/>
      <c r="L405" s="13">
        <v>3.4</v>
      </c>
      <c r="M405" s="13">
        <v>0.2</v>
      </c>
      <c r="P405" s="12" t="s">
        <v>14</v>
      </c>
      <c r="Q405" s="12"/>
      <c r="R405" s="12"/>
      <c r="T405">
        <f t="shared" si="12"/>
        <v>2.23</v>
      </c>
      <c r="U405" t="str">
        <f t="shared" si="13"/>
        <v>dead</v>
      </c>
    </row>
    <row r="406" spans="1:21">
      <c r="A406" s="12">
        <v>10</v>
      </c>
      <c r="B406" s="12">
        <v>40</v>
      </c>
      <c r="C406" s="11">
        <v>14.7505595735526</v>
      </c>
      <c r="D406" s="11">
        <v>45.809670834839075</v>
      </c>
      <c r="E406" s="11"/>
      <c r="F406" s="12">
        <v>76</v>
      </c>
      <c r="G406" s="12" t="s">
        <v>11</v>
      </c>
      <c r="H406" s="13"/>
      <c r="I406" s="14">
        <v>2.2400000000000002</v>
      </c>
      <c r="J406" s="14" t="s">
        <v>79</v>
      </c>
      <c r="K406" s="14"/>
      <c r="L406" s="13">
        <v>3.3</v>
      </c>
      <c r="M406" s="13"/>
      <c r="P406" s="12" t="s">
        <v>12</v>
      </c>
      <c r="Q406" s="12"/>
      <c r="R406" s="12"/>
      <c r="T406">
        <f t="shared" si="12"/>
        <v>2.2400000000000002</v>
      </c>
      <c r="U406" t="str">
        <f t="shared" si="13"/>
        <v>dead</v>
      </c>
    </row>
    <row r="407" spans="1:21">
      <c r="A407" s="12">
        <v>40</v>
      </c>
      <c r="B407" s="12">
        <v>0</v>
      </c>
      <c r="C407" s="11">
        <v>41.114237411154114</v>
      </c>
      <c r="D407" s="11">
        <v>7.3877069476062651</v>
      </c>
      <c r="E407" s="11"/>
      <c r="F407" s="10">
        <v>271</v>
      </c>
      <c r="G407" s="12" t="s">
        <v>11</v>
      </c>
      <c r="H407" s="13"/>
      <c r="I407" s="14">
        <v>2.2400000000000002</v>
      </c>
      <c r="J407" s="14" t="s">
        <v>70</v>
      </c>
      <c r="K407" s="14"/>
      <c r="L407" s="13">
        <v>2.8</v>
      </c>
      <c r="M407" s="13"/>
      <c r="P407" s="12" t="s">
        <v>12</v>
      </c>
      <c r="Q407" s="12"/>
      <c r="R407" s="12"/>
      <c r="T407">
        <f t="shared" si="12"/>
        <v>2.2400000000000002</v>
      </c>
      <c r="U407" t="str">
        <f t="shared" si="13"/>
        <v>dead</v>
      </c>
    </row>
    <row r="408" spans="1:21">
      <c r="A408" s="12">
        <v>40</v>
      </c>
      <c r="B408" s="12">
        <v>10</v>
      </c>
      <c r="C408" s="11">
        <v>44.448175780776694</v>
      </c>
      <c r="D408" s="11">
        <v>11.04175147655649</v>
      </c>
      <c r="E408" s="11"/>
      <c r="F408" s="12">
        <v>280</v>
      </c>
      <c r="G408" s="12" t="s">
        <v>21</v>
      </c>
      <c r="H408" s="13"/>
      <c r="I408" s="14">
        <v>2.25</v>
      </c>
      <c r="J408" s="14"/>
      <c r="K408" s="14">
        <v>24.6</v>
      </c>
      <c r="L408" s="13">
        <v>1.7</v>
      </c>
      <c r="M408" s="13">
        <v>1.2</v>
      </c>
      <c r="P408" s="12" t="s">
        <v>14</v>
      </c>
      <c r="Q408" s="12"/>
      <c r="R408" s="12" t="s">
        <v>29</v>
      </c>
      <c r="T408">
        <f t="shared" si="12"/>
        <v>2.25</v>
      </c>
      <c r="U408">
        <f t="shared" si="13"/>
        <v>24.6</v>
      </c>
    </row>
    <row r="409" spans="1:21">
      <c r="A409" s="12">
        <v>40</v>
      </c>
      <c r="B409" s="12">
        <v>20</v>
      </c>
      <c r="C409" s="11">
        <v>41.880792813059728</v>
      </c>
      <c r="D409" s="11">
        <v>29.416600349019195</v>
      </c>
      <c r="E409" s="11"/>
      <c r="F409" s="12">
        <v>306</v>
      </c>
      <c r="G409" s="12" t="s">
        <v>13</v>
      </c>
      <c r="H409" s="13"/>
      <c r="I409" s="14">
        <v>2.25</v>
      </c>
      <c r="J409" s="14">
        <v>8</v>
      </c>
      <c r="K409" s="14"/>
      <c r="L409" s="13">
        <v>3.6</v>
      </c>
      <c r="M409" s="13">
        <v>2</v>
      </c>
      <c r="P409" s="12" t="s">
        <v>14</v>
      </c>
      <c r="Q409" s="12"/>
      <c r="R409" s="12"/>
      <c r="T409">
        <f t="shared" si="12"/>
        <v>2.25</v>
      </c>
      <c r="U409">
        <f t="shared" si="13"/>
        <v>2.5464790894703255</v>
      </c>
    </row>
    <row r="410" spans="1:21">
      <c r="A410" s="12">
        <v>40</v>
      </c>
      <c r="B410" s="12">
        <v>20</v>
      </c>
      <c r="C410" s="11">
        <v>42.430857709244037</v>
      </c>
      <c r="D410" s="11">
        <v>29.817299863635021</v>
      </c>
      <c r="E410" s="11"/>
      <c r="F410" s="12">
        <v>298</v>
      </c>
      <c r="G410" s="12" t="s">
        <v>13</v>
      </c>
      <c r="H410" s="13"/>
      <c r="I410" s="14">
        <v>2.2599999999999998</v>
      </c>
      <c r="J410" s="14">
        <v>7.7</v>
      </c>
      <c r="K410" s="14"/>
      <c r="L410" s="13">
        <v>4.3</v>
      </c>
      <c r="M410" s="13">
        <v>2</v>
      </c>
      <c r="P410" s="12" t="s">
        <v>14</v>
      </c>
      <c r="Q410" s="12"/>
      <c r="R410" s="12"/>
      <c r="T410">
        <f t="shared" si="12"/>
        <v>2.2599999999999998</v>
      </c>
      <c r="U410">
        <f t="shared" si="13"/>
        <v>2.4509861236151882</v>
      </c>
    </row>
    <row r="411" spans="1:21">
      <c r="A411" s="12">
        <v>40</v>
      </c>
      <c r="B411" s="12">
        <v>-30</v>
      </c>
      <c r="C411" s="11">
        <v>42.600771010641061</v>
      </c>
      <c r="D411" s="11">
        <v>-25.452840538415533</v>
      </c>
      <c r="E411" s="11"/>
      <c r="F411" s="10">
        <v>679</v>
      </c>
      <c r="G411" s="12" t="s">
        <v>13</v>
      </c>
      <c r="H411" s="13"/>
      <c r="I411" s="14">
        <v>2.2599999999999998</v>
      </c>
      <c r="J411" s="14" t="s">
        <v>70</v>
      </c>
      <c r="K411" s="14"/>
      <c r="L411" s="13">
        <v>1.5</v>
      </c>
      <c r="M411" s="13">
        <v>1.4</v>
      </c>
      <c r="P411" s="12" t="s">
        <v>14</v>
      </c>
      <c r="Q411" s="12"/>
      <c r="R411" s="12"/>
      <c r="T411">
        <f t="shared" si="12"/>
        <v>2.2599999999999998</v>
      </c>
      <c r="U411" t="str">
        <f t="shared" si="13"/>
        <v>dead</v>
      </c>
    </row>
    <row r="412" spans="1:21">
      <c r="A412" s="12">
        <v>20</v>
      </c>
      <c r="B412" s="12">
        <v>10</v>
      </c>
      <c r="C412" s="11">
        <v>23.814136091910594</v>
      </c>
      <c r="D412" s="11">
        <v>10.891462981270466</v>
      </c>
      <c r="E412" s="11"/>
      <c r="F412" s="12">
        <v>140</v>
      </c>
      <c r="G412" s="12" t="s">
        <v>13</v>
      </c>
      <c r="H412" s="13"/>
      <c r="I412" s="14">
        <v>2.27</v>
      </c>
      <c r="J412" s="14">
        <v>8.5</v>
      </c>
      <c r="K412" s="14"/>
      <c r="L412" s="13">
        <v>2.8</v>
      </c>
      <c r="M412" s="13">
        <v>1</v>
      </c>
      <c r="P412" s="12" t="s">
        <v>14</v>
      </c>
      <c r="Q412" s="12"/>
      <c r="R412" s="12"/>
      <c r="T412">
        <f t="shared" si="12"/>
        <v>2.27</v>
      </c>
      <c r="U412">
        <f t="shared" si="13"/>
        <v>2.7056340325622208</v>
      </c>
    </row>
    <row r="413" spans="1:21">
      <c r="A413" s="12">
        <v>40</v>
      </c>
      <c r="B413" s="12">
        <v>30</v>
      </c>
      <c r="C413" s="11">
        <v>49.057455574932867</v>
      </c>
      <c r="D413" s="11">
        <v>30.556922641067963</v>
      </c>
      <c r="E413" s="11"/>
      <c r="F413" s="12">
        <v>322</v>
      </c>
      <c r="G413" s="12" t="s">
        <v>30</v>
      </c>
      <c r="H413" s="13"/>
      <c r="I413" s="14">
        <v>2.27</v>
      </c>
      <c r="J413" s="14">
        <v>9</v>
      </c>
      <c r="K413" s="14"/>
      <c r="L413" s="13">
        <v>2.8</v>
      </c>
      <c r="M413" s="13">
        <v>1.2</v>
      </c>
      <c r="P413" s="12" t="s">
        <v>14</v>
      </c>
      <c r="Q413" s="12"/>
      <c r="R413" s="12"/>
      <c r="T413">
        <f t="shared" si="12"/>
        <v>2.27</v>
      </c>
      <c r="U413">
        <f t="shared" si="13"/>
        <v>2.8647889756541161</v>
      </c>
    </row>
    <row r="414" spans="1:21">
      <c r="A414" s="12">
        <v>30</v>
      </c>
      <c r="B414" s="12">
        <v>-20</v>
      </c>
      <c r="C414" s="11">
        <v>30.008426910538304</v>
      </c>
      <c r="D414" s="11">
        <v>-12.921740439865401</v>
      </c>
      <c r="E414" s="11"/>
      <c r="F414" s="12">
        <v>534</v>
      </c>
      <c r="G414" s="12" t="s">
        <v>13</v>
      </c>
      <c r="H414" s="13"/>
      <c r="I414" s="14">
        <v>2.2799999999999998</v>
      </c>
      <c r="J414" s="14"/>
      <c r="K414" s="14">
        <v>25.7</v>
      </c>
      <c r="L414" s="13">
        <v>4</v>
      </c>
      <c r="M414" s="13">
        <v>1.6</v>
      </c>
      <c r="P414" s="12" t="s">
        <v>14</v>
      </c>
      <c r="Q414" s="12"/>
      <c r="R414" s="12"/>
      <c r="T414">
        <f t="shared" si="12"/>
        <v>2.2799999999999998</v>
      </c>
      <c r="U414">
        <f t="shared" si="13"/>
        <v>25.7</v>
      </c>
    </row>
    <row r="415" spans="1:21">
      <c r="A415" s="12">
        <v>20</v>
      </c>
      <c r="B415" s="12">
        <v>10</v>
      </c>
      <c r="C415" s="11">
        <v>21.713553925037083</v>
      </c>
      <c r="D415" s="11">
        <v>11.604164465655854</v>
      </c>
      <c r="E415" s="11"/>
      <c r="F415" s="10">
        <v>147</v>
      </c>
      <c r="G415" s="12" t="s">
        <v>13</v>
      </c>
      <c r="H415" s="13"/>
      <c r="I415" s="14">
        <v>2.29</v>
      </c>
      <c r="J415" s="14">
        <v>7.7</v>
      </c>
      <c r="K415" s="14"/>
      <c r="L415" s="13">
        <v>2</v>
      </c>
      <c r="M415" s="13">
        <v>1.5</v>
      </c>
      <c r="P415" s="12" t="s">
        <v>14</v>
      </c>
      <c r="Q415" s="12"/>
      <c r="R415" s="12"/>
      <c r="T415">
        <f t="shared" si="12"/>
        <v>2.29</v>
      </c>
      <c r="U415">
        <f t="shared" si="13"/>
        <v>2.4509861236151882</v>
      </c>
    </row>
    <row r="416" spans="1:21">
      <c r="A416" s="12">
        <v>30</v>
      </c>
      <c r="B416" s="12">
        <v>10</v>
      </c>
      <c r="C416" s="11">
        <v>36.716514801527289</v>
      </c>
      <c r="D416" s="11">
        <v>18.175163316659585</v>
      </c>
      <c r="E416" s="11"/>
      <c r="F416" s="10">
        <v>215</v>
      </c>
      <c r="G416" s="12" t="s">
        <v>11</v>
      </c>
      <c r="H416" s="13"/>
      <c r="I416" s="14">
        <v>2.2999999999999998</v>
      </c>
      <c r="J416" s="14">
        <v>9.1</v>
      </c>
      <c r="K416" s="14"/>
      <c r="L416" s="13">
        <v>3</v>
      </c>
      <c r="M416" s="13">
        <v>0.2</v>
      </c>
      <c r="P416" s="12" t="s">
        <v>14</v>
      </c>
      <c r="Q416" s="12"/>
      <c r="R416" s="12"/>
      <c r="T416">
        <f t="shared" si="12"/>
        <v>2.2999999999999998</v>
      </c>
      <c r="U416">
        <f t="shared" si="13"/>
        <v>2.896619964272495</v>
      </c>
    </row>
    <row r="417" spans="1:21">
      <c r="A417" s="12">
        <v>30</v>
      </c>
      <c r="B417" s="12">
        <v>-30</v>
      </c>
      <c r="C417" s="11">
        <v>33.740755386689855</v>
      </c>
      <c r="D417" s="11">
        <v>-22.590221831610339</v>
      </c>
      <c r="E417" s="11"/>
      <c r="F417" s="10">
        <v>661</v>
      </c>
      <c r="G417" s="12" t="s">
        <v>21</v>
      </c>
      <c r="H417" s="13"/>
      <c r="I417" s="14">
        <v>2.2999999999999998</v>
      </c>
      <c r="J417" s="14">
        <v>11</v>
      </c>
      <c r="K417" s="14"/>
      <c r="L417" s="13">
        <v>4.0999999999999996</v>
      </c>
      <c r="M417" s="13">
        <v>0.9</v>
      </c>
      <c r="P417" s="12" t="s">
        <v>14</v>
      </c>
      <c r="Q417" s="12"/>
      <c r="R417" s="12"/>
      <c r="S417" t="s">
        <v>119</v>
      </c>
      <c r="T417">
        <f t="shared" si="12"/>
        <v>2.2999999999999998</v>
      </c>
      <c r="U417">
        <f t="shared" si="13"/>
        <v>3.5014087480216975</v>
      </c>
    </row>
    <row r="418" spans="1:21">
      <c r="A418" s="12">
        <v>10</v>
      </c>
      <c r="B418" s="12">
        <v>20</v>
      </c>
      <c r="C418" s="11">
        <v>17.684763959829091</v>
      </c>
      <c r="D418" s="11">
        <v>23.662338554138607</v>
      </c>
      <c r="E418" s="11"/>
      <c r="F418" s="12">
        <v>100</v>
      </c>
      <c r="G418" s="12" t="s">
        <v>11</v>
      </c>
      <c r="H418" s="13"/>
      <c r="I418" s="14">
        <v>2.31</v>
      </c>
      <c r="J418" s="14" t="s">
        <v>70</v>
      </c>
      <c r="K418" s="14"/>
      <c r="L418" s="13">
        <v>2.9</v>
      </c>
      <c r="M418" s="13"/>
      <c r="P418" s="12" t="s">
        <v>12</v>
      </c>
      <c r="Q418" s="12"/>
      <c r="R418" s="12"/>
      <c r="T418">
        <f t="shared" si="12"/>
        <v>2.31</v>
      </c>
      <c r="U418" t="str">
        <f t="shared" si="13"/>
        <v>dead</v>
      </c>
    </row>
    <row r="419" spans="1:21">
      <c r="A419" s="9">
        <v>0</v>
      </c>
      <c r="B419" s="12">
        <v>40</v>
      </c>
      <c r="C419" s="11">
        <v>6.9471554421474488</v>
      </c>
      <c r="D419" s="11">
        <v>41.768314846644444</v>
      </c>
      <c r="E419" s="11"/>
      <c r="F419" s="10">
        <v>63</v>
      </c>
      <c r="G419" s="12" t="s">
        <v>11</v>
      </c>
      <c r="H419" s="13"/>
      <c r="I419" s="14">
        <v>2.3199999999999998</v>
      </c>
      <c r="J419" s="14"/>
      <c r="K419" s="14">
        <v>24.8</v>
      </c>
      <c r="L419" s="13">
        <v>2.9</v>
      </c>
      <c r="M419" s="13">
        <v>0.3</v>
      </c>
      <c r="P419" s="12" t="s">
        <v>14</v>
      </c>
      <c r="Q419" s="12"/>
      <c r="R419" s="12"/>
      <c r="T419">
        <f t="shared" si="12"/>
        <v>2.3199999999999998</v>
      </c>
      <c r="U419">
        <f t="shared" si="13"/>
        <v>24.8</v>
      </c>
    </row>
    <row r="420" spans="1:21">
      <c r="A420" s="12">
        <v>10</v>
      </c>
      <c r="B420" s="12">
        <v>-30</v>
      </c>
      <c r="C420" s="11">
        <v>16.213479815213489</v>
      </c>
      <c r="D420" s="11">
        <v>-22.804634796887598</v>
      </c>
      <c r="E420" s="11"/>
      <c r="F420" s="12">
        <v>622</v>
      </c>
      <c r="G420" s="12" t="s">
        <v>11</v>
      </c>
      <c r="H420" s="13"/>
      <c r="I420" s="14">
        <v>2.3199999999999998</v>
      </c>
      <c r="J420" s="14" t="s">
        <v>70</v>
      </c>
      <c r="K420" s="14"/>
      <c r="L420" s="13">
        <v>3.3</v>
      </c>
      <c r="M420" s="13">
        <v>0.1</v>
      </c>
      <c r="P420" s="12" t="s">
        <v>14</v>
      </c>
      <c r="Q420" s="12"/>
      <c r="R420" s="12"/>
      <c r="T420">
        <f t="shared" si="12"/>
        <v>2.3199999999999998</v>
      </c>
      <c r="U420" t="str">
        <f t="shared" si="13"/>
        <v>dead</v>
      </c>
    </row>
    <row r="421" spans="1:21">
      <c r="A421" s="12">
        <v>40</v>
      </c>
      <c r="B421" s="12">
        <v>-20</v>
      </c>
      <c r="C421" s="11">
        <v>49.246140094845508</v>
      </c>
      <c r="D421" s="11">
        <v>-16.426234772126698</v>
      </c>
      <c r="E421" s="11"/>
      <c r="F421" s="10">
        <v>509</v>
      </c>
      <c r="G421" s="12" t="s">
        <v>13</v>
      </c>
      <c r="H421" s="13"/>
      <c r="I421" s="14">
        <v>2.33</v>
      </c>
      <c r="J421" s="14"/>
      <c r="K421" s="14">
        <v>24.8</v>
      </c>
      <c r="L421" s="13">
        <v>3.6</v>
      </c>
      <c r="M421" s="13">
        <v>1.5</v>
      </c>
      <c r="P421" s="12" t="s">
        <v>14</v>
      </c>
      <c r="Q421" s="12"/>
      <c r="R421" s="12"/>
      <c r="T421">
        <f t="shared" si="12"/>
        <v>2.33</v>
      </c>
      <c r="U421">
        <f t="shared" si="13"/>
        <v>24.8</v>
      </c>
    </row>
    <row r="422" spans="1:21">
      <c r="A422" s="12">
        <v>30</v>
      </c>
      <c r="B422" s="12">
        <v>0</v>
      </c>
      <c r="C422" s="11">
        <v>33.713362604392707</v>
      </c>
      <c r="D422" s="11">
        <v>9.4955824508264737</v>
      </c>
      <c r="E422" s="11"/>
      <c r="F422" s="12">
        <v>250</v>
      </c>
      <c r="G422" s="12" t="s">
        <v>13</v>
      </c>
      <c r="H422" s="13"/>
      <c r="I422" s="14">
        <v>2.34</v>
      </c>
      <c r="J422" s="14" t="s">
        <v>70</v>
      </c>
      <c r="K422" s="14"/>
      <c r="L422" s="13">
        <v>2.4</v>
      </c>
      <c r="M422" s="13">
        <v>1.6</v>
      </c>
      <c r="P422" s="12" t="s">
        <v>14</v>
      </c>
      <c r="Q422" s="12"/>
      <c r="R422" s="12"/>
      <c r="T422">
        <f t="shared" si="12"/>
        <v>2.34</v>
      </c>
      <c r="U422" t="str">
        <f t="shared" si="13"/>
        <v>dead</v>
      </c>
    </row>
    <row r="423" spans="1:21">
      <c r="A423" s="12">
        <v>30</v>
      </c>
      <c r="B423" s="12">
        <v>-10</v>
      </c>
      <c r="C423" s="11">
        <v>39.40833443356302</v>
      </c>
      <c r="D423" s="11">
        <v>-8.7311690981486905</v>
      </c>
      <c r="E423" s="11"/>
      <c r="F423" s="10">
        <v>445</v>
      </c>
      <c r="G423" s="12" t="s">
        <v>21</v>
      </c>
      <c r="H423" s="13"/>
      <c r="I423" s="14">
        <v>2.34</v>
      </c>
      <c r="J423" s="14">
        <v>9</v>
      </c>
      <c r="K423" s="14"/>
      <c r="L423" s="13">
        <v>4.3</v>
      </c>
      <c r="M423" s="13">
        <v>1</v>
      </c>
      <c r="P423" s="12" t="s">
        <v>14</v>
      </c>
      <c r="Q423" s="12"/>
      <c r="R423" s="12"/>
      <c r="S423" t="s">
        <v>90</v>
      </c>
      <c r="T423">
        <f t="shared" si="12"/>
        <v>2.34</v>
      </c>
      <c r="U423">
        <f t="shared" si="13"/>
        <v>2.8647889756541161</v>
      </c>
    </row>
    <row r="424" spans="1:21">
      <c r="A424" s="12">
        <v>30</v>
      </c>
      <c r="B424" s="12">
        <v>-20</v>
      </c>
      <c r="C424" s="11">
        <v>30.102245775782585</v>
      </c>
      <c r="D424" s="11">
        <v>-13.026047143880325</v>
      </c>
      <c r="E424" s="11"/>
      <c r="F424" s="10">
        <v>529</v>
      </c>
      <c r="G424" s="12" t="s">
        <v>13</v>
      </c>
      <c r="H424" s="13"/>
      <c r="I424" s="14">
        <v>2.34</v>
      </c>
      <c r="J424" s="14"/>
      <c r="K424" s="14">
        <v>25.7</v>
      </c>
      <c r="L424" s="13">
        <v>2.8</v>
      </c>
      <c r="M424" s="13">
        <v>2</v>
      </c>
      <c r="P424" s="12" t="s">
        <v>14</v>
      </c>
      <c r="Q424" s="12"/>
      <c r="R424" s="12"/>
      <c r="T424">
        <f t="shared" si="12"/>
        <v>2.34</v>
      </c>
      <c r="U424">
        <f t="shared" si="13"/>
        <v>25.7</v>
      </c>
    </row>
    <row r="425" spans="1:21">
      <c r="A425" s="9">
        <v>0</v>
      </c>
      <c r="B425" s="12">
        <v>40</v>
      </c>
      <c r="C425" s="11">
        <v>8.5582568356338165</v>
      </c>
      <c r="D425" s="11">
        <v>40.55989153510609</v>
      </c>
      <c r="E425" s="11"/>
      <c r="F425" s="10">
        <v>61</v>
      </c>
      <c r="G425" s="12" t="s">
        <v>11</v>
      </c>
      <c r="H425" s="13"/>
      <c r="I425" s="14">
        <v>2.35</v>
      </c>
      <c r="J425" s="14" t="s">
        <v>70</v>
      </c>
      <c r="K425" s="14"/>
      <c r="L425" s="13">
        <v>3.2</v>
      </c>
      <c r="M425" s="13">
        <v>0.6</v>
      </c>
      <c r="P425" s="12" t="s">
        <v>14</v>
      </c>
      <c r="Q425" s="12"/>
      <c r="R425" s="12"/>
      <c r="T425">
        <f t="shared" si="12"/>
        <v>2.35</v>
      </c>
      <c r="U425" t="str">
        <f t="shared" si="13"/>
        <v>dead</v>
      </c>
    </row>
    <row r="426" spans="1:21">
      <c r="A426" s="12">
        <v>40</v>
      </c>
      <c r="B426" s="12">
        <v>30</v>
      </c>
      <c r="C426" s="11">
        <v>49.01626407235689</v>
      </c>
      <c r="D426" s="11">
        <v>31.365860574170455</v>
      </c>
      <c r="E426" s="11"/>
      <c r="F426" s="12">
        <v>330</v>
      </c>
      <c r="G426" s="12" t="s">
        <v>30</v>
      </c>
      <c r="H426" s="13"/>
      <c r="I426" s="14">
        <v>2.35</v>
      </c>
      <c r="J426" s="14">
        <v>8.6</v>
      </c>
      <c r="K426" s="14"/>
      <c r="L426" s="13">
        <v>3.4</v>
      </c>
      <c r="M426" s="13">
        <v>1.2</v>
      </c>
      <c r="P426" s="12" t="s">
        <v>14</v>
      </c>
      <c r="Q426" s="12"/>
      <c r="R426" s="12"/>
      <c r="T426">
        <f t="shared" si="12"/>
        <v>2.35</v>
      </c>
      <c r="U426">
        <f t="shared" si="13"/>
        <v>2.7374650211805998</v>
      </c>
    </row>
    <row r="427" spans="1:21">
      <c r="A427" s="12">
        <v>30</v>
      </c>
      <c r="B427" s="12">
        <v>-10</v>
      </c>
      <c r="C427" s="11">
        <v>32.809033307619565</v>
      </c>
      <c r="D427" s="11">
        <v>-4.19762134732012</v>
      </c>
      <c r="E427" s="11"/>
      <c r="F427" s="12">
        <v>424</v>
      </c>
      <c r="G427" s="12" t="s">
        <v>13</v>
      </c>
      <c r="H427" s="13"/>
      <c r="I427" s="14">
        <v>2.36</v>
      </c>
      <c r="J427" s="14"/>
      <c r="K427" s="14">
        <v>26.5</v>
      </c>
      <c r="L427" s="13">
        <v>4.8</v>
      </c>
      <c r="M427" s="13">
        <v>1.7</v>
      </c>
      <c r="P427" s="12" t="s">
        <v>14</v>
      </c>
      <c r="Q427" s="12"/>
      <c r="R427" s="12"/>
      <c r="T427">
        <f t="shared" si="12"/>
        <v>2.36</v>
      </c>
      <c r="U427">
        <f t="shared" si="13"/>
        <v>26.5</v>
      </c>
    </row>
    <row r="428" spans="1:21">
      <c r="A428" s="12">
        <v>20</v>
      </c>
      <c r="B428" s="12">
        <v>40</v>
      </c>
      <c r="C428" s="11">
        <v>26.402940262221591</v>
      </c>
      <c r="D428" s="11">
        <v>47.576856604055649</v>
      </c>
      <c r="E428" s="11"/>
      <c r="F428" s="12">
        <v>196</v>
      </c>
      <c r="G428" s="12" t="s">
        <v>13</v>
      </c>
      <c r="H428" s="13"/>
      <c r="I428" s="14">
        <v>2.38</v>
      </c>
      <c r="J428" s="14" t="s">
        <v>79</v>
      </c>
      <c r="K428" s="14"/>
      <c r="L428" s="13">
        <v>3.2</v>
      </c>
      <c r="M428" s="13"/>
      <c r="P428" s="12" t="s">
        <v>12</v>
      </c>
      <c r="Q428" s="12"/>
      <c r="R428" s="12"/>
      <c r="S428" t="s">
        <v>78</v>
      </c>
      <c r="T428">
        <f t="shared" si="12"/>
        <v>2.38</v>
      </c>
      <c r="U428" t="str">
        <f t="shared" si="13"/>
        <v>dead</v>
      </c>
    </row>
    <row r="429" spans="1:21">
      <c r="A429" s="12">
        <v>20</v>
      </c>
      <c r="B429" s="12">
        <v>-30</v>
      </c>
      <c r="C429" s="11">
        <v>20.134595844127755</v>
      </c>
      <c r="D429" s="11">
        <v>-22.386692447991294</v>
      </c>
      <c r="E429" s="11"/>
      <c r="F429" s="10">
        <v>631</v>
      </c>
      <c r="G429" s="12" t="s">
        <v>11</v>
      </c>
      <c r="H429" s="13"/>
      <c r="I429" s="14">
        <v>2.39</v>
      </c>
      <c r="J429" s="14">
        <v>10.199999999999999</v>
      </c>
      <c r="K429" s="14"/>
      <c r="L429" s="13">
        <v>3.6</v>
      </c>
      <c r="M429" s="13">
        <v>0.3</v>
      </c>
      <c r="P429" s="12" t="s">
        <v>14</v>
      </c>
      <c r="Q429" s="12"/>
      <c r="R429" s="12"/>
      <c r="T429">
        <f t="shared" si="12"/>
        <v>2.39</v>
      </c>
      <c r="U429">
        <f t="shared" si="13"/>
        <v>3.246760839074665</v>
      </c>
    </row>
    <row r="430" spans="1:21" s="27" customFormat="1">
      <c r="A430" s="12">
        <v>30</v>
      </c>
      <c r="B430" s="12">
        <v>30</v>
      </c>
      <c r="C430" s="11">
        <v>38.369831897088261</v>
      </c>
      <c r="D430" s="11">
        <v>35.037619958440359</v>
      </c>
      <c r="E430" s="11"/>
      <c r="F430" s="10">
        <v>205</v>
      </c>
      <c r="G430" s="12" t="s">
        <v>11</v>
      </c>
      <c r="H430" s="13"/>
      <c r="I430" s="14">
        <v>2.41</v>
      </c>
      <c r="J430" s="14">
        <v>11.8</v>
      </c>
      <c r="K430" s="14"/>
      <c r="L430" s="13">
        <v>2.8</v>
      </c>
      <c r="M430" s="13">
        <v>0.9</v>
      </c>
      <c r="N430"/>
      <c r="O430"/>
      <c r="P430" s="12" t="s">
        <v>14</v>
      </c>
      <c r="Q430" s="12"/>
      <c r="R430" s="12"/>
      <c r="S430"/>
      <c r="T430">
        <f t="shared" si="12"/>
        <v>2.41</v>
      </c>
      <c r="U430">
        <f t="shared" si="13"/>
        <v>3.7560566569687301</v>
      </c>
    </row>
    <row r="431" spans="1:21">
      <c r="A431" s="12">
        <v>30</v>
      </c>
      <c r="B431" s="12">
        <v>-20</v>
      </c>
      <c r="C431" s="11">
        <v>36.298987754977233</v>
      </c>
      <c r="D431" s="11">
        <v>-16.649406617299888</v>
      </c>
      <c r="E431" s="11"/>
      <c r="F431" s="10">
        <v>521</v>
      </c>
      <c r="G431" s="12" t="s">
        <v>11</v>
      </c>
      <c r="H431" s="13"/>
      <c r="I431" s="14">
        <v>2.41</v>
      </c>
      <c r="J431" s="14" t="s">
        <v>70</v>
      </c>
      <c r="K431" s="14"/>
      <c r="L431" s="13">
        <v>3</v>
      </c>
      <c r="M431" s="13">
        <v>0</v>
      </c>
      <c r="P431" s="12" t="s">
        <v>14</v>
      </c>
      <c r="Q431" s="12"/>
      <c r="R431" s="12"/>
      <c r="T431">
        <f t="shared" si="12"/>
        <v>2.41</v>
      </c>
      <c r="U431" t="str">
        <f t="shared" si="13"/>
        <v>dead</v>
      </c>
    </row>
    <row r="432" spans="1:21">
      <c r="A432" s="9">
        <v>0</v>
      </c>
      <c r="B432" s="9">
        <v>0</v>
      </c>
      <c r="C432" s="11">
        <v>4.5733309832961941</v>
      </c>
      <c r="D432" s="11">
        <v>9.2373314067388428</v>
      </c>
      <c r="E432" s="11"/>
      <c r="F432" s="12">
        <v>10</v>
      </c>
      <c r="G432" s="12" t="s">
        <v>13</v>
      </c>
      <c r="H432" s="13"/>
      <c r="I432" s="14">
        <v>2.42</v>
      </c>
      <c r="J432" s="14">
        <v>7.6</v>
      </c>
      <c r="K432" s="14"/>
      <c r="L432" s="13">
        <v>4.0999999999999996</v>
      </c>
      <c r="M432" s="13">
        <v>0.7</v>
      </c>
      <c r="P432" s="12" t="s">
        <v>14</v>
      </c>
      <c r="Q432" s="12"/>
      <c r="R432" s="12"/>
      <c r="T432">
        <f t="shared" si="12"/>
        <v>2.42</v>
      </c>
      <c r="U432">
        <f t="shared" si="13"/>
        <v>2.4191551349968092</v>
      </c>
    </row>
    <row r="433" spans="1:21">
      <c r="A433" s="12">
        <v>40</v>
      </c>
      <c r="B433" s="12">
        <v>30</v>
      </c>
      <c r="C433" s="11">
        <v>48.775305826219046</v>
      </c>
      <c r="D433" s="11">
        <v>30.821344097270725</v>
      </c>
      <c r="E433" s="11"/>
      <c r="F433" s="10">
        <v>333</v>
      </c>
      <c r="G433" s="12" t="s">
        <v>30</v>
      </c>
      <c r="H433" s="13"/>
      <c r="I433" s="14">
        <v>2.4300000000000002</v>
      </c>
      <c r="J433" s="14">
        <v>8.3000000000000007</v>
      </c>
      <c r="K433" s="14"/>
      <c r="L433" s="13">
        <v>3.5</v>
      </c>
      <c r="M433" s="13">
        <v>1.8</v>
      </c>
      <c r="P433" s="12" t="s">
        <v>14</v>
      </c>
      <c r="Q433" s="12"/>
      <c r="R433" s="12"/>
      <c r="T433">
        <f t="shared" si="12"/>
        <v>2.4300000000000002</v>
      </c>
      <c r="U433">
        <f t="shared" si="13"/>
        <v>2.6419720553254629</v>
      </c>
    </row>
    <row r="434" spans="1:21">
      <c r="A434" s="12">
        <v>20</v>
      </c>
      <c r="B434" s="12">
        <v>10</v>
      </c>
      <c r="C434" s="11">
        <v>29.693552363066686</v>
      </c>
      <c r="D434" s="11">
        <v>12.817173736221424</v>
      </c>
      <c r="E434" s="11"/>
      <c r="F434" s="10">
        <v>161</v>
      </c>
      <c r="G434" s="12" t="s">
        <v>11</v>
      </c>
      <c r="H434" s="13"/>
      <c r="I434" s="14">
        <v>2.4500000000000002</v>
      </c>
      <c r="J434" s="14" t="s">
        <v>79</v>
      </c>
      <c r="K434" s="14"/>
      <c r="L434" s="13">
        <v>3.6</v>
      </c>
      <c r="M434" s="13">
        <v>0.1</v>
      </c>
      <c r="P434" s="12" t="s">
        <v>14</v>
      </c>
      <c r="Q434" s="12"/>
      <c r="R434" s="12"/>
      <c r="T434">
        <f t="shared" si="12"/>
        <v>2.4500000000000002</v>
      </c>
      <c r="U434" t="str">
        <f t="shared" si="13"/>
        <v>dead</v>
      </c>
    </row>
    <row r="435" spans="1:21">
      <c r="A435" s="12">
        <v>20</v>
      </c>
      <c r="B435" s="12">
        <v>10</v>
      </c>
      <c r="C435" s="11">
        <v>20.236305583160817</v>
      </c>
      <c r="D435" s="11">
        <v>13.537937792417537</v>
      </c>
      <c r="E435" s="11"/>
      <c r="F435" s="12">
        <v>154</v>
      </c>
      <c r="G435" s="12" t="s">
        <v>11</v>
      </c>
      <c r="H435" s="13"/>
      <c r="I435" s="14">
        <v>2.4700000000000002</v>
      </c>
      <c r="J435" s="14">
        <v>11.1</v>
      </c>
      <c r="K435" s="14"/>
      <c r="L435" s="13">
        <v>3</v>
      </c>
      <c r="M435" s="13">
        <v>0.2</v>
      </c>
      <c r="P435" s="12" t="s">
        <v>14</v>
      </c>
      <c r="Q435" s="12"/>
      <c r="R435" s="12"/>
      <c r="T435">
        <f t="shared" si="12"/>
        <v>2.4700000000000002</v>
      </c>
      <c r="U435">
        <f t="shared" si="13"/>
        <v>3.5332397366400765</v>
      </c>
    </row>
    <row r="436" spans="1:21">
      <c r="A436" s="12">
        <v>40</v>
      </c>
      <c r="B436" s="12">
        <v>20</v>
      </c>
      <c r="C436" s="11">
        <v>42.291153200946574</v>
      </c>
      <c r="D436" s="11">
        <v>29.228458863258844</v>
      </c>
      <c r="E436" s="11"/>
      <c r="F436" s="12">
        <v>290</v>
      </c>
      <c r="G436" s="12" t="s">
        <v>13</v>
      </c>
      <c r="H436" s="13"/>
      <c r="I436" s="14">
        <v>2.4900000000000002</v>
      </c>
      <c r="J436" s="14"/>
      <c r="K436" s="14">
        <v>8.6999999999999993</v>
      </c>
      <c r="L436" s="13">
        <v>3</v>
      </c>
      <c r="M436" s="13">
        <v>1</v>
      </c>
      <c r="P436" s="12" t="s">
        <v>14</v>
      </c>
      <c r="Q436" s="12"/>
      <c r="R436" s="12"/>
      <c r="T436">
        <f t="shared" si="12"/>
        <v>2.4900000000000002</v>
      </c>
      <c r="U436">
        <f t="shared" si="13"/>
        <v>8.6999999999999993</v>
      </c>
    </row>
    <row r="437" spans="1:21">
      <c r="A437" s="12">
        <v>30</v>
      </c>
      <c r="B437" s="12">
        <v>-20</v>
      </c>
      <c r="C437" s="11">
        <v>30.209660419134117</v>
      </c>
      <c r="D437" s="11">
        <v>-12.825836317151232</v>
      </c>
      <c r="E437" s="11"/>
      <c r="F437" s="12">
        <v>532</v>
      </c>
      <c r="G437" s="12" t="s">
        <v>13</v>
      </c>
      <c r="H437" s="13"/>
      <c r="I437" s="14">
        <v>2.4900000000000002</v>
      </c>
      <c r="J437" s="14"/>
      <c r="K437" s="14">
        <v>26.7</v>
      </c>
      <c r="L437" s="13">
        <v>2.6</v>
      </c>
      <c r="M437" s="13">
        <v>1</v>
      </c>
      <c r="P437" s="12" t="s">
        <v>14</v>
      </c>
      <c r="Q437" s="12"/>
      <c r="R437" s="12" t="s">
        <v>39</v>
      </c>
      <c r="T437">
        <f t="shared" si="12"/>
        <v>2.4900000000000002</v>
      </c>
      <c r="U437">
        <f t="shared" si="13"/>
        <v>26.7</v>
      </c>
    </row>
    <row r="438" spans="1:21">
      <c r="A438" s="9">
        <v>0</v>
      </c>
      <c r="B438" s="12">
        <v>30</v>
      </c>
      <c r="C438" s="11">
        <v>4.3269168424163151</v>
      </c>
      <c r="D438" s="11">
        <v>39.67994640843348</v>
      </c>
      <c r="E438" s="11"/>
      <c r="F438" s="10">
        <v>57</v>
      </c>
      <c r="G438" s="12" t="s">
        <v>11</v>
      </c>
      <c r="H438" s="13"/>
      <c r="I438" s="14">
        <v>2.5</v>
      </c>
      <c r="J438" s="14" t="s">
        <v>70</v>
      </c>
      <c r="K438" s="14"/>
      <c r="L438" s="13">
        <v>3.2</v>
      </c>
      <c r="M438" s="13"/>
      <c r="P438" s="12" t="s">
        <v>12</v>
      </c>
      <c r="Q438" s="12"/>
      <c r="R438" s="12"/>
      <c r="S438" t="s">
        <v>78</v>
      </c>
      <c r="T438">
        <f t="shared" si="12"/>
        <v>2.5</v>
      </c>
      <c r="U438" t="str">
        <f t="shared" si="13"/>
        <v>dead</v>
      </c>
    </row>
    <row r="439" spans="1:21">
      <c r="A439" s="12">
        <v>0</v>
      </c>
      <c r="B439" s="12">
        <v>-20</v>
      </c>
      <c r="C439" s="11">
        <v>3.7242049453762323</v>
      </c>
      <c r="D439" s="11">
        <v>-18.248199653550781</v>
      </c>
      <c r="E439" s="11"/>
      <c r="F439" s="12">
        <v>584</v>
      </c>
      <c r="G439" s="12" t="s">
        <v>11</v>
      </c>
      <c r="H439" s="13"/>
      <c r="I439" s="14">
        <v>2.5</v>
      </c>
      <c r="J439" s="14">
        <v>11</v>
      </c>
      <c r="K439" s="14"/>
      <c r="L439" s="13">
        <v>3.5</v>
      </c>
      <c r="M439" s="13">
        <v>0.1</v>
      </c>
      <c r="P439" s="12" t="s">
        <v>14</v>
      </c>
      <c r="Q439" s="12"/>
      <c r="R439" s="12"/>
      <c r="S439" t="s">
        <v>103</v>
      </c>
      <c r="T439">
        <f t="shared" si="12"/>
        <v>2.5</v>
      </c>
      <c r="U439">
        <f t="shared" si="13"/>
        <v>3.5014087480216975</v>
      </c>
    </row>
    <row r="440" spans="1:21">
      <c r="A440" s="12">
        <v>20</v>
      </c>
      <c r="B440" s="12">
        <v>-30</v>
      </c>
      <c r="C440" s="11">
        <v>25.897818770092492</v>
      </c>
      <c r="D440" s="11">
        <v>-29.806579890919899</v>
      </c>
      <c r="E440" s="11"/>
      <c r="F440" s="10">
        <v>651</v>
      </c>
      <c r="G440" s="12" t="s">
        <v>21</v>
      </c>
      <c r="H440" s="13"/>
      <c r="I440" s="14">
        <v>2.5</v>
      </c>
      <c r="J440" s="14">
        <v>9.9</v>
      </c>
      <c r="K440" s="14"/>
      <c r="L440" s="13">
        <v>4</v>
      </c>
      <c r="M440" s="13">
        <v>0.9</v>
      </c>
      <c r="P440" s="12" t="s">
        <v>14</v>
      </c>
      <c r="Q440" s="12"/>
      <c r="R440" s="12"/>
      <c r="S440" t="s">
        <v>116</v>
      </c>
      <c r="T440">
        <f t="shared" si="12"/>
        <v>2.5</v>
      </c>
      <c r="U440">
        <f t="shared" si="13"/>
        <v>3.1512678732195281</v>
      </c>
    </row>
    <row r="441" spans="1:21">
      <c r="A441" s="9">
        <v>0</v>
      </c>
      <c r="B441" s="9">
        <v>0</v>
      </c>
      <c r="C441" s="11">
        <v>4.289145621441091</v>
      </c>
      <c r="D441" s="11">
        <v>8.9312426529400941</v>
      </c>
      <c r="E441" s="11"/>
      <c r="F441" s="12">
        <v>6</v>
      </c>
      <c r="G441" s="12" t="s">
        <v>13</v>
      </c>
      <c r="H441" s="13"/>
      <c r="I441" s="14">
        <v>2.5099999999999998</v>
      </c>
      <c r="J441" s="14">
        <v>8.8000000000000007</v>
      </c>
      <c r="K441" s="14"/>
      <c r="L441" s="13">
        <v>5.3</v>
      </c>
      <c r="M441" s="13">
        <v>1.4</v>
      </c>
      <c r="P441" s="12" t="s">
        <v>14</v>
      </c>
      <c r="Q441" s="12"/>
      <c r="R441" s="12"/>
      <c r="T441">
        <f t="shared" si="12"/>
        <v>2.5099999999999998</v>
      </c>
      <c r="U441">
        <f t="shared" si="13"/>
        <v>2.8011269984173581</v>
      </c>
    </row>
    <row r="442" spans="1:21">
      <c r="A442" s="12">
        <v>10</v>
      </c>
      <c r="B442" s="12">
        <v>20</v>
      </c>
      <c r="C442" s="11">
        <v>19.494916087232173</v>
      </c>
      <c r="D442" s="11">
        <v>28.802292130563277</v>
      </c>
      <c r="E442" s="11"/>
      <c r="F442" s="12">
        <v>88</v>
      </c>
      <c r="G442" s="12" t="s">
        <v>13</v>
      </c>
      <c r="H442" s="13"/>
      <c r="I442" s="14">
        <v>2.5299999999999998</v>
      </c>
      <c r="J442" s="14">
        <v>8.3000000000000007</v>
      </c>
      <c r="K442" s="14"/>
      <c r="L442" s="13">
        <v>2.9</v>
      </c>
      <c r="M442" s="13">
        <v>0.5</v>
      </c>
      <c r="P442" s="12" t="s">
        <v>14</v>
      </c>
      <c r="Q442" s="12"/>
      <c r="R442" s="12"/>
      <c r="T442">
        <f t="shared" si="12"/>
        <v>2.5299999999999998</v>
      </c>
      <c r="U442">
        <f t="shared" si="13"/>
        <v>2.6419720553254629</v>
      </c>
    </row>
    <row r="443" spans="1:21">
      <c r="A443" s="12">
        <v>10</v>
      </c>
      <c r="B443" s="12">
        <v>-40</v>
      </c>
      <c r="C443" s="11">
        <v>16.03191023543113</v>
      </c>
      <c r="D443" s="11">
        <v>-32.98725739017172</v>
      </c>
      <c r="E443" s="11"/>
      <c r="F443" s="10">
        <v>723</v>
      </c>
      <c r="G443" s="12" t="s">
        <v>11</v>
      </c>
      <c r="H443" s="13"/>
      <c r="I443" s="14">
        <v>2.54</v>
      </c>
      <c r="J443" s="14" t="s">
        <v>70</v>
      </c>
      <c r="K443" s="14"/>
      <c r="L443" s="13">
        <v>2.9</v>
      </c>
      <c r="M443" s="13"/>
      <c r="P443" s="12" t="s">
        <v>12</v>
      </c>
      <c r="Q443" s="12"/>
      <c r="R443" s="12"/>
      <c r="T443">
        <f t="shared" si="12"/>
        <v>2.54</v>
      </c>
      <c r="U443" t="str">
        <f t="shared" si="13"/>
        <v>dead</v>
      </c>
    </row>
    <row r="444" spans="1:21">
      <c r="A444" s="12">
        <v>20</v>
      </c>
      <c r="B444" s="12">
        <v>-20</v>
      </c>
      <c r="C444" s="11">
        <v>28.354822578651021</v>
      </c>
      <c r="D444" s="11">
        <v>-30.157632167601044</v>
      </c>
      <c r="E444" s="11"/>
      <c r="F444" s="10">
        <v>715</v>
      </c>
      <c r="G444" s="12" t="s">
        <v>11</v>
      </c>
      <c r="H444" s="13"/>
      <c r="I444" s="14">
        <v>2.5499999999999998</v>
      </c>
      <c r="J444" s="14" t="s">
        <v>70</v>
      </c>
      <c r="K444" s="14"/>
      <c r="L444" s="13">
        <v>3.4</v>
      </c>
      <c r="M444" s="13">
        <v>0.2</v>
      </c>
      <c r="P444" s="12" t="s">
        <v>14</v>
      </c>
      <c r="Q444" s="12"/>
      <c r="R444" s="12"/>
      <c r="T444">
        <f t="shared" si="12"/>
        <v>2.5499999999999998</v>
      </c>
      <c r="U444" t="str">
        <f t="shared" si="13"/>
        <v>dead</v>
      </c>
    </row>
    <row r="445" spans="1:21">
      <c r="A445" s="9">
        <v>20</v>
      </c>
      <c r="B445" s="9">
        <v>-10</v>
      </c>
      <c r="C445" s="11">
        <v>21.74400471974932</v>
      </c>
      <c r="D445" s="11">
        <v>-9.6175914129299045</v>
      </c>
      <c r="E445" s="11"/>
      <c r="F445" s="12">
        <v>410</v>
      </c>
      <c r="G445" s="12" t="s">
        <v>13</v>
      </c>
      <c r="H445" s="13"/>
      <c r="I445" s="14">
        <v>2.59</v>
      </c>
      <c r="J445" s="14"/>
      <c r="K445" s="14">
        <v>28.5</v>
      </c>
      <c r="L445" s="13">
        <v>2.7</v>
      </c>
      <c r="M445" s="13">
        <v>1.4</v>
      </c>
      <c r="P445" s="12" t="s">
        <v>14</v>
      </c>
      <c r="Q445" s="12"/>
      <c r="R445" s="12"/>
      <c r="T445">
        <f t="shared" si="12"/>
        <v>2.59</v>
      </c>
      <c r="U445">
        <f t="shared" si="13"/>
        <v>28.5</v>
      </c>
    </row>
    <row r="446" spans="1:21">
      <c r="A446" s="12">
        <v>30</v>
      </c>
      <c r="B446" s="12">
        <v>-10</v>
      </c>
      <c r="C446" s="11">
        <v>38.935523972621638</v>
      </c>
      <c r="D446" s="11">
        <v>-4.0240656975551694</v>
      </c>
      <c r="E446" s="11"/>
      <c r="F446" s="10">
        <v>443</v>
      </c>
      <c r="G446" s="12" t="s">
        <v>13</v>
      </c>
      <c r="H446" s="13"/>
      <c r="I446" s="14">
        <v>2.59</v>
      </c>
      <c r="J446" s="14">
        <v>9.8000000000000007</v>
      </c>
      <c r="K446" s="14"/>
      <c r="L446" s="13">
        <v>3.4</v>
      </c>
      <c r="M446" s="13">
        <v>1.1000000000000001</v>
      </c>
      <c r="P446" s="12" t="s">
        <v>14</v>
      </c>
      <c r="Q446" s="12"/>
      <c r="R446" s="12"/>
      <c r="T446">
        <f t="shared" si="12"/>
        <v>2.59</v>
      </c>
      <c r="U446">
        <f t="shared" si="13"/>
        <v>3.1194368846011491</v>
      </c>
    </row>
    <row r="447" spans="1:21">
      <c r="A447" s="12">
        <v>10</v>
      </c>
      <c r="B447" s="12">
        <v>-30</v>
      </c>
      <c r="C447" s="11">
        <v>12.35821974330851</v>
      </c>
      <c r="D447" s="11">
        <v>-20.44350538737352</v>
      </c>
      <c r="E447" s="11"/>
      <c r="F447" s="10">
        <v>619</v>
      </c>
      <c r="G447" s="12" t="s">
        <v>11</v>
      </c>
      <c r="H447" s="13"/>
      <c r="I447" s="14">
        <v>2.6</v>
      </c>
      <c r="J447" s="14">
        <v>11</v>
      </c>
      <c r="K447" s="14"/>
      <c r="L447" s="13">
        <v>3.7</v>
      </c>
      <c r="M447" s="13">
        <v>0.1</v>
      </c>
      <c r="P447" s="12" t="s">
        <v>14</v>
      </c>
      <c r="Q447" s="12"/>
      <c r="R447" s="12"/>
      <c r="T447">
        <f t="shared" si="12"/>
        <v>2.6</v>
      </c>
      <c r="U447">
        <f t="shared" si="13"/>
        <v>3.5014087480216975</v>
      </c>
    </row>
    <row r="448" spans="1:21">
      <c r="A448" s="12">
        <v>40</v>
      </c>
      <c r="B448" s="12">
        <v>-40</v>
      </c>
      <c r="C448" s="11">
        <v>42.997273962603202</v>
      </c>
      <c r="D448" s="11">
        <v>-35.556358611104976</v>
      </c>
      <c r="E448" s="11"/>
      <c r="F448" s="10">
        <v>707</v>
      </c>
      <c r="G448" s="12" t="s">
        <v>51</v>
      </c>
      <c r="H448" s="13"/>
      <c r="I448" s="14">
        <v>2.61</v>
      </c>
      <c r="J448" s="14" t="s">
        <v>70</v>
      </c>
      <c r="K448" s="14"/>
      <c r="L448" s="13">
        <v>2</v>
      </c>
      <c r="M448" s="13"/>
      <c r="P448" s="12" t="s">
        <v>12</v>
      </c>
      <c r="Q448" s="12"/>
      <c r="R448" s="12" t="s">
        <v>16</v>
      </c>
      <c r="T448">
        <f t="shared" si="12"/>
        <v>2.61</v>
      </c>
      <c r="U448" t="str">
        <f t="shared" si="13"/>
        <v>dead</v>
      </c>
    </row>
    <row r="449" spans="1:21">
      <c r="A449" s="9">
        <v>20</v>
      </c>
      <c r="B449" s="9">
        <v>-10</v>
      </c>
      <c r="C449" s="11">
        <v>22.085349303121198</v>
      </c>
      <c r="D449" s="11">
        <v>-9.5621753675044623</v>
      </c>
      <c r="E449" s="11"/>
      <c r="F449" s="12">
        <v>414</v>
      </c>
      <c r="G449" s="12" t="s">
        <v>13</v>
      </c>
      <c r="H449" s="13"/>
      <c r="I449" s="14">
        <v>2.62</v>
      </c>
      <c r="J449" s="14"/>
      <c r="K449" s="14">
        <v>29.4</v>
      </c>
      <c r="L449" s="13">
        <v>3</v>
      </c>
      <c r="M449" s="13">
        <v>1.3</v>
      </c>
      <c r="P449" s="12" t="s">
        <v>14</v>
      </c>
      <c r="Q449" s="12"/>
      <c r="R449" s="12"/>
      <c r="T449">
        <f t="shared" si="12"/>
        <v>2.62</v>
      </c>
      <c r="U449">
        <f t="shared" si="13"/>
        <v>29.4</v>
      </c>
    </row>
    <row r="450" spans="1:21">
      <c r="A450" s="12">
        <v>40</v>
      </c>
      <c r="B450" s="12">
        <v>20</v>
      </c>
      <c r="C450" s="11">
        <v>42.218768942491181</v>
      </c>
      <c r="D450" s="11">
        <v>29.27455042198882</v>
      </c>
      <c r="E450" s="11"/>
      <c r="F450" s="10">
        <v>293</v>
      </c>
      <c r="G450" s="12" t="s">
        <v>13</v>
      </c>
      <c r="H450" s="13"/>
      <c r="I450" s="14">
        <v>2.65</v>
      </c>
      <c r="J450" s="14" t="s">
        <v>70</v>
      </c>
      <c r="K450" s="14"/>
      <c r="L450" s="13">
        <v>2.9</v>
      </c>
      <c r="M450" s="13">
        <v>2</v>
      </c>
      <c r="P450" s="12" t="s">
        <v>14</v>
      </c>
      <c r="Q450" s="12"/>
      <c r="R450" s="12"/>
      <c r="T450">
        <f t="shared" ref="T450:T513" si="14">IF(H450="",I450,H450/PI())</f>
        <v>2.65</v>
      </c>
      <c r="U450" t="str">
        <f t="shared" ref="U450:U513" si="15">IF(J450="dead","dead",J450/PI()+K450)</f>
        <v>dead</v>
      </c>
    </row>
    <row r="451" spans="1:21">
      <c r="A451" s="12">
        <v>40</v>
      </c>
      <c r="B451" s="12">
        <v>-20</v>
      </c>
      <c r="C451" s="11">
        <v>49.449481850504085</v>
      </c>
      <c r="D451" s="11">
        <v>-10.098958359898518</v>
      </c>
      <c r="E451" s="11"/>
      <c r="F451" s="12">
        <v>504</v>
      </c>
      <c r="G451" s="12" t="s">
        <v>13</v>
      </c>
      <c r="H451" s="13"/>
      <c r="I451" s="14">
        <v>2.65</v>
      </c>
      <c r="J451" s="14"/>
      <c r="K451" s="14">
        <v>25.3</v>
      </c>
      <c r="L451" s="13">
        <v>3.2</v>
      </c>
      <c r="M451" s="13">
        <v>1.5</v>
      </c>
      <c r="P451" s="12" t="s">
        <v>14</v>
      </c>
      <c r="Q451" s="12"/>
      <c r="R451" s="12"/>
      <c r="T451">
        <f t="shared" si="14"/>
        <v>2.65</v>
      </c>
      <c r="U451">
        <f t="shared" si="15"/>
        <v>25.3</v>
      </c>
    </row>
    <row r="452" spans="1:21">
      <c r="A452" s="12">
        <v>20</v>
      </c>
      <c r="B452" s="12">
        <v>0</v>
      </c>
      <c r="C452" s="11">
        <v>29.525739770440893</v>
      </c>
      <c r="D452" s="11">
        <v>6.8449384092072521</v>
      </c>
      <c r="E452" s="11"/>
      <c r="F452" s="12">
        <v>124</v>
      </c>
      <c r="G452" s="12" t="s">
        <v>11</v>
      </c>
      <c r="H452" s="13"/>
      <c r="I452" s="14">
        <v>2.67</v>
      </c>
      <c r="J452" s="14">
        <v>12.2</v>
      </c>
      <c r="K452" s="14"/>
      <c r="L452" s="13">
        <v>3.2</v>
      </c>
      <c r="M452" s="13">
        <v>1.2</v>
      </c>
      <c r="P452" s="12" t="s">
        <v>14</v>
      </c>
      <c r="Q452" s="12"/>
      <c r="R452" s="12"/>
      <c r="T452">
        <f t="shared" si="14"/>
        <v>2.67</v>
      </c>
      <c r="U452">
        <f t="shared" si="15"/>
        <v>3.883380611442246</v>
      </c>
    </row>
    <row r="453" spans="1:21">
      <c r="A453" s="12">
        <v>40</v>
      </c>
      <c r="B453" s="12">
        <v>-10</v>
      </c>
      <c r="C453" s="11">
        <v>43.779331656060187</v>
      </c>
      <c r="D453" s="11">
        <v>-9.7158306253282198</v>
      </c>
      <c r="E453" s="11"/>
      <c r="F453" s="12">
        <v>454</v>
      </c>
      <c r="G453" s="12" t="s">
        <v>13</v>
      </c>
      <c r="H453" s="13"/>
      <c r="I453" s="14">
        <v>2.69</v>
      </c>
      <c r="J453" s="14">
        <v>9.6</v>
      </c>
      <c r="K453" s="14"/>
      <c r="L453" s="13">
        <v>2.2999999999999998</v>
      </c>
      <c r="M453" s="13">
        <v>1.3</v>
      </c>
      <c r="P453" s="12" t="s">
        <v>14</v>
      </c>
      <c r="Q453" s="12"/>
      <c r="R453" s="12" t="s">
        <v>36</v>
      </c>
      <c r="T453">
        <f t="shared" si="14"/>
        <v>2.69</v>
      </c>
      <c r="U453">
        <f t="shared" si="15"/>
        <v>3.0557749073643903</v>
      </c>
    </row>
    <row r="454" spans="1:21">
      <c r="A454" s="12">
        <v>40</v>
      </c>
      <c r="B454" s="12">
        <v>0</v>
      </c>
      <c r="C454" s="11">
        <v>40.363569407803752</v>
      </c>
      <c r="D454" s="11">
        <v>7.678294315441935</v>
      </c>
      <c r="E454" s="11"/>
      <c r="F454" s="12">
        <v>272</v>
      </c>
      <c r="G454" s="12" t="s">
        <v>11</v>
      </c>
      <c r="H454" s="13"/>
      <c r="I454" s="14">
        <v>2.7</v>
      </c>
      <c r="J454" s="14">
        <v>12.3</v>
      </c>
      <c r="K454" s="14"/>
      <c r="L454" s="13">
        <v>3.5</v>
      </c>
      <c r="M454" s="13">
        <v>0.8</v>
      </c>
      <c r="P454" s="12" t="s">
        <v>14</v>
      </c>
      <c r="Q454" s="12"/>
      <c r="R454" s="12"/>
      <c r="T454">
        <f t="shared" si="14"/>
        <v>2.7</v>
      </c>
      <c r="U454">
        <f t="shared" si="15"/>
        <v>3.9152116000606259</v>
      </c>
    </row>
    <row r="455" spans="1:21">
      <c r="A455" s="12">
        <v>40</v>
      </c>
      <c r="B455" s="12">
        <v>30</v>
      </c>
      <c r="C455" s="11">
        <v>49.773513708524909</v>
      </c>
      <c r="D455" s="11">
        <v>30.732767189728435</v>
      </c>
      <c r="E455" s="11"/>
      <c r="F455" s="12">
        <v>328</v>
      </c>
      <c r="G455" s="12" t="s">
        <v>30</v>
      </c>
      <c r="H455" s="13"/>
      <c r="I455" s="14">
        <v>2.71</v>
      </c>
      <c r="J455" s="14"/>
      <c r="K455" s="14">
        <v>10</v>
      </c>
      <c r="L455" s="13">
        <v>3.5</v>
      </c>
      <c r="M455" s="13">
        <v>1.3</v>
      </c>
      <c r="P455" s="12" t="s">
        <v>14</v>
      </c>
      <c r="Q455" s="12"/>
      <c r="R455" s="12"/>
      <c r="T455">
        <f t="shared" si="14"/>
        <v>2.71</v>
      </c>
      <c r="U455">
        <f t="shared" si="15"/>
        <v>10</v>
      </c>
    </row>
    <row r="456" spans="1:21">
      <c r="A456" s="12">
        <v>10</v>
      </c>
      <c r="B456" s="12">
        <v>40</v>
      </c>
      <c r="C456" s="11">
        <v>17.956442225570612</v>
      </c>
      <c r="D456" s="11">
        <v>43.611976138150581</v>
      </c>
      <c r="E456" s="11"/>
      <c r="F456" s="12">
        <v>80</v>
      </c>
      <c r="G456" s="12" t="s">
        <v>11</v>
      </c>
      <c r="H456" s="13"/>
      <c r="I456" s="14">
        <v>2.74</v>
      </c>
      <c r="J456" s="14" t="s">
        <v>79</v>
      </c>
      <c r="K456" s="14"/>
      <c r="L456" s="13">
        <v>3.8</v>
      </c>
      <c r="M456" s="13"/>
      <c r="N456" s="32"/>
      <c r="O456" s="32"/>
      <c r="P456" s="12" t="s">
        <v>12</v>
      </c>
      <c r="Q456" s="12"/>
      <c r="R456" s="12"/>
      <c r="S456" s="32" t="s">
        <v>78</v>
      </c>
      <c r="T456">
        <f t="shared" si="14"/>
        <v>2.74</v>
      </c>
      <c r="U456" t="str">
        <f t="shared" si="15"/>
        <v>dead</v>
      </c>
    </row>
    <row r="457" spans="1:21">
      <c r="A457" s="12">
        <v>20</v>
      </c>
      <c r="B457" s="12">
        <v>-20</v>
      </c>
      <c r="C457" s="11">
        <v>29.713889649171939</v>
      </c>
      <c r="D457" s="11">
        <v>-12.910675840863741</v>
      </c>
      <c r="E457" s="11"/>
      <c r="F457" s="12">
        <v>536</v>
      </c>
      <c r="G457" s="12" t="s">
        <v>13</v>
      </c>
      <c r="H457" s="13"/>
      <c r="I457" s="14">
        <v>2.77</v>
      </c>
      <c r="J457" s="14">
        <v>9</v>
      </c>
      <c r="K457" s="14"/>
      <c r="L457" s="13">
        <v>2.4</v>
      </c>
      <c r="M457" s="13">
        <v>1.8</v>
      </c>
      <c r="P457" s="12" t="s">
        <v>14</v>
      </c>
      <c r="Q457" s="12"/>
      <c r="R457" s="12"/>
      <c r="T457">
        <f t="shared" si="14"/>
        <v>2.77</v>
      </c>
      <c r="U457">
        <f t="shared" si="15"/>
        <v>2.8647889756541161</v>
      </c>
    </row>
    <row r="458" spans="1:21">
      <c r="A458" s="12">
        <v>20</v>
      </c>
      <c r="B458" s="12">
        <v>-20</v>
      </c>
      <c r="C458" s="11">
        <v>26.831865447207264</v>
      </c>
      <c r="D458" s="11">
        <v>-13.479171223085471</v>
      </c>
      <c r="E458" s="11"/>
      <c r="F458" s="12">
        <v>554</v>
      </c>
      <c r="G458" s="12" t="s">
        <v>13</v>
      </c>
      <c r="H458" s="13"/>
      <c r="I458" s="14">
        <v>2.8</v>
      </c>
      <c r="J458" s="14">
        <v>10</v>
      </c>
      <c r="K458" s="14"/>
      <c r="L458" s="13">
        <v>4.2</v>
      </c>
      <c r="M458" s="13">
        <v>1.1000000000000001</v>
      </c>
      <c r="P458" s="12" t="s">
        <v>14</v>
      </c>
      <c r="Q458" s="12"/>
      <c r="R458" s="12"/>
      <c r="T458">
        <f t="shared" si="14"/>
        <v>2.8</v>
      </c>
      <c r="U458">
        <f t="shared" si="15"/>
        <v>3.183098861837907</v>
      </c>
    </row>
    <row r="459" spans="1:21">
      <c r="A459" s="12">
        <v>30</v>
      </c>
      <c r="B459" s="12">
        <v>0</v>
      </c>
      <c r="C459" s="11">
        <v>34.144984640554</v>
      </c>
      <c r="D459" s="11">
        <v>6.625994983282995</v>
      </c>
      <c r="E459" s="11"/>
      <c r="F459" s="12">
        <v>256</v>
      </c>
      <c r="G459" s="12" t="s">
        <v>21</v>
      </c>
      <c r="H459" s="13">
        <v>8.8000000000000007</v>
      </c>
      <c r="I459" s="14"/>
      <c r="J459" s="14">
        <v>10.7</v>
      </c>
      <c r="K459" s="14"/>
      <c r="L459" s="13">
        <v>4.0999999999999996</v>
      </c>
      <c r="M459" s="13">
        <v>1.3</v>
      </c>
      <c r="P459" s="12" t="s">
        <v>14</v>
      </c>
      <c r="Q459" s="12"/>
      <c r="R459" s="12"/>
      <c r="T459">
        <f t="shared" si="14"/>
        <v>2.8011269984173581</v>
      </c>
      <c r="U459">
        <f t="shared" si="15"/>
        <v>3.4059157821665602</v>
      </c>
    </row>
    <row r="460" spans="1:21">
      <c r="A460" s="12">
        <v>30</v>
      </c>
      <c r="B460" s="12">
        <v>10</v>
      </c>
      <c r="C460" s="11">
        <v>31.999387380366926</v>
      </c>
      <c r="D460" s="11">
        <v>17.176163938322645</v>
      </c>
      <c r="E460" s="11"/>
      <c r="F460" s="10">
        <v>227</v>
      </c>
      <c r="G460" s="12" t="s">
        <v>13</v>
      </c>
      <c r="H460" s="13">
        <v>8.9</v>
      </c>
      <c r="I460" s="14"/>
      <c r="J460" s="14">
        <v>9.3000000000000007</v>
      </c>
      <c r="K460" s="14"/>
      <c r="L460" s="13">
        <v>3.1</v>
      </c>
      <c r="M460" s="13">
        <v>1.1000000000000001</v>
      </c>
      <c r="P460" s="12" t="s">
        <v>14</v>
      </c>
      <c r="Q460" s="12"/>
      <c r="R460" s="12"/>
      <c r="T460">
        <f t="shared" si="14"/>
        <v>2.8329579870357371</v>
      </c>
      <c r="U460">
        <f t="shared" si="15"/>
        <v>2.9602819415092534</v>
      </c>
    </row>
    <row r="461" spans="1:21">
      <c r="A461" s="12">
        <v>0</v>
      </c>
      <c r="B461" s="12">
        <v>-30</v>
      </c>
      <c r="C461" s="11">
        <v>4.2577377029180168</v>
      </c>
      <c r="D461" s="11">
        <v>-22.874209476824216</v>
      </c>
      <c r="E461" s="11"/>
      <c r="F461" s="10">
        <v>605</v>
      </c>
      <c r="G461" s="12" t="s">
        <v>11</v>
      </c>
      <c r="H461" s="13">
        <v>8.9</v>
      </c>
      <c r="I461" s="14"/>
      <c r="J461" s="14">
        <v>10.7</v>
      </c>
      <c r="K461" s="14"/>
      <c r="L461" s="13">
        <v>3.1</v>
      </c>
      <c r="M461" s="13">
        <v>0.5</v>
      </c>
      <c r="P461" s="12" t="s">
        <v>14</v>
      </c>
      <c r="Q461" s="12"/>
      <c r="R461" s="12"/>
      <c r="S461" t="s">
        <v>106</v>
      </c>
      <c r="T461">
        <f t="shared" si="14"/>
        <v>2.8329579870357371</v>
      </c>
      <c r="U461">
        <f t="shared" si="15"/>
        <v>3.4059157821665602</v>
      </c>
    </row>
    <row r="462" spans="1:21">
      <c r="A462" s="9">
        <v>0</v>
      </c>
      <c r="B462" s="9">
        <v>0</v>
      </c>
      <c r="C462" s="11">
        <v>4.3847909736452664</v>
      </c>
      <c r="D462" s="11">
        <v>9.0804742579218729</v>
      </c>
      <c r="E462" s="11"/>
      <c r="F462" s="12">
        <v>8</v>
      </c>
      <c r="G462" s="12" t="s">
        <v>13</v>
      </c>
      <c r="H462" s="13"/>
      <c r="I462" s="14">
        <v>2.84</v>
      </c>
      <c r="J462" s="14">
        <v>10.1</v>
      </c>
      <c r="K462" s="14"/>
      <c r="L462" s="13">
        <v>4</v>
      </c>
      <c r="M462" s="13">
        <v>1.6</v>
      </c>
      <c r="P462" s="12" t="s">
        <v>14</v>
      </c>
      <c r="Q462" s="12"/>
      <c r="R462" s="12"/>
      <c r="T462">
        <f t="shared" si="14"/>
        <v>2.84</v>
      </c>
      <c r="U462">
        <f t="shared" si="15"/>
        <v>3.214929850456286</v>
      </c>
    </row>
    <row r="463" spans="1:21">
      <c r="A463" s="12">
        <v>30</v>
      </c>
      <c r="B463" s="12">
        <v>-20</v>
      </c>
      <c r="C463" s="11">
        <v>34.082172203010693</v>
      </c>
      <c r="D463" s="11">
        <v>-14.205581311207848</v>
      </c>
      <c r="E463" s="11"/>
      <c r="F463" s="10">
        <v>525</v>
      </c>
      <c r="G463" s="12" t="s">
        <v>11</v>
      </c>
      <c r="H463" s="13"/>
      <c r="I463" s="14">
        <v>2.85</v>
      </c>
      <c r="J463" s="14" t="s">
        <v>70</v>
      </c>
      <c r="K463" s="14"/>
      <c r="L463" s="13">
        <v>3.7</v>
      </c>
      <c r="M463" s="13"/>
      <c r="P463" s="12" t="s">
        <v>12</v>
      </c>
      <c r="Q463" s="12"/>
      <c r="R463" s="12"/>
      <c r="T463">
        <f t="shared" si="14"/>
        <v>2.85</v>
      </c>
      <c r="U463" t="str">
        <f t="shared" si="15"/>
        <v>dead</v>
      </c>
    </row>
    <row r="464" spans="1:21">
      <c r="A464" s="12">
        <v>40</v>
      </c>
      <c r="B464" s="12">
        <v>-20</v>
      </c>
      <c r="C464" s="11">
        <v>49.102832546654355</v>
      </c>
      <c r="D464" s="11">
        <v>-16.139938080108806</v>
      </c>
      <c r="E464" s="11"/>
      <c r="F464" s="12">
        <v>508</v>
      </c>
      <c r="G464" s="12" t="s">
        <v>13</v>
      </c>
      <c r="H464" s="13"/>
      <c r="I464" s="14">
        <v>2.89</v>
      </c>
      <c r="J464" s="14">
        <v>10.4</v>
      </c>
      <c r="K464" s="14"/>
      <c r="L464" s="13">
        <v>3.7</v>
      </c>
      <c r="M464" s="13">
        <v>1.3</v>
      </c>
      <c r="P464" s="12" t="s">
        <v>14</v>
      </c>
      <c r="Q464" s="12"/>
      <c r="R464" s="12"/>
      <c r="T464">
        <f t="shared" si="14"/>
        <v>2.89</v>
      </c>
      <c r="U464">
        <f t="shared" si="15"/>
        <v>3.3104228163114233</v>
      </c>
    </row>
    <row r="465" spans="1:21">
      <c r="A465" s="9">
        <v>0</v>
      </c>
      <c r="B465" s="12">
        <v>10</v>
      </c>
      <c r="C465" s="11">
        <v>6.9886929587789961</v>
      </c>
      <c r="D465" s="11">
        <v>17.927321735838202</v>
      </c>
      <c r="E465" s="11"/>
      <c r="F465" s="10">
        <v>23</v>
      </c>
      <c r="G465" s="12" t="s">
        <v>13</v>
      </c>
      <c r="H465" s="13">
        <v>9.1</v>
      </c>
      <c r="I465" s="14"/>
      <c r="J465" s="14">
        <v>9.3000000000000007</v>
      </c>
      <c r="K465" s="14"/>
      <c r="L465" s="13">
        <v>2.9</v>
      </c>
      <c r="M465" s="13">
        <v>1.1000000000000001</v>
      </c>
      <c r="P465" s="12" t="s">
        <v>14</v>
      </c>
      <c r="Q465" s="12"/>
      <c r="R465" s="12"/>
      <c r="T465">
        <f t="shared" si="14"/>
        <v>2.896619964272495</v>
      </c>
      <c r="U465">
        <f t="shared" si="15"/>
        <v>2.9602819415092534</v>
      </c>
    </row>
    <row r="466" spans="1:21">
      <c r="A466" s="12">
        <v>10</v>
      </c>
      <c r="B466" s="12">
        <v>40</v>
      </c>
      <c r="C466" s="11">
        <v>18.446376209973945</v>
      </c>
      <c r="D466" s="11">
        <v>46.095108950549211</v>
      </c>
      <c r="E466" s="11"/>
      <c r="F466" s="10">
        <v>79</v>
      </c>
      <c r="G466" s="12" t="s">
        <v>11</v>
      </c>
      <c r="H466" s="13">
        <v>9.1</v>
      </c>
      <c r="I466" s="14"/>
      <c r="J466" s="14">
        <v>12</v>
      </c>
      <c r="K466" s="14"/>
      <c r="L466" s="13">
        <v>3</v>
      </c>
      <c r="M466" s="13">
        <v>0.4</v>
      </c>
      <c r="P466" s="12" t="s">
        <v>14</v>
      </c>
      <c r="Q466" s="12"/>
      <c r="R466" s="12"/>
      <c r="T466">
        <f t="shared" si="14"/>
        <v>2.896619964272495</v>
      </c>
      <c r="U466">
        <f t="shared" si="15"/>
        <v>3.8197186342054881</v>
      </c>
    </row>
    <row r="467" spans="1:21">
      <c r="A467" s="12">
        <v>30</v>
      </c>
      <c r="B467" s="12">
        <v>0</v>
      </c>
      <c r="C467" s="11">
        <v>33.495999755650672</v>
      </c>
      <c r="D467" s="11">
        <v>9.0689354720097679</v>
      </c>
      <c r="E467" s="11"/>
      <c r="F467" s="10">
        <v>251</v>
      </c>
      <c r="G467" s="12" t="s">
        <v>13</v>
      </c>
      <c r="H467" s="13"/>
      <c r="I467" s="14">
        <v>2.9</v>
      </c>
      <c r="J467" s="14" t="s">
        <v>70</v>
      </c>
      <c r="K467" s="14"/>
      <c r="L467" s="13">
        <v>1.4</v>
      </c>
      <c r="M467" s="13"/>
      <c r="P467" s="12" t="s">
        <v>12</v>
      </c>
      <c r="Q467" s="12"/>
      <c r="R467" s="12"/>
      <c r="T467">
        <f t="shared" si="14"/>
        <v>2.9</v>
      </c>
      <c r="U467" t="str">
        <f t="shared" si="15"/>
        <v>dead</v>
      </c>
    </row>
    <row r="468" spans="1:21">
      <c r="A468" s="12">
        <v>10</v>
      </c>
      <c r="B468" s="12">
        <v>20</v>
      </c>
      <c r="C468" s="11">
        <v>10.120495513001957</v>
      </c>
      <c r="D468" s="11">
        <v>24.04790940749756</v>
      </c>
      <c r="E468" s="11"/>
      <c r="F468" s="10">
        <v>99</v>
      </c>
      <c r="G468" s="12" t="s">
        <v>11</v>
      </c>
      <c r="H468" s="13">
        <v>9.1999999999999993</v>
      </c>
      <c r="I468" s="14"/>
      <c r="J468" s="14">
        <v>13.1</v>
      </c>
      <c r="K468" s="14"/>
      <c r="L468" s="13">
        <v>3.6</v>
      </c>
      <c r="M468" s="13">
        <v>0.2</v>
      </c>
      <c r="P468" s="12" t="s">
        <v>14</v>
      </c>
      <c r="Q468" s="12"/>
      <c r="R468" s="12"/>
      <c r="T468">
        <f t="shared" si="14"/>
        <v>2.928450952890874</v>
      </c>
      <c r="U468">
        <f t="shared" si="15"/>
        <v>4.169859509007658</v>
      </c>
    </row>
    <row r="469" spans="1:21">
      <c r="A469" s="12">
        <v>20</v>
      </c>
      <c r="B469" s="12">
        <v>40</v>
      </c>
      <c r="C469" s="11">
        <v>25.791475915445979</v>
      </c>
      <c r="D469" s="11">
        <v>46.638893486177437</v>
      </c>
      <c r="E469" s="11"/>
      <c r="F469" s="12">
        <v>198</v>
      </c>
      <c r="G469" s="12" t="s">
        <v>13</v>
      </c>
      <c r="H469" s="13">
        <v>9.1999999999999993</v>
      </c>
      <c r="I469" s="14"/>
      <c r="J469" s="14" t="s">
        <v>79</v>
      </c>
      <c r="K469" s="14"/>
      <c r="L469" s="13">
        <v>2.8</v>
      </c>
      <c r="M469" s="13"/>
      <c r="P469" s="12" t="s">
        <v>12</v>
      </c>
      <c r="Q469" s="12"/>
      <c r="R469" s="12"/>
      <c r="T469">
        <f t="shared" si="14"/>
        <v>2.928450952890874</v>
      </c>
      <c r="U469" t="str">
        <f t="shared" si="15"/>
        <v>dead</v>
      </c>
    </row>
    <row r="470" spans="1:21">
      <c r="A470" s="12">
        <v>40</v>
      </c>
      <c r="B470" s="12">
        <v>-20</v>
      </c>
      <c r="C470" s="11">
        <v>47.913619609306409</v>
      </c>
      <c r="D470" s="11">
        <v>-10.317843796857876</v>
      </c>
      <c r="E470" s="11"/>
      <c r="F470" s="12">
        <v>502</v>
      </c>
      <c r="G470" s="12" t="s">
        <v>13</v>
      </c>
      <c r="H470" s="13">
        <v>9.1999999999999993</v>
      </c>
      <c r="I470" s="14"/>
      <c r="J470" s="14">
        <v>9.4</v>
      </c>
      <c r="K470" s="14"/>
      <c r="L470" s="13">
        <v>2.7</v>
      </c>
      <c r="M470" s="13">
        <v>1.7</v>
      </c>
      <c r="P470" s="12" t="s">
        <v>14</v>
      </c>
      <c r="Q470" s="12"/>
      <c r="R470" s="12"/>
      <c r="T470">
        <f t="shared" si="14"/>
        <v>2.928450952890874</v>
      </c>
      <c r="U470">
        <f t="shared" si="15"/>
        <v>2.9921129301276324</v>
      </c>
    </row>
    <row r="471" spans="1:21">
      <c r="A471" s="12">
        <v>30</v>
      </c>
      <c r="B471" s="12">
        <v>10</v>
      </c>
      <c r="C471" s="11">
        <v>32.324126605413987</v>
      </c>
      <c r="D471" s="11">
        <v>17.643193787769803</v>
      </c>
      <c r="E471" s="11"/>
      <c r="F471" s="10">
        <v>219</v>
      </c>
      <c r="G471" s="12" t="s">
        <v>13</v>
      </c>
      <c r="H471" s="13"/>
      <c r="I471" s="14">
        <v>2.93</v>
      </c>
      <c r="J471" s="14">
        <v>9.9</v>
      </c>
      <c r="K471" s="14"/>
      <c r="L471" s="13">
        <v>4.2</v>
      </c>
      <c r="M471" s="13">
        <v>1.7</v>
      </c>
      <c r="P471" s="12" t="s">
        <v>14</v>
      </c>
      <c r="Q471" s="12"/>
      <c r="R471" s="12"/>
      <c r="T471">
        <f t="shared" si="14"/>
        <v>2.93</v>
      </c>
      <c r="U471">
        <f t="shared" si="15"/>
        <v>3.1512678732195281</v>
      </c>
    </row>
    <row r="472" spans="1:21">
      <c r="A472" s="12">
        <v>30</v>
      </c>
      <c r="B472" s="12">
        <v>0</v>
      </c>
      <c r="C472" s="11">
        <v>33.861205161092634</v>
      </c>
      <c r="D472" s="11">
        <v>9.3143433199608303</v>
      </c>
      <c r="E472" s="11"/>
      <c r="F472" s="10">
        <v>249</v>
      </c>
      <c r="G472" s="12" t="s">
        <v>13</v>
      </c>
      <c r="H472" s="13"/>
      <c r="I472" s="14">
        <v>2.93</v>
      </c>
      <c r="J472" s="14">
        <v>9.9</v>
      </c>
      <c r="K472" s="14"/>
      <c r="L472" s="13">
        <v>3.8</v>
      </c>
      <c r="M472" s="13">
        <v>1.7</v>
      </c>
      <c r="P472" s="12" t="s">
        <v>14</v>
      </c>
      <c r="Q472" s="12"/>
      <c r="R472" s="12"/>
      <c r="T472">
        <f t="shared" si="14"/>
        <v>2.93</v>
      </c>
      <c r="U472">
        <f t="shared" si="15"/>
        <v>3.1512678732195281</v>
      </c>
    </row>
    <row r="473" spans="1:21">
      <c r="A473" s="12">
        <v>20</v>
      </c>
      <c r="B473" s="12">
        <v>-30</v>
      </c>
      <c r="C473" s="11">
        <v>21.358357107595999</v>
      </c>
      <c r="D473" s="11">
        <v>-22.250979369111008</v>
      </c>
      <c r="E473" s="11"/>
      <c r="F473" s="12">
        <v>634</v>
      </c>
      <c r="G473" s="12" t="s">
        <v>11</v>
      </c>
      <c r="H473" s="13"/>
      <c r="I473" s="14">
        <v>2.94</v>
      </c>
      <c r="J473" s="14" t="s">
        <v>70</v>
      </c>
      <c r="K473" s="14"/>
      <c r="L473" s="13">
        <v>4.0999999999999996</v>
      </c>
      <c r="M473" s="13">
        <v>0.3</v>
      </c>
      <c r="P473" s="12" t="s">
        <v>14</v>
      </c>
      <c r="Q473" s="12"/>
      <c r="R473" s="12"/>
      <c r="T473">
        <f t="shared" si="14"/>
        <v>2.94</v>
      </c>
      <c r="U473" t="str">
        <f t="shared" si="15"/>
        <v>dead</v>
      </c>
    </row>
    <row r="474" spans="1:21">
      <c r="A474" s="12">
        <v>20</v>
      </c>
      <c r="B474" s="12">
        <v>-30</v>
      </c>
      <c r="C474" s="11">
        <v>24.416937663290781</v>
      </c>
      <c r="D474" s="11">
        <v>-26.422578527695791</v>
      </c>
      <c r="E474" s="11"/>
      <c r="F474" s="10">
        <v>645</v>
      </c>
      <c r="G474" s="12" t="s">
        <v>13</v>
      </c>
      <c r="H474" s="13"/>
      <c r="I474" s="14">
        <v>2.94</v>
      </c>
      <c r="J474" s="14">
        <v>10.4</v>
      </c>
      <c r="K474" s="14"/>
      <c r="L474" s="13">
        <v>5.4</v>
      </c>
      <c r="M474" s="13">
        <v>2.1</v>
      </c>
      <c r="P474" s="12" t="s">
        <v>14</v>
      </c>
      <c r="Q474" s="12"/>
      <c r="R474" s="12"/>
      <c r="T474">
        <f t="shared" si="14"/>
        <v>2.94</v>
      </c>
      <c r="U474">
        <f t="shared" si="15"/>
        <v>3.3104228163114233</v>
      </c>
    </row>
    <row r="475" spans="1:21">
      <c r="A475" s="12">
        <v>40</v>
      </c>
      <c r="B475" s="12">
        <v>-10</v>
      </c>
      <c r="C475" s="11">
        <v>48.306777815709822</v>
      </c>
      <c r="D475" s="11">
        <v>-3.1315489194051551</v>
      </c>
      <c r="E475" s="11"/>
      <c r="F475" s="12">
        <v>468</v>
      </c>
      <c r="G475" s="12" t="s">
        <v>13</v>
      </c>
      <c r="H475" s="13">
        <v>9.3000000000000007</v>
      </c>
      <c r="I475" s="14"/>
      <c r="J475" s="14">
        <v>10.199999999999999</v>
      </c>
      <c r="K475" s="14"/>
      <c r="L475" s="13">
        <v>4</v>
      </c>
      <c r="M475" s="13">
        <v>2.5</v>
      </c>
      <c r="P475" s="12" t="s">
        <v>14</v>
      </c>
      <c r="Q475" s="12"/>
      <c r="R475" s="12"/>
      <c r="T475">
        <f t="shared" si="14"/>
        <v>2.9602819415092534</v>
      </c>
      <c r="U475">
        <f t="shared" si="15"/>
        <v>3.246760839074665</v>
      </c>
    </row>
    <row r="476" spans="1:21">
      <c r="A476" s="12">
        <v>40</v>
      </c>
      <c r="B476" s="12">
        <v>-10</v>
      </c>
      <c r="C476" s="11">
        <v>48.401628678836474</v>
      </c>
      <c r="D476" s="11">
        <v>-3.0574023483476909</v>
      </c>
      <c r="E476" s="11"/>
      <c r="F476" s="10">
        <v>469</v>
      </c>
      <c r="G476" s="12" t="s">
        <v>13</v>
      </c>
      <c r="H476" s="13">
        <v>9.3000000000000007</v>
      </c>
      <c r="I476" s="14"/>
      <c r="J476" s="14">
        <v>9.1999999999999993</v>
      </c>
      <c r="K476" s="14"/>
      <c r="L476" s="13">
        <v>2.8</v>
      </c>
      <c r="M476" s="13">
        <v>1.6</v>
      </c>
      <c r="P476" s="12" t="s">
        <v>14</v>
      </c>
      <c r="Q476" s="12"/>
      <c r="R476" s="12"/>
      <c r="T476">
        <f t="shared" si="14"/>
        <v>2.9602819415092534</v>
      </c>
      <c r="U476">
        <f t="shared" si="15"/>
        <v>2.928450952890874</v>
      </c>
    </row>
    <row r="477" spans="1:21">
      <c r="A477" s="12">
        <v>20</v>
      </c>
      <c r="B477" s="12">
        <v>-30</v>
      </c>
      <c r="C477" s="11">
        <v>29.843176006222272</v>
      </c>
      <c r="D477" s="11">
        <v>-24.727399521404511</v>
      </c>
      <c r="E477" s="11"/>
      <c r="F477" s="10">
        <v>659</v>
      </c>
      <c r="G477" s="12" t="s">
        <v>11</v>
      </c>
      <c r="H477" s="13">
        <v>9.3000000000000007</v>
      </c>
      <c r="I477" s="14"/>
      <c r="J477" s="14" t="s">
        <v>70</v>
      </c>
      <c r="K477" s="14"/>
      <c r="L477" s="13">
        <v>3.3</v>
      </c>
      <c r="M477" s="13"/>
      <c r="P477" s="12" t="s">
        <v>12</v>
      </c>
      <c r="Q477" s="12"/>
      <c r="R477" s="12"/>
      <c r="T477">
        <f t="shared" si="14"/>
        <v>2.9602819415092534</v>
      </c>
      <c r="U477" t="str">
        <f t="shared" si="15"/>
        <v>dead</v>
      </c>
    </row>
    <row r="478" spans="1:21">
      <c r="A478" s="9">
        <v>0</v>
      </c>
      <c r="B478" s="12">
        <v>20</v>
      </c>
      <c r="C478" s="11">
        <v>8.9167524089241592</v>
      </c>
      <c r="D478" s="11">
        <v>22.422628010641585</v>
      </c>
      <c r="E478" s="11"/>
      <c r="F478" s="12">
        <v>36</v>
      </c>
      <c r="G478" s="12" t="s">
        <v>13</v>
      </c>
      <c r="H478" s="13">
        <v>9.4</v>
      </c>
      <c r="I478" s="14"/>
      <c r="J478" s="14">
        <v>12.3</v>
      </c>
      <c r="K478" s="14"/>
      <c r="L478" s="13">
        <v>4.5</v>
      </c>
      <c r="M478" s="13">
        <v>0.9</v>
      </c>
      <c r="P478" s="12" t="s">
        <v>14</v>
      </c>
      <c r="Q478" s="12"/>
      <c r="R478" s="12"/>
      <c r="T478">
        <f t="shared" si="14"/>
        <v>2.9921129301276324</v>
      </c>
      <c r="U478">
        <f t="shared" si="15"/>
        <v>3.9152116000606259</v>
      </c>
    </row>
    <row r="479" spans="1:21">
      <c r="A479" s="12">
        <v>40</v>
      </c>
      <c r="B479" s="12">
        <v>40</v>
      </c>
      <c r="C479" s="11">
        <v>41.85837927428328</v>
      </c>
      <c r="D479" s="11">
        <v>49.432158393420885</v>
      </c>
      <c r="E479" s="11"/>
      <c r="F479" s="10">
        <v>365</v>
      </c>
      <c r="G479" s="12" t="s">
        <v>13</v>
      </c>
      <c r="H479" s="13">
        <v>9.4</v>
      </c>
      <c r="I479" s="14"/>
      <c r="J479" s="14">
        <v>9.8000000000000007</v>
      </c>
      <c r="K479" s="14"/>
      <c r="L479" s="13">
        <v>4.2</v>
      </c>
      <c r="M479" s="13">
        <v>1.4</v>
      </c>
      <c r="P479" s="12" t="s">
        <v>14</v>
      </c>
      <c r="Q479" s="12"/>
      <c r="R479" s="12"/>
      <c r="T479">
        <f t="shared" si="14"/>
        <v>2.9921129301276324</v>
      </c>
      <c r="U479">
        <f t="shared" si="15"/>
        <v>3.1194368846011491</v>
      </c>
    </row>
    <row r="480" spans="1:21">
      <c r="A480" s="12">
        <v>40</v>
      </c>
      <c r="B480" s="12">
        <v>-30</v>
      </c>
      <c r="C480" s="11">
        <v>41.859970636357168</v>
      </c>
      <c r="D480" s="11">
        <v>-25.656915812060998</v>
      </c>
      <c r="E480" s="11"/>
      <c r="F480" s="12">
        <v>690</v>
      </c>
      <c r="G480" s="12" t="s">
        <v>13</v>
      </c>
      <c r="H480" s="13">
        <v>9.5</v>
      </c>
      <c r="I480" s="14"/>
      <c r="J480" s="14" t="s">
        <v>70</v>
      </c>
      <c r="K480" s="14"/>
      <c r="L480" s="13">
        <v>5</v>
      </c>
      <c r="M480" s="13">
        <v>0.2</v>
      </c>
      <c r="P480" s="12" t="s">
        <v>14</v>
      </c>
      <c r="Q480" s="12"/>
      <c r="R480" s="12"/>
      <c r="T480">
        <f t="shared" si="14"/>
        <v>3.0239439187460113</v>
      </c>
      <c r="U480" t="str">
        <f t="shared" si="15"/>
        <v>dead</v>
      </c>
    </row>
    <row r="481" spans="1:21">
      <c r="A481" s="12">
        <v>40</v>
      </c>
      <c r="B481" s="12">
        <v>20</v>
      </c>
      <c r="C481" s="11">
        <v>41.842468171835485</v>
      </c>
      <c r="D481" s="11">
        <v>29.62411282140144</v>
      </c>
      <c r="E481" s="11"/>
      <c r="F481" s="10">
        <v>309</v>
      </c>
      <c r="G481" s="12" t="s">
        <v>13</v>
      </c>
      <c r="H481" s="13"/>
      <c r="I481" s="14">
        <v>3.04</v>
      </c>
      <c r="J481" s="14">
        <v>10.1</v>
      </c>
      <c r="K481" s="14"/>
      <c r="L481" s="13">
        <v>5.0999999999999996</v>
      </c>
      <c r="M481" s="13">
        <v>2</v>
      </c>
      <c r="P481" s="12" t="s">
        <v>14</v>
      </c>
      <c r="Q481" s="12"/>
      <c r="R481" s="12"/>
      <c r="T481">
        <f t="shared" si="14"/>
        <v>3.04</v>
      </c>
      <c r="U481">
        <f t="shared" si="15"/>
        <v>3.214929850456286</v>
      </c>
    </row>
    <row r="482" spans="1:21">
      <c r="A482" s="12">
        <v>0</v>
      </c>
      <c r="B482" s="12">
        <v>-20</v>
      </c>
      <c r="C482" s="11">
        <v>1.5226557831048269</v>
      </c>
      <c r="D482" s="11">
        <v>-17.833384923912359</v>
      </c>
      <c r="E482" s="11"/>
      <c r="F482" s="10">
        <v>587</v>
      </c>
      <c r="G482" s="12" t="s">
        <v>11</v>
      </c>
      <c r="H482" s="13"/>
      <c r="I482" s="14">
        <v>3.04</v>
      </c>
      <c r="J482" s="14">
        <v>12.4</v>
      </c>
      <c r="K482" s="14"/>
      <c r="L482" s="13">
        <v>3.9</v>
      </c>
      <c r="M482" s="13">
        <v>0.7</v>
      </c>
      <c r="P482" s="12" t="s">
        <v>14</v>
      </c>
      <c r="Q482" s="12"/>
      <c r="R482" s="12"/>
      <c r="T482">
        <f t="shared" si="14"/>
        <v>3.04</v>
      </c>
      <c r="U482">
        <f t="shared" si="15"/>
        <v>3.9470425886790048</v>
      </c>
    </row>
    <row r="483" spans="1:21">
      <c r="A483" s="12">
        <v>20</v>
      </c>
      <c r="B483" s="12">
        <v>-20</v>
      </c>
      <c r="C483" s="11">
        <v>29.705651689543171</v>
      </c>
      <c r="D483" s="11">
        <v>-12.990784656740539</v>
      </c>
      <c r="E483" s="11"/>
      <c r="F483" s="10">
        <v>537</v>
      </c>
      <c r="G483" s="12" t="s">
        <v>13</v>
      </c>
      <c r="H483" s="13"/>
      <c r="I483" s="14">
        <v>3.08</v>
      </c>
      <c r="J483" s="14">
        <v>10.7</v>
      </c>
      <c r="K483" s="14"/>
      <c r="L483" s="13">
        <v>4.8</v>
      </c>
      <c r="M483" s="13">
        <v>2.2999999999999998</v>
      </c>
      <c r="P483" s="12" t="s">
        <v>14</v>
      </c>
      <c r="Q483" s="12"/>
      <c r="R483" s="12"/>
      <c r="T483">
        <f t="shared" si="14"/>
        <v>3.08</v>
      </c>
      <c r="U483">
        <f t="shared" si="15"/>
        <v>3.4059157821665602</v>
      </c>
    </row>
    <row r="484" spans="1:21">
      <c r="A484" s="9">
        <v>0</v>
      </c>
      <c r="B484" s="12">
        <v>40</v>
      </c>
      <c r="C484" s="11">
        <v>3.8092987432644398</v>
      </c>
      <c r="D484" s="11">
        <v>42.763471683479295</v>
      </c>
      <c r="E484" s="11"/>
      <c r="F484" s="10">
        <v>67</v>
      </c>
      <c r="G484" s="12" t="s">
        <v>11</v>
      </c>
      <c r="H484" s="13">
        <v>9.6999999999999993</v>
      </c>
      <c r="I484" s="14"/>
      <c r="J484" s="14" t="s">
        <v>70</v>
      </c>
      <c r="K484" s="14"/>
      <c r="L484" s="13">
        <v>3.7</v>
      </c>
      <c r="M484" s="13"/>
      <c r="P484" s="12" t="s">
        <v>12</v>
      </c>
      <c r="Q484" s="12"/>
      <c r="R484" s="12"/>
      <c r="T484">
        <f t="shared" si="14"/>
        <v>3.0876058959827692</v>
      </c>
      <c r="U484" t="str">
        <f t="shared" si="15"/>
        <v>dead</v>
      </c>
    </row>
    <row r="485" spans="1:21">
      <c r="A485" s="12">
        <v>20</v>
      </c>
      <c r="B485" s="12">
        <v>30</v>
      </c>
      <c r="C485" s="11">
        <v>20.869370276898547</v>
      </c>
      <c r="D485" s="11">
        <v>33.306219653914141</v>
      </c>
      <c r="E485" s="11"/>
      <c r="F485" s="12">
        <v>174</v>
      </c>
      <c r="G485" s="12" t="s">
        <v>13</v>
      </c>
      <c r="H485" s="13">
        <v>9.8000000000000007</v>
      </c>
      <c r="I485" s="14"/>
      <c r="J485" s="14">
        <v>12.4</v>
      </c>
      <c r="K485" s="14"/>
      <c r="L485" s="13">
        <v>4.5999999999999996</v>
      </c>
      <c r="M485" s="13">
        <v>0.9</v>
      </c>
      <c r="P485" s="12" t="s">
        <v>14</v>
      </c>
      <c r="Q485" s="12"/>
      <c r="R485" s="12"/>
      <c r="T485">
        <f t="shared" si="14"/>
        <v>3.1194368846011491</v>
      </c>
      <c r="U485">
        <f t="shared" si="15"/>
        <v>3.9470425886790048</v>
      </c>
    </row>
    <row r="486" spans="1:21">
      <c r="A486" s="12">
        <v>50</v>
      </c>
      <c r="B486" s="12">
        <v>-30</v>
      </c>
      <c r="C486" s="11">
        <v>50.215139710240834</v>
      </c>
      <c r="D486" s="11">
        <v>-27.437723206428444</v>
      </c>
      <c r="E486" s="11"/>
      <c r="F486" s="12">
        <v>2004</v>
      </c>
      <c r="G486" s="12" t="s">
        <v>13</v>
      </c>
      <c r="H486" s="13">
        <v>9.8000000000000007</v>
      </c>
      <c r="I486" s="14"/>
      <c r="J486" s="14">
        <v>42</v>
      </c>
      <c r="K486" s="14"/>
      <c r="L486" s="13"/>
      <c r="M486" s="13"/>
      <c r="N486">
        <v>9.5</v>
      </c>
      <c r="O486" t="s">
        <v>70</v>
      </c>
      <c r="P486" s="12"/>
      <c r="Q486" s="12"/>
      <c r="R486" s="12" t="s">
        <v>57</v>
      </c>
      <c r="S486" t="s">
        <v>138</v>
      </c>
      <c r="T486">
        <f t="shared" si="14"/>
        <v>3.1194368846011491</v>
      </c>
      <c r="U486">
        <f t="shared" si="15"/>
        <v>13.369015219719209</v>
      </c>
    </row>
    <row r="487" spans="1:21">
      <c r="A487" s="12">
        <v>20</v>
      </c>
      <c r="B487" s="12">
        <v>-30</v>
      </c>
      <c r="C487" s="11">
        <v>24.931124992627893</v>
      </c>
      <c r="D487" s="11">
        <v>-26.215054799407518</v>
      </c>
      <c r="E487" s="11"/>
      <c r="F487" s="12">
        <v>648</v>
      </c>
      <c r="G487" s="12" t="s">
        <v>13</v>
      </c>
      <c r="H487" s="13"/>
      <c r="I487" s="14">
        <v>3.13</v>
      </c>
      <c r="J487" s="14">
        <v>10.3</v>
      </c>
      <c r="K487" s="14"/>
      <c r="L487" s="13">
        <v>4.8</v>
      </c>
      <c r="M487" s="13">
        <v>1.7</v>
      </c>
      <c r="P487" s="12" t="s">
        <v>14</v>
      </c>
      <c r="Q487" s="12"/>
      <c r="R487" s="12"/>
      <c r="T487">
        <f t="shared" si="14"/>
        <v>3.13</v>
      </c>
      <c r="U487">
        <f t="shared" si="15"/>
        <v>3.2785918276930444</v>
      </c>
    </row>
    <row r="488" spans="1:21">
      <c r="A488" s="9">
        <v>20</v>
      </c>
      <c r="B488" s="9">
        <v>-10</v>
      </c>
      <c r="C488" s="11">
        <v>21.573591821388145</v>
      </c>
      <c r="D488" s="11">
        <v>-9.2921288004261342</v>
      </c>
      <c r="E488" s="11"/>
      <c r="F488" s="12">
        <v>412</v>
      </c>
      <c r="G488" s="12" t="s">
        <v>13</v>
      </c>
      <c r="H488" s="13">
        <v>9.9</v>
      </c>
      <c r="I488" s="14"/>
      <c r="J488" s="14">
        <v>10.199999999999999</v>
      </c>
      <c r="K488" s="14"/>
      <c r="L488" s="13">
        <v>2.6</v>
      </c>
      <c r="M488" s="13">
        <v>1.7</v>
      </c>
      <c r="P488" s="12" t="s">
        <v>14</v>
      </c>
      <c r="Q488" s="12"/>
      <c r="R488" s="12"/>
      <c r="T488">
        <f t="shared" si="14"/>
        <v>3.1512678732195281</v>
      </c>
      <c r="U488">
        <f t="shared" si="15"/>
        <v>3.246760839074665</v>
      </c>
    </row>
    <row r="489" spans="1:21">
      <c r="A489" s="12">
        <v>10</v>
      </c>
      <c r="B489" s="12">
        <v>20</v>
      </c>
      <c r="C489" s="11">
        <v>19.562907922607756</v>
      </c>
      <c r="D489" s="11">
        <v>28.425119204591159</v>
      </c>
      <c r="E489" s="11"/>
      <c r="F489" s="12">
        <v>92</v>
      </c>
      <c r="G489" s="12" t="s">
        <v>13</v>
      </c>
      <c r="H489" s="13"/>
      <c r="I489" s="14">
        <v>3.16</v>
      </c>
      <c r="J489" s="14">
        <v>11.5</v>
      </c>
      <c r="K489" s="14"/>
      <c r="L489" s="13">
        <v>3.7</v>
      </c>
      <c r="M489" s="13">
        <v>0.9</v>
      </c>
      <c r="P489" s="12" t="s">
        <v>14</v>
      </c>
      <c r="Q489" s="12"/>
      <c r="R489" s="12"/>
      <c r="T489">
        <f t="shared" si="14"/>
        <v>3.16</v>
      </c>
      <c r="U489">
        <f t="shared" si="15"/>
        <v>3.6605636911135928</v>
      </c>
    </row>
    <row r="490" spans="1:21">
      <c r="A490" s="12">
        <v>20</v>
      </c>
      <c r="B490" s="12">
        <v>-30</v>
      </c>
      <c r="C490" s="11">
        <v>28.195766850388548</v>
      </c>
      <c r="D490" s="11">
        <v>-22.557663531788954</v>
      </c>
      <c r="E490" s="11"/>
      <c r="F490" s="10">
        <v>649</v>
      </c>
      <c r="G490" s="12" t="s">
        <v>43</v>
      </c>
      <c r="H490" s="13"/>
      <c r="I490" s="14">
        <v>3.17</v>
      </c>
      <c r="J490" s="14">
        <v>10.199999999999999</v>
      </c>
      <c r="K490" s="14"/>
      <c r="L490" s="13">
        <v>4</v>
      </c>
      <c r="M490" s="13"/>
      <c r="P490" s="12" t="s">
        <v>12</v>
      </c>
      <c r="Q490" s="12"/>
      <c r="R490" s="12"/>
      <c r="S490" t="s">
        <v>115</v>
      </c>
      <c r="T490">
        <f t="shared" si="14"/>
        <v>3.17</v>
      </c>
      <c r="U490">
        <f t="shared" si="15"/>
        <v>3.246760839074665</v>
      </c>
    </row>
    <row r="491" spans="1:21">
      <c r="A491" s="12">
        <v>40</v>
      </c>
      <c r="B491" s="12">
        <v>-10</v>
      </c>
      <c r="C491" s="11">
        <v>47.761100883618937</v>
      </c>
      <c r="D491" s="11">
        <v>-2.7549647450862382</v>
      </c>
      <c r="E491" s="11"/>
      <c r="F491" s="10">
        <v>459</v>
      </c>
      <c r="G491" s="12" t="s">
        <v>13</v>
      </c>
      <c r="H491" s="13">
        <v>10</v>
      </c>
      <c r="I491" s="14"/>
      <c r="J491" s="14">
        <v>10.199999999999999</v>
      </c>
      <c r="K491" s="14"/>
      <c r="L491" s="13">
        <v>2.9</v>
      </c>
      <c r="M491" s="13">
        <v>2.2000000000000002</v>
      </c>
      <c r="P491" s="12" t="s">
        <v>14</v>
      </c>
      <c r="Q491" s="12"/>
      <c r="R491" s="12"/>
      <c r="T491">
        <f t="shared" si="14"/>
        <v>3.183098861837907</v>
      </c>
      <c r="U491">
        <f t="shared" si="15"/>
        <v>3.246760839074665</v>
      </c>
    </row>
    <row r="492" spans="1:21" s="27" customFormat="1">
      <c r="A492" s="12">
        <v>50</v>
      </c>
      <c r="B492" s="12">
        <v>-30</v>
      </c>
      <c r="C492" s="11">
        <v>50.215139710240834</v>
      </c>
      <c r="D492" s="11">
        <v>-27.437723206428444</v>
      </c>
      <c r="E492" s="11"/>
      <c r="F492" s="12">
        <v>2009</v>
      </c>
      <c r="G492" s="12" t="s">
        <v>13</v>
      </c>
      <c r="H492" s="13">
        <v>10</v>
      </c>
      <c r="I492" s="14"/>
      <c r="J492" s="14">
        <v>13.1</v>
      </c>
      <c r="K492" s="14"/>
      <c r="L492" s="13"/>
      <c r="M492" s="13"/>
      <c r="N492">
        <v>5.5</v>
      </c>
      <c r="O492">
        <v>1.8</v>
      </c>
      <c r="P492" s="12"/>
      <c r="Q492" s="12"/>
      <c r="R492" s="12" t="s">
        <v>57</v>
      </c>
      <c r="S492" t="s">
        <v>143</v>
      </c>
      <c r="T492">
        <f t="shared" si="14"/>
        <v>3.183098861837907</v>
      </c>
      <c r="U492">
        <f t="shared" si="15"/>
        <v>4.169859509007658</v>
      </c>
    </row>
    <row r="493" spans="1:21">
      <c r="A493" s="12">
        <v>20</v>
      </c>
      <c r="B493" s="12">
        <v>-20</v>
      </c>
      <c r="C493" s="11">
        <v>29.844011771160329</v>
      </c>
      <c r="D493" s="11">
        <v>-12.893009349392088</v>
      </c>
      <c r="E493" s="11"/>
      <c r="F493" s="10">
        <v>535</v>
      </c>
      <c r="G493" s="12" t="s">
        <v>13</v>
      </c>
      <c r="H493" s="13"/>
      <c r="I493" s="14">
        <v>3.19</v>
      </c>
      <c r="J493" s="14">
        <v>9.6999999999999993</v>
      </c>
      <c r="K493" s="14"/>
      <c r="L493" s="13">
        <v>4.2</v>
      </c>
      <c r="M493" s="13">
        <v>2.6</v>
      </c>
      <c r="P493" s="12" t="s">
        <v>14</v>
      </c>
      <c r="Q493" s="12"/>
      <c r="R493" s="12"/>
      <c r="T493">
        <f t="shared" si="14"/>
        <v>3.19</v>
      </c>
      <c r="U493">
        <f t="shared" si="15"/>
        <v>3.0876058959827692</v>
      </c>
    </row>
    <row r="494" spans="1:21">
      <c r="A494" s="12">
        <v>40</v>
      </c>
      <c r="B494" s="12">
        <v>20</v>
      </c>
      <c r="C494" s="11">
        <v>41.897873362675597</v>
      </c>
      <c r="D494" s="11">
        <v>29.362703105713361</v>
      </c>
      <c r="E494" s="11"/>
      <c r="F494" s="10">
        <v>305</v>
      </c>
      <c r="G494" s="12" t="s">
        <v>13</v>
      </c>
      <c r="H494" s="13"/>
      <c r="I494" s="14">
        <v>3.21</v>
      </c>
      <c r="J494" s="14">
        <v>10.8</v>
      </c>
      <c r="K494" s="14"/>
      <c r="L494" s="13">
        <v>4.2</v>
      </c>
      <c r="M494" s="13">
        <v>3.3</v>
      </c>
      <c r="P494" s="12" t="s">
        <v>14</v>
      </c>
      <c r="Q494" s="12"/>
      <c r="R494" s="12"/>
      <c r="T494">
        <f t="shared" si="14"/>
        <v>3.21</v>
      </c>
      <c r="U494">
        <f t="shared" si="15"/>
        <v>3.4377467707849396</v>
      </c>
    </row>
    <row r="495" spans="1:21">
      <c r="A495" s="12">
        <v>40</v>
      </c>
      <c r="B495" s="12">
        <v>40</v>
      </c>
      <c r="C495" s="11">
        <v>49.818309622430874</v>
      </c>
      <c r="D495" s="11">
        <v>45.476987183360826</v>
      </c>
      <c r="E495" s="11"/>
      <c r="F495" s="12">
        <v>352</v>
      </c>
      <c r="G495" s="12" t="s">
        <v>13</v>
      </c>
      <c r="H495" s="13">
        <v>10.1</v>
      </c>
      <c r="I495" s="14"/>
      <c r="J495" s="14">
        <v>11.3</v>
      </c>
      <c r="K495" s="14"/>
      <c r="L495" s="13">
        <v>4.7</v>
      </c>
      <c r="M495" s="13">
        <v>1.6</v>
      </c>
      <c r="P495" s="12" t="s">
        <v>14</v>
      </c>
      <c r="Q495" s="12"/>
      <c r="R495" s="12"/>
      <c r="T495">
        <f t="shared" si="14"/>
        <v>3.214929850456286</v>
      </c>
      <c r="U495">
        <f t="shared" si="15"/>
        <v>3.5969017138768349</v>
      </c>
    </row>
    <row r="496" spans="1:21">
      <c r="A496" s="12">
        <v>30</v>
      </c>
      <c r="B496" s="12">
        <v>-30</v>
      </c>
      <c r="C496" s="11">
        <v>33.239457199893131</v>
      </c>
      <c r="D496" s="11">
        <v>-29.354994230359555</v>
      </c>
      <c r="E496" s="11"/>
      <c r="F496" s="12">
        <v>672</v>
      </c>
      <c r="G496" s="12" t="s">
        <v>11</v>
      </c>
      <c r="H496" s="13">
        <v>10.1</v>
      </c>
      <c r="I496" s="14"/>
      <c r="J496" s="14">
        <v>14</v>
      </c>
      <c r="K496" s="14"/>
      <c r="L496" s="13">
        <v>3.8</v>
      </c>
      <c r="M496" s="13">
        <v>0.1</v>
      </c>
      <c r="P496" s="12" t="s">
        <v>14</v>
      </c>
      <c r="Q496" s="12"/>
      <c r="R496" s="12"/>
      <c r="T496">
        <f t="shared" si="14"/>
        <v>3.214929850456286</v>
      </c>
      <c r="U496">
        <f t="shared" si="15"/>
        <v>4.45633840657307</v>
      </c>
    </row>
    <row r="497" spans="1:21">
      <c r="A497" s="12">
        <v>20</v>
      </c>
      <c r="B497" s="12">
        <v>-30</v>
      </c>
      <c r="C497" s="11">
        <v>27.398101817478246</v>
      </c>
      <c r="D497" s="11">
        <v>-27.776253972690835</v>
      </c>
      <c r="E497" s="11"/>
      <c r="F497" s="12">
        <v>656</v>
      </c>
      <c r="G497" s="12" t="s">
        <v>11</v>
      </c>
      <c r="H497" s="13">
        <v>10.199999999999999</v>
      </c>
      <c r="I497" s="14"/>
      <c r="J497" s="14" t="s">
        <v>70</v>
      </c>
      <c r="K497" s="14"/>
      <c r="L497" s="13">
        <v>5.0999999999999996</v>
      </c>
      <c r="M497" s="13"/>
      <c r="P497" s="12" t="s">
        <v>12</v>
      </c>
      <c r="Q497" s="12"/>
      <c r="R497" s="12"/>
      <c r="T497">
        <f t="shared" si="14"/>
        <v>3.246760839074665</v>
      </c>
      <c r="U497" t="str">
        <f t="shared" si="15"/>
        <v>dead</v>
      </c>
    </row>
    <row r="498" spans="1:21">
      <c r="A498" s="12">
        <v>40</v>
      </c>
      <c r="B498" s="12">
        <v>40</v>
      </c>
      <c r="C498" s="11">
        <v>41.820429060124383</v>
      </c>
      <c r="D498" s="11">
        <v>49.212872474941911</v>
      </c>
      <c r="E498" s="11"/>
      <c r="F498" s="12">
        <v>362</v>
      </c>
      <c r="G498" s="12" t="s">
        <v>13</v>
      </c>
      <c r="H498" s="13">
        <v>10.3</v>
      </c>
      <c r="I498" s="14"/>
      <c r="J498" s="14" t="s">
        <v>70</v>
      </c>
      <c r="K498" s="14"/>
      <c r="L498" s="13">
        <v>3.8</v>
      </c>
      <c r="M498" s="13"/>
      <c r="P498" s="12" t="s">
        <v>12</v>
      </c>
      <c r="Q498" s="12"/>
      <c r="R498" s="12"/>
      <c r="T498">
        <f t="shared" si="14"/>
        <v>3.2785918276930444</v>
      </c>
      <c r="U498" t="str">
        <f t="shared" si="15"/>
        <v>dead</v>
      </c>
    </row>
    <row r="499" spans="1:21">
      <c r="A499" s="12">
        <v>20</v>
      </c>
      <c r="B499" s="12">
        <v>-20</v>
      </c>
      <c r="C499" s="11">
        <v>27.449991754626517</v>
      </c>
      <c r="D499" s="11">
        <v>-13.504025262616915</v>
      </c>
      <c r="E499" s="11"/>
      <c r="F499" s="12">
        <v>548</v>
      </c>
      <c r="G499" s="12" t="s">
        <v>13</v>
      </c>
      <c r="H499" s="13">
        <v>10.3</v>
      </c>
      <c r="I499" s="14"/>
      <c r="J499" s="14">
        <v>11.3</v>
      </c>
      <c r="K499" s="14"/>
      <c r="L499" s="13">
        <v>4</v>
      </c>
      <c r="M499" s="13">
        <v>2.1</v>
      </c>
      <c r="P499" s="12" t="s">
        <v>14</v>
      </c>
      <c r="Q499" s="12"/>
      <c r="R499" s="12"/>
      <c r="T499">
        <f t="shared" si="14"/>
        <v>3.2785918276930444</v>
      </c>
      <c r="U499">
        <f t="shared" si="15"/>
        <v>3.5969017138768349</v>
      </c>
    </row>
    <row r="500" spans="1:21">
      <c r="A500" s="12">
        <v>10</v>
      </c>
      <c r="B500" s="12">
        <v>-20</v>
      </c>
      <c r="C500" s="11">
        <v>11.343016541337331</v>
      </c>
      <c r="D500" s="11">
        <v>-19.135918177230341</v>
      </c>
      <c r="E500" s="11"/>
      <c r="F500" s="10">
        <v>579</v>
      </c>
      <c r="G500" s="12" t="s">
        <v>11</v>
      </c>
      <c r="H500" s="13">
        <v>10.3</v>
      </c>
      <c r="I500" s="14"/>
      <c r="J500" s="14">
        <v>12.8</v>
      </c>
      <c r="K500" s="14"/>
      <c r="L500" s="13">
        <v>4</v>
      </c>
      <c r="M500" s="13">
        <v>1.1000000000000001</v>
      </c>
      <c r="P500" s="12" t="s">
        <v>14</v>
      </c>
      <c r="Q500" s="12"/>
      <c r="R500" s="12"/>
      <c r="T500">
        <f t="shared" si="14"/>
        <v>3.2785918276930444</v>
      </c>
      <c r="U500">
        <f t="shared" si="15"/>
        <v>4.0743665431525207</v>
      </c>
    </row>
    <row r="501" spans="1:21">
      <c r="A501" s="12">
        <v>20</v>
      </c>
      <c r="B501" s="12">
        <v>40</v>
      </c>
      <c r="C501" s="11">
        <v>23.615371315622383</v>
      </c>
      <c r="D501" s="11">
        <v>41.380576057366952</v>
      </c>
      <c r="E501" s="11"/>
      <c r="F501" s="12">
        <v>184</v>
      </c>
      <c r="G501" s="12" t="s">
        <v>11</v>
      </c>
      <c r="H501" s="13">
        <v>10.4</v>
      </c>
      <c r="I501" s="14"/>
      <c r="J501" s="14">
        <v>14.5</v>
      </c>
      <c r="K501" s="14"/>
      <c r="L501" s="13">
        <v>4</v>
      </c>
      <c r="M501" s="13">
        <v>0.3</v>
      </c>
      <c r="P501" s="12" t="s">
        <v>14</v>
      </c>
      <c r="Q501" s="12"/>
      <c r="R501" s="12"/>
      <c r="T501">
        <f t="shared" si="14"/>
        <v>3.3104228163114233</v>
      </c>
      <c r="U501">
        <f t="shared" si="15"/>
        <v>4.6154933496649653</v>
      </c>
    </row>
    <row r="502" spans="1:21">
      <c r="A502" s="12">
        <v>10</v>
      </c>
      <c r="B502" s="12">
        <v>-20</v>
      </c>
      <c r="C502" s="11">
        <v>18.687857860928503</v>
      </c>
      <c r="D502" s="11">
        <v>-16.25311022221458</v>
      </c>
      <c r="E502" s="11"/>
      <c r="F502" s="12">
        <v>570</v>
      </c>
      <c r="G502" s="12" t="s">
        <v>11</v>
      </c>
      <c r="H502" s="13"/>
      <c r="I502" s="14">
        <v>3.34</v>
      </c>
      <c r="J502" s="14" t="s">
        <v>70</v>
      </c>
      <c r="K502" s="14"/>
      <c r="L502" s="13">
        <v>3.7</v>
      </c>
      <c r="M502" s="13">
        <v>1</v>
      </c>
      <c r="P502" s="12" t="s">
        <v>14</v>
      </c>
      <c r="Q502" s="12"/>
      <c r="R502" s="12"/>
      <c r="T502">
        <f t="shared" si="14"/>
        <v>3.34</v>
      </c>
      <c r="U502" t="str">
        <f t="shared" si="15"/>
        <v>dead</v>
      </c>
    </row>
    <row r="503" spans="1:21">
      <c r="A503" s="12">
        <v>30</v>
      </c>
      <c r="B503" s="12">
        <v>0</v>
      </c>
      <c r="C503" s="11">
        <v>29.998157121216444</v>
      </c>
      <c r="D503" s="11">
        <v>0.19197442399690065</v>
      </c>
      <c r="E503" s="11"/>
      <c r="F503" s="12">
        <v>118</v>
      </c>
      <c r="G503" s="12" t="s">
        <v>11</v>
      </c>
      <c r="H503" s="13">
        <v>10.5</v>
      </c>
      <c r="I503" s="14"/>
      <c r="J503" s="14">
        <v>14.4</v>
      </c>
      <c r="K503" s="14"/>
      <c r="L503" s="13">
        <v>3.4</v>
      </c>
      <c r="M503" s="13">
        <v>0.3</v>
      </c>
      <c r="P503" s="12" t="s">
        <v>14</v>
      </c>
      <c r="Q503" s="12"/>
      <c r="R503" s="12"/>
      <c r="T503">
        <f t="shared" si="14"/>
        <v>3.3422538049298023</v>
      </c>
      <c r="U503">
        <f t="shared" si="15"/>
        <v>4.5836623610465859</v>
      </c>
    </row>
    <row r="504" spans="1:21">
      <c r="A504" s="12">
        <v>40</v>
      </c>
      <c r="B504" s="12">
        <v>40</v>
      </c>
      <c r="C504" s="11">
        <v>48.602251723417794</v>
      </c>
      <c r="D504" s="11">
        <v>41.659879439992999</v>
      </c>
      <c r="E504" s="11"/>
      <c r="F504" s="12">
        <v>346</v>
      </c>
      <c r="G504" s="12" t="s">
        <v>13</v>
      </c>
      <c r="H504" s="13">
        <v>10.5</v>
      </c>
      <c r="I504" s="14"/>
      <c r="J504" s="14">
        <v>10.3</v>
      </c>
      <c r="K504" s="14"/>
      <c r="L504" s="13">
        <v>3.3</v>
      </c>
      <c r="M504" s="13">
        <v>1.5</v>
      </c>
      <c r="P504" s="12" t="s">
        <v>14</v>
      </c>
      <c r="Q504" s="12"/>
      <c r="R504" s="12"/>
      <c r="T504">
        <f t="shared" si="14"/>
        <v>3.3422538049298023</v>
      </c>
      <c r="U504">
        <f t="shared" si="15"/>
        <v>3.2785918276930444</v>
      </c>
    </row>
    <row r="505" spans="1:21">
      <c r="A505" s="12">
        <v>30</v>
      </c>
      <c r="B505" s="12">
        <v>-10</v>
      </c>
      <c r="C505" s="11">
        <v>32.579202742904585</v>
      </c>
      <c r="D505" s="11">
        <v>-4.1813516974227438</v>
      </c>
      <c r="E505" s="11"/>
      <c r="F505" s="12">
        <v>422</v>
      </c>
      <c r="G505" s="12" t="s">
        <v>13</v>
      </c>
      <c r="H505" s="13">
        <v>10.5</v>
      </c>
      <c r="I505" s="14"/>
      <c r="J505" s="14">
        <v>11.9</v>
      </c>
      <c r="K505" s="14"/>
      <c r="L505" s="13">
        <v>4.0999999999999996</v>
      </c>
      <c r="M505" s="13">
        <v>1.8</v>
      </c>
      <c r="P505" s="12" t="s">
        <v>14</v>
      </c>
      <c r="Q505" s="12"/>
      <c r="R505" s="12"/>
      <c r="T505">
        <f t="shared" si="14"/>
        <v>3.3422538049298023</v>
      </c>
      <c r="U505">
        <f t="shared" si="15"/>
        <v>3.7878876455871091</v>
      </c>
    </row>
    <row r="506" spans="1:21">
      <c r="A506" s="12">
        <v>20</v>
      </c>
      <c r="B506" s="12">
        <v>0</v>
      </c>
      <c r="C506" s="11">
        <v>29.939609554551797</v>
      </c>
      <c r="D506" s="11">
        <v>1.0973431109104534</v>
      </c>
      <c r="E506" s="11"/>
      <c r="F506" s="10">
        <v>119</v>
      </c>
      <c r="G506" s="12" t="s">
        <v>11</v>
      </c>
      <c r="H506" s="13">
        <v>10.6</v>
      </c>
      <c r="I506" s="14"/>
      <c r="J506" s="14">
        <v>14</v>
      </c>
      <c r="K506" s="14"/>
      <c r="L506" s="13">
        <v>4.5</v>
      </c>
      <c r="M506" s="13">
        <v>0.2</v>
      </c>
      <c r="P506" s="12" t="s">
        <v>14</v>
      </c>
      <c r="Q506" s="12"/>
      <c r="R506" s="12"/>
      <c r="T506">
        <f t="shared" si="14"/>
        <v>3.3740847935481812</v>
      </c>
      <c r="U506">
        <f t="shared" si="15"/>
        <v>4.45633840657307</v>
      </c>
    </row>
    <row r="507" spans="1:21">
      <c r="A507" s="12">
        <v>40</v>
      </c>
      <c r="B507" s="12">
        <v>40</v>
      </c>
      <c r="C507" s="11">
        <v>41.65028445993098</v>
      </c>
      <c r="D507" s="11">
        <v>45.484737951801335</v>
      </c>
      <c r="E507" s="11"/>
      <c r="F507" s="10">
        <v>357</v>
      </c>
      <c r="G507" s="12" t="s">
        <v>13</v>
      </c>
      <c r="H507" s="13">
        <v>10.7</v>
      </c>
      <c r="I507" s="14"/>
      <c r="J507" s="14">
        <v>12</v>
      </c>
      <c r="K507" s="14"/>
      <c r="L507" s="13">
        <v>4.4000000000000004</v>
      </c>
      <c r="M507" s="13">
        <v>1.2</v>
      </c>
      <c r="P507" s="12" t="s">
        <v>14</v>
      </c>
      <c r="Q507" s="12"/>
      <c r="R507" s="12"/>
      <c r="T507">
        <f t="shared" si="14"/>
        <v>3.4059157821665602</v>
      </c>
      <c r="U507">
        <f t="shared" si="15"/>
        <v>3.8197186342054881</v>
      </c>
    </row>
    <row r="508" spans="1:21">
      <c r="A508" s="12">
        <v>40</v>
      </c>
      <c r="B508" s="12">
        <v>40</v>
      </c>
      <c r="C508" s="11">
        <v>41.480789789383856</v>
      </c>
      <c r="D508" s="11">
        <v>45.681606937067514</v>
      </c>
      <c r="E508" s="11"/>
      <c r="F508" s="10">
        <v>359</v>
      </c>
      <c r="G508" s="12" t="s">
        <v>13</v>
      </c>
      <c r="H508" s="13">
        <v>10.7</v>
      </c>
      <c r="I508" s="14"/>
      <c r="J508" s="14">
        <v>11.3</v>
      </c>
      <c r="K508" s="14"/>
      <c r="L508" s="13">
        <v>4.7</v>
      </c>
      <c r="M508" s="13">
        <v>2</v>
      </c>
      <c r="P508" s="12" t="s">
        <v>14</v>
      </c>
      <c r="Q508" s="12"/>
      <c r="R508" s="12"/>
      <c r="T508">
        <f t="shared" si="14"/>
        <v>3.4059157821665602</v>
      </c>
      <c r="U508">
        <f t="shared" si="15"/>
        <v>3.5969017138768349</v>
      </c>
    </row>
    <row r="509" spans="1:21">
      <c r="A509" s="12">
        <v>40</v>
      </c>
      <c r="B509" s="12">
        <v>-30</v>
      </c>
      <c r="C509" s="11">
        <v>42.307079585689536</v>
      </c>
      <c r="D509" s="11">
        <v>-26.109287362000902</v>
      </c>
      <c r="E509" s="11"/>
      <c r="F509" s="10">
        <v>685</v>
      </c>
      <c r="G509" s="12" t="s">
        <v>13</v>
      </c>
      <c r="H509" s="13"/>
      <c r="I509" s="14">
        <v>3.41</v>
      </c>
      <c r="J509" s="14">
        <v>10.8</v>
      </c>
      <c r="K509" s="14"/>
      <c r="L509" s="13">
        <v>1.7</v>
      </c>
      <c r="M509" s="13">
        <v>0.5</v>
      </c>
      <c r="P509" s="12" t="s">
        <v>14</v>
      </c>
      <c r="Q509" s="12"/>
      <c r="R509" s="12" t="s">
        <v>47</v>
      </c>
      <c r="T509">
        <f t="shared" si="14"/>
        <v>3.41</v>
      </c>
      <c r="U509">
        <f t="shared" si="15"/>
        <v>3.4377467707849396</v>
      </c>
    </row>
    <row r="510" spans="1:21">
      <c r="A510" s="12">
        <v>30</v>
      </c>
      <c r="B510" s="12">
        <v>10</v>
      </c>
      <c r="C510" s="11">
        <v>34.412191184356885</v>
      </c>
      <c r="D510" s="11">
        <v>18.734824536799977</v>
      </c>
      <c r="E510" s="11"/>
      <c r="F510" s="10">
        <v>217</v>
      </c>
      <c r="G510" s="12" t="s">
        <v>11</v>
      </c>
      <c r="H510" s="13">
        <v>10.8</v>
      </c>
      <c r="I510" s="14"/>
      <c r="J510" s="14" t="s">
        <v>70</v>
      </c>
      <c r="K510" s="14"/>
      <c r="L510" s="13">
        <v>2.7</v>
      </c>
      <c r="M510" s="13"/>
      <c r="P510" s="12" t="s">
        <v>12</v>
      </c>
      <c r="Q510" s="12"/>
      <c r="R510" s="12" t="s">
        <v>16</v>
      </c>
      <c r="T510">
        <f t="shared" si="14"/>
        <v>3.4377467707849396</v>
      </c>
      <c r="U510" t="str">
        <f t="shared" si="15"/>
        <v>dead</v>
      </c>
    </row>
    <row r="511" spans="1:21">
      <c r="A511" s="12">
        <v>40</v>
      </c>
      <c r="B511" s="12">
        <v>40</v>
      </c>
      <c r="C511" s="11">
        <v>41.910792172547048</v>
      </c>
      <c r="D511" s="11">
        <v>49.305569124146778</v>
      </c>
      <c r="E511" s="11"/>
      <c r="F511" s="12">
        <v>366</v>
      </c>
      <c r="G511" s="12" t="s">
        <v>13</v>
      </c>
      <c r="H511" s="13">
        <v>10.8</v>
      </c>
      <c r="I511" s="14"/>
      <c r="J511" s="14">
        <v>10.8</v>
      </c>
      <c r="K511" s="14"/>
      <c r="L511" s="13">
        <v>4.5</v>
      </c>
      <c r="M511" s="13">
        <v>2.1</v>
      </c>
      <c r="P511" s="12" t="s">
        <v>14</v>
      </c>
      <c r="Q511" s="12"/>
      <c r="R511" s="12"/>
      <c r="T511">
        <f t="shared" si="14"/>
        <v>3.4377467707849396</v>
      </c>
      <c r="U511">
        <f t="shared" si="15"/>
        <v>3.4377467707849396</v>
      </c>
    </row>
    <row r="512" spans="1:21">
      <c r="A512" s="12">
        <v>40</v>
      </c>
      <c r="B512" s="12">
        <v>-10</v>
      </c>
      <c r="C512" s="11">
        <v>43.455869235201362</v>
      </c>
      <c r="D512" s="11">
        <v>-9.8309797965071795</v>
      </c>
      <c r="E512" s="11"/>
      <c r="F512" s="10">
        <v>451</v>
      </c>
      <c r="G512" s="12" t="s">
        <v>13</v>
      </c>
      <c r="H512" s="13">
        <v>10.8</v>
      </c>
      <c r="I512" s="14"/>
      <c r="J512" s="14">
        <v>11.8</v>
      </c>
      <c r="K512" s="14"/>
      <c r="L512" s="13">
        <v>3.9</v>
      </c>
      <c r="M512" s="13">
        <v>2</v>
      </c>
      <c r="P512" s="12" t="s">
        <v>14</v>
      </c>
      <c r="Q512" s="12"/>
      <c r="R512" s="12" t="s">
        <v>16</v>
      </c>
      <c r="T512">
        <f t="shared" si="14"/>
        <v>3.4377467707849396</v>
      </c>
      <c r="U512">
        <f t="shared" si="15"/>
        <v>3.7560566569687301</v>
      </c>
    </row>
    <row r="513" spans="1:21">
      <c r="A513" s="12">
        <v>40</v>
      </c>
      <c r="B513" s="12">
        <v>-30</v>
      </c>
      <c r="C513" s="11">
        <v>42.046818434004329</v>
      </c>
      <c r="D513" s="11">
        <v>-25.540917398602279</v>
      </c>
      <c r="E513" s="11"/>
      <c r="F513" s="12">
        <v>692</v>
      </c>
      <c r="G513" s="12" t="s">
        <v>13</v>
      </c>
      <c r="H513" s="13">
        <v>10.8</v>
      </c>
      <c r="I513" s="14"/>
      <c r="J513" s="14" t="s">
        <v>70</v>
      </c>
      <c r="K513" s="14"/>
      <c r="L513" s="13">
        <v>3</v>
      </c>
      <c r="M513" s="13">
        <v>2.2999999999999998</v>
      </c>
      <c r="P513" s="12" t="s">
        <v>14</v>
      </c>
      <c r="Q513" s="12"/>
      <c r="R513" s="12" t="s">
        <v>48</v>
      </c>
      <c r="T513">
        <f t="shared" si="14"/>
        <v>3.4377467707849396</v>
      </c>
      <c r="U513" t="str">
        <f t="shared" si="15"/>
        <v>dead</v>
      </c>
    </row>
    <row r="514" spans="1:21">
      <c r="A514" s="12">
        <v>20</v>
      </c>
      <c r="B514" s="12">
        <v>10</v>
      </c>
      <c r="C514" s="11">
        <v>21.785537686445696</v>
      </c>
      <c r="D514" s="11">
        <v>11.947311629411955</v>
      </c>
      <c r="E514" s="11"/>
      <c r="F514" s="12">
        <v>148</v>
      </c>
      <c r="G514" s="12" t="s">
        <v>13</v>
      </c>
      <c r="H514" s="13">
        <v>10.9</v>
      </c>
      <c r="I514" s="14"/>
      <c r="J514" s="14">
        <v>11</v>
      </c>
      <c r="K514" s="14"/>
      <c r="L514" s="13">
        <v>4.5999999999999996</v>
      </c>
      <c r="M514" s="13">
        <v>1.5</v>
      </c>
      <c r="P514" s="12" t="s">
        <v>14</v>
      </c>
      <c r="Q514" s="12"/>
      <c r="R514" s="12"/>
      <c r="T514">
        <f t="shared" ref="T514:T577" si="16">IF(H514="",I514,H514/PI())</f>
        <v>3.4695777594033186</v>
      </c>
      <c r="U514">
        <f t="shared" ref="U514:U577" si="17">IF(J514="dead","dead",J514/PI()+K514)</f>
        <v>3.5014087480216975</v>
      </c>
    </row>
    <row r="515" spans="1:21">
      <c r="A515" s="12">
        <v>20</v>
      </c>
      <c r="B515" s="12">
        <v>40</v>
      </c>
      <c r="C515" s="11">
        <v>26.924600108357865</v>
      </c>
      <c r="D515" s="11">
        <v>46.948813808077624</v>
      </c>
      <c r="E515" s="11"/>
      <c r="F515" s="12">
        <v>192</v>
      </c>
      <c r="G515" s="12" t="s">
        <v>13</v>
      </c>
      <c r="H515" s="13">
        <v>10.9</v>
      </c>
      <c r="I515" s="14"/>
      <c r="J515" s="14" t="s">
        <v>79</v>
      </c>
      <c r="K515" s="14"/>
      <c r="L515" s="13">
        <v>3.5</v>
      </c>
      <c r="M515" s="13"/>
      <c r="P515" s="12" t="s">
        <v>12</v>
      </c>
      <c r="Q515" s="12"/>
      <c r="R515" s="12"/>
      <c r="T515">
        <f t="shared" si="16"/>
        <v>3.4695777594033186</v>
      </c>
      <c r="U515" t="str">
        <f t="shared" si="17"/>
        <v>dead</v>
      </c>
    </row>
    <row r="516" spans="1:21">
      <c r="A516" s="12">
        <v>20</v>
      </c>
      <c r="B516" s="12">
        <v>10</v>
      </c>
      <c r="C516" s="11">
        <v>22.185225695543657</v>
      </c>
      <c r="D516" s="11">
        <v>12.144973802340447</v>
      </c>
      <c r="E516" s="11"/>
      <c r="F516" s="10">
        <v>151</v>
      </c>
      <c r="G516" s="12" t="s">
        <v>13</v>
      </c>
      <c r="H516" s="13">
        <v>11</v>
      </c>
      <c r="I516" s="14"/>
      <c r="J516" s="14">
        <v>11.6</v>
      </c>
      <c r="K516" s="14"/>
      <c r="L516" s="13">
        <v>4.9000000000000004</v>
      </c>
      <c r="M516" s="13">
        <v>1.4</v>
      </c>
      <c r="P516" s="12" t="s">
        <v>14</v>
      </c>
      <c r="Q516" s="12"/>
      <c r="R516" s="12"/>
      <c r="T516">
        <f t="shared" si="16"/>
        <v>3.5014087480216975</v>
      </c>
      <c r="U516">
        <f t="shared" si="17"/>
        <v>3.6923946797319718</v>
      </c>
    </row>
    <row r="517" spans="1:21">
      <c r="A517" s="12">
        <v>40</v>
      </c>
      <c r="B517" s="12">
        <v>30</v>
      </c>
      <c r="C517" s="11">
        <v>49.095619109009078</v>
      </c>
      <c r="D517" s="11">
        <v>30.432649520164404</v>
      </c>
      <c r="E517" s="11"/>
      <c r="F517" s="12">
        <v>320</v>
      </c>
      <c r="G517" s="12" t="s">
        <v>30</v>
      </c>
      <c r="H517" s="13">
        <v>11</v>
      </c>
      <c r="I517" s="14"/>
      <c r="J517" s="14">
        <v>11.5</v>
      </c>
      <c r="K517" s="14"/>
      <c r="L517" s="13">
        <v>3.8</v>
      </c>
      <c r="M517" s="13">
        <v>0.3</v>
      </c>
      <c r="P517" s="12" t="s">
        <v>14</v>
      </c>
      <c r="Q517" s="12"/>
      <c r="R517" s="12"/>
      <c r="T517">
        <f t="shared" si="16"/>
        <v>3.5014087480216975</v>
      </c>
      <c r="U517">
        <f t="shared" si="17"/>
        <v>3.6605636911135928</v>
      </c>
    </row>
    <row r="518" spans="1:21">
      <c r="A518" s="12">
        <v>20</v>
      </c>
      <c r="B518" s="12">
        <v>-20</v>
      </c>
      <c r="C518" s="11">
        <v>27.646310495894554</v>
      </c>
      <c r="D518" s="11">
        <v>-18.975480802506063</v>
      </c>
      <c r="E518" s="11"/>
      <c r="F518" s="10">
        <v>563</v>
      </c>
      <c r="G518" s="12" t="s">
        <v>13</v>
      </c>
      <c r="H518" s="13">
        <v>11</v>
      </c>
      <c r="I518" s="14"/>
      <c r="J518" s="14">
        <v>11.3</v>
      </c>
      <c r="K518" s="14"/>
      <c r="L518" s="13">
        <v>3.8</v>
      </c>
      <c r="M518" s="13">
        <v>1.4</v>
      </c>
      <c r="P518" s="12" t="s">
        <v>14</v>
      </c>
      <c r="Q518" s="12"/>
      <c r="R518" s="12"/>
      <c r="T518">
        <f t="shared" si="16"/>
        <v>3.5014087480216975</v>
      </c>
      <c r="U518">
        <f t="shared" si="17"/>
        <v>3.5969017138768349</v>
      </c>
    </row>
    <row r="519" spans="1:21">
      <c r="A519" s="12">
        <v>20</v>
      </c>
      <c r="B519" s="12">
        <v>20</v>
      </c>
      <c r="C519" s="11">
        <v>26.105063208120857</v>
      </c>
      <c r="D519" s="11">
        <v>23.112840326777921</v>
      </c>
      <c r="E519" s="11"/>
      <c r="F519" s="10">
        <v>165</v>
      </c>
      <c r="G519" s="12" t="s">
        <v>11</v>
      </c>
      <c r="H519" s="13">
        <v>11.1</v>
      </c>
      <c r="I519" s="14"/>
      <c r="J519" s="14" t="s">
        <v>70</v>
      </c>
      <c r="K519" s="14"/>
      <c r="L519" s="13">
        <v>3.7</v>
      </c>
      <c r="M519" s="13"/>
      <c r="P519" s="12" t="s">
        <v>12</v>
      </c>
      <c r="Q519" s="12"/>
      <c r="R519" s="12"/>
      <c r="T519">
        <f t="shared" si="16"/>
        <v>3.5332397366400765</v>
      </c>
      <c r="U519" t="str">
        <f t="shared" si="17"/>
        <v>dead</v>
      </c>
    </row>
    <row r="520" spans="1:21">
      <c r="A520" s="9">
        <v>20</v>
      </c>
      <c r="B520" s="9">
        <v>-10</v>
      </c>
      <c r="C520" s="11">
        <v>22.256082481683858</v>
      </c>
      <c r="D520" s="11">
        <v>-9.5353591675352476</v>
      </c>
      <c r="E520" s="11"/>
      <c r="F520" s="10">
        <v>415</v>
      </c>
      <c r="G520" s="12" t="s">
        <v>13</v>
      </c>
      <c r="H520" s="13">
        <v>11.2</v>
      </c>
      <c r="I520" s="14"/>
      <c r="J520" s="14">
        <v>12.1</v>
      </c>
      <c r="K520" s="14"/>
      <c r="L520" s="13">
        <v>3.4</v>
      </c>
      <c r="M520" s="13">
        <v>1.8</v>
      </c>
      <c r="P520" s="12" t="s">
        <v>14</v>
      </c>
      <c r="Q520" s="12"/>
      <c r="R520" s="12"/>
      <c r="T520">
        <f t="shared" si="16"/>
        <v>3.5650707252584555</v>
      </c>
      <c r="U520">
        <f t="shared" si="17"/>
        <v>3.851549622823867</v>
      </c>
    </row>
    <row r="521" spans="1:21">
      <c r="A521" s="12">
        <v>40</v>
      </c>
      <c r="B521" s="12">
        <v>20</v>
      </c>
      <c r="C521" s="11">
        <v>42.394823115933988</v>
      </c>
      <c r="D521" s="11">
        <v>29.340169159319785</v>
      </c>
      <c r="E521" s="11"/>
      <c r="F521" s="12">
        <v>292</v>
      </c>
      <c r="G521" s="12" t="s">
        <v>13</v>
      </c>
      <c r="H521" s="13"/>
      <c r="I521" s="14">
        <v>3.59</v>
      </c>
      <c r="J521" s="31"/>
      <c r="K521" s="31">
        <v>11.4</v>
      </c>
      <c r="L521" s="13">
        <v>5.0999999999999996</v>
      </c>
      <c r="M521" s="13">
        <v>2.4</v>
      </c>
      <c r="P521" s="12" t="s">
        <v>14</v>
      </c>
      <c r="Q521" s="12"/>
      <c r="R521" s="12"/>
      <c r="T521">
        <f t="shared" si="16"/>
        <v>3.59</v>
      </c>
      <c r="U521">
        <f t="shared" si="17"/>
        <v>11.4</v>
      </c>
    </row>
    <row r="522" spans="1:21">
      <c r="A522" s="9">
        <v>0</v>
      </c>
      <c r="B522" s="9">
        <v>0</v>
      </c>
      <c r="C522" s="11">
        <v>4.6490501176979064</v>
      </c>
      <c r="D522" s="11">
        <v>8.685680648742018</v>
      </c>
      <c r="E522" s="11"/>
      <c r="F522" s="10">
        <v>3</v>
      </c>
      <c r="G522" s="12" t="s">
        <v>13</v>
      </c>
      <c r="H522" s="13">
        <v>11.3</v>
      </c>
      <c r="I522" s="14"/>
      <c r="J522" s="31">
        <v>11.1</v>
      </c>
      <c r="K522" s="31"/>
      <c r="L522" s="13">
        <v>3.1</v>
      </c>
      <c r="M522" s="13">
        <v>2.1</v>
      </c>
      <c r="P522" s="12" t="s">
        <v>14</v>
      </c>
      <c r="Q522" s="12"/>
      <c r="R522" s="12"/>
      <c r="T522">
        <f t="shared" si="16"/>
        <v>3.5969017138768349</v>
      </c>
      <c r="U522">
        <f t="shared" si="17"/>
        <v>3.5332397366400765</v>
      </c>
    </row>
    <row r="523" spans="1:21">
      <c r="A523" s="12">
        <v>30</v>
      </c>
      <c r="B523" s="12">
        <v>-30</v>
      </c>
      <c r="C523" s="11">
        <v>32.358209900513103</v>
      </c>
      <c r="D523" s="11">
        <v>-25.057197451664507</v>
      </c>
      <c r="E523" s="11"/>
      <c r="F523" s="10">
        <v>663</v>
      </c>
      <c r="G523" s="12" t="s">
        <v>11</v>
      </c>
      <c r="H523" s="13">
        <v>11.3</v>
      </c>
      <c r="I523" s="14"/>
      <c r="J523" s="31" t="s">
        <v>70</v>
      </c>
      <c r="K523" s="31"/>
      <c r="L523" s="13">
        <v>4.5999999999999996</v>
      </c>
      <c r="M523" s="13"/>
      <c r="P523" s="12" t="s">
        <v>12</v>
      </c>
      <c r="Q523" s="12"/>
      <c r="R523" s="12"/>
      <c r="T523">
        <f t="shared" si="16"/>
        <v>3.5969017138768349</v>
      </c>
      <c r="U523" t="str">
        <f t="shared" si="17"/>
        <v>dead</v>
      </c>
    </row>
    <row r="524" spans="1:21">
      <c r="A524" s="12">
        <v>20</v>
      </c>
      <c r="B524" s="12">
        <v>-20</v>
      </c>
      <c r="C524" s="11">
        <v>26.880206616637487</v>
      </c>
      <c r="D524" s="11">
        <v>-13.466398935188682</v>
      </c>
      <c r="E524" s="11"/>
      <c r="F524" s="10">
        <v>555</v>
      </c>
      <c r="G524" s="12" t="s">
        <v>13</v>
      </c>
      <c r="H524" s="13"/>
      <c r="I524" s="14">
        <v>3.6</v>
      </c>
      <c r="J524" s="31">
        <v>12.1</v>
      </c>
      <c r="K524" s="31"/>
      <c r="L524" s="13">
        <v>2.2000000000000002</v>
      </c>
      <c r="M524" s="13">
        <v>0.9</v>
      </c>
      <c r="P524" s="12" t="s">
        <v>14</v>
      </c>
      <c r="Q524" s="12"/>
      <c r="R524" s="12"/>
      <c r="T524">
        <f t="shared" si="16"/>
        <v>3.6</v>
      </c>
      <c r="U524">
        <f t="shared" si="17"/>
        <v>3.851549622823867</v>
      </c>
    </row>
    <row r="525" spans="1:21">
      <c r="A525" s="12">
        <v>50</v>
      </c>
      <c r="B525" s="12">
        <v>-30</v>
      </c>
      <c r="C525" s="11">
        <v>50.215139710240834</v>
      </c>
      <c r="D525" s="11">
        <v>-27.437723206428444</v>
      </c>
      <c r="E525" s="11"/>
      <c r="F525" s="10">
        <v>701</v>
      </c>
      <c r="G525" s="12" t="s">
        <v>13</v>
      </c>
      <c r="H525" s="13"/>
      <c r="I525" s="14">
        <v>3.61</v>
      </c>
      <c r="J525" s="31">
        <v>13</v>
      </c>
      <c r="K525" s="31"/>
      <c r="L525" s="13">
        <v>5.2</v>
      </c>
      <c r="M525" s="13">
        <v>1.8</v>
      </c>
      <c r="P525" s="12" t="s">
        <v>14</v>
      </c>
      <c r="Q525" s="12"/>
      <c r="R525" s="12"/>
      <c r="T525">
        <f t="shared" si="16"/>
        <v>3.61</v>
      </c>
      <c r="U525">
        <f t="shared" si="17"/>
        <v>4.1380285203892786</v>
      </c>
    </row>
    <row r="526" spans="1:21" s="27" customFormat="1">
      <c r="A526" s="12">
        <v>10</v>
      </c>
      <c r="B526" s="12">
        <v>20</v>
      </c>
      <c r="C526" s="11">
        <v>19.699163756212034</v>
      </c>
      <c r="D526" s="11">
        <v>20.653488566037861</v>
      </c>
      <c r="E526" s="11"/>
      <c r="F526" s="10">
        <v>105</v>
      </c>
      <c r="G526" s="12" t="s">
        <v>13</v>
      </c>
      <c r="H526" s="13">
        <v>11.4</v>
      </c>
      <c r="I526" s="14"/>
      <c r="J526" s="31">
        <v>11.8</v>
      </c>
      <c r="K526" s="31"/>
      <c r="L526" s="13">
        <v>3.5</v>
      </c>
      <c r="M526" s="13">
        <v>1</v>
      </c>
      <c r="N526"/>
      <c r="O526"/>
      <c r="P526" s="12" t="s">
        <v>14</v>
      </c>
      <c r="Q526" s="12"/>
      <c r="R526" s="12"/>
      <c r="S526"/>
      <c r="T526">
        <f t="shared" si="16"/>
        <v>3.6287327024952138</v>
      </c>
      <c r="U526">
        <f t="shared" si="17"/>
        <v>3.7560566569687301</v>
      </c>
    </row>
    <row r="527" spans="1:21" s="27" customFormat="1">
      <c r="A527" s="12">
        <v>40</v>
      </c>
      <c r="B527" s="12">
        <v>-20</v>
      </c>
      <c r="C527" s="11">
        <v>48.947736636769655</v>
      </c>
      <c r="D527" s="11">
        <v>-16.311933862059238</v>
      </c>
      <c r="E527" s="11"/>
      <c r="F527" s="12">
        <v>506</v>
      </c>
      <c r="G527" s="12" t="s">
        <v>13</v>
      </c>
      <c r="H527" s="13">
        <v>11.5</v>
      </c>
      <c r="I527" s="14"/>
      <c r="J527" s="31"/>
      <c r="K527" s="31">
        <v>17.100000000000001</v>
      </c>
      <c r="L527" s="13">
        <v>2.8</v>
      </c>
      <c r="M527" s="13">
        <v>1.5</v>
      </c>
      <c r="N527"/>
      <c r="O527"/>
      <c r="P527" s="12" t="s">
        <v>14</v>
      </c>
      <c r="Q527" s="12"/>
      <c r="R527" s="12"/>
      <c r="S527" t="s">
        <v>92</v>
      </c>
      <c r="T527">
        <f t="shared" si="16"/>
        <v>3.6605636911135928</v>
      </c>
      <c r="U527">
        <f t="shared" si="17"/>
        <v>17.100000000000001</v>
      </c>
    </row>
    <row r="528" spans="1:21" s="27" customFormat="1">
      <c r="A528" s="12">
        <v>0</v>
      </c>
      <c r="B528" s="12">
        <v>-30</v>
      </c>
      <c r="C528" s="11">
        <v>9.2331769958039427</v>
      </c>
      <c r="D528" s="11">
        <v>-22.944436741865474</v>
      </c>
      <c r="E528" s="11"/>
      <c r="F528" s="12">
        <v>610</v>
      </c>
      <c r="G528" s="12" t="s">
        <v>13</v>
      </c>
      <c r="H528" s="13">
        <v>11.6</v>
      </c>
      <c r="I528" s="14"/>
      <c r="J528" s="31">
        <v>13.3</v>
      </c>
      <c r="K528" s="31"/>
      <c r="L528" s="13">
        <v>4.7</v>
      </c>
      <c r="M528" s="13">
        <v>1.6</v>
      </c>
      <c r="N528"/>
      <c r="O528"/>
      <c r="P528" s="12" t="s">
        <v>14</v>
      </c>
      <c r="Q528" s="12"/>
      <c r="R528" s="12"/>
      <c r="S528"/>
      <c r="T528">
        <f t="shared" si="16"/>
        <v>3.6923946797319718</v>
      </c>
      <c r="U528">
        <f t="shared" si="17"/>
        <v>4.2335214862444159</v>
      </c>
    </row>
    <row r="529" spans="1:21">
      <c r="A529" s="12">
        <v>20</v>
      </c>
      <c r="B529" s="12">
        <v>-20</v>
      </c>
      <c r="C529" s="11">
        <v>27.221745045931094</v>
      </c>
      <c r="D529" s="11">
        <v>-13.615881680698827</v>
      </c>
      <c r="E529" s="11"/>
      <c r="F529" s="10">
        <v>549</v>
      </c>
      <c r="G529" s="12" t="s">
        <v>13</v>
      </c>
      <c r="H529" s="13">
        <v>11.7</v>
      </c>
      <c r="I529" s="14"/>
      <c r="J529" s="14">
        <v>11.7</v>
      </c>
      <c r="K529" s="14"/>
      <c r="L529" s="13">
        <v>4.2</v>
      </c>
      <c r="M529" s="13">
        <v>2.6</v>
      </c>
      <c r="P529" s="12" t="s">
        <v>14</v>
      </c>
      <c r="Q529" s="12"/>
      <c r="R529" s="12"/>
      <c r="T529">
        <f t="shared" si="16"/>
        <v>3.7242256683503507</v>
      </c>
      <c r="U529">
        <f t="shared" si="17"/>
        <v>3.7242256683503507</v>
      </c>
    </row>
    <row r="530" spans="1:21">
      <c r="A530" s="12">
        <v>20</v>
      </c>
      <c r="B530" s="12">
        <v>40</v>
      </c>
      <c r="C530" s="11">
        <v>22.110566473137055</v>
      </c>
      <c r="D530" s="11">
        <v>42.311365216159018</v>
      </c>
      <c r="E530" s="11"/>
      <c r="F530" s="10">
        <v>183</v>
      </c>
      <c r="G530" s="12" t="s">
        <v>11</v>
      </c>
      <c r="H530" s="13">
        <v>11.8</v>
      </c>
      <c r="I530" s="14"/>
      <c r="J530" s="14" t="s">
        <v>70</v>
      </c>
      <c r="K530" s="14"/>
      <c r="L530" s="13">
        <v>4.2</v>
      </c>
      <c r="M530" s="13"/>
      <c r="P530" s="12" t="s">
        <v>12</v>
      </c>
      <c r="Q530" s="12"/>
      <c r="R530" s="12"/>
      <c r="T530">
        <f t="shared" si="16"/>
        <v>3.7560566569687301</v>
      </c>
      <c r="U530" t="str">
        <f t="shared" si="17"/>
        <v>dead</v>
      </c>
    </row>
    <row r="531" spans="1:21">
      <c r="A531" s="12">
        <v>0</v>
      </c>
      <c r="B531" s="12">
        <v>-30</v>
      </c>
      <c r="C531" s="11">
        <v>5.2992375060011847</v>
      </c>
      <c r="D531" s="11">
        <v>-21.210623615793651</v>
      </c>
      <c r="E531" s="11"/>
      <c r="F531" s="12">
        <v>604</v>
      </c>
      <c r="G531" s="12" t="s">
        <v>11</v>
      </c>
      <c r="H531" s="13">
        <v>11.8</v>
      </c>
      <c r="I531" s="14"/>
      <c r="J531" s="14">
        <v>15.3</v>
      </c>
      <c r="K531" s="14"/>
      <c r="L531" s="13">
        <v>4.4000000000000004</v>
      </c>
      <c r="M531" s="13">
        <v>0.5</v>
      </c>
      <c r="P531" s="12" t="s">
        <v>14</v>
      </c>
      <c r="Q531" s="12"/>
      <c r="R531" s="12"/>
      <c r="S531" t="s">
        <v>105</v>
      </c>
      <c r="T531">
        <f t="shared" si="16"/>
        <v>3.7560566569687301</v>
      </c>
      <c r="U531">
        <f t="shared" si="17"/>
        <v>4.8701412586119979</v>
      </c>
    </row>
    <row r="532" spans="1:21">
      <c r="A532" s="9">
        <v>0</v>
      </c>
      <c r="B532" s="12">
        <v>10</v>
      </c>
      <c r="C532" s="11">
        <v>1.739478099313315</v>
      </c>
      <c r="D532" s="11">
        <v>16.785269186132236</v>
      </c>
      <c r="E532" s="11"/>
      <c r="F532" s="12">
        <v>26</v>
      </c>
      <c r="G532" s="12" t="s">
        <v>11</v>
      </c>
      <c r="H532" s="13">
        <v>11.9</v>
      </c>
      <c r="I532" s="14"/>
      <c r="J532" s="14">
        <v>15.4</v>
      </c>
      <c r="K532" s="14"/>
      <c r="L532" s="13">
        <v>4.0999999999999996</v>
      </c>
      <c r="M532" s="13">
        <v>0.3</v>
      </c>
      <c r="P532" s="12" t="s">
        <v>14</v>
      </c>
      <c r="Q532" s="12"/>
      <c r="R532" s="12"/>
      <c r="T532">
        <f t="shared" si="16"/>
        <v>3.7878876455871091</v>
      </c>
      <c r="U532">
        <f t="shared" si="17"/>
        <v>4.9019722472303764</v>
      </c>
    </row>
    <row r="533" spans="1:21">
      <c r="A533" s="12">
        <v>20</v>
      </c>
      <c r="B533" s="12">
        <v>10</v>
      </c>
      <c r="C533" s="11">
        <v>24.483757051699371</v>
      </c>
      <c r="D533" s="11">
        <v>11.324677598118903</v>
      </c>
      <c r="E533" s="11"/>
      <c r="F533" s="12">
        <v>134</v>
      </c>
      <c r="G533" s="12" t="s">
        <v>13</v>
      </c>
      <c r="H533" s="13">
        <v>11.9</v>
      </c>
      <c r="I533" s="14"/>
      <c r="J533" s="14">
        <v>12.9</v>
      </c>
      <c r="K533" s="14"/>
      <c r="L533" s="13">
        <v>4.0999999999999996</v>
      </c>
      <c r="M533" s="13">
        <v>1.4</v>
      </c>
      <c r="P533" s="12" t="s">
        <v>14</v>
      </c>
      <c r="Q533" s="12"/>
      <c r="R533" s="12"/>
      <c r="T533">
        <f t="shared" si="16"/>
        <v>3.7878876455871091</v>
      </c>
      <c r="U533">
        <f t="shared" si="17"/>
        <v>4.1061975317709001</v>
      </c>
    </row>
    <row r="534" spans="1:21">
      <c r="A534" s="12">
        <v>20</v>
      </c>
      <c r="B534" s="12">
        <v>40</v>
      </c>
      <c r="C534" s="11">
        <v>27.401715058725056</v>
      </c>
      <c r="D534" s="11">
        <v>42.122407639790886</v>
      </c>
      <c r="E534" s="11"/>
      <c r="F534" s="10">
        <v>185</v>
      </c>
      <c r="G534" s="12" t="s">
        <v>11</v>
      </c>
      <c r="H534" s="13">
        <v>11.9</v>
      </c>
      <c r="I534" s="14"/>
      <c r="J534" s="14" t="s">
        <v>70</v>
      </c>
      <c r="K534" s="14"/>
      <c r="L534" s="13">
        <v>4.4000000000000004</v>
      </c>
      <c r="M534" s="13">
        <v>0.8</v>
      </c>
      <c r="P534" s="12" t="s">
        <v>14</v>
      </c>
      <c r="Q534" s="12"/>
      <c r="R534" s="12"/>
      <c r="T534">
        <f t="shared" si="16"/>
        <v>3.7878876455871091</v>
      </c>
      <c r="U534" t="str">
        <f t="shared" si="17"/>
        <v>dead</v>
      </c>
    </row>
    <row r="535" spans="1:21">
      <c r="A535" s="12">
        <v>40</v>
      </c>
      <c r="B535" s="12">
        <v>40</v>
      </c>
      <c r="C535" s="11">
        <v>49.32416780950124</v>
      </c>
      <c r="D535" s="11">
        <v>42.156583142446785</v>
      </c>
      <c r="E535" s="11"/>
      <c r="F535" s="12">
        <v>348</v>
      </c>
      <c r="G535" s="12" t="s">
        <v>13</v>
      </c>
      <c r="H535" s="13">
        <v>11.9</v>
      </c>
      <c r="I535" s="14"/>
      <c r="J535" s="14">
        <v>12.3</v>
      </c>
      <c r="K535" s="14"/>
      <c r="L535" s="13">
        <v>5.4</v>
      </c>
      <c r="M535" s="13">
        <v>2.5</v>
      </c>
      <c r="P535" s="12" t="s">
        <v>14</v>
      </c>
      <c r="Q535" s="12"/>
      <c r="R535" s="12"/>
      <c r="T535">
        <f t="shared" si="16"/>
        <v>3.7878876455871091</v>
      </c>
      <c r="U535">
        <f t="shared" si="17"/>
        <v>3.9152116000606259</v>
      </c>
    </row>
    <row r="536" spans="1:21">
      <c r="A536" s="12">
        <v>40</v>
      </c>
      <c r="B536" s="12">
        <v>-10</v>
      </c>
      <c r="C536" s="11">
        <v>48.14</v>
      </c>
      <c r="D536" s="11">
        <v>-3.2216145020781122</v>
      </c>
      <c r="E536" s="11"/>
      <c r="F536" s="10">
        <v>465</v>
      </c>
      <c r="G536" s="12" t="s">
        <v>13</v>
      </c>
      <c r="H536" s="13">
        <v>11.9</v>
      </c>
      <c r="I536" s="14"/>
      <c r="J536" s="14">
        <v>11.7</v>
      </c>
      <c r="K536" s="14"/>
      <c r="L536" s="13">
        <v>4.3</v>
      </c>
      <c r="M536" s="13">
        <v>2.5</v>
      </c>
      <c r="P536" s="12" t="s">
        <v>14</v>
      </c>
      <c r="Q536" s="12"/>
      <c r="R536" s="12"/>
      <c r="T536">
        <f t="shared" si="16"/>
        <v>3.7878876455871091</v>
      </c>
      <c r="U536">
        <f t="shared" si="17"/>
        <v>3.7242256683503507</v>
      </c>
    </row>
    <row r="537" spans="1:21">
      <c r="A537" s="12">
        <v>20</v>
      </c>
      <c r="B537" s="12">
        <v>-30</v>
      </c>
      <c r="C537" s="11">
        <v>25.2559620379226</v>
      </c>
      <c r="D537" s="11">
        <v>-26.725102513298108</v>
      </c>
      <c r="E537" s="11"/>
      <c r="F537" s="12">
        <v>650</v>
      </c>
      <c r="G537" s="12" t="s">
        <v>43</v>
      </c>
      <c r="H537" s="13"/>
      <c r="I537" s="14">
        <v>3.88</v>
      </c>
      <c r="J537" s="14">
        <v>13.5</v>
      </c>
      <c r="K537" s="14"/>
      <c r="L537" s="13">
        <v>4.7</v>
      </c>
      <c r="M537" s="13">
        <v>2.2999999999999998</v>
      </c>
      <c r="P537" s="12" t="s">
        <v>14</v>
      </c>
      <c r="Q537" s="12"/>
      <c r="R537" s="12"/>
      <c r="T537">
        <f t="shared" si="16"/>
        <v>3.88</v>
      </c>
      <c r="U537">
        <f t="shared" si="17"/>
        <v>4.2971834634811739</v>
      </c>
    </row>
    <row r="538" spans="1:21">
      <c r="A538" s="12">
        <v>30</v>
      </c>
      <c r="B538" s="12">
        <v>-10</v>
      </c>
      <c r="C538" s="11">
        <v>33.758862366994734</v>
      </c>
      <c r="D538" s="11">
        <v>-1.9829056980795468</v>
      </c>
      <c r="E538" s="11"/>
      <c r="F538" s="12">
        <v>426</v>
      </c>
      <c r="G538" s="12" t="s">
        <v>13</v>
      </c>
      <c r="H538" s="13">
        <v>12.2</v>
      </c>
      <c r="I538" s="14"/>
      <c r="J538" s="14">
        <v>12.8</v>
      </c>
      <c r="K538" s="14"/>
      <c r="L538" s="13">
        <v>4.7</v>
      </c>
      <c r="M538" s="13">
        <v>1.5</v>
      </c>
      <c r="P538" s="12" t="s">
        <v>14</v>
      </c>
      <c r="Q538" s="12"/>
      <c r="R538" s="12"/>
      <c r="T538">
        <f t="shared" si="16"/>
        <v>3.883380611442246</v>
      </c>
      <c r="U538">
        <f t="shared" si="17"/>
        <v>4.0743665431525207</v>
      </c>
    </row>
    <row r="539" spans="1:21">
      <c r="A539" s="12">
        <v>20</v>
      </c>
      <c r="B539" s="12">
        <v>40</v>
      </c>
      <c r="C539" s="11">
        <v>26.356224715782488</v>
      </c>
      <c r="D539" s="11">
        <v>46.816216499090665</v>
      </c>
      <c r="E539" s="11"/>
      <c r="F539" s="10">
        <v>189</v>
      </c>
      <c r="G539" s="12" t="s">
        <v>13</v>
      </c>
      <c r="H539" s="13">
        <v>12.3</v>
      </c>
      <c r="I539" s="14"/>
      <c r="J539" s="14">
        <v>12.6</v>
      </c>
      <c r="K539" s="14"/>
      <c r="L539" s="13">
        <v>4.5999999999999996</v>
      </c>
      <c r="M539" s="13">
        <v>3.3</v>
      </c>
      <c r="P539" s="12" t="s">
        <v>14</v>
      </c>
      <c r="Q539" s="12"/>
      <c r="R539" s="12"/>
      <c r="T539">
        <f t="shared" si="16"/>
        <v>3.9152116000606259</v>
      </c>
      <c r="U539">
        <f t="shared" si="17"/>
        <v>4.0107045659157627</v>
      </c>
    </row>
    <row r="540" spans="1:21">
      <c r="A540" s="12">
        <v>30</v>
      </c>
      <c r="B540" s="12">
        <v>-30</v>
      </c>
      <c r="C540" s="11">
        <v>34.480309169145954</v>
      </c>
      <c r="D540" s="11">
        <v>-28.149652124407929</v>
      </c>
      <c r="E540" s="11"/>
      <c r="F540" s="10">
        <v>673</v>
      </c>
      <c r="G540" s="12" t="s">
        <v>21</v>
      </c>
      <c r="H540" s="13">
        <v>12.3</v>
      </c>
      <c r="I540" s="14"/>
      <c r="J540" s="14">
        <v>13.7</v>
      </c>
      <c r="K540" s="14"/>
      <c r="L540" s="13">
        <v>5.4</v>
      </c>
      <c r="M540" s="13">
        <v>1.9</v>
      </c>
      <c r="P540" s="12" t="s">
        <v>14</v>
      </c>
      <c r="Q540" s="12"/>
      <c r="R540" s="12"/>
      <c r="S540" t="s">
        <v>122</v>
      </c>
      <c r="T540">
        <f t="shared" si="16"/>
        <v>3.9152116000606259</v>
      </c>
      <c r="U540">
        <f t="shared" si="17"/>
        <v>4.3608454407179318</v>
      </c>
    </row>
    <row r="541" spans="1:21">
      <c r="A541" s="12">
        <v>40</v>
      </c>
      <c r="B541" s="12">
        <v>-30</v>
      </c>
      <c r="C541" s="11">
        <v>41.913207673811556</v>
      </c>
      <c r="D541" s="11">
        <v>-25.707852741674184</v>
      </c>
      <c r="E541" s="11"/>
      <c r="F541" s="10">
        <v>689</v>
      </c>
      <c r="G541" s="12" t="s">
        <v>13</v>
      </c>
      <c r="H541" s="13">
        <v>12.4</v>
      </c>
      <c r="I541" s="14"/>
      <c r="J541" s="14" t="s">
        <v>70</v>
      </c>
      <c r="K541" s="14"/>
      <c r="L541" s="13"/>
      <c r="M541" s="13"/>
      <c r="P541" s="12" t="s">
        <v>14</v>
      </c>
      <c r="Q541" s="12"/>
      <c r="R541" s="12" t="s">
        <v>47</v>
      </c>
      <c r="T541">
        <f t="shared" si="16"/>
        <v>3.9470425886790048</v>
      </c>
      <c r="U541" t="str">
        <f t="shared" si="17"/>
        <v>dead</v>
      </c>
    </row>
    <row r="542" spans="1:21">
      <c r="A542" s="12">
        <v>50</v>
      </c>
      <c r="B542" s="12">
        <v>-30</v>
      </c>
      <c r="C542" s="11">
        <v>50.215139710240834</v>
      </c>
      <c r="D542" s="11">
        <v>-27.437723206428444</v>
      </c>
      <c r="E542" s="11"/>
      <c r="F542" s="12">
        <v>2005</v>
      </c>
      <c r="G542" s="12" t="s">
        <v>13</v>
      </c>
      <c r="H542" s="13">
        <v>12.4</v>
      </c>
      <c r="I542" s="14"/>
      <c r="J542" s="14">
        <v>16</v>
      </c>
      <c r="K542" s="14"/>
      <c r="L542" s="13"/>
      <c r="M542" s="13"/>
      <c r="N542">
        <v>7.5</v>
      </c>
      <c r="O542">
        <v>2.2999999999999998</v>
      </c>
      <c r="P542" s="12"/>
      <c r="Q542" s="12"/>
      <c r="R542" s="12" t="s">
        <v>57</v>
      </c>
      <c r="S542" t="s">
        <v>140</v>
      </c>
      <c r="T542">
        <f t="shared" si="16"/>
        <v>3.9470425886790048</v>
      </c>
      <c r="U542">
        <f t="shared" si="17"/>
        <v>5.0929581789406511</v>
      </c>
    </row>
    <row r="543" spans="1:21">
      <c r="A543" s="12">
        <v>20</v>
      </c>
      <c r="B543" s="12">
        <v>10</v>
      </c>
      <c r="C543" s="11">
        <v>23.776821029099263</v>
      </c>
      <c r="D543" s="11">
        <v>11.15813707184822</v>
      </c>
      <c r="E543" s="11"/>
      <c r="F543" s="12">
        <v>142</v>
      </c>
      <c r="G543" s="12" t="s">
        <v>13</v>
      </c>
      <c r="H543" s="13">
        <v>12.5</v>
      </c>
      <c r="I543" s="14"/>
      <c r="J543" s="14">
        <v>13</v>
      </c>
      <c r="K543" s="14"/>
      <c r="L543" s="13">
        <v>4.8</v>
      </c>
      <c r="M543" s="13">
        <v>1.5</v>
      </c>
      <c r="P543" s="12" t="s">
        <v>14</v>
      </c>
      <c r="Q543" s="12"/>
      <c r="R543" s="12"/>
      <c r="T543">
        <f t="shared" si="16"/>
        <v>3.9788735772973833</v>
      </c>
      <c r="U543">
        <f t="shared" si="17"/>
        <v>4.1380285203892786</v>
      </c>
    </row>
    <row r="544" spans="1:21">
      <c r="A544" s="12">
        <v>40</v>
      </c>
      <c r="B544" s="12">
        <v>30</v>
      </c>
      <c r="C544" s="11">
        <v>41.87688214569787</v>
      </c>
      <c r="D544" s="11">
        <v>35.680861622369804</v>
      </c>
      <c r="E544" s="11"/>
      <c r="F544" s="10">
        <v>343</v>
      </c>
      <c r="G544" s="12" t="s">
        <v>11</v>
      </c>
      <c r="H544" s="13">
        <v>12.7</v>
      </c>
      <c r="I544" s="14"/>
      <c r="J544" s="14" t="s">
        <v>70</v>
      </c>
      <c r="K544" s="14"/>
      <c r="L544" s="13">
        <v>4.5</v>
      </c>
      <c r="M544" s="13"/>
      <c r="P544" s="12" t="s">
        <v>12</v>
      </c>
      <c r="Q544" s="12"/>
      <c r="R544" s="12"/>
      <c r="T544">
        <f t="shared" si="16"/>
        <v>4.0425355545341413</v>
      </c>
      <c r="U544" t="str">
        <f t="shared" si="17"/>
        <v>dead</v>
      </c>
    </row>
    <row r="545" spans="1:21">
      <c r="A545" s="12">
        <v>40</v>
      </c>
      <c r="B545" s="12">
        <v>40</v>
      </c>
      <c r="C545" s="11">
        <v>41.6247498349016</v>
      </c>
      <c r="D545" s="11">
        <v>49.400174714973076</v>
      </c>
      <c r="E545" s="11"/>
      <c r="F545" s="10">
        <v>363</v>
      </c>
      <c r="G545" s="12" t="s">
        <v>13</v>
      </c>
      <c r="H545" s="13">
        <v>12.7</v>
      </c>
      <c r="I545" s="14"/>
      <c r="J545" s="14">
        <v>13.2</v>
      </c>
      <c r="K545" s="14"/>
      <c r="L545" s="13">
        <v>4.7</v>
      </c>
      <c r="M545" s="13">
        <v>1.2</v>
      </c>
      <c r="P545" s="12" t="s">
        <v>14</v>
      </c>
      <c r="Q545" s="12"/>
      <c r="R545" s="12"/>
      <c r="T545">
        <f t="shared" si="16"/>
        <v>4.0425355545341413</v>
      </c>
      <c r="U545">
        <f t="shared" si="17"/>
        <v>4.2016904976260365</v>
      </c>
    </row>
    <row r="546" spans="1:21">
      <c r="A546" s="12">
        <v>30</v>
      </c>
      <c r="B546" s="12">
        <v>-10</v>
      </c>
      <c r="C546" s="11">
        <v>33.766064591840596</v>
      </c>
      <c r="D546" s="11">
        <v>-6.9729636066118257</v>
      </c>
      <c r="E546" s="11"/>
      <c r="F546" s="10">
        <v>429</v>
      </c>
      <c r="G546" s="12" t="s">
        <v>13</v>
      </c>
      <c r="H546" s="13">
        <v>12.8</v>
      </c>
      <c r="I546" s="14"/>
      <c r="J546" s="14">
        <v>13.4</v>
      </c>
      <c r="K546" s="14"/>
      <c r="L546" s="13">
        <v>4.7</v>
      </c>
      <c r="M546" s="13">
        <v>1.8</v>
      </c>
      <c r="P546" s="12" t="s">
        <v>14</v>
      </c>
      <c r="Q546" s="12"/>
      <c r="R546" s="12"/>
      <c r="T546">
        <f t="shared" si="16"/>
        <v>4.0743665431525207</v>
      </c>
      <c r="U546">
        <f t="shared" si="17"/>
        <v>4.2653524748627953</v>
      </c>
    </row>
    <row r="547" spans="1:21">
      <c r="A547" s="12">
        <v>20</v>
      </c>
      <c r="B547" s="12">
        <v>-20</v>
      </c>
      <c r="C547" s="11">
        <v>26.978042096895663</v>
      </c>
      <c r="D547" s="11">
        <v>-13.635795974718397</v>
      </c>
      <c r="E547" s="11"/>
      <c r="F547" s="12">
        <v>550</v>
      </c>
      <c r="G547" s="12" t="s">
        <v>13</v>
      </c>
      <c r="H547" s="13">
        <v>12.8</v>
      </c>
      <c r="I547" s="14"/>
      <c r="J547" s="14">
        <v>13.3</v>
      </c>
      <c r="K547" s="14"/>
      <c r="L547" s="13">
        <v>4.2</v>
      </c>
      <c r="M547" s="13">
        <v>3</v>
      </c>
      <c r="P547" s="12" t="s">
        <v>14</v>
      </c>
      <c r="Q547" s="12"/>
      <c r="R547" s="12"/>
      <c r="T547">
        <f t="shared" si="16"/>
        <v>4.0743665431525207</v>
      </c>
      <c r="U547">
        <f t="shared" si="17"/>
        <v>4.2335214862444159</v>
      </c>
    </row>
    <row r="548" spans="1:21">
      <c r="A548" s="12">
        <v>10</v>
      </c>
      <c r="B548" s="12">
        <v>-20</v>
      </c>
      <c r="C548" s="11">
        <v>16.298395004410601</v>
      </c>
      <c r="D548" s="11">
        <v>-11.763555350964374</v>
      </c>
      <c r="E548" s="11"/>
      <c r="F548" s="10">
        <v>573</v>
      </c>
      <c r="G548" s="12" t="s">
        <v>13</v>
      </c>
      <c r="H548" s="13">
        <v>12.8</v>
      </c>
      <c r="I548" s="14"/>
      <c r="J548" s="14">
        <v>13</v>
      </c>
      <c r="K548" s="14"/>
      <c r="L548" s="13">
        <v>2.9</v>
      </c>
      <c r="M548" s="13">
        <v>1.8</v>
      </c>
      <c r="P548" s="12" t="s">
        <v>14</v>
      </c>
      <c r="Q548" s="12"/>
      <c r="R548" s="12"/>
      <c r="T548">
        <f t="shared" si="16"/>
        <v>4.0743665431525207</v>
      </c>
      <c r="U548">
        <f t="shared" si="17"/>
        <v>4.1380285203892786</v>
      </c>
    </row>
    <row r="549" spans="1:21">
      <c r="A549" s="12">
        <v>0</v>
      </c>
      <c r="B549" s="12">
        <v>-30</v>
      </c>
      <c r="C549" s="11">
        <v>9.3944202602946802</v>
      </c>
      <c r="D549" s="11">
        <v>-23.025684932968588</v>
      </c>
      <c r="E549" s="11"/>
      <c r="F549" s="10">
        <v>611</v>
      </c>
      <c r="G549" s="12" t="s">
        <v>13</v>
      </c>
      <c r="H549" s="13">
        <v>12.8</v>
      </c>
      <c r="I549" s="14"/>
      <c r="J549" s="14">
        <v>13.5</v>
      </c>
      <c r="K549" s="14"/>
      <c r="L549" s="13">
        <v>4.8</v>
      </c>
      <c r="M549" s="13">
        <v>1.5</v>
      </c>
      <c r="P549" s="12" t="s">
        <v>14</v>
      </c>
      <c r="Q549" s="12"/>
      <c r="R549" s="12"/>
      <c r="S549" t="s">
        <v>107</v>
      </c>
      <c r="T549">
        <f t="shared" si="16"/>
        <v>4.0743665431525207</v>
      </c>
      <c r="U549">
        <f t="shared" si="17"/>
        <v>4.2971834634811739</v>
      </c>
    </row>
    <row r="550" spans="1:21">
      <c r="A550" s="12">
        <v>20</v>
      </c>
      <c r="B550" s="12">
        <v>-30</v>
      </c>
      <c r="C550" s="11">
        <v>27.351125010598636</v>
      </c>
      <c r="D550" s="11">
        <v>-29.237724897967244</v>
      </c>
      <c r="E550" s="11"/>
      <c r="F550" s="12">
        <v>652</v>
      </c>
      <c r="G550" s="12" t="s">
        <v>11</v>
      </c>
      <c r="H550" s="13">
        <v>12.8</v>
      </c>
      <c r="I550" s="14"/>
      <c r="J550" s="14" t="s">
        <v>70</v>
      </c>
      <c r="K550" s="14"/>
      <c r="L550" s="13">
        <v>4.5</v>
      </c>
      <c r="M550" s="13"/>
      <c r="P550" s="12" t="s">
        <v>12</v>
      </c>
      <c r="Q550" s="12"/>
      <c r="R550" s="12"/>
      <c r="T550">
        <f t="shared" si="16"/>
        <v>4.0743665431525207</v>
      </c>
      <c r="U550" t="str">
        <f t="shared" si="17"/>
        <v>dead</v>
      </c>
    </row>
    <row r="551" spans="1:21">
      <c r="A551" s="12">
        <v>40</v>
      </c>
      <c r="B551" s="12">
        <v>20</v>
      </c>
      <c r="C551" s="11">
        <v>42.033215261247165</v>
      </c>
      <c r="D551" s="11">
        <v>29.849072569358412</v>
      </c>
      <c r="E551" s="11"/>
      <c r="F551" s="12">
        <v>316</v>
      </c>
      <c r="G551" s="12" t="s">
        <v>13</v>
      </c>
      <c r="H551" s="13">
        <v>12.9</v>
      </c>
      <c r="I551" s="14"/>
      <c r="J551" s="14">
        <v>13.6</v>
      </c>
      <c r="K551" s="14"/>
      <c r="L551" s="13">
        <v>5.2</v>
      </c>
      <c r="M551" s="13">
        <v>2.2999999999999998</v>
      </c>
      <c r="P551" s="12" t="s">
        <v>14</v>
      </c>
      <c r="Q551" s="12"/>
      <c r="R551" s="12"/>
      <c r="T551">
        <f t="shared" si="16"/>
        <v>4.1061975317709001</v>
      </c>
      <c r="U551">
        <f t="shared" si="17"/>
        <v>4.3290144520995533</v>
      </c>
    </row>
    <row r="552" spans="1:21">
      <c r="A552" s="12">
        <v>40</v>
      </c>
      <c r="B552" s="12">
        <v>40</v>
      </c>
      <c r="C552" s="11">
        <v>41.490106932122359</v>
      </c>
      <c r="D552" s="11">
        <v>45.568717982919232</v>
      </c>
      <c r="E552" s="11"/>
      <c r="F552" s="12">
        <v>358</v>
      </c>
      <c r="G552" s="12" t="s">
        <v>13</v>
      </c>
      <c r="H552" s="13">
        <v>12.9</v>
      </c>
      <c r="I552" s="14"/>
      <c r="J552" s="14" t="s">
        <v>70</v>
      </c>
      <c r="K552" s="14"/>
      <c r="L552" s="13">
        <v>1.6</v>
      </c>
      <c r="M552" s="13"/>
      <c r="P552" s="12" t="s">
        <v>12</v>
      </c>
      <c r="Q552" s="12"/>
      <c r="R552" s="12"/>
      <c r="T552">
        <f t="shared" si="16"/>
        <v>4.1061975317709001</v>
      </c>
      <c r="U552" t="str">
        <f t="shared" si="17"/>
        <v>dead</v>
      </c>
    </row>
    <row r="553" spans="1:21">
      <c r="A553" s="12">
        <v>20</v>
      </c>
      <c r="B553" s="12">
        <v>-20</v>
      </c>
      <c r="C553" s="11">
        <v>27.731279138370269</v>
      </c>
      <c r="D553" s="11">
        <v>-18.751193542563861</v>
      </c>
      <c r="E553" s="11"/>
      <c r="F553" s="10">
        <v>561</v>
      </c>
      <c r="G553" s="12" t="s">
        <v>13</v>
      </c>
      <c r="H553" s="13">
        <v>12.9</v>
      </c>
      <c r="I553" s="14"/>
      <c r="J553" s="14">
        <v>13</v>
      </c>
      <c r="K553" s="14"/>
      <c r="L553" s="13">
        <v>4.4000000000000004</v>
      </c>
      <c r="M553" s="13">
        <v>2.5</v>
      </c>
      <c r="P553" s="12" t="s">
        <v>14</v>
      </c>
      <c r="Q553" s="12"/>
      <c r="R553" s="12"/>
      <c r="T553">
        <f t="shared" si="16"/>
        <v>4.1061975317709001</v>
      </c>
      <c r="U553">
        <f t="shared" si="17"/>
        <v>4.1380285203892786</v>
      </c>
    </row>
    <row r="554" spans="1:21">
      <c r="A554" s="12">
        <v>30</v>
      </c>
      <c r="B554" s="12">
        <v>10</v>
      </c>
      <c r="C554" s="11">
        <v>35.175231914701541</v>
      </c>
      <c r="D554" s="11">
        <v>13.031544315341126</v>
      </c>
      <c r="E554" s="11"/>
      <c r="F554" s="10">
        <v>233</v>
      </c>
      <c r="G554" s="12" t="s">
        <v>11</v>
      </c>
      <c r="H554" s="13">
        <v>13</v>
      </c>
      <c r="I554" s="14"/>
      <c r="J554" s="14">
        <v>17</v>
      </c>
      <c r="K554" s="14"/>
      <c r="L554" s="13">
        <v>4.5</v>
      </c>
      <c r="M554" s="13">
        <v>0.5</v>
      </c>
      <c r="P554" s="12" t="s">
        <v>14</v>
      </c>
      <c r="Q554" s="12"/>
      <c r="R554" s="12"/>
      <c r="T554">
        <f t="shared" si="16"/>
        <v>4.1380285203892786</v>
      </c>
      <c r="U554">
        <f t="shared" si="17"/>
        <v>5.4112680651244416</v>
      </c>
    </row>
    <row r="555" spans="1:21">
      <c r="A555" s="12">
        <v>40</v>
      </c>
      <c r="B555" s="12">
        <v>20</v>
      </c>
      <c r="C555" s="11">
        <v>42.576651627563287</v>
      </c>
      <c r="D555" s="11">
        <v>29.825957146197499</v>
      </c>
      <c r="E555" s="11"/>
      <c r="F555" s="12">
        <v>300</v>
      </c>
      <c r="G555" s="12" t="s">
        <v>13</v>
      </c>
      <c r="H555" s="13">
        <v>13.1</v>
      </c>
      <c r="I555" s="14"/>
      <c r="J555" s="14">
        <v>13.4</v>
      </c>
      <c r="K555" s="14"/>
      <c r="L555" s="13">
        <v>5.5</v>
      </c>
      <c r="M555" s="13">
        <v>1.7</v>
      </c>
      <c r="P555" s="12" t="s">
        <v>14</v>
      </c>
      <c r="Q555" s="12"/>
      <c r="R555" s="12"/>
      <c r="T555">
        <f t="shared" si="16"/>
        <v>4.169859509007658</v>
      </c>
      <c r="U555">
        <f t="shared" si="17"/>
        <v>4.2653524748627953</v>
      </c>
    </row>
    <row r="556" spans="1:21">
      <c r="A556" s="12">
        <v>50</v>
      </c>
      <c r="B556" s="12">
        <v>-30</v>
      </c>
      <c r="C556" s="11">
        <v>50.215139710240834</v>
      </c>
      <c r="D556" s="11">
        <v>-27.437723206428444</v>
      </c>
      <c r="E556" s="11"/>
      <c r="F556" s="12">
        <v>2001</v>
      </c>
      <c r="G556" s="12" t="s">
        <v>13</v>
      </c>
      <c r="H556" s="13">
        <v>13.1</v>
      </c>
      <c r="I556" s="14"/>
      <c r="J556" s="14"/>
      <c r="K556" s="14">
        <v>15.6</v>
      </c>
      <c r="L556" s="13"/>
      <c r="M556" s="13"/>
      <c r="N556">
        <v>2.4</v>
      </c>
      <c r="O556">
        <v>1</v>
      </c>
      <c r="P556" s="12"/>
      <c r="Q556" s="12"/>
      <c r="R556" s="12" t="s">
        <v>57</v>
      </c>
      <c r="S556" t="s">
        <v>135</v>
      </c>
      <c r="T556">
        <f t="shared" si="16"/>
        <v>4.169859509007658</v>
      </c>
      <c r="U556">
        <f t="shared" si="17"/>
        <v>15.6</v>
      </c>
    </row>
    <row r="557" spans="1:21">
      <c r="A557" s="12">
        <v>40</v>
      </c>
      <c r="B557" s="12">
        <v>-10</v>
      </c>
      <c r="C557" s="11">
        <v>47.95645499176517</v>
      </c>
      <c r="D557" s="11">
        <v>-2.6922711229217842</v>
      </c>
      <c r="E557" s="11"/>
      <c r="F557" s="10">
        <v>461</v>
      </c>
      <c r="G557" s="12" t="s">
        <v>13</v>
      </c>
      <c r="H557" s="13">
        <v>13.2</v>
      </c>
      <c r="I557" s="14"/>
      <c r="J557" s="14" t="s">
        <v>70</v>
      </c>
      <c r="K557" s="14"/>
      <c r="L557" s="13">
        <v>4.7</v>
      </c>
      <c r="M557" s="13"/>
      <c r="P557" s="12" t="s">
        <v>12</v>
      </c>
      <c r="Q557" s="12"/>
      <c r="R557" s="12"/>
      <c r="T557">
        <f t="shared" si="16"/>
        <v>4.2016904976260365</v>
      </c>
      <c r="U557" t="str">
        <f t="shared" si="17"/>
        <v>dead</v>
      </c>
    </row>
    <row r="558" spans="1:21">
      <c r="A558" s="12">
        <v>20</v>
      </c>
      <c r="B558" s="12">
        <v>30</v>
      </c>
      <c r="C558" s="11">
        <v>25.433323914882696</v>
      </c>
      <c r="D558" s="11">
        <v>34.334182209427858</v>
      </c>
      <c r="E558" s="11"/>
      <c r="F558" s="10">
        <v>171</v>
      </c>
      <c r="G558" s="12" t="s">
        <v>13</v>
      </c>
      <c r="H558" s="13">
        <v>13.3</v>
      </c>
      <c r="I558" s="14"/>
      <c r="J558" s="14">
        <v>13.8</v>
      </c>
      <c r="K558" s="14"/>
      <c r="L558" s="13">
        <v>3.7</v>
      </c>
      <c r="M558" s="13">
        <v>1.7</v>
      </c>
      <c r="P558" s="12" t="s">
        <v>14</v>
      </c>
      <c r="Q558" s="12"/>
      <c r="R558" s="12" t="s">
        <v>25</v>
      </c>
      <c r="T558">
        <f t="shared" si="16"/>
        <v>4.2335214862444159</v>
      </c>
      <c r="U558">
        <f t="shared" si="17"/>
        <v>4.3926764293363121</v>
      </c>
    </row>
    <row r="559" spans="1:21">
      <c r="A559" s="12">
        <v>20</v>
      </c>
      <c r="B559" s="12">
        <v>30</v>
      </c>
      <c r="C559" s="11">
        <v>21.776802246029185</v>
      </c>
      <c r="D559" s="11">
        <v>38.060960604189376</v>
      </c>
      <c r="E559" s="11"/>
      <c r="F559" s="10">
        <v>181</v>
      </c>
      <c r="G559" s="12" t="s">
        <v>11</v>
      </c>
      <c r="H559" s="13">
        <v>13.3</v>
      </c>
      <c r="I559" s="14"/>
      <c r="J559" s="14" t="s">
        <v>70</v>
      </c>
      <c r="K559" s="14"/>
      <c r="L559" s="13">
        <v>4.3</v>
      </c>
      <c r="M559" s="13">
        <v>0.2</v>
      </c>
      <c r="P559" s="12" t="s">
        <v>14</v>
      </c>
      <c r="Q559" s="12"/>
      <c r="R559" s="12"/>
      <c r="T559">
        <f t="shared" si="16"/>
        <v>4.2335214862444159</v>
      </c>
      <c r="U559" t="str">
        <f t="shared" si="17"/>
        <v>dead</v>
      </c>
    </row>
    <row r="560" spans="1:21">
      <c r="A560" s="12">
        <v>10</v>
      </c>
      <c r="B560" s="12">
        <v>10</v>
      </c>
      <c r="C560" s="11">
        <v>19.450592034892743</v>
      </c>
      <c r="D560" s="11">
        <v>13.837487484021526</v>
      </c>
      <c r="E560" s="11"/>
      <c r="F560" s="10">
        <v>111</v>
      </c>
      <c r="G560" s="12" t="s">
        <v>13</v>
      </c>
      <c r="H560" s="13">
        <v>13.4</v>
      </c>
      <c r="I560" s="14"/>
      <c r="J560" s="14"/>
      <c r="K560" s="14">
        <v>14.1</v>
      </c>
      <c r="L560" s="13">
        <v>4.9000000000000004</v>
      </c>
      <c r="M560" s="13">
        <v>2.6</v>
      </c>
      <c r="P560" s="12" t="s">
        <v>14</v>
      </c>
      <c r="Q560" s="12"/>
      <c r="R560" s="12"/>
      <c r="T560">
        <f t="shared" si="16"/>
        <v>4.2653524748627953</v>
      </c>
      <c r="U560">
        <f t="shared" si="17"/>
        <v>14.1</v>
      </c>
    </row>
    <row r="561" spans="1:21">
      <c r="A561" s="9">
        <v>0</v>
      </c>
      <c r="B561" s="12">
        <v>10</v>
      </c>
      <c r="C561" s="11">
        <v>6.8907652746479302</v>
      </c>
      <c r="D561" s="11">
        <v>17.695625992904336</v>
      </c>
      <c r="E561" s="11"/>
      <c r="F561" s="10">
        <v>21</v>
      </c>
      <c r="G561" s="12" t="s">
        <v>13</v>
      </c>
      <c r="H561" s="13">
        <v>13.5</v>
      </c>
      <c r="I561" s="14"/>
      <c r="J561" s="14">
        <v>14.3</v>
      </c>
      <c r="K561" s="14"/>
      <c r="L561" s="13">
        <v>5.5</v>
      </c>
      <c r="M561" s="13">
        <v>1.6</v>
      </c>
      <c r="P561" s="12" t="s">
        <v>14</v>
      </c>
      <c r="Q561" s="12"/>
      <c r="R561" s="12"/>
      <c r="T561">
        <f t="shared" si="16"/>
        <v>4.2971834634811739</v>
      </c>
      <c r="U561">
        <f t="shared" si="17"/>
        <v>4.5518313724282073</v>
      </c>
    </row>
    <row r="562" spans="1:21">
      <c r="A562" s="9">
        <v>0</v>
      </c>
      <c r="B562" s="12">
        <v>20</v>
      </c>
      <c r="C562" s="11">
        <v>8.4184890926716029</v>
      </c>
      <c r="D562" s="11">
        <v>22.114578302302672</v>
      </c>
      <c r="E562" s="11"/>
      <c r="F562" s="10">
        <v>31</v>
      </c>
      <c r="G562" s="12" t="s">
        <v>13</v>
      </c>
      <c r="H562" s="13">
        <v>13.5</v>
      </c>
      <c r="I562" s="14"/>
      <c r="J562" s="14">
        <v>24.5</v>
      </c>
      <c r="K562" s="14"/>
      <c r="L562" s="13">
        <v>3.7</v>
      </c>
      <c r="M562" s="13">
        <v>1.2</v>
      </c>
      <c r="P562" s="12" t="s">
        <v>14</v>
      </c>
      <c r="Q562" s="12"/>
      <c r="R562" s="12"/>
      <c r="T562">
        <f t="shared" si="16"/>
        <v>4.2971834634811739</v>
      </c>
      <c r="U562">
        <f t="shared" si="17"/>
        <v>7.7985922115028714</v>
      </c>
    </row>
    <row r="563" spans="1:21">
      <c r="A563" s="9">
        <v>0</v>
      </c>
      <c r="B563" s="12">
        <v>30</v>
      </c>
      <c r="C563" s="11">
        <v>3.3916017940016192</v>
      </c>
      <c r="D563" s="11">
        <v>37.779399238189264</v>
      </c>
      <c r="E563" s="11"/>
      <c r="F563" s="10">
        <v>53</v>
      </c>
      <c r="G563" s="12" t="s">
        <v>11</v>
      </c>
      <c r="H563" s="13">
        <v>13.6</v>
      </c>
      <c r="I563" s="14"/>
      <c r="J563" s="14" t="s">
        <v>70</v>
      </c>
      <c r="K563" s="14"/>
      <c r="L563" s="13">
        <v>2.1</v>
      </c>
      <c r="M563" s="13"/>
      <c r="P563" s="12" t="s">
        <v>12</v>
      </c>
      <c r="Q563" s="12"/>
      <c r="R563" s="12"/>
      <c r="T563">
        <f t="shared" si="16"/>
        <v>4.3290144520995533</v>
      </c>
      <c r="U563" t="str">
        <f t="shared" si="17"/>
        <v>dead</v>
      </c>
    </row>
    <row r="564" spans="1:21">
      <c r="A564" s="9">
        <v>20</v>
      </c>
      <c r="B564" s="9">
        <v>-10</v>
      </c>
      <c r="C564" s="11">
        <v>28.216300026749987</v>
      </c>
      <c r="D564" s="11">
        <v>-4.6050009323052059</v>
      </c>
      <c r="E564" s="11"/>
      <c r="F564" s="10">
        <v>419</v>
      </c>
      <c r="G564" s="12" t="s">
        <v>13</v>
      </c>
      <c r="H564" s="13">
        <v>13.7</v>
      </c>
      <c r="I564" s="14"/>
      <c r="J564" s="14">
        <v>15.6</v>
      </c>
      <c r="K564" s="14"/>
      <c r="L564" s="13">
        <v>4.7</v>
      </c>
      <c r="M564" s="13">
        <v>1.4</v>
      </c>
      <c r="P564" s="12" t="s">
        <v>14</v>
      </c>
      <c r="Q564" s="12"/>
      <c r="R564" s="12"/>
      <c r="T564">
        <f t="shared" si="16"/>
        <v>4.3608454407179318</v>
      </c>
      <c r="U564">
        <f t="shared" si="17"/>
        <v>4.9656342244671343</v>
      </c>
    </row>
    <row r="565" spans="1:21">
      <c r="A565" s="9">
        <v>0</v>
      </c>
      <c r="B565" s="12">
        <v>10</v>
      </c>
      <c r="C565" s="11">
        <v>6.8333337259313778</v>
      </c>
      <c r="D565" s="11">
        <v>17.877329795601831</v>
      </c>
      <c r="E565" s="11"/>
      <c r="F565" s="12">
        <v>22</v>
      </c>
      <c r="G565" s="12" t="s">
        <v>13</v>
      </c>
      <c r="H565" s="13">
        <v>14</v>
      </c>
      <c r="I565" s="14"/>
      <c r="J565" s="14">
        <v>14.5</v>
      </c>
      <c r="K565" s="14"/>
      <c r="L565" s="13">
        <v>4</v>
      </c>
      <c r="M565" s="13">
        <v>2.6</v>
      </c>
      <c r="P565" s="12" t="s">
        <v>14</v>
      </c>
      <c r="Q565" s="12"/>
      <c r="R565" s="12"/>
      <c r="T565">
        <f t="shared" si="16"/>
        <v>4.45633840657307</v>
      </c>
      <c r="U565">
        <f t="shared" si="17"/>
        <v>4.6154933496649653</v>
      </c>
    </row>
    <row r="566" spans="1:21">
      <c r="A566" s="9">
        <v>0</v>
      </c>
      <c r="B566" s="12">
        <v>20</v>
      </c>
      <c r="C566" s="11">
        <v>6.7606422029613356</v>
      </c>
      <c r="D566" s="11">
        <v>30.023064252190451</v>
      </c>
      <c r="E566" s="11"/>
      <c r="F566" s="12">
        <v>44</v>
      </c>
      <c r="G566" s="12" t="s">
        <v>11</v>
      </c>
      <c r="H566" s="13">
        <v>14</v>
      </c>
      <c r="I566" s="14"/>
      <c r="J566" s="14" t="s">
        <v>70</v>
      </c>
      <c r="K566" s="14"/>
      <c r="L566" s="13">
        <v>4.2</v>
      </c>
      <c r="M566" s="13">
        <v>0.2</v>
      </c>
      <c r="P566" s="12" t="s">
        <v>14</v>
      </c>
      <c r="Q566" s="12"/>
      <c r="R566" s="12"/>
      <c r="T566">
        <f t="shared" si="16"/>
        <v>4.45633840657307</v>
      </c>
      <c r="U566" t="str">
        <f t="shared" si="17"/>
        <v>dead</v>
      </c>
    </row>
    <row r="567" spans="1:21">
      <c r="A567" s="12">
        <v>30</v>
      </c>
      <c r="B567" s="12">
        <v>0</v>
      </c>
      <c r="C567" s="11">
        <v>33.991864086035775</v>
      </c>
      <c r="D567" s="11">
        <v>8.9138005024738085</v>
      </c>
      <c r="E567" s="11"/>
      <c r="F567" s="10">
        <v>253</v>
      </c>
      <c r="G567" s="12" t="s">
        <v>13</v>
      </c>
      <c r="H567" s="13">
        <v>14</v>
      </c>
      <c r="I567" s="14"/>
      <c r="J567" s="14">
        <v>14.5</v>
      </c>
      <c r="K567" s="14"/>
      <c r="L567" s="13">
        <v>4</v>
      </c>
      <c r="M567" s="13">
        <v>2.1</v>
      </c>
      <c r="P567" s="12" t="s">
        <v>14</v>
      </c>
      <c r="Q567" s="12"/>
      <c r="R567" s="12"/>
      <c r="T567">
        <f t="shared" si="16"/>
        <v>4.45633840657307</v>
      </c>
      <c r="U567">
        <f t="shared" si="17"/>
        <v>4.6154933496649653</v>
      </c>
    </row>
    <row r="568" spans="1:21">
      <c r="A568" s="12">
        <v>40</v>
      </c>
      <c r="B568" s="12">
        <v>-10</v>
      </c>
      <c r="C568" s="11">
        <v>48.531267151121057</v>
      </c>
      <c r="D568" s="11">
        <v>-2.6387921135671051</v>
      </c>
      <c r="E568" s="11"/>
      <c r="F568" s="10">
        <v>471</v>
      </c>
      <c r="G568" s="12" t="s">
        <v>13</v>
      </c>
      <c r="H568" s="13">
        <v>14</v>
      </c>
      <c r="I568" s="14"/>
      <c r="J568" s="14">
        <v>14.1</v>
      </c>
      <c r="K568" s="14"/>
      <c r="L568" s="13">
        <v>3.8</v>
      </c>
      <c r="M568" s="13">
        <v>2.1</v>
      </c>
      <c r="P568" s="12" t="s">
        <v>14</v>
      </c>
      <c r="Q568" s="12"/>
      <c r="R568" s="12"/>
      <c r="T568">
        <f t="shared" si="16"/>
        <v>4.45633840657307</v>
      </c>
      <c r="U568">
        <f t="shared" si="17"/>
        <v>4.4881693951914485</v>
      </c>
    </row>
    <row r="569" spans="1:21">
      <c r="A569" s="12">
        <v>10</v>
      </c>
      <c r="B569" s="12">
        <v>30</v>
      </c>
      <c r="C569" s="11">
        <v>13.816394323818171</v>
      </c>
      <c r="D569" s="11">
        <v>30.41139990053043</v>
      </c>
      <c r="E569" s="11"/>
      <c r="F569" s="10">
        <v>85</v>
      </c>
      <c r="G569" s="12" t="s">
        <v>11</v>
      </c>
      <c r="H569" s="13">
        <v>14.2</v>
      </c>
      <c r="I569" s="14"/>
      <c r="J569" s="14" t="s">
        <v>79</v>
      </c>
      <c r="K569" s="14"/>
      <c r="L569" s="13">
        <v>5</v>
      </c>
      <c r="M569" s="13"/>
      <c r="P569" s="12" t="s">
        <v>12</v>
      </c>
      <c r="Q569" s="12"/>
      <c r="R569" s="12"/>
      <c r="T569">
        <f t="shared" si="16"/>
        <v>4.520000383809827</v>
      </c>
      <c r="U569" t="str">
        <f t="shared" si="17"/>
        <v>dead</v>
      </c>
    </row>
    <row r="570" spans="1:21">
      <c r="A570" s="12">
        <v>20</v>
      </c>
      <c r="B570" s="12">
        <v>40</v>
      </c>
      <c r="C570" s="11">
        <v>26.088068052261637</v>
      </c>
      <c r="D570" s="11">
        <v>46.326438760553302</v>
      </c>
      <c r="E570" s="11"/>
      <c r="F570" s="12">
        <v>186</v>
      </c>
      <c r="G570" s="12" t="s">
        <v>13</v>
      </c>
      <c r="H570" s="13">
        <v>14.3</v>
      </c>
      <c r="I570" s="14"/>
      <c r="J570" s="14">
        <v>15.2</v>
      </c>
      <c r="K570" s="14"/>
      <c r="L570" s="13">
        <v>5</v>
      </c>
      <c r="M570" s="13">
        <v>2</v>
      </c>
      <c r="P570" s="12" t="s">
        <v>14</v>
      </c>
      <c r="Q570" s="12"/>
      <c r="R570" s="12"/>
      <c r="T570">
        <f t="shared" si="16"/>
        <v>4.5518313724282073</v>
      </c>
      <c r="U570">
        <f t="shared" si="17"/>
        <v>4.8383102699936185</v>
      </c>
    </row>
    <row r="571" spans="1:21">
      <c r="A571" s="12">
        <v>10</v>
      </c>
      <c r="B571" s="12">
        <v>40</v>
      </c>
      <c r="C571" s="11">
        <v>12.358481639250277</v>
      </c>
      <c r="D571" s="11">
        <v>45.370549054084215</v>
      </c>
      <c r="E571" s="11"/>
      <c r="F571" s="10">
        <v>75</v>
      </c>
      <c r="G571" s="12" t="s">
        <v>11</v>
      </c>
      <c r="H571" s="13">
        <v>14.4</v>
      </c>
      <c r="I571" s="14"/>
      <c r="J571" s="14">
        <v>17.399999999999999</v>
      </c>
      <c r="K571" s="14"/>
      <c r="L571" s="13">
        <v>3.7</v>
      </c>
      <c r="M571" s="13">
        <v>0.8</v>
      </c>
      <c r="P571" s="12" t="s">
        <v>14</v>
      </c>
      <c r="Q571" s="12"/>
      <c r="R571" s="12"/>
      <c r="T571">
        <f t="shared" si="16"/>
        <v>4.5836623610465859</v>
      </c>
      <c r="U571">
        <f t="shared" si="17"/>
        <v>5.5385920195979574</v>
      </c>
    </row>
    <row r="572" spans="1:21">
      <c r="A572" s="12">
        <v>50</v>
      </c>
      <c r="B572" s="12">
        <v>-30</v>
      </c>
      <c r="C572" s="11">
        <v>50.215139710240834</v>
      </c>
      <c r="D572" s="11">
        <v>-27.437723206428444</v>
      </c>
      <c r="E572" s="11"/>
      <c r="F572" s="12">
        <v>2007</v>
      </c>
      <c r="G572" s="12" t="s">
        <v>13</v>
      </c>
      <c r="H572" s="13">
        <v>14.4</v>
      </c>
      <c r="I572" s="14"/>
      <c r="J572" s="14">
        <v>10.5</v>
      </c>
      <c r="K572" s="14"/>
      <c r="L572" s="13"/>
      <c r="M572" s="13"/>
      <c r="N572">
        <v>3.5</v>
      </c>
      <c r="O572">
        <v>1.9</v>
      </c>
      <c r="P572" s="12"/>
      <c r="Q572" s="12"/>
      <c r="R572" s="12" t="s">
        <v>57</v>
      </c>
      <c r="S572" t="s">
        <v>141</v>
      </c>
      <c r="T572">
        <f t="shared" si="16"/>
        <v>4.5836623610465859</v>
      </c>
      <c r="U572">
        <f t="shared" si="17"/>
        <v>3.3422538049298023</v>
      </c>
    </row>
    <row r="573" spans="1:21">
      <c r="A573" s="12">
        <v>20</v>
      </c>
      <c r="B573" s="12">
        <v>30</v>
      </c>
      <c r="C573" s="11">
        <v>21.331866296913631</v>
      </c>
      <c r="D573" s="11">
        <v>38.494599001214105</v>
      </c>
      <c r="E573" s="11"/>
      <c r="F573" s="12">
        <v>182</v>
      </c>
      <c r="G573" s="12" t="s">
        <v>11</v>
      </c>
      <c r="H573" s="13">
        <v>14.6</v>
      </c>
      <c r="I573" s="14"/>
      <c r="J573" s="14">
        <v>18.399999999999999</v>
      </c>
      <c r="K573" s="14"/>
      <c r="L573" s="13">
        <v>5.2</v>
      </c>
      <c r="M573" s="13">
        <v>0.2</v>
      </c>
      <c r="P573" s="12" t="s">
        <v>14</v>
      </c>
      <c r="Q573" s="12"/>
      <c r="R573" s="12"/>
      <c r="T573">
        <f t="shared" si="16"/>
        <v>4.6473243382833438</v>
      </c>
      <c r="U573">
        <f t="shared" si="17"/>
        <v>5.856901905781748</v>
      </c>
    </row>
    <row r="574" spans="1:21">
      <c r="A574" s="12">
        <v>30</v>
      </c>
      <c r="B574" s="12">
        <v>-20</v>
      </c>
      <c r="C574" s="11">
        <v>49.938192270330752</v>
      </c>
      <c r="D574" s="11">
        <v>-27.773576332121721</v>
      </c>
      <c r="E574" s="11"/>
      <c r="F574" s="12">
        <v>706</v>
      </c>
      <c r="G574" s="12" t="s">
        <v>13</v>
      </c>
      <c r="H574" s="13">
        <v>14.6</v>
      </c>
      <c r="I574" s="14"/>
      <c r="J574" s="14">
        <v>16.3</v>
      </c>
      <c r="K574" s="14"/>
      <c r="L574" s="13">
        <v>5.2</v>
      </c>
      <c r="M574" s="13">
        <v>1.6</v>
      </c>
      <c r="P574" s="12" t="s">
        <v>14</v>
      </c>
      <c r="Q574" s="12"/>
      <c r="R574" s="12"/>
      <c r="S574" t="s">
        <v>128</v>
      </c>
      <c r="T574">
        <f t="shared" si="16"/>
        <v>4.6473243382833438</v>
      </c>
      <c r="U574">
        <f t="shared" si="17"/>
        <v>5.1884511447957884</v>
      </c>
    </row>
    <row r="575" spans="1:21">
      <c r="A575" s="9">
        <v>0</v>
      </c>
      <c r="B575" s="12">
        <v>20</v>
      </c>
      <c r="C575" s="11">
        <v>9.0445474699669113</v>
      </c>
      <c r="D575" s="11">
        <v>22.938751616505748</v>
      </c>
      <c r="E575" s="11"/>
      <c r="F575" s="12">
        <v>38</v>
      </c>
      <c r="G575" s="12" t="s">
        <v>13</v>
      </c>
      <c r="H575" s="13">
        <v>14.7</v>
      </c>
      <c r="I575" s="14"/>
      <c r="J575" s="14" t="s">
        <v>70</v>
      </c>
      <c r="K575" s="14"/>
      <c r="L575" s="13">
        <v>1.7</v>
      </c>
      <c r="M575" s="13">
        <v>1</v>
      </c>
      <c r="P575" s="12" t="s">
        <v>14</v>
      </c>
      <c r="Q575" s="12"/>
      <c r="R575" s="12" t="s">
        <v>74</v>
      </c>
      <c r="S575" t="s">
        <v>77</v>
      </c>
      <c r="T575">
        <f t="shared" si="16"/>
        <v>4.6791553269017232</v>
      </c>
      <c r="U575" t="str">
        <f t="shared" si="17"/>
        <v>dead</v>
      </c>
    </row>
    <row r="576" spans="1:21">
      <c r="A576" s="12">
        <v>20</v>
      </c>
      <c r="B576" s="12">
        <v>0</v>
      </c>
      <c r="C576" s="11">
        <v>27.062223874983264</v>
      </c>
      <c r="D576" s="11">
        <v>8.9744857200630914</v>
      </c>
      <c r="E576" s="11"/>
      <c r="F576" s="12">
        <v>132</v>
      </c>
      <c r="G576" s="12" t="s">
        <v>21</v>
      </c>
      <c r="H576" s="13">
        <v>14.7</v>
      </c>
      <c r="I576" s="14"/>
      <c r="J576" s="14">
        <v>15.4</v>
      </c>
      <c r="K576" s="14"/>
      <c r="L576" s="13">
        <v>6</v>
      </c>
      <c r="M576" s="13">
        <v>2.5</v>
      </c>
      <c r="P576" s="12" t="s">
        <v>14</v>
      </c>
      <c r="Q576" s="12"/>
      <c r="R576" s="12"/>
      <c r="T576">
        <f t="shared" si="16"/>
        <v>4.6791553269017232</v>
      </c>
      <c r="U576">
        <f t="shared" si="17"/>
        <v>4.9019722472303764</v>
      </c>
    </row>
    <row r="577" spans="1:21">
      <c r="A577" s="12">
        <v>10</v>
      </c>
      <c r="B577" s="12">
        <v>-20</v>
      </c>
      <c r="C577" s="11">
        <v>14.058492422108468</v>
      </c>
      <c r="D577" s="11">
        <v>-19.417430088437879</v>
      </c>
      <c r="E577" s="11"/>
      <c r="F577" s="12">
        <v>576</v>
      </c>
      <c r="G577" s="12" t="s">
        <v>11</v>
      </c>
      <c r="H577" s="13">
        <v>14.7</v>
      </c>
      <c r="I577" s="14"/>
      <c r="J577" s="14">
        <v>18</v>
      </c>
      <c r="K577" s="14"/>
      <c r="L577" s="13">
        <v>4.9000000000000004</v>
      </c>
      <c r="M577" s="13">
        <v>0.1</v>
      </c>
      <c r="P577" s="12" t="s">
        <v>14</v>
      </c>
      <c r="Q577" s="12"/>
      <c r="R577" s="12"/>
      <c r="T577">
        <f t="shared" si="16"/>
        <v>4.6791553269017232</v>
      </c>
      <c r="U577">
        <f t="shared" si="17"/>
        <v>5.7295779513082321</v>
      </c>
    </row>
    <row r="578" spans="1:21">
      <c r="A578" s="9">
        <v>0</v>
      </c>
      <c r="B578" s="9">
        <v>0</v>
      </c>
      <c r="C578" s="11">
        <v>4.5347512748652568</v>
      </c>
      <c r="D578" s="11">
        <v>8.6069255682437298</v>
      </c>
      <c r="E578" s="11"/>
      <c r="F578" s="12">
        <v>2</v>
      </c>
      <c r="G578" s="12" t="s">
        <v>13</v>
      </c>
      <c r="H578" s="13">
        <v>14.8</v>
      </c>
      <c r="I578" s="14"/>
      <c r="J578" s="14">
        <v>15.6</v>
      </c>
      <c r="K578" s="14"/>
      <c r="L578" s="13">
        <v>3.8</v>
      </c>
      <c r="M578" s="13">
        <v>2.2000000000000002</v>
      </c>
      <c r="P578" s="12" t="s">
        <v>14</v>
      </c>
      <c r="Q578" s="12"/>
      <c r="R578" s="12"/>
      <c r="T578">
        <f t="shared" ref="T578:T641" si="18">IF(H578="",I578,H578/PI())</f>
        <v>4.7109863155201026</v>
      </c>
      <c r="U578">
        <f t="shared" ref="U578:U641" si="19">IF(J578="dead","dead",J578/PI()+K578)</f>
        <v>4.9656342244671343</v>
      </c>
    </row>
    <row r="579" spans="1:21">
      <c r="A579" s="12">
        <v>30</v>
      </c>
      <c r="B579" s="12">
        <v>10</v>
      </c>
      <c r="C579" s="11">
        <v>37.160972634049095</v>
      </c>
      <c r="D579" s="11">
        <v>18.582089236094202</v>
      </c>
      <c r="E579" s="11"/>
      <c r="F579" s="10">
        <v>213</v>
      </c>
      <c r="G579" s="12" t="s">
        <v>11</v>
      </c>
      <c r="H579" s="13">
        <v>14.8</v>
      </c>
      <c r="I579" s="14"/>
      <c r="J579" s="14">
        <v>18.2</v>
      </c>
      <c r="K579" s="14"/>
      <c r="L579" s="13">
        <v>5.0999999999999996</v>
      </c>
      <c r="M579" s="13">
        <v>0.1</v>
      </c>
      <c r="P579" s="12" t="s">
        <v>14</v>
      </c>
      <c r="Q579" s="12"/>
      <c r="R579" s="12"/>
      <c r="T579">
        <f t="shared" si="18"/>
        <v>4.7109863155201026</v>
      </c>
      <c r="U579">
        <f t="shared" si="19"/>
        <v>5.79323992854499</v>
      </c>
    </row>
    <row r="580" spans="1:21">
      <c r="A580" s="12">
        <v>40</v>
      </c>
      <c r="B580" s="12">
        <v>-10</v>
      </c>
      <c r="C580" s="11">
        <v>48.209032601146284</v>
      </c>
      <c r="D580" s="11">
        <v>-3.3401400833263204</v>
      </c>
      <c r="E580" s="11"/>
      <c r="F580" s="12">
        <v>466</v>
      </c>
      <c r="G580" s="12" t="s">
        <v>13</v>
      </c>
      <c r="H580" s="13">
        <v>14.8</v>
      </c>
      <c r="I580" s="14"/>
      <c r="J580" s="14">
        <v>15.7</v>
      </c>
      <c r="K580" s="14"/>
      <c r="L580" s="13">
        <v>4.0999999999999996</v>
      </c>
      <c r="M580" s="13">
        <v>1.6</v>
      </c>
      <c r="P580" s="12" t="s">
        <v>14</v>
      </c>
      <c r="Q580" s="12"/>
      <c r="R580" s="12"/>
      <c r="T580">
        <f t="shared" si="18"/>
        <v>4.7109863155201026</v>
      </c>
      <c r="U580">
        <f t="shared" si="19"/>
        <v>4.9974652130855137</v>
      </c>
    </row>
    <row r="581" spans="1:21">
      <c r="A581" s="12">
        <v>40</v>
      </c>
      <c r="B581" s="12">
        <v>-10</v>
      </c>
      <c r="C581" s="11">
        <v>48.343280774778137</v>
      </c>
      <c r="D581" s="11">
        <v>-3.1961353864910453</v>
      </c>
      <c r="E581" s="11"/>
      <c r="F581" s="10">
        <v>467</v>
      </c>
      <c r="G581" s="12" t="s">
        <v>13</v>
      </c>
      <c r="H581" s="13">
        <v>15.2</v>
      </c>
      <c r="I581" s="14"/>
      <c r="J581" s="14">
        <v>15.9</v>
      </c>
      <c r="K581" s="14"/>
      <c r="L581" s="13">
        <v>5</v>
      </c>
      <c r="M581" s="13">
        <v>2.5</v>
      </c>
      <c r="P581" s="12" t="s">
        <v>14</v>
      </c>
      <c r="Q581" s="12"/>
      <c r="R581" s="12"/>
      <c r="T581">
        <f t="shared" si="18"/>
        <v>4.8383102699936185</v>
      </c>
      <c r="U581">
        <f t="shared" si="19"/>
        <v>5.0611271903222717</v>
      </c>
    </row>
    <row r="582" spans="1:21">
      <c r="A582" s="12">
        <v>20</v>
      </c>
      <c r="B582" s="12">
        <v>40</v>
      </c>
      <c r="C582" s="11">
        <v>26.58482899694452</v>
      </c>
      <c r="D582" s="11">
        <v>47.338911845839178</v>
      </c>
      <c r="E582" s="11"/>
      <c r="F582" s="10">
        <v>193</v>
      </c>
      <c r="G582" s="12" t="s">
        <v>13</v>
      </c>
      <c r="H582" s="13">
        <v>15.3</v>
      </c>
      <c r="I582" s="14"/>
      <c r="J582" s="14">
        <v>13.8</v>
      </c>
      <c r="K582" s="14"/>
      <c r="L582" s="13">
        <v>4.4000000000000004</v>
      </c>
      <c r="M582" s="13">
        <v>2.6</v>
      </c>
      <c r="P582" s="12" t="s">
        <v>14</v>
      </c>
      <c r="Q582" s="12"/>
      <c r="R582" s="12"/>
      <c r="T582">
        <f t="shared" si="18"/>
        <v>4.8701412586119979</v>
      </c>
      <c r="U582">
        <f t="shared" si="19"/>
        <v>4.3926764293363121</v>
      </c>
    </row>
    <row r="583" spans="1:21">
      <c r="A583" s="12">
        <v>20</v>
      </c>
      <c r="B583" s="12">
        <v>10</v>
      </c>
      <c r="C583" s="11">
        <v>24.319680469471667</v>
      </c>
      <c r="D583" s="11">
        <v>11.740547714722046</v>
      </c>
      <c r="E583" s="11"/>
      <c r="F583" s="12">
        <v>144</v>
      </c>
      <c r="G583" s="12" t="s">
        <v>13</v>
      </c>
      <c r="H583" s="13">
        <v>15.4</v>
      </c>
      <c r="I583" s="14"/>
      <c r="J583" s="14">
        <v>16.8</v>
      </c>
      <c r="K583" s="14"/>
      <c r="L583" s="13">
        <v>3.3</v>
      </c>
      <c r="M583" s="13">
        <v>1.5</v>
      </c>
      <c r="P583" s="12" t="s">
        <v>14</v>
      </c>
      <c r="Q583" s="12"/>
      <c r="R583" s="12"/>
      <c r="T583">
        <f t="shared" si="18"/>
        <v>4.9019722472303764</v>
      </c>
      <c r="U583">
        <f t="shared" si="19"/>
        <v>5.3476060878876837</v>
      </c>
    </row>
    <row r="584" spans="1:21">
      <c r="A584" s="12">
        <v>30</v>
      </c>
      <c r="B584" s="12">
        <v>10</v>
      </c>
      <c r="C584" s="11">
        <v>31.891796831328939</v>
      </c>
      <c r="D584" s="11">
        <v>17.247418530002466</v>
      </c>
      <c r="E584" s="11"/>
      <c r="F584" s="10">
        <v>225</v>
      </c>
      <c r="G584" s="12" t="s">
        <v>13</v>
      </c>
      <c r="H584" s="13">
        <v>15.4</v>
      </c>
      <c r="I584" s="14"/>
      <c r="J584" s="14">
        <v>16.3</v>
      </c>
      <c r="K584" s="14"/>
      <c r="L584" s="13">
        <v>4.3</v>
      </c>
      <c r="M584" s="13">
        <v>2</v>
      </c>
      <c r="P584" s="12" t="s">
        <v>14</v>
      </c>
      <c r="Q584" s="12"/>
      <c r="R584" s="12"/>
      <c r="T584">
        <f t="shared" si="18"/>
        <v>4.9019722472303764</v>
      </c>
      <c r="U584">
        <f t="shared" si="19"/>
        <v>5.1884511447957884</v>
      </c>
    </row>
    <row r="585" spans="1:21">
      <c r="A585" s="12">
        <v>40</v>
      </c>
      <c r="B585" s="12">
        <v>0</v>
      </c>
      <c r="C585" s="11">
        <v>40.677648474707539</v>
      </c>
      <c r="D585" s="11">
        <v>5.5715473870970973</v>
      </c>
      <c r="E585" s="11"/>
      <c r="F585" s="12">
        <v>268</v>
      </c>
      <c r="G585" s="12" t="s">
        <v>13</v>
      </c>
      <c r="H585" s="13">
        <v>15.4</v>
      </c>
      <c r="I585" s="14"/>
      <c r="J585" s="14">
        <v>15.9</v>
      </c>
      <c r="K585" s="14"/>
      <c r="L585" s="13">
        <v>4.9000000000000004</v>
      </c>
      <c r="M585" s="13">
        <v>1.7</v>
      </c>
      <c r="P585" s="12" t="s">
        <v>14</v>
      </c>
      <c r="Q585" s="12"/>
      <c r="R585" s="12"/>
      <c r="T585">
        <f t="shared" si="18"/>
        <v>4.9019722472303764</v>
      </c>
      <c r="U585">
        <f t="shared" si="19"/>
        <v>5.0611271903222717</v>
      </c>
    </row>
    <row r="586" spans="1:21">
      <c r="A586" s="12">
        <v>40</v>
      </c>
      <c r="B586" s="12">
        <v>30</v>
      </c>
      <c r="C586" s="11">
        <v>48.806686210966056</v>
      </c>
      <c r="D586" s="11">
        <v>30.211197469555618</v>
      </c>
      <c r="E586" s="11"/>
      <c r="F586" s="10">
        <v>289</v>
      </c>
      <c r="G586" s="12" t="s">
        <v>30</v>
      </c>
      <c r="H586" s="13">
        <v>15.4</v>
      </c>
      <c r="I586" s="14"/>
      <c r="J586" s="14" t="s">
        <v>70</v>
      </c>
      <c r="K586" s="14"/>
      <c r="L586" s="13">
        <v>3</v>
      </c>
      <c r="M586" s="13"/>
      <c r="P586" s="12" t="s">
        <v>12</v>
      </c>
      <c r="Q586" s="12"/>
      <c r="R586" s="12" t="s">
        <v>16</v>
      </c>
      <c r="T586">
        <f t="shared" si="18"/>
        <v>4.9019722472303764</v>
      </c>
      <c r="U586" t="str">
        <f t="shared" si="19"/>
        <v>dead</v>
      </c>
    </row>
    <row r="587" spans="1:21">
      <c r="A587" s="12">
        <v>30</v>
      </c>
      <c r="B587" s="12">
        <v>-20</v>
      </c>
      <c r="C587" s="11">
        <v>31.979589225403007</v>
      </c>
      <c r="D587" s="11">
        <v>-31.226808384339172</v>
      </c>
      <c r="E587" s="11"/>
      <c r="F587" s="12">
        <v>712</v>
      </c>
      <c r="G587" s="12" t="s">
        <v>11</v>
      </c>
      <c r="H587" s="13">
        <v>15.4</v>
      </c>
      <c r="I587" s="14"/>
      <c r="J587" s="14">
        <v>18.7</v>
      </c>
      <c r="K587" s="14"/>
      <c r="L587" s="13">
        <v>4.9000000000000004</v>
      </c>
      <c r="M587" s="13">
        <v>0.7</v>
      </c>
      <c r="P587" s="12" t="s">
        <v>14</v>
      </c>
      <c r="Q587" s="12"/>
      <c r="R587" s="12"/>
      <c r="T587">
        <f t="shared" si="18"/>
        <v>4.9019722472303764</v>
      </c>
      <c r="U587">
        <f t="shared" si="19"/>
        <v>5.9523948716368853</v>
      </c>
    </row>
    <row r="588" spans="1:21">
      <c r="A588" s="12">
        <v>40</v>
      </c>
      <c r="B588" s="12">
        <v>-40</v>
      </c>
      <c r="C588" s="11">
        <v>42.983024702777627</v>
      </c>
      <c r="D588" s="11">
        <v>-35.691965224998938</v>
      </c>
      <c r="E588" s="11"/>
      <c r="F588" s="10">
        <v>705</v>
      </c>
      <c r="G588" s="12" t="s">
        <v>51</v>
      </c>
      <c r="H588" s="13">
        <v>15.6</v>
      </c>
      <c r="I588" s="14"/>
      <c r="J588" s="14" t="s">
        <v>70</v>
      </c>
      <c r="K588" s="14"/>
      <c r="L588" s="13"/>
      <c r="M588" s="13"/>
      <c r="P588" s="12" t="s">
        <v>14</v>
      </c>
      <c r="Q588" s="12"/>
      <c r="R588" s="12" t="s">
        <v>52</v>
      </c>
      <c r="T588">
        <f t="shared" si="18"/>
        <v>4.9656342244671343</v>
      </c>
      <c r="U588" t="str">
        <f t="shared" si="19"/>
        <v>dead</v>
      </c>
    </row>
    <row r="589" spans="1:21">
      <c r="A589" s="12">
        <v>20</v>
      </c>
      <c r="B589" s="12">
        <v>10</v>
      </c>
      <c r="C589" s="11">
        <v>23.822225534738159</v>
      </c>
      <c r="D589" s="11">
        <v>11.163807234165036</v>
      </c>
      <c r="E589" s="11"/>
      <c r="F589" s="10">
        <v>143</v>
      </c>
      <c r="G589" s="12" t="s">
        <v>13</v>
      </c>
      <c r="H589" s="13">
        <v>15.8</v>
      </c>
      <c r="I589" s="14"/>
      <c r="J589" s="14">
        <v>17</v>
      </c>
      <c r="K589" s="14"/>
      <c r="L589" s="13">
        <v>5.5</v>
      </c>
      <c r="M589" s="13">
        <v>1.6</v>
      </c>
      <c r="P589" s="12" t="s">
        <v>14</v>
      </c>
      <c r="Q589" s="12"/>
      <c r="R589" s="12"/>
      <c r="T589">
        <f t="shared" si="18"/>
        <v>5.0292962017038931</v>
      </c>
      <c r="U589">
        <f t="shared" si="19"/>
        <v>5.4112680651244416</v>
      </c>
    </row>
    <row r="590" spans="1:21">
      <c r="A590" s="9">
        <v>20</v>
      </c>
      <c r="B590" s="9">
        <v>-10</v>
      </c>
      <c r="C590" s="11">
        <v>21.622350838410512</v>
      </c>
      <c r="D590" s="11">
        <v>-9.3261221968864305</v>
      </c>
      <c r="E590" s="11"/>
      <c r="F590" s="10">
        <v>413</v>
      </c>
      <c r="G590" s="12" t="s">
        <v>13</v>
      </c>
      <c r="H590" s="13">
        <v>15.8</v>
      </c>
      <c r="I590" s="14"/>
      <c r="J590" s="14">
        <v>16.2</v>
      </c>
      <c r="K590" s="14"/>
      <c r="L590" s="13">
        <v>5.7</v>
      </c>
      <c r="M590" s="13">
        <v>1.5</v>
      </c>
      <c r="P590" s="12" t="s">
        <v>14</v>
      </c>
      <c r="Q590" s="12"/>
      <c r="R590" s="12"/>
      <c r="T590">
        <f t="shared" si="18"/>
        <v>5.0292962017038931</v>
      </c>
      <c r="U590">
        <f t="shared" si="19"/>
        <v>5.156620156177409</v>
      </c>
    </row>
    <row r="591" spans="1:21">
      <c r="A591" s="12">
        <v>40</v>
      </c>
      <c r="B591" s="12">
        <v>-30</v>
      </c>
      <c r="C591" s="11">
        <v>42.086746232082206</v>
      </c>
      <c r="D591" s="11">
        <v>-25.305710651858675</v>
      </c>
      <c r="E591" s="11"/>
      <c r="F591" s="12">
        <v>676</v>
      </c>
      <c r="G591" s="12" t="s">
        <v>13</v>
      </c>
      <c r="H591" s="13">
        <v>15.8</v>
      </c>
      <c r="I591" s="14"/>
      <c r="J591" s="14">
        <v>17.2</v>
      </c>
      <c r="K591" s="14"/>
      <c r="L591" s="13">
        <v>5.8</v>
      </c>
      <c r="M591" s="13">
        <v>2.5</v>
      </c>
      <c r="P591" s="12" t="s">
        <v>14</v>
      </c>
      <c r="Q591" s="12"/>
      <c r="R591" s="12"/>
      <c r="S591" t="s">
        <v>124</v>
      </c>
      <c r="T591">
        <f t="shared" si="18"/>
        <v>5.0292962017038931</v>
      </c>
      <c r="U591">
        <f t="shared" si="19"/>
        <v>5.4749300423611995</v>
      </c>
    </row>
    <row r="592" spans="1:21">
      <c r="A592" s="9">
        <v>0</v>
      </c>
      <c r="B592" s="12">
        <v>30</v>
      </c>
      <c r="C592" s="11">
        <v>2.3642066204640333</v>
      </c>
      <c r="D592" s="11">
        <v>35.450159450819726</v>
      </c>
      <c r="E592" s="11"/>
      <c r="F592" s="12">
        <v>52</v>
      </c>
      <c r="G592" s="12" t="s">
        <v>11</v>
      </c>
      <c r="H592" s="13">
        <v>16</v>
      </c>
      <c r="I592" s="14"/>
      <c r="J592" s="14" t="s">
        <v>70</v>
      </c>
      <c r="K592" s="14"/>
      <c r="L592" s="13">
        <v>5.0999999999999996</v>
      </c>
      <c r="M592" s="13">
        <v>0.3</v>
      </c>
      <c r="P592" s="12" t="s">
        <v>14</v>
      </c>
      <c r="Q592" s="12"/>
      <c r="R592" s="12"/>
      <c r="T592">
        <f t="shared" si="18"/>
        <v>5.0929581789406511</v>
      </c>
      <c r="U592" t="str">
        <f t="shared" si="19"/>
        <v>dead</v>
      </c>
    </row>
    <row r="593" spans="1:21">
      <c r="A593" s="12">
        <v>40</v>
      </c>
      <c r="B593" s="12">
        <v>-10</v>
      </c>
      <c r="C593" s="11">
        <v>48.415466708767497</v>
      </c>
      <c r="D593" s="11">
        <v>-2.6060994319050623</v>
      </c>
      <c r="E593" s="11"/>
      <c r="F593" s="12">
        <v>464</v>
      </c>
      <c r="G593" s="12" t="s">
        <v>13</v>
      </c>
      <c r="H593" s="13">
        <v>16</v>
      </c>
      <c r="I593" s="14"/>
      <c r="J593" s="14">
        <v>17.600000000000001</v>
      </c>
      <c r="K593" s="14"/>
      <c r="L593" s="13">
        <v>5.0999999999999996</v>
      </c>
      <c r="M593" s="13">
        <v>1</v>
      </c>
      <c r="P593" s="12" t="s">
        <v>14</v>
      </c>
      <c r="Q593" s="12"/>
      <c r="R593" s="12"/>
      <c r="T593">
        <f t="shared" si="18"/>
        <v>5.0929581789406511</v>
      </c>
      <c r="U593">
        <f t="shared" si="19"/>
        <v>5.6022539968347163</v>
      </c>
    </row>
    <row r="594" spans="1:21">
      <c r="A594" s="9">
        <v>0</v>
      </c>
      <c r="B594" s="12">
        <v>40</v>
      </c>
      <c r="C594" s="11">
        <v>7.3835974736291741</v>
      </c>
      <c r="D594" s="11">
        <v>42.457339298042783</v>
      </c>
      <c r="E594" s="11"/>
      <c r="F594" s="10">
        <v>65</v>
      </c>
      <c r="G594" s="12" t="s">
        <v>11</v>
      </c>
      <c r="H594" s="13">
        <v>16.100000000000001</v>
      </c>
      <c r="I594" s="14"/>
      <c r="J594" s="14" t="s">
        <v>70</v>
      </c>
      <c r="K594" s="14"/>
      <c r="L594" s="13">
        <v>5.0999999999999996</v>
      </c>
      <c r="M594" s="13">
        <v>0.4</v>
      </c>
      <c r="P594" s="12" t="s">
        <v>14</v>
      </c>
      <c r="Q594" s="12"/>
      <c r="R594" s="12"/>
      <c r="T594">
        <f t="shared" si="18"/>
        <v>5.1247891675590305</v>
      </c>
      <c r="U594" t="str">
        <f t="shared" si="19"/>
        <v>dead</v>
      </c>
    </row>
    <row r="595" spans="1:21">
      <c r="A595" s="9">
        <v>0</v>
      </c>
      <c r="B595" s="9">
        <v>0</v>
      </c>
      <c r="C595" s="11">
        <v>4.4670921285436664</v>
      </c>
      <c r="D595" s="11">
        <v>9.0144389993630316</v>
      </c>
      <c r="E595" s="11"/>
      <c r="F595" s="10">
        <v>9</v>
      </c>
      <c r="G595" s="12" t="s">
        <v>13</v>
      </c>
      <c r="H595" s="13">
        <v>16.2</v>
      </c>
      <c r="I595" s="14"/>
      <c r="J595" s="14">
        <v>17</v>
      </c>
      <c r="K595" s="14"/>
      <c r="L595" s="13">
        <v>6</v>
      </c>
      <c r="M595" s="13">
        <v>2.2000000000000002</v>
      </c>
      <c r="P595" s="12" t="s">
        <v>14</v>
      </c>
      <c r="Q595" s="12"/>
      <c r="R595" s="12" t="s">
        <v>15</v>
      </c>
      <c r="T595">
        <f t="shared" si="18"/>
        <v>5.156620156177409</v>
      </c>
      <c r="U595">
        <f t="shared" si="19"/>
        <v>5.4112680651244416</v>
      </c>
    </row>
    <row r="596" spans="1:21">
      <c r="A596" s="12">
        <v>20</v>
      </c>
      <c r="B596" s="12">
        <v>-30</v>
      </c>
      <c r="C596" s="11">
        <v>24.934351111620828</v>
      </c>
      <c r="D596" s="11">
        <v>-25.745850793369321</v>
      </c>
      <c r="E596" s="11"/>
      <c r="F596" s="10">
        <v>641</v>
      </c>
      <c r="G596" s="12" t="s">
        <v>13</v>
      </c>
      <c r="H596" s="13">
        <v>16.2</v>
      </c>
      <c r="I596" s="14"/>
      <c r="J596" s="14">
        <v>16.3</v>
      </c>
      <c r="K596" s="14"/>
      <c r="L596" s="13">
        <v>6.4</v>
      </c>
      <c r="M596" s="13">
        <v>2</v>
      </c>
      <c r="P596" s="12" t="s">
        <v>14</v>
      </c>
      <c r="Q596" s="12"/>
      <c r="R596" s="12"/>
      <c r="T596">
        <f t="shared" si="18"/>
        <v>5.156620156177409</v>
      </c>
      <c r="U596">
        <f t="shared" si="19"/>
        <v>5.1884511447957884</v>
      </c>
    </row>
    <row r="597" spans="1:21">
      <c r="A597" s="9">
        <v>0</v>
      </c>
      <c r="B597" s="12">
        <v>40</v>
      </c>
      <c r="C597" s="11">
        <v>3.513090536807443</v>
      </c>
      <c r="D597" s="11">
        <v>47.808975077844821</v>
      </c>
      <c r="E597" s="11"/>
      <c r="F597" s="10">
        <v>69</v>
      </c>
      <c r="G597" s="12" t="s">
        <v>11</v>
      </c>
      <c r="H597" s="13">
        <v>16.3</v>
      </c>
      <c r="I597" s="14"/>
      <c r="J597" s="14">
        <v>19.600000000000001</v>
      </c>
      <c r="K597" s="14"/>
      <c r="L597" s="13">
        <v>5.4</v>
      </c>
      <c r="M597" s="13">
        <v>0.4</v>
      </c>
      <c r="P597" s="12" t="s">
        <v>14</v>
      </c>
      <c r="Q597" s="12"/>
      <c r="R597" s="12"/>
      <c r="T597">
        <f t="shared" si="18"/>
        <v>5.1884511447957884</v>
      </c>
      <c r="U597">
        <f t="shared" si="19"/>
        <v>6.2388737692022982</v>
      </c>
    </row>
    <row r="598" spans="1:21">
      <c r="A598" s="12">
        <v>40</v>
      </c>
      <c r="B598" s="12">
        <v>20</v>
      </c>
      <c r="C598" s="11">
        <v>41.946733044397213</v>
      </c>
      <c r="D598" s="11">
        <v>29.300277929498005</v>
      </c>
      <c r="E598" s="11"/>
      <c r="F598" s="12">
        <v>304</v>
      </c>
      <c r="G598" s="12" t="s">
        <v>13</v>
      </c>
      <c r="H598" s="13">
        <v>16.3</v>
      </c>
      <c r="I598" s="14"/>
      <c r="J598" s="14">
        <v>17.5</v>
      </c>
      <c r="K598" s="14"/>
      <c r="L598" s="13">
        <v>6.6</v>
      </c>
      <c r="M598" s="13">
        <v>2.5</v>
      </c>
      <c r="P598" s="12" t="s">
        <v>14</v>
      </c>
      <c r="Q598" s="12"/>
      <c r="R598" s="12"/>
      <c r="T598">
        <f t="shared" si="18"/>
        <v>5.1884511447957884</v>
      </c>
      <c r="U598">
        <f t="shared" si="19"/>
        <v>5.5704230082163368</v>
      </c>
    </row>
    <row r="599" spans="1:21">
      <c r="A599" s="12">
        <v>20</v>
      </c>
      <c r="B599" s="12">
        <v>-20</v>
      </c>
      <c r="C599" s="11">
        <v>27.802826060536908</v>
      </c>
      <c r="D599" s="11">
        <v>-18.540553137267075</v>
      </c>
      <c r="E599" s="11"/>
      <c r="F599" s="12">
        <v>560</v>
      </c>
      <c r="G599" s="12" t="s">
        <v>13</v>
      </c>
      <c r="H599" s="13">
        <v>16.399999999999999</v>
      </c>
      <c r="I599" s="14"/>
      <c r="J599" s="14">
        <v>17.8</v>
      </c>
      <c r="K599" s="14"/>
      <c r="L599" s="13">
        <v>6</v>
      </c>
      <c r="M599" s="13">
        <v>1.4</v>
      </c>
      <c r="P599" s="12" t="s">
        <v>14</v>
      </c>
      <c r="Q599" s="12"/>
      <c r="R599" s="12"/>
      <c r="T599">
        <f t="shared" si="18"/>
        <v>5.2202821334141669</v>
      </c>
      <c r="U599">
        <f t="shared" si="19"/>
        <v>5.6659159740714742</v>
      </c>
    </row>
    <row r="600" spans="1:21">
      <c r="A600" s="12">
        <v>40</v>
      </c>
      <c r="B600" s="12">
        <v>-20</v>
      </c>
      <c r="C600" s="11">
        <v>48.78592455891193</v>
      </c>
      <c r="D600" s="11">
        <v>-16.38334783989626</v>
      </c>
      <c r="E600" s="11"/>
      <c r="F600" s="10">
        <v>505</v>
      </c>
      <c r="G600" s="12" t="s">
        <v>13</v>
      </c>
      <c r="H600" s="13">
        <v>16.5</v>
      </c>
      <c r="I600" s="14"/>
      <c r="J600" s="14">
        <v>17.5</v>
      </c>
      <c r="K600" s="14"/>
      <c r="L600" s="13">
        <v>5.6</v>
      </c>
      <c r="M600" s="13">
        <v>2.2999999999999998</v>
      </c>
      <c r="P600" s="12" t="s">
        <v>14</v>
      </c>
      <c r="Q600" s="12"/>
      <c r="R600" s="12"/>
      <c r="T600">
        <f t="shared" si="18"/>
        <v>5.2521131220325463</v>
      </c>
      <c r="U600">
        <f t="shared" si="19"/>
        <v>5.5704230082163368</v>
      </c>
    </row>
    <row r="601" spans="1:21">
      <c r="A601" s="12">
        <v>20</v>
      </c>
      <c r="B601" s="12">
        <v>-30</v>
      </c>
      <c r="C601" s="11">
        <v>28.221146721837993</v>
      </c>
      <c r="D601" s="11">
        <v>-27.58417965338192</v>
      </c>
      <c r="E601" s="11"/>
      <c r="F601" s="10">
        <v>657</v>
      </c>
      <c r="G601" s="12" t="s">
        <v>11</v>
      </c>
      <c r="H601" s="13">
        <v>16.5</v>
      </c>
      <c r="I601" s="14"/>
      <c r="J601" s="14">
        <v>21.7</v>
      </c>
      <c r="K601" s="14"/>
      <c r="L601" s="13">
        <v>6.5</v>
      </c>
      <c r="M601" s="13">
        <v>0.7</v>
      </c>
      <c r="P601" s="12" t="s">
        <v>14</v>
      </c>
      <c r="Q601" s="12"/>
      <c r="R601" s="12"/>
      <c r="S601" t="s">
        <v>117</v>
      </c>
      <c r="T601">
        <f t="shared" si="18"/>
        <v>5.2521131220325463</v>
      </c>
      <c r="U601">
        <f t="shared" si="19"/>
        <v>6.9073245301882578</v>
      </c>
    </row>
    <row r="602" spans="1:21">
      <c r="A602" s="12">
        <v>40</v>
      </c>
      <c r="B602" s="12">
        <v>0</v>
      </c>
      <c r="C602" s="11">
        <v>40.777857411188769</v>
      </c>
      <c r="D602" s="11">
        <v>5.4966859039304499</v>
      </c>
      <c r="E602" s="11"/>
      <c r="F602" s="10">
        <v>269</v>
      </c>
      <c r="G602" s="12" t="s">
        <v>13</v>
      </c>
      <c r="H602" s="13">
        <v>16.7</v>
      </c>
      <c r="I602" s="14"/>
      <c r="J602" s="14">
        <v>17.399999999999999</v>
      </c>
      <c r="K602" s="14"/>
      <c r="L602" s="13">
        <v>5.0999999999999996</v>
      </c>
      <c r="M602" s="13">
        <v>1.9</v>
      </c>
      <c r="P602" s="12" t="s">
        <v>14</v>
      </c>
      <c r="Q602" s="12"/>
      <c r="R602" s="12"/>
      <c r="T602">
        <f t="shared" si="18"/>
        <v>5.3157750992693042</v>
      </c>
      <c r="U602">
        <f t="shared" si="19"/>
        <v>5.5385920195979574</v>
      </c>
    </row>
    <row r="603" spans="1:21">
      <c r="A603" s="12">
        <v>30</v>
      </c>
      <c r="B603" s="12">
        <v>-10</v>
      </c>
      <c r="C603" s="11">
        <v>33.65070084480169</v>
      </c>
      <c r="D603" s="11">
        <v>-1.9024386240178419</v>
      </c>
      <c r="E603" s="11"/>
      <c r="F603" s="10">
        <v>427</v>
      </c>
      <c r="G603" s="12" t="s">
        <v>13</v>
      </c>
      <c r="H603" s="13">
        <v>16.8</v>
      </c>
      <c r="I603" s="14"/>
      <c r="J603" s="14">
        <v>17.8</v>
      </c>
      <c r="K603" s="14"/>
      <c r="L603" s="13">
        <v>5.7</v>
      </c>
      <c r="M603" s="13">
        <v>1.8</v>
      </c>
      <c r="P603" s="12" t="s">
        <v>14</v>
      </c>
      <c r="Q603" s="12"/>
      <c r="R603" s="12"/>
      <c r="T603">
        <f t="shared" si="18"/>
        <v>5.3476060878876837</v>
      </c>
      <c r="U603">
        <f t="shared" si="19"/>
        <v>5.6659159740714742</v>
      </c>
    </row>
    <row r="604" spans="1:21">
      <c r="A604" s="12">
        <v>40</v>
      </c>
      <c r="B604" s="12">
        <v>30</v>
      </c>
      <c r="C604" s="11">
        <v>48.274236971404648</v>
      </c>
      <c r="D604" s="11">
        <v>30.59705673902403</v>
      </c>
      <c r="E604" s="11"/>
      <c r="F604" s="12">
        <v>338</v>
      </c>
      <c r="G604" s="12" t="s">
        <v>30</v>
      </c>
      <c r="H604" s="13">
        <v>17.2</v>
      </c>
      <c r="I604" s="14"/>
      <c r="J604" s="14" t="s">
        <v>79</v>
      </c>
      <c r="K604" s="14"/>
      <c r="L604" s="13">
        <v>3.4</v>
      </c>
      <c r="M604" s="13">
        <v>1.8</v>
      </c>
      <c r="P604" s="12" t="s">
        <v>14</v>
      </c>
      <c r="Q604" s="12"/>
      <c r="R604" s="12" t="s">
        <v>32</v>
      </c>
      <c r="T604">
        <f t="shared" si="18"/>
        <v>5.4749300423611995</v>
      </c>
      <c r="U604" t="str">
        <f t="shared" si="19"/>
        <v>dead</v>
      </c>
    </row>
    <row r="605" spans="1:21">
      <c r="A605" s="12">
        <v>40</v>
      </c>
      <c r="B605" s="12">
        <v>-10</v>
      </c>
      <c r="C605" s="11">
        <v>47.207444046148773</v>
      </c>
      <c r="D605" s="11">
        <v>-0.39246814470738367</v>
      </c>
      <c r="E605" s="11"/>
      <c r="F605" s="12">
        <v>456</v>
      </c>
      <c r="G605" s="12" t="s">
        <v>11</v>
      </c>
      <c r="H605" s="13">
        <v>17.2</v>
      </c>
      <c r="I605" s="14"/>
      <c r="J605" s="14" t="s">
        <v>70</v>
      </c>
      <c r="K605" s="14"/>
      <c r="L605" s="13">
        <v>5.01</v>
      </c>
      <c r="M605" s="13"/>
      <c r="P605" s="12" t="s">
        <v>12</v>
      </c>
      <c r="Q605" s="12"/>
      <c r="R605" s="12"/>
      <c r="T605">
        <f t="shared" si="18"/>
        <v>5.4749300423611995</v>
      </c>
      <c r="U605" t="str">
        <f t="shared" si="19"/>
        <v>dead</v>
      </c>
    </row>
    <row r="606" spans="1:21">
      <c r="A606" s="12">
        <v>20</v>
      </c>
      <c r="B606" s="12">
        <v>20</v>
      </c>
      <c r="C606" s="11">
        <v>26.023388160580492</v>
      </c>
      <c r="D606" s="11">
        <v>28.859083961886746</v>
      </c>
      <c r="E606" s="11"/>
      <c r="F606" s="12">
        <v>168</v>
      </c>
      <c r="G606" s="12" t="s">
        <v>11</v>
      </c>
      <c r="H606" s="13">
        <v>17.3</v>
      </c>
      <c r="I606" s="14"/>
      <c r="J606" s="14" t="s">
        <v>70</v>
      </c>
      <c r="K606" s="14"/>
      <c r="L606" s="13">
        <v>3.7</v>
      </c>
      <c r="M606" s="13"/>
      <c r="P606" s="12" t="s">
        <v>12</v>
      </c>
      <c r="Q606" s="12"/>
      <c r="R606" s="12" t="s">
        <v>16</v>
      </c>
      <c r="T606">
        <f t="shared" si="18"/>
        <v>5.5067610309795789</v>
      </c>
      <c r="U606" t="str">
        <f t="shared" si="19"/>
        <v>dead</v>
      </c>
    </row>
    <row r="607" spans="1:21">
      <c r="A607" s="12">
        <v>30</v>
      </c>
      <c r="B607" s="12">
        <v>10</v>
      </c>
      <c r="C607" s="11">
        <v>32.410464545492722</v>
      </c>
      <c r="D607" s="11">
        <v>17.503890892824881</v>
      </c>
      <c r="E607" s="11"/>
      <c r="F607" s="12">
        <v>220</v>
      </c>
      <c r="G607" s="12" t="s">
        <v>13</v>
      </c>
      <c r="H607" s="13">
        <v>17.3</v>
      </c>
      <c r="I607" s="14"/>
      <c r="J607" s="14">
        <v>18.7</v>
      </c>
      <c r="K607" s="14"/>
      <c r="L607" s="13">
        <v>5.6</v>
      </c>
      <c r="M607" s="13">
        <v>2.2999999999999998</v>
      </c>
      <c r="P607" s="12" t="s">
        <v>14</v>
      </c>
      <c r="Q607" s="12"/>
      <c r="R607" s="12"/>
      <c r="T607">
        <f t="shared" si="18"/>
        <v>5.5067610309795789</v>
      </c>
      <c r="U607">
        <f t="shared" si="19"/>
        <v>5.9523948716368853</v>
      </c>
    </row>
    <row r="608" spans="1:21" s="27" customFormat="1">
      <c r="A608" s="12">
        <v>30</v>
      </c>
      <c r="B608" s="12">
        <v>10</v>
      </c>
      <c r="C608" s="11">
        <v>39.735868630954577</v>
      </c>
      <c r="D608" s="11">
        <v>10.432588542307032</v>
      </c>
      <c r="E608" s="11"/>
      <c r="F608" s="12">
        <v>240</v>
      </c>
      <c r="G608" s="12" t="s">
        <v>11</v>
      </c>
      <c r="H608" s="13">
        <v>17.399999999999999</v>
      </c>
      <c r="I608" s="14"/>
      <c r="J608" s="14" t="s">
        <v>79</v>
      </c>
      <c r="K608" s="14"/>
      <c r="L608" s="13">
        <v>5.0999999999999996</v>
      </c>
      <c r="M608" s="13">
        <v>0.3</v>
      </c>
      <c r="N608"/>
      <c r="O608"/>
      <c r="P608" s="12" t="s">
        <v>14</v>
      </c>
      <c r="Q608" s="12"/>
      <c r="R608" s="12"/>
      <c r="S608"/>
      <c r="T608">
        <f t="shared" si="18"/>
        <v>5.5385920195979574</v>
      </c>
      <c r="U608" t="str">
        <f t="shared" si="19"/>
        <v>dead</v>
      </c>
    </row>
    <row r="609" spans="1:21">
      <c r="A609" s="12">
        <v>40</v>
      </c>
      <c r="B609" s="12">
        <v>-10</v>
      </c>
      <c r="C609" s="11">
        <v>46.774147756904384</v>
      </c>
      <c r="D609" s="11">
        <v>-3.4593030086586767</v>
      </c>
      <c r="E609" s="11"/>
      <c r="F609" s="10">
        <v>457</v>
      </c>
      <c r="G609" s="12" t="s">
        <v>13</v>
      </c>
      <c r="H609" s="13">
        <v>17.399999999999999</v>
      </c>
      <c r="I609" s="14"/>
      <c r="J609" s="14">
        <v>17.7</v>
      </c>
      <c r="K609" s="14"/>
      <c r="L609" s="13">
        <v>4.2</v>
      </c>
      <c r="M609" s="13">
        <v>2.1</v>
      </c>
      <c r="P609" s="12" t="s">
        <v>14</v>
      </c>
      <c r="Q609" s="12"/>
      <c r="R609" s="12"/>
      <c r="S609" t="s">
        <v>91</v>
      </c>
      <c r="T609">
        <f t="shared" si="18"/>
        <v>5.5385920195979574</v>
      </c>
      <c r="U609">
        <f t="shared" si="19"/>
        <v>5.6340849854530948</v>
      </c>
    </row>
    <row r="610" spans="1:21">
      <c r="A610" s="12">
        <v>40</v>
      </c>
      <c r="B610" s="12">
        <v>-50</v>
      </c>
      <c r="C610" s="11">
        <v>44.836810606651362</v>
      </c>
      <c r="D610" s="11">
        <v>-49.251965367173881</v>
      </c>
      <c r="E610" s="11"/>
      <c r="F610" s="10">
        <v>825</v>
      </c>
      <c r="G610" s="12" t="s">
        <v>11</v>
      </c>
      <c r="H610" s="13">
        <v>17.5</v>
      </c>
      <c r="I610" s="14"/>
      <c r="J610" s="14">
        <v>17.899999999999999</v>
      </c>
      <c r="K610" s="14"/>
      <c r="L610" s="13">
        <v>4.4000000000000004</v>
      </c>
      <c r="M610" s="13">
        <v>1.6</v>
      </c>
      <c r="P610" s="12" t="s">
        <v>14</v>
      </c>
      <c r="Q610" s="12"/>
      <c r="R610" s="12"/>
      <c r="T610">
        <f t="shared" si="18"/>
        <v>5.5704230082163368</v>
      </c>
      <c r="U610">
        <f t="shared" si="19"/>
        <v>5.6977469626898527</v>
      </c>
    </row>
    <row r="611" spans="1:21">
      <c r="A611" s="12">
        <v>30</v>
      </c>
      <c r="B611" s="12">
        <v>-20</v>
      </c>
      <c r="C611" s="11">
        <v>30.138860708753782</v>
      </c>
      <c r="D611" s="11">
        <v>-12.93973330059718</v>
      </c>
      <c r="E611" s="11"/>
      <c r="F611" s="10">
        <v>533</v>
      </c>
      <c r="G611" s="12" t="s">
        <v>13</v>
      </c>
      <c r="H611" s="13">
        <v>17.600000000000001</v>
      </c>
      <c r="I611" s="14"/>
      <c r="J611" s="14">
        <v>17.899999999999999</v>
      </c>
      <c r="K611" s="14"/>
      <c r="L611" s="13">
        <v>5.2</v>
      </c>
      <c r="M611" s="13">
        <v>2.7</v>
      </c>
      <c r="P611" s="12" t="s">
        <v>14</v>
      </c>
      <c r="Q611" s="12"/>
      <c r="R611" s="12"/>
      <c r="S611" t="s">
        <v>98</v>
      </c>
      <c r="T611">
        <f t="shared" si="18"/>
        <v>5.6022539968347163</v>
      </c>
      <c r="U611">
        <f t="shared" si="19"/>
        <v>5.6977469626898527</v>
      </c>
    </row>
    <row r="612" spans="1:21">
      <c r="A612" s="9">
        <v>0</v>
      </c>
      <c r="B612" s="12">
        <v>40</v>
      </c>
      <c r="C612" s="11">
        <v>6.7995243082631154</v>
      </c>
      <c r="D612" s="11">
        <v>42.379869731107441</v>
      </c>
      <c r="E612" s="11"/>
      <c r="F612" s="12">
        <v>66</v>
      </c>
      <c r="G612" s="12" t="s">
        <v>11</v>
      </c>
      <c r="H612" s="13">
        <v>17.7</v>
      </c>
      <c r="I612" s="14"/>
      <c r="J612" s="14" t="s">
        <v>70</v>
      </c>
      <c r="K612" s="14"/>
      <c r="L612" s="13">
        <v>5.5</v>
      </c>
      <c r="M612" s="13">
        <v>1</v>
      </c>
      <c r="P612" s="12" t="s">
        <v>14</v>
      </c>
      <c r="Q612" s="12"/>
      <c r="R612" s="12"/>
      <c r="T612">
        <f t="shared" si="18"/>
        <v>5.6340849854530948</v>
      </c>
      <c r="U612" t="str">
        <f t="shared" si="19"/>
        <v>dead</v>
      </c>
    </row>
    <row r="613" spans="1:21">
      <c r="A613" s="12">
        <v>0</v>
      </c>
      <c r="B613" s="12">
        <v>30</v>
      </c>
      <c r="C613" s="11">
        <v>8.9931143600748431</v>
      </c>
      <c r="D613" s="11">
        <v>32.377960013936693</v>
      </c>
      <c r="E613" s="11"/>
      <c r="F613" s="12">
        <v>84</v>
      </c>
      <c r="G613" s="12" t="s">
        <v>11</v>
      </c>
      <c r="H613" s="13">
        <v>17.7</v>
      </c>
      <c r="I613" s="14"/>
      <c r="J613" s="14" t="s">
        <v>79</v>
      </c>
      <c r="K613" s="14"/>
      <c r="L613" s="13">
        <v>5.0999999999999996</v>
      </c>
      <c r="M613" s="13">
        <v>0.3</v>
      </c>
      <c r="P613" s="12" t="s">
        <v>14</v>
      </c>
      <c r="Q613" s="12"/>
      <c r="R613" s="12"/>
      <c r="T613">
        <f t="shared" si="18"/>
        <v>5.6340849854530948</v>
      </c>
      <c r="U613" t="str">
        <f t="shared" si="19"/>
        <v>dead</v>
      </c>
    </row>
    <row r="614" spans="1:21">
      <c r="A614" s="12">
        <v>10</v>
      </c>
      <c r="B614" s="12">
        <v>-30</v>
      </c>
      <c r="C614" s="11">
        <v>10.053751892067991</v>
      </c>
      <c r="D614" s="11">
        <v>-22.868215606397772</v>
      </c>
      <c r="E614" s="11"/>
      <c r="F614" s="10">
        <v>615</v>
      </c>
      <c r="G614" s="12" t="s">
        <v>11</v>
      </c>
      <c r="H614" s="13">
        <v>17.7</v>
      </c>
      <c r="I614" s="14"/>
      <c r="J614" s="14" t="s">
        <v>70</v>
      </c>
      <c r="K614" s="14"/>
      <c r="L614" s="13">
        <v>5.6</v>
      </c>
      <c r="M614" s="13">
        <v>1</v>
      </c>
      <c r="P614" s="12" t="s">
        <v>14</v>
      </c>
      <c r="Q614" s="12"/>
      <c r="R614" s="12"/>
      <c r="T614">
        <f t="shared" si="18"/>
        <v>5.6340849854530948</v>
      </c>
      <c r="U614" t="str">
        <f t="shared" si="19"/>
        <v>dead</v>
      </c>
    </row>
    <row r="615" spans="1:21">
      <c r="A615" s="12">
        <v>40</v>
      </c>
      <c r="B615" s="12">
        <v>0</v>
      </c>
      <c r="C615" s="11">
        <v>41.100623071933988</v>
      </c>
      <c r="D615" s="11">
        <v>5.1944273126372771</v>
      </c>
      <c r="E615" s="11"/>
      <c r="F615" s="10">
        <v>267</v>
      </c>
      <c r="G615" s="12" t="s">
        <v>13</v>
      </c>
      <c r="H615" s="13">
        <v>17.8</v>
      </c>
      <c r="I615" s="14"/>
      <c r="J615" s="14">
        <v>20</v>
      </c>
      <c r="K615" s="14"/>
      <c r="L615" s="13">
        <v>5.0999999999999996</v>
      </c>
      <c r="M615" s="13">
        <v>1.9</v>
      </c>
      <c r="P615" s="12" t="s">
        <v>14</v>
      </c>
      <c r="Q615" s="12"/>
      <c r="R615" s="12"/>
      <c r="T615">
        <f t="shared" si="18"/>
        <v>5.6659159740714742</v>
      </c>
      <c r="U615">
        <f t="shared" si="19"/>
        <v>6.366197723675814</v>
      </c>
    </row>
    <row r="616" spans="1:21">
      <c r="A616" s="12">
        <v>40</v>
      </c>
      <c r="B616" s="12">
        <v>40</v>
      </c>
      <c r="C616" s="11">
        <v>46.208042528020819</v>
      </c>
      <c r="D616" s="11">
        <v>45.883966224469788</v>
      </c>
      <c r="E616" s="11"/>
      <c r="F616" s="10">
        <v>353</v>
      </c>
      <c r="G616" s="12" t="s">
        <v>11</v>
      </c>
      <c r="H616" s="13">
        <v>17.899999999999999</v>
      </c>
      <c r="I616" s="14"/>
      <c r="J616" s="14">
        <v>22.3</v>
      </c>
      <c r="K616" s="14"/>
      <c r="L616" s="13">
        <v>6.8</v>
      </c>
      <c r="M616" s="13">
        <v>0.8</v>
      </c>
      <c r="P616" s="12" t="s">
        <v>14</v>
      </c>
      <c r="Q616" s="12"/>
      <c r="R616" s="12"/>
      <c r="T616">
        <f t="shared" si="18"/>
        <v>5.6977469626898527</v>
      </c>
      <c r="U616">
        <f t="shared" si="19"/>
        <v>7.0983104618985324</v>
      </c>
    </row>
    <row r="617" spans="1:21">
      <c r="A617" s="12">
        <v>30</v>
      </c>
      <c r="B617" s="12">
        <v>10</v>
      </c>
      <c r="C617" s="11">
        <v>31.896743692831674</v>
      </c>
      <c r="D617" s="11">
        <v>17.510168004924175</v>
      </c>
      <c r="E617" s="11"/>
      <c r="F617" s="12">
        <v>1001</v>
      </c>
      <c r="G617" s="12" t="s">
        <v>13</v>
      </c>
      <c r="H617" s="13">
        <v>17.899999999999999</v>
      </c>
      <c r="I617" s="14"/>
      <c r="J617" s="14">
        <v>18.2</v>
      </c>
      <c r="K617" s="14"/>
      <c r="L617" s="13">
        <v>6</v>
      </c>
      <c r="M617" s="13">
        <v>2.1</v>
      </c>
      <c r="P617" s="12" t="s">
        <v>14</v>
      </c>
      <c r="Q617" s="12"/>
      <c r="R617" s="12" t="s">
        <v>65</v>
      </c>
      <c r="S617" t="s">
        <v>88</v>
      </c>
      <c r="T617">
        <f t="shared" si="18"/>
        <v>5.6977469626898527</v>
      </c>
      <c r="U617">
        <f t="shared" si="19"/>
        <v>5.79323992854499</v>
      </c>
    </row>
    <row r="618" spans="1:21">
      <c r="A618" s="12">
        <v>40</v>
      </c>
      <c r="B618" s="12">
        <v>-10</v>
      </c>
      <c r="C618" s="11">
        <v>48.186840600406832</v>
      </c>
      <c r="D618" s="11">
        <v>-2.4773681582814722</v>
      </c>
      <c r="E618" s="11"/>
      <c r="F618" s="10">
        <v>463</v>
      </c>
      <c r="G618" s="12" t="s">
        <v>13</v>
      </c>
      <c r="H618" s="13">
        <v>17.899999999999999</v>
      </c>
      <c r="I618" s="14"/>
      <c r="J618" s="14">
        <v>18.8</v>
      </c>
      <c r="K618" s="14"/>
      <c r="L618" s="13">
        <v>5.3</v>
      </c>
      <c r="M618" s="13">
        <v>1.9</v>
      </c>
      <c r="P618" s="12" t="s">
        <v>14</v>
      </c>
      <c r="Q618" s="12"/>
      <c r="R618" s="12"/>
      <c r="T618">
        <f t="shared" si="18"/>
        <v>5.6977469626898527</v>
      </c>
      <c r="U618">
        <f t="shared" si="19"/>
        <v>5.9842258602552647</v>
      </c>
    </row>
    <row r="619" spans="1:21">
      <c r="A619" s="12">
        <v>20</v>
      </c>
      <c r="B619" s="12">
        <v>40</v>
      </c>
      <c r="C619" s="11">
        <v>26.109179631508535</v>
      </c>
      <c r="D619" s="11">
        <v>46.690405386070509</v>
      </c>
      <c r="E619" s="11"/>
      <c r="F619" s="12">
        <v>188</v>
      </c>
      <c r="G619" s="12" t="s">
        <v>13</v>
      </c>
      <c r="H619" s="13">
        <v>18</v>
      </c>
      <c r="I619" s="14"/>
      <c r="J619" s="14">
        <v>19</v>
      </c>
      <c r="K619" s="14"/>
      <c r="L619" s="13">
        <v>6.7</v>
      </c>
      <c r="M619" s="13">
        <v>2</v>
      </c>
      <c r="P619" s="12" t="s">
        <v>14</v>
      </c>
      <c r="Q619" s="12"/>
      <c r="R619" s="12"/>
      <c r="T619">
        <f t="shared" si="18"/>
        <v>5.7295779513082321</v>
      </c>
      <c r="U619">
        <f t="shared" si="19"/>
        <v>6.0478878374920226</v>
      </c>
    </row>
    <row r="620" spans="1:21">
      <c r="A620" s="12">
        <v>40</v>
      </c>
      <c r="B620" s="12">
        <v>40</v>
      </c>
      <c r="C620" s="11">
        <v>49.59543713340743</v>
      </c>
      <c r="D620" s="11">
        <v>42.182825894791982</v>
      </c>
      <c r="E620" s="11"/>
      <c r="F620" s="10">
        <v>349</v>
      </c>
      <c r="G620" s="12" t="s">
        <v>13</v>
      </c>
      <c r="H620" s="13">
        <v>18</v>
      </c>
      <c r="I620" s="14"/>
      <c r="J620" s="14">
        <v>19</v>
      </c>
      <c r="K620" s="14"/>
      <c r="L620" s="13">
        <v>6.8</v>
      </c>
      <c r="M620" s="13">
        <v>2.5</v>
      </c>
      <c r="P620" s="12" t="s">
        <v>14</v>
      </c>
      <c r="Q620" s="12"/>
      <c r="R620" s="12"/>
      <c r="T620">
        <f t="shared" si="18"/>
        <v>5.7295779513082321</v>
      </c>
      <c r="U620">
        <f t="shared" si="19"/>
        <v>6.0478878374920226</v>
      </c>
    </row>
    <row r="621" spans="1:21">
      <c r="A621" s="12">
        <v>40</v>
      </c>
      <c r="B621" s="12">
        <v>0</v>
      </c>
      <c r="C621" s="11">
        <v>41.045795804813331</v>
      </c>
      <c r="D621" s="11">
        <v>5.0799175683089572</v>
      </c>
      <c r="E621" s="11"/>
      <c r="F621" s="12">
        <v>266</v>
      </c>
      <c r="G621" s="12" t="s">
        <v>13</v>
      </c>
      <c r="H621" s="13">
        <v>18.100000000000001</v>
      </c>
      <c r="I621" s="14"/>
      <c r="J621" s="14">
        <v>19.7</v>
      </c>
      <c r="K621" s="14"/>
      <c r="L621" s="13">
        <v>4.3</v>
      </c>
      <c r="M621" s="13">
        <v>1.6</v>
      </c>
      <c r="P621" s="12" t="s">
        <v>14</v>
      </c>
      <c r="Q621" s="12"/>
      <c r="R621" s="12"/>
      <c r="T621">
        <f t="shared" si="18"/>
        <v>5.7614089399266115</v>
      </c>
      <c r="U621">
        <f t="shared" si="19"/>
        <v>6.2707047578206758</v>
      </c>
    </row>
    <row r="622" spans="1:21">
      <c r="A622" s="12">
        <v>50</v>
      </c>
      <c r="B622" s="12">
        <v>-30</v>
      </c>
      <c r="C622" s="11">
        <v>50.277366863519219</v>
      </c>
      <c r="D622" s="11">
        <v>-27.783751864123932</v>
      </c>
      <c r="E622" s="11"/>
      <c r="F622" s="10">
        <v>703</v>
      </c>
      <c r="G622" s="12" t="s">
        <v>13</v>
      </c>
      <c r="H622" s="13">
        <v>18.2</v>
      </c>
      <c r="I622" s="14"/>
      <c r="J622" s="14">
        <v>19.2</v>
      </c>
      <c r="K622" s="14"/>
      <c r="L622" s="13">
        <v>6.6</v>
      </c>
      <c r="M622" s="13">
        <v>3.4</v>
      </c>
      <c r="P622" s="12" t="s">
        <v>14</v>
      </c>
      <c r="Q622" s="12"/>
      <c r="R622" s="12"/>
      <c r="T622">
        <f t="shared" si="18"/>
        <v>5.79323992854499</v>
      </c>
      <c r="U622">
        <f t="shared" si="19"/>
        <v>6.1115498147287806</v>
      </c>
    </row>
    <row r="623" spans="1:21">
      <c r="A623" s="9">
        <v>0</v>
      </c>
      <c r="B623" s="12">
        <v>20</v>
      </c>
      <c r="C623" s="11">
        <v>8.8119505183786533</v>
      </c>
      <c r="D623" s="11">
        <v>22.148121984815155</v>
      </c>
      <c r="E623" s="11"/>
      <c r="F623" s="12">
        <v>34</v>
      </c>
      <c r="G623" s="12" t="s">
        <v>13</v>
      </c>
      <c r="H623" s="13">
        <v>18.399999999999999</v>
      </c>
      <c r="I623" s="14"/>
      <c r="J623" s="14">
        <v>21</v>
      </c>
      <c r="K623" s="14"/>
      <c r="L623" s="13">
        <v>4.3</v>
      </c>
      <c r="M623" s="13">
        <v>0.9</v>
      </c>
      <c r="P623" s="12" t="s">
        <v>14</v>
      </c>
      <c r="Q623" s="12"/>
      <c r="R623" s="12"/>
      <c r="T623">
        <f t="shared" si="18"/>
        <v>5.856901905781748</v>
      </c>
      <c r="U623">
        <f t="shared" si="19"/>
        <v>6.6845076098596046</v>
      </c>
    </row>
    <row r="624" spans="1:21">
      <c r="A624" s="12">
        <v>30</v>
      </c>
      <c r="B624" s="12">
        <v>10</v>
      </c>
      <c r="C624" s="11">
        <v>32.249368886906424</v>
      </c>
      <c r="D624" s="11">
        <v>17.100131104581216</v>
      </c>
      <c r="E624" s="11"/>
      <c r="F624" s="10">
        <v>229</v>
      </c>
      <c r="G624" s="12" t="s">
        <v>13</v>
      </c>
      <c r="H624" s="13">
        <v>18.399999999999999</v>
      </c>
      <c r="I624" s="14"/>
      <c r="J624" s="14">
        <v>20.2</v>
      </c>
      <c r="K624" s="14"/>
      <c r="L624" s="13">
        <v>5.6</v>
      </c>
      <c r="M624" s="13">
        <v>1.5</v>
      </c>
      <c r="P624" s="12" t="s">
        <v>14</v>
      </c>
      <c r="Q624" s="12"/>
      <c r="R624" s="12"/>
      <c r="T624">
        <f t="shared" si="18"/>
        <v>5.856901905781748</v>
      </c>
      <c r="U624">
        <f t="shared" si="19"/>
        <v>6.429859700912572</v>
      </c>
    </row>
    <row r="625" spans="1:21">
      <c r="A625" s="12">
        <v>20</v>
      </c>
      <c r="B625" s="12">
        <v>10</v>
      </c>
      <c r="C625" s="11">
        <v>24.256321189866224</v>
      </c>
      <c r="D625" s="11">
        <v>10.97345114030658</v>
      </c>
      <c r="E625" s="11"/>
      <c r="F625" s="12">
        <v>136</v>
      </c>
      <c r="G625" s="12" t="s">
        <v>13</v>
      </c>
      <c r="H625" s="13">
        <v>18.5</v>
      </c>
      <c r="I625" s="14"/>
      <c r="J625" s="14">
        <v>18.100000000000001</v>
      </c>
      <c r="K625" s="14"/>
      <c r="L625" s="13">
        <v>6.6</v>
      </c>
      <c r="M625" s="13">
        <v>2.6</v>
      </c>
      <c r="P625" s="12" t="s">
        <v>14</v>
      </c>
      <c r="Q625" s="12"/>
      <c r="R625" s="12"/>
      <c r="T625">
        <f t="shared" si="18"/>
        <v>5.8887328944001274</v>
      </c>
      <c r="U625">
        <f t="shared" si="19"/>
        <v>5.7614089399266115</v>
      </c>
    </row>
    <row r="626" spans="1:21">
      <c r="A626" s="9">
        <v>10</v>
      </c>
      <c r="B626" s="9">
        <v>-10</v>
      </c>
      <c r="C626" s="11">
        <v>12.525669415854443</v>
      </c>
      <c r="D626" s="11">
        <v>-2.7854252820381808</v>
      </c>
      <c r="E626" s="11"/>
      <c r="F626" s="10">
        <v>407</v>
      </c>
      <c r="G626" s="12" t="s">
        <v>11</v>
      </c>
      <c r="H626" s="13">
        <v>18.7</v>
      </c>
      <c r="I626" s="14"/>
      <c r="J626" s="14" t="s">
        <v>70</v>
      </c>
      <c r="K626" s="14"/>
      <c r="L626" s="13">
        <v>5.6</v>
      </c>
      <c r="M626" s="13"/>
      <c r="P626" s="12" t="s">
        <v>12</v>
      </c>
      <c r="Q626" s="12"/>
      <c r="R626" s="12"/>
      <c r="T626">
        <f t="shared" si="18"/>
        <v>5.9523948716368853</v>
      </c>
      <c r="U626" t="str">
        <f t="shared" si="19"/>
        <v>dead</v>
      </c>
    </row>
    <row r="627" spans="1:21">
      <c r="A627" s="12">
        <v>20</v>
      </c>
      <c r="B627" s="12">
        <v>10</v>
      </c>
      <c r="C627" s="11">
        <v>21.951670549920319</v>
      </c>
      <c r="D627" s="11">
        <v>12.184686375306248</v>
      </c>
      <c r="E627" s="11"/>
      <c r="F627" s="10">
        <v>149</v>
      </c>
      <c r="G627" s="12" t="s">
        <v>13</v>
      </c>
      <c r="H627" s="13">
        <v>18.8</v>
      </c>
      <c r="I627" s="14"/>
      <c r="J627" s="14">
        <v>18.399999999999999</v>
      </c>
      <c r="K627" s="14"/>
      <c r="L627" s="13">
        <v>5.6</v>
      </c>
      <c r="M627" s="13">
        <v>2.2000000000000002</v>
      </c>
      <c r="P627" s="12" t="s">
        <v>14</v>
      </c>
      <c r="Q627" s="12"/>
      <c r="R627" s="12"/>
      <c r="T627">
        <f t="shared" si="18"/>
        <v>5.9842258602552647</v>
      </c>
      <c r="U627">
        <f t="shared" si="19"/>
        <v>5.856901905781748</v>
      </c>
    </row>
    <row r="628" spans="1:21">
      <c r="A628" s="12">
        <v>30</v>
      </c>
      <c r="B628" s="12">
        <v>40</v>
      </c>
      <c r="C628" s="11">
        <v>30.571213760692721</v>
      </c>
      <c r="D628" s="11">
        <v>48.901788563302368</v>
      </c>
      <c r="E628" s="11"/>
      <c r="F628" s="10">
        <v>199</v>
      </c>
      <c r="G628" s="12" t="s">
        <v>13</v>
      </c>
      <c r="H628" s="13">
        <v>18.8</v>
      </c>
      <c r="I628" s="14"/>
      <c r="J628" s="14">
        <v>18.8</v>
      </c>
      <c r="K628" s="14"/>
      <c r="L628" s="13">
        <v>6.9</v>
      </c>
      <c r="M628" s="13">
        <v>2.5</v>
      </c>
      <c r="P628" s="12" t="s">
        <v>14</v>
      </c>
      <c r="Q628" s="12"/>
      <c r="R628" s="12"/>
      <c r="T628">
        <f t="shared" si="18"/>
        <v>5.9842258602552647</v>
      </c>
      <c r="U628">
        <f t="shared" si="19"/>
        <v>5.9842258602552647</v>
      </c>
    </row>
    <row r="629" spans="1:21">
      <c r="A629" s="12">
        <v>30</v>
      </c>
      <c r="B629" s="12">
        <v>20</v>
      </c>
      <c r="C629" s="11">
        <v>30.124602273945477</v>
      </c>
      <c r="D629" s="11">
        <v>24.75836886688365</v>
      </c>
      <c r="E629" s="11"/>
      <c r="F629" s="10">
        <v>207</v>
      </c>
      <c r="G629" s="12" t="s">
        <v>11</v>
      </c>
      <c r="H629" s="13">
        <v>18.899999999999999</v>
      </c>
      <c r="I629" s="14"/>
      <c r="J629" s="14" t="s">
        <v>70</v>
      </c>
      <c r="K629" s="14"/>
      <c r="L629" s="13">
        <v>6.3</v>
      </c>
      <c r="M629" s="13">
        <v>0.3</v>
      </c>
      <c r="P629" s="12" t="s">
        <v>14</v>
      </c>
      <c r="Q629" s="12"/>
      <c r="R629" s="12"/>
      <c r="T629">
        <f t="shared" si="18"/>
        <v>6.0160568488736432</v>
      </c>
      <c r="U629" t="str">
        <f t="shared" si="19"/>
        <v>dead</v>
      </c>
    </row>
    <row r="630" spans="1:21">
      <c r="A630" s="12">
        <v>40</v>
      </c>
      <c r="B630" s="12">
        <v>-10</v>
      </c>
      <c r="C630" s="11">
        <v>47.831262169247523</v>
      </c>
      <c r="D630" s="11">
        <v>-2.5663546562123978</v>
      </c>
      <c r="E630" s="11"/>
      <c r="F630" s="12">
        <v>458</v>
      </c>
      <c r="G630" s="12" t="s">
        <v>13</v>
      </c>
      <c r="H630" s="13">
        <v>18.899999999999999</v>
      </c>
      <c r="I630" s="14"/>
      <c r="J630" s="14">
        <v>19.899999999999999</v>
      </c>
      <c r="K630" s="14"/>
      <c r="L630" s="13">
        <v>5.4</v>
      </c>
      <c r="M630" s="13">
        <v>1.9</v>
      </c>
      <c r="P630" s="12" t="s">
        <v>14</v>
      </c>
      <c r="Q630" s="12"/>
      <c r="R630" s="12"/>
      <c r="T630">
        <f t="shared" si="18"/>
        <v>6.0160568488736432</v>
      </c>
      <c r="U630">
        <f t="shared" si="19"/>
        <v>6.3343667350574338</v>
      </c>
    </row>
    <row r="631" spans="1:21">
      <c r="A631" s="12">
        <v>20</v>
      </c>
      <c r="B631" s="12">
        <v>30</v>
      </c>
      <c r="C631" s="11">
        <v>20.851731153255873</v>
      </c>
      <c r="D631" s="11">
        <v>33.616571920780075</v>
      </c>
      <c r="E631" s="11"/>
      <c r="F631" s="10">
        <v>177</v>
      </c>
      <c r="G631" s="12" t="s">
        <v>13</v>
      </c>
      <c r="H631" s="13">
        <v>19.2</v>
      </c>
      <c r="I631" s="14"/>
      <c r="J631" s="14">
        <v>21.6</v>
      </c>
      <c r="K631" s="14"/>
      <c r="L631" s="13">
        <v>5.6</v>
      </c>
      <c r="M631" s="13">
        <v>2.7</v>
      </c>
      <c r="P631" s="12" t="s">
        <v>14</v>
      </c>
      <c r="Q631" s="12"/>
      <c r="R631" s="12"/>
      <c r="T631">
        <f t="shared" si="18"/>
        <v>6.1115498147287806</v>
      </c>
      <c r="U631">
        <f t="shared" si="19"/>
        <v>6.8754935415698792</v>
      </c>
    </row>
    <row r="632" spans="1:21">
      <c r="A632" s="12">
        <v>20</v>
      </c>
      <c r="B632" s="12">
        <v>-20</v>
      </c>
      <c r="C632" s="11">
        <v>26.95918370245057</v>
      </c>
      <c r="D632" s="11">
        <v>-13.567563635531844</v>
      </c>
      <c r="E632" s="11"/>
      <c r="F632" s="12">
        <v>552</v>
      </c>
      <c r="G632" s="12" t="s">
        <v>13</v>
      </c>
      <c r="H632" s="13">
        <v>19.3</v>
      </c>
      <c r="I632" s="14"/>
      <c r="J632" s="14">
        <v>20.7</v>
      </c>
      <c r="K632" s="14"/>
      <c r="L632" s="13">
        <v>6.6</v>
      </c>
      <c r="M632" s="13">
        <v>3.5</v>
      </c>
      <c r="P632" s="12" t="s">
        <v>14</v>
      </c>
      <c r="Q632" s="12"/>
      <c r="R632" s="12" t="s">
        <v>40</v>
      </c>
      <c r="T632">
        <f t="shared" si="18"/>
        <v>6.1433808033471609</v>
      </c>
      <c r="U632">
        <f t="shared" si="19"/>
        <v>6.5890146440044672</v>
      </c>
    </row>
    <row r="633" spans="1:21">
      <c r="A633" s="12">
        <v>40</v>
      </c>
      <c r="B633" s="12">
        <v>-30</v>
      </c>
      <c r="C633" s="11">
        <v>42.713143904854235</v>
      </c>
      <c r="D633" s="11">
        <v>-25.766937840350597</v>
      </c>
      <c r="E633" s="11"/>
      <c r="F633" s="10">
        <v>681</v>
      </c>
      <c r="G633" s="12" t="s">
        <v>13</v>
      </c>
      <c r="H633" s="13">
        <v>19.399999999999999</v>
      </c>
      <c r="I633" s="14"/>
      <c r="J633" s="14">
        <v>20.3</v>
      </c>
      <c r="K633" s="14"/>
      <c r="L633" s="13">
        <v>5.0999999999999996</v>
      </c>
      <c r="M633" s="13">
        <v>1.9</v>
      </c>
      <c r="P633" s="12" t="s">
        <v>14</v>
      </c>
      <c r="Q633" s="12"/>
      <c r="R633" s="12"/>
      <c r="T633">
        <f t="shared" si="18"/>
        <v>6.1752117919655385</v>
      </c>
      <c r="U633">
        <f t="shared" si="19"/>
        <v>6.4616906895309514</v>
      </c>
    </row>
    <row r="634" spans="1:21">
      <c r="A634" s="12">
        <v>40</v>
      </c>
      <c r="B634" s="12">
        <v>-30</v>
      </c>
      <c r="C634" s="11">
        <v>42.241277722406934</v>
      </c>
      <c r="D634" s="11">
        <v>-25.786425470262586</v>
      </c>
      <c r="E634" s="11"/>
      <c r="F634" s="10">
        <v>687</v>
      </c>
      <c r="G634" s="12" t="s">
        <v>13</v>
      </c>
      <c r="H634" s="13">
        <v>19.399999999999999</v>
      </c>
      <c r="I634" s="14"/>
      <c r="J634" s="14" t="s">
        <v>70</v>
      </c>
      <c r="K634" s="14"/>
      <c r="L634" s="13">
        <v>2.8</v>
      </c>
      <c r="M634" s="13"/>
      <c r="P634" s="12" t="s">
        <v>12</v>
      </c>
      <c r="Q634" s="12"/>
      <c r="R634" s="12"/>
      <c r="T634">
        <f t="shared" si="18"/>
        <v>6.1752117919655385</v>
      </c>
      <c r="U634" t="str">
        <f t="shared" si="19"/>
        <v>dead</v>
      </c>
    </row>
    <row r="635" spans="1:21">
      <c r="A635" s="12">
        <v>40</v>
      </c>
      <c r="B635" s="12">
        <v>-30</v>
      </c>
      <c r="C635" s="11">
        <v>41.972325866754147</v>
      </c>
      <c r="D635" s="11">
        <v>-25.582787237594637</v>
      </c>
      <c r="E635" s="11"/>
      <c r="F635" s="10">
        <v>691</v>
      </c>
      <c r="G635" s="12" t="s">
        <v>13</v>
      </c>
      <c r="H635" s="13">
        <v>19.399999999999999</v>
      </c>
      <c r="I635" s="14"/>
      <c r="J635" s="14" t="s">
        <v>70</v>
      </c>
      <c r="K635" s="14"/>
      <c r="L635" s="13">
        <v>5</v>
      </c>
      <c r="M635" s="13">
        <v>3.4</v>
      </c>
      <c r="P635" s="12" t="s">
        <v>14</v>
      </c>
      <c r="Q635" s="12"/>
      <c r="R635" s="12"/>
      <c r="T635">
        <f t="shared" si="18"/>
        <v>6.1752117919655385</v>
      </c>
      <c r="U635" t="str">
        <f t="shared" si="19"/>
        <v>dead</v>
      </c>
    </row>
    <row r="636" spans="1:21">
      <c r="A636" s="12">
        <v>40</v>
      </c>
      <c r="B636" s="12">
        <v>-30</v>
      </c>
      <c r="C636" s="11">
        <v>48.14767037396004</v>
      </c>
      <c r="D636" s="11">
        <v>-23.593335497569491</v>
      </c>
      <c r="E636" s="11"/>
      <c r="F636" s="10">
        <v>699</v>
      </c>
      <c r="G636" s="12" t="s">
        <v>13</v>
      </c>
      <c r="H636" s="13">
        <v>19.5</v>
      </c>
      <c r="I636" s="14"/>
      <c r="J636" s="14">
        <v>20.5</v>
      </c>
      <c r="K636" s="31"/>
      <c r="L636" s="13">
        <v>6.2</v>
      </c>
      <c r="M636" s="13">
        <v>2.5</v>
      </c>
      <c r="P636" s="12" t="s">
        <v>14</v>
      </c>
      <c r="Q636" s="12"/>
      <c r="R636" s="12"/>
      <c r="T636">
        <f t="shared" si="18"/>
        <v>6.2070427805839179</v>
      </c>
      <c r="U636">
        <f t="shared" si="19"/>
        <v>6.5253526667677093</v>
      </c>
    </row>
    <row r="637" spans="1:21">
      <c r="A637" s="12">
        <v>30</v>
      </c>
      <c r="B637" s="12">
        <v>-30</v>
      </c>
      <c r="C637" s="11">
        <v>31.465226941117038</v>
      </c>
      <c r="D637" s="11">
        <v>-21.375939682916666</v>
      </c>
      <c r="E637" s="11"/>
      <c r="F637" s="12">
        <v>660</v>
      </c>
      <c r="G637" s="12" t="s">
        <v>21</v>
      </c>
      <c r="H637" s="13">
        <v>19.7</v>
      </c>
      <c r="I637" s="14"/>
      <c r="J637" s="14">
        <v>21</v>
      </c>
      <c r="K637" s="14"/>
      <c r="L637" s="13">
        <v>7.1</v>
      </c>
      <c r="M637" s="13">
        <v>1</v>
      </c>
      <c r="P637" s="12" t="s">
        <v>14</v>
      </c>
      <c r="Q637" s="12"/>
      <c r="R637" s="12"/>
      <c r="S637" t="s">
        <v>118</v>
      </c>
      <c r="T637">
        <f t="shared" si="18"/>
        <v>6.2707047578206758</v>
      </c>
      <c r="U637">
        <f t="shared" si="19"/>
        <v>6.6845076098596046</v>
      </c>
    </row>
    <row r="638" spans="1:21">
      <c r="A638" s="12">
        <v>10</v>
      </c>
      <c r="B638" s="12">
        <v>40</v>
      </c>
      <c r="C638" s="11">
        <v>10.849723576956984</v>
      </c>
      <c r="D638" s="11">
        <v>47.732583098932928</v>
      </c>
      <c r="E638" s="11"/>
      <c r="F638" s="10">
        <v>73</v>
      </c>
      <c r="G638" s="12" t="s">
        <v>11</v>
      </c>
      <c r="H638" s="13">
        <v>19.899999999999999</v>
      </c>
      <c r="I638" s="14"/>
      <c r="J638" s="14" t="s">
        <v>70</v>
      </c>
      <c r="K638" s="14"/>
      <c r="L638" s="13">
        <v>5.4</v>
      </c>
      <c r="M638" s="13"/>
      <c r="P638" s="12" t="s">
        <v>12</v>
      </c>
      <c r="Q638" s="12"/>
      <c r="R638" s="12"/>
      <c r="T638">
        <f t="shared" si="18"/>
        <v>6.3343667350574338</v>
      </c>
      <c r="U638" t="str">
        <f t="shared" si="19"/>
        <v>dead</v>
      </c>
    </row>
    <row r="639" spans="1:21">
      <c r="A639" s="12">
        <v>40</v>
      </c>
      <c r="B639" s="12">
        <v>20</v>
      </c>
      <c r="C639" s="11">
        <v>42.049845489303813</v>
      </c>
      <c r="D639" s="11">
        <v>29.65374661382328</v>
      </c>
      <c r="E639" s="11"/>
      <c r="F639" s="12">
        <v>310</v>
      </c>
      <c r="G639" s="12" t="s">
        <v>13</v>
      </c>
      <c r="H639" s="13"/>
      <c r="I639" s="14">
        <v>6.35</v>
      </c>
      <c r="J639" s="14">
        <v>23.3</v>
      </c>
      <c r="K639" s="14"/>
      <c r="L639" s="13">
        <v>5.9</v>
      </c>
      <c r="M639" s="13">
        <v>2</v>
      </c>
      <c r="P639" s="12" t="s">
        <v>14</v>
      </c>
      <c r="Q639" s="12"/>
      <c r="R639" s="12"/>
      <c r="T639">
        <f t="shared" si="18"/>
        <v>6.35</v>
      </c>
      <c r="U639">
        <f t="shared" si="19"/>
        <v>7.416620348082323</v>
      </c>
    </row>
    <row r="640" spans="1:21">
      <c r="A640" s="12">
        <v>20</v>
      </c>
      <c r="B640" s="12">
        <v>-30</v>
      </c>
      <c r="C640" s="11">
        <v>24.491891167551483</v>
      </c>
      <c r="D640" s="11">
        <v>-26.074597689551354</v>
      </c>
      <c r="E640" s="11"/>
      <c r="F640" s="10">
        <v>643</v>
      </c>
      <c r="G640" s="12" t="s">
        <v>13</v>
      </c>
      <c r="H640" s="13">
        <v>20.100000000000001</v>
      </c>
      <c r="I640" s="14"/>
      <c r="J640" s="14">
        <v>22</v>
      </c>
      <c r="K640" s="14"/>
      <c r="L640" s="13">
        <v>6.4</v>
      </c>
      <c r="M640" s="13">
        <v>3.6</v>
      </c>
      <c r="P640" s="12" t="s">
        <v>14</v>
      </c>
      <c r="Q640" s="12"/>
      <c r="R640" s="12"/>
      <c r="T640">
        <f t="shared" si="18"/>
        <v>6.3980287122941935</v>
      </c>
      <c r="U640">
        <f t="shared" si="19"/>
        <v>7.0028174960433951</v>
      </c>
    </row>
    <row r="641" spans="1:21">
      <c r="A641" s="12">
        <v>20</v>
      </c>
      <c r="B641" s="12">
        <v>40</v>
      </c>
      <c r="C641" s="11">
        <v>26.363027006017866</v>
      </c>
      <c r="D641" s="11">
        <v>46.658527413827123</v>
      </c>
      <c r="E641" s="11"/>
      <c r="F641" s="10">
        <v>187</v>
      </c>
      <c r="G641" s="12" t="s">
        <v>13</v>
      </c>
      <c r="H641" s="13">
        <v>20.3</v>
      </c>
      <c r="I641" s="14"/>
      <c r="J641" s="14">
        <v>22</v>
      </c>
      <c r="K641" s="14"/>
      <c r="L641" s="13">
        <v>6.6</v>
      </c>
      <c r="M641" s="13">
        <v>2.1</v>
      </c>
      <c r="P641" s="12" t="s">
        <v>14</v>
      </c>
      <c r="Q641" s="12"/>
      <c r="R641" s="12"/>
      <c r="T641">
        <f t="shared" si="18"/>
        <v>6.4616906895309514</v>
      </c>
      <c r="U641">
        <f t="shared" si="19"/>
        <v>7.0028174960433951</v>
      </c>
    </row>
    <row r="642" spans="1:21">
      <c r="A642" s="12">
        <v>40</v>
      </c>
      <c r="B642" s="12">
        <v>-30</v>
      </c>
      <c r="C642" s="11">
        <v>42.059526159725067</v>
      </c>
      <c r="D642" s="11">
        <v>-25.726284030932</v>
      </c>
      <c r="E642" s="11"/>
      <c r="F642" s="12">
        <v>688</v>
      </c>
      <c r="G642" s="12" t="s">
        <v>13</v>
      </c>
      <c r="H642" s="13">
        <v>20.3</v>
      </c>
      <c r="I642" s="14"/>
      <c r="J642" s="14">
        <v>19.8</v>
      </c>
      <c r="K642" s="14"/>
      <c r="L642" s="13">
        <v>5.0999999999999996</v>
      </c>
      <c r="M642" s="13">
        <v>1.8</v>
      </c>
      <c r="P642" s="12" t="s">
        <v>14</v>
      </c>
      <c r="Q642" s="12"/>
      <c r="R642" s="12"/>
      <c r="T642">
        <f t="shared" ref="T642:T705" si="20">IF(H642="",I642,H642/PI())</f>
        <v>6.4616906895309514</v>
      </c>
      <c r="U642">
        <f t="shared" ref="U642:U705" si="21">IF(J642="dead","dead",J642/PI()+K642)</f>
        <v>6.3025357464390561</v>
      </c>
    </row>
    <row r="643" spans="1:21">
      <c r="A643" s="12">
        <v>10</v>
      </c>
      <c r="B643" s="12">
        <v>40</v>
      </c>
      <c r="C643" s="11">
        <v>14.923433426844973</v>
      </c>
      <c r="D643" s="11">
        <v>45.147948312514899</v>
      </c>
      <c r="E643" s="11"/>
      <c r="F643" s="10">
        <v>77</v>
      </c>
      <c r="G643" s="12" t="s">
        <v>11</v>
      </c>
      <c r="H643" s="13">
        <v>20.5</v>
      </c>
      <c r="I643" s="14"/>
      <c r="J643" s="14" t="s">
        <v>79</v>
      </c>
      <c r="K643" s="14"/>
      <c r="L643" s="13">
        <v>5.0999999999999996</v>
      </c>
      <c r="M643" s="13"/>
      <c r="P643" s="12" t="s">
        <v>12</v>
      </c>
      <c r="Q643" s="12"/>
      <c r="R643" s="12"/>
      <c r="T643">
        <f t="shared" si="20"/>
        <v>6.5253526667677093</v>
      </c>
      <c r="U643" t="str">
        <f t="shared" si="21"/>
        <v>dead</v>
      </c>
    </row>
    <row r="644" spans="1:21">
      <c r="A644" s="12">
        <v>20</v>
      </c>
      <c r="B644" s="12">
        <v>10</v>
      </c>
      <c r="C644" s="11">
        <v>21.916912528638999</v>
      </c>
      <c r="D644" s="11">
        <v>12.382501619525305</v>
      </c>
      <c r="E644" s="11"/>
      <c r="F644" s="12">
        <v>152</v>
      </c>
      <c r="G644" s="12" t="s">
        <v>13</v>
      </c>
      <c r="H644" s="13">
        <v>20.5</v>
      </c>
      <c r="I644" s="14"/>
      <c r="J644" s="14">
        <v>21.2</v>
      </c>
      <c r="K644" s="14"/>
      <c r="L644" s="13">
        <v>6.4</v>
      </c>
      <c r="M644" s="13">
        <v>2</v>
      </c>
      <c r="P644" s="12" t="s">
        <v>14</v>
      </c>
      <c r="Q644" s="12"/>
      <c r="R644" s="12"/>
      <c r="T644">
        <f t="shared" si="20"/>
        <v>6.5253526667677093</v>
      </c>
      <c r="U644">
        <f t="shared" si="21"/>
        <v>6.7481695870963625</v>
      </c>
    </row>
    <row r="645" spans="1:21">
      <c r="A645" s="12">
        <v>40</v>
      </c>
      <c r="B645" s="12">
        <v>-10</v>
      </c>
      <c r="C645" s="11">
        <v>43.452236059635894</v>
      </c>
      <c r="D645" s="11">
        <v>-9.6493346487751737</v>
      </c>
      <c r="E645" s="11"/>
      <c r="F645" s="12">
        <v>450</v>
      </c>
      <c r="G645" s="12" t="s">
        <v>13</v>
      </c>
      <c r="H645" s="13">
        <v>20.5</v>
      </c>
      <c r="I645" s="14"/>
      <c r="J645" s="14">
        <v>23.2</v>
      </c>
      <c r="K645" s="14"/>
      <c r="L645" s="13">
        <v>6.2</v>
      </c>
      <c r="M645" s="13">
        <v>2.4</v>
      </c>
      <c r="P645" s="12" t="s">
        <v>14</v>
      </c>
      <c r="Q645" s="12"/>
      <c r="R645" s="12"/>
      <c r="T645">
        <f t="shared" si="20"/>
        <v>6.5253526667677093</v>
      </c>
      <c r="U645">
        <f t="shared" si="21"/>
        <v>7.3847893594639435</v>
      </c>
    </row>
    <row r="646" spans="1:21">
      <c r="A646" s="12">
        <v>20</v>
      </c>
      <c r="B646" s="12">
        <v>-20</v>
      </c>
      <c r="C646" s="11">
        <v>27.40438838957202</v>
      </c>
      <c r="D646" s="11">
        <v>-13.093778944794197</v>
      </c>
      <c r="E646" s="11"/>
      <c r="F646" s="10">
        <v>541</v>
      </c>
      <c r="G646" s="12" t="s">
        <v>13</v>
      </c>
      <c r="H646" s="13">
        <v>20.6</v>
      </c>
      <c r="I646" s="14"/>
      <c r="J646" s="14">
        <v>21.1</v>
      </c>
      <c r="K646" s="14"/>
      <c r="L646" s="13">
        <v>5.9</v>
      </c>
      <c r="M646" s="13">
        <v>2.1</v>
      </c>
      <c r="P646" s="12" t="s">
        <v>14</v>
      </c>
      <c r="Q646" s="12"/>
      <c r="R646" s="12"/>
      <c r="T646">
        <f t="shared" si="20"/>
        <v>6.5571836553860887</v>
      </c>
      <c r="U646">
        <f t="shared" si="21"/>
        <v>6.716338598477984</v>
      </c>
    </row>
    <row r="647" spans="1:21">
      <c r="A647" s="12">
        <v>30</v>
      </c>
      <c r="B647" s="12">
        <v>10</v>
      </c>
      <c r="C647" s="11">
        <v>31.641290490894413</v>
      </c>
      <c r="D647" s="11">
        <v>17.868740859374537</v>
      </c>
      <c r="E647" s="11"/>
      <c r="F647" s="10">
        <v>223</v>
      </c>
      <c r="G647" s="12" t="s">
        <v>13</v>
      </c>
      <c r="H647" s="13">
        <v>20.7</v>
      </c>
      <c r="I647" s="14"/>
      <c r="J647" s="14">
        <v>21.5</v>
      </c>
      <c r="K647" s="14"/>
      <c r="L647" s="13">
        <v>5.8</v>
      </c>
      <c r="M647" s="13">
        <v>1.9</v>
      </c>
      <c r="P647" s="12" t="s">
        <v>14</v>
      </c>
      <c r="Q647" s="12"/>
      <c r="R647" s="12"/>
      <c r="T647">
        <f t="shared" si="20"/>
        <v>6.5890146440044672</v>
      </c>
      <c r="U647">
        <f t="shared" si="21"/>
        <v>6.8436625529514998</v>
      </c>
    </row>
    <row r="648" spans="1:21">
      <c r="A648" s="12">
        <v>30</v>
      </c>
      <c r="B648" s="12">
        <v>20</v>
      </c>
      <c r="C648" s="11">
        <v>35.189947767486714</v>
      </c>
      <c r="D648" s="11">
        <v>23.205377071540834</v>
      </c>
      <c r="E648" s="11"/>
      <c r="F648" s="12">
        <v>212</v>
      </c>
      <c r="G648" s="12" t="s">
        <v>13</v>
      </c>
      <c r="H648" s="13">
        <v>21.3</v>
      </c>
      <c r="I648" s="14"/>
      <c r="J648" s="14">
        <v>24.2</v>
      </c>
      <c r="K648" s="14"/>
      <c r="L648" s="13">
        <v>6</v>
      </c>
      <c r="M648" s="13">
        <v>1.4</v>
      </c>
      <c r="P648" s="12" t="s">
        <v>14</v>
      </c>
      <c r="Q648" s="12"/>
      <c r="R648" s="12"/>
      <c r="T648">
        <f t="shared" si="20"/>
        <v>6.7800005757147419</v>
      </c>
      <c r="U648">
        <f t="shared" si="21"/>
        <v>7.7030992456477341</v>
      </c>
    </row>
    <row r="649" spans="1:21">
      <c r="A649" s="12">
        <v>30</v>
      </c>
      <c r="B649" s="12">
        <v>0</v>
      </c>
      <c r="C649" s="11">
        <v>34.51042732397022</v>
      </c>
      <c r="D649" s="11">
        <v>5.862593186959022</v>
      </c>
      <c r="E649" s="11"/>
      <c r="F649" s="12">
        <v>258</v>
      </c>
      <c r="G649" s="12" t="s">
        <v>21</v>
      </c>
      <c r="H649" s="13">
        <v>21.3</v>
      </c>
      <c r="I649" s="14"/>
      <c r="J649" s="14">
        <v>22.5</v>
      </c>
      <c r="K649" s="14"/>
      <c r="L649" s="13">
        <v>8.3000000000000007</v>
      </c>
      <c r="M649" s="13">
        <v>2.7</v>
      </c>
      <c r="P649" s="12" t="s">
        <v>14</v>
      </c>
      <c r="Q649" s="12"/>
      <c r="R649" s="12"/>
      <c r="T649">
        <f t="shared" si="20"/>
        <v>6.7800005757147419</v>
      </c>
      <c r="U649">
        <f t="shared" si="21"/>
        <v>7.1619724391352904</v>
      </c>
    </row>
    <row r="650" spans="1:21">
      <c r="A650" s="12">
        <v>30</v>
      </c>
      <c r="B650" s="12">
        <v>-10</v>
      </c>
      <c r="C650" s="11">
        <v>32.773001461476369</v>
      </c>
      <c r="D650" s="11">
        <v>-3.8493421389108899</v>
      </c>
      <c r="E650" s="11"/>
      <c r="F650" s="10">
        <v>425</v>
      </c>
      <c r="G650" s="12" t="s">
        <v>13</v>
      </c>
      <c r="H650" s="13">
        <v>21.4</v>
      </c>
      <c r="I650" s="14"/>
      <c r="J650" s="14">
        <v>22</v>
      </c>
      <c r="K650" s="14"/>
      <c r="L650" s="13">
        <v>6.9</v>
      </c>
      <c r="M650" s="13">
        <v>1.9</v>
      </c>
      <c r="P650" s="12" t="s">
        <v>14</v>
      </c>
      <c r="Q650" s="12"/>
      <c r="R650" s="12"/>
      <c r="T650">
        <f t="shared" si="20"/>
        <v>6.8118315643331204</v>
      </c>
      <c r="U650">
        <f t="shared" si="21"/>
        <v>7.0028174960433951</v>
      </c>
    </row>
    <row r="651" spans="1:21">
      <c r="A651" s="12">
        <v>40</v>
      </c>
      <c r="B651" s="12">
        <v>0</v>
      </c>
      <c r="C651" s="11">
        <v>40.901352263515584</v>
      </c>
      <c r="D651" s="11">
        <v>5.4891725706855805</v>
      </c>
      <c r="E651" s="11"/>
      <c r="F651" s="12">
        <v>270</v>
      </c>
      <c r="G651" s="12" t="s">
        <v>13</v>
      </c>
      <c r="H651" s="13">
        <v>21.6</v>
      </c>
      <c r="I651" s="14"/>
      <c r="J651" s="14">
        <v>23.2</v>
      </c>
      <c r="K651" s="14"/>
      <c r="L651" s="13">
        <v>5.8</v>
      </c>
      <c r="M651" s="13">
        <v>2.1</v>
      </c>
      <c r="P651" s="12" t="s">
        <v>14</v>
      </c>
      <c r="Q651" s="12"/>
      <c r="R651" s="12"/>
      <c r="T651">
        <f t="shared" si="20"/>
        <v>6.8754935415698792</v>
      </c>
      <c r="U651">
        <f t="shared" si="21"/>
        <v>7.3847893594639435</v>
      </c>
    </row>
    <row r="652" spans="1:21">
      <c r="A652" s="9">
        <v>0</v>
      </c>
      <c r="B652" s="12">
        <v>30</v>
      </c>
      <c r="C652" s="11">
        <v>3.1837218938327423</v>
      </c>
      <c r="D652" s="11">
        <v>39.876639929895845</v>
      </c>
      <c r="E652" s="11"/>
      <c r="F652" s="12">
        <v>54</v>
      </c>
      <c r="G652" s="12" t="s">
        <v>11</v>
      </c>
      <c r="H652" s="13">
        <v>21.8</v>
      </c>
      <c r="I652" s="14"/>
      <c r="J652" s="14" t="s">
        <v>70</v>
      </c>
      <c r="K652" s="14"/>
      <c r="L652" s="13">
        <v>4.8</v>
      </c>
      <c r="M652" s="13"/>
      <c r="P652" s="12" t="s">
        <v>12</v>
      </c>
      <c r="Q652" s="12"/>
      <c r="R652" s="12"/>
      <c r="S652" t="s">
        <v>78</v>
      </c>
      <c r="T652">
        <f t="shared" si="20"/>
        <v>6.9391555188066372</v>
      </c>
      <c r="U652" t="str">
        <f t="shared" si="21"/>
        <v>dead</v>
      </c>
    </row>
    <row r="653" spans="1:21">
      <c r="A653" s="12">
        <v>40</v>
      </c>
      <c r="B653" s="12">
        <v>40</v>
      </c>
      <c r="C653" s="11">
        <v>41.733447275510564</v>
      </c>
      <c r="D653" s="11">
        <v>49.442807106641339</v>
      </c>
      <c r="E653" s="11"/>
      <c r="F653" s="12">
        <v>364</v>
      </c>
      <c r="G653" s="12" t="s">
        <v>13</v>
      </c>
      <c r="H653" s="13">
        <v>21.8</v>
      </c>
      <c r="I653" s="14"/>
      <c r="J653" s="14">
        <v>22.5</v>
      </c>
      <c r="K653" s="14"/>
      <c r="L653" s="13">
        <v>6.9</v>
      </c>
      <c r="M653" s="13">
        <v>3.4</v>
      </c>
      <c r="P653" s="12" t="s">
        <v>14</v>
      </c>
      <c r="Q653" s="12"/>
      <c r="R653" s="12"/>
      <c r="T653">
        <f t="shared" si="20"/>
        <v>6.9391555188066372</v>
      </c>
      <c r="U653">
        <f t="shared" si="21"/>
        <v>7.1619724391352904</v>
      </c>
    </row>
    <row r="654" spans="1:21">
      <c r="A654" s="12">
        <v>30</v>
      </c>
      <c r="B654" s="12">
        <v>-10</v>
      </c>
      <c r="C654" s="11">
        <v>31.683064910093709</v>
      </c>
      <c r="D654" s="11">
        <v>-7.3137031604296894</v>
      </c>
      <c r="E654" s="11"/>
      <c r="F654" s="10">
        <v>421</v>
      </c>
      <c r="G654" s="12" t="s">
        <v>21</v>
      </c>
      <c r="H654" s="13">
        <v>21.8</v>
      </c>
      <c r="I654" s="14"/>
      <c r="J654" s="14">
        <v>22</v>
      </c>
      <c r="K654" s="14"/>
      <c r="L654" s="13">
        <v>7.6</v>
      </c>
      <c r="M654" s="13">
        <v>3.5</v>
      </c>
      <c r="P654" s="12" t="s">
        <v>14</v>
      </c>
      <c r="Q654" s="12"/>
      <c r="R654" s="12"/>
      <c r="T654">
        <f t="shared" si="20"/>
        <v>6.9391555188066372</v>
      </c>
      <c r="U654">
        <f t="shared" si="21"/>
        <v>7.0028174960433951</v>
      </c>
    </row>
    <row r="655" spans="1:21">
      <c r="A655" s="12">
        <v>30</v>
      </c>
      <c r="B655" s="12">
        <v>-10</v>
      </c>
      <c r="C655" s="11">
        <v>33.019969865726083</v>
      </c>
      <c r="D655" s="11">
        <v>-9.3524821819996067</v>
      </c>
      <c r="E655" s="11"/>
      <c r="F655" s="12">
        <v>428</v>
      </c>
      <c r="G655" s="12" t="s">
        <v>21</v>
      </c>
      <c r="H655" s="13">
        <v>22.1</v>
      </c>
      <c r="I655" s="14"/>
      <c r="J655" s="14">
        <v>23.9</v>
      </c>
      <c r="K655" s="14"/>
      <c r="L655" s="13">
        <v>8.9</v>
      </c>
      <c r="M655" s="13">
        <v>3</v>
      </c>
      <c r="P655" s="12" t="s">
        <v>14</v>
      </c>
      <c r="Q655" s="12"/>
      <c r="R655" s="12"/>
      <c r="T655">
        <f t="shared" si="20"/>
        <v>7.0346484846617745</v>
      </c>
      <c r="U655">
        <f t="shared" si="21"/>
        <v>7.6076062797925967</v>
      </c>
    </row>
    <row r="656" spans="1:21">
      <c r="A656" s="12">
        <v>20</v>
      </c>
      <c r="B656" s="12">
        <v>-20</v>
      </c>
      <c r="C656" s="11">
        <v>27.385008708664767</v>
      </c>
      <c r="D656" s="11">
        <v>-13.380176729038922</v>
      </c>
      <c r="E656" s="11"/>
      <c r="F656" s="10">
        <v>547</v>
      </c>
      <c r="G656" s="12" t="s">
        <v>13</v>
      </c>
      <c r="H656" s="13">
        <v>22.1</v>
      </c>
      <c r="I656" s="14"/>
      <c r="J656" s="14">
        <v>22.1</v>
      </c>
      <c r="K656" s="14"/>
      <c r="L656" s="13">
        <v>7.1</v>
      </c>
      <c r="M656" s="13">
        <v>3.4</v>
      </c>
      <c r="P656" s="12" t="s">
        <v>14</v>
      </c>
      <c r="Q656" s="12"/>
      <c r="R656" s="12"/>
      <c r="T656">
        <f t="shared" si="20"/>
        <v>7.0346484846617745</v>
      </c>
      <c r="U656">
        <f t="shared" si="21"/>
        <v>7.0346484846617745</v>
      </c>
    </row>
    <row r="657" spans="1:21">
      <c r="A657" s="12">
        <v>40</v>
      </c>
      <c r="B657" s="12">
        <v>-30</v>
      </c>
      <c r="C657" s="11">
        <v>42.268491342012091</v>
      </c>
      <c r="D657" s="11">
        <v>-25.487961387525822</v>
      </c>
      <c r="E657" s="11"/>
      <c r="F657" s="10">
        <v>677</v>
      </c>
      <c r="G657" s="12" t="s">
        <v>13</v>
      </c>
      <c r="H657" s="13">
        <v>22.1</v>
      </c>
      <c r="I657" s="14"/>
      <c r="J657" s="14" t="s">
        <v>70</v>
      </c>
      <c r="K657" s="14"/>
      <c r="L657" s="13">
        <v>5.2</v>
      </c>
      <c r="M657" s="13">
        <v>2.2000000000000002</v>
      </c>
      <c r="P657" s="12" t="s">
        <v>14</v>
      </c>
      <c r="Q657" s="12"/>
      <c r="R657" s="12"/>
      <c r="T657">
        <f t="shared" si="20"/>
        <v>7.0346484846617745</v>
      </c>
      <c r="U657" t="str">
        <f t="shared" si="21"/>
        <v>dead</v>
      </c>
    </row>
    <row r="658" spans="1:21">
      <c r="A658" s="12">
        <v>40</v>
      </c>
      <c r="B658" s="12">
        <v>-50</v>
      </c>
      <c r="C658" s="11">
        <v>41.216872835862169</v>
      </c>
      <c r="D658" s="11">
        <v>-41.229683089800275</v>
      </c>
      <c r="E658" s="11"/>
      <c r="F658" s="10">
        <v>823</v>
      </c>
      <c r="G658" s="12" t="s">
        <v>11</v>
      </c>
      <c r="H658" s="13">
        <v>22.1</v>
      </c>
      <c r="I658" s="14"/>
      <c r="J658" s="14">
        <v>25.6</v>
      </c>
      <c r="K658" s="14"/>
      <c r="L658" s="13">
        <v>7.3</v>
      </c>
      <c r="M658" s="13">
        <v>1.4</v>
      </c>
      <c r="P658" s="12" t="s">
        <v>14</v>
      </c>
      <c r="Q658" s="12"/>
      <c r="R658" s="12"/>
      <c r="T658">
        <f t="shared" si="20"/>
        <v>7.0346484846617745</v>
      </c>
      <c r="U658">
        <f t="shared" si="21"/>
        <v>8.1487330863050413</v>
      </c>
    </row>
    <row r="659" spans="1:21">
      <c r="A659" s="12">
        <v>0</v>
      </c>
      <c r="B659" s="12">
        <v>-20</v>
      </c>
      <c r="C659" s="11">
        <v>7.8356849124416224</v>
      </c>
      <c r="D659" s="11">
        <v>-16.883817396832569</v>
      </c>
      <c r="E659" s="11"/>
      <c r="F659" s="10">
        <v>581</v>
      </c>
      <c r="G659" s="12" t="s">
        <v>13</v>
      </c>
      <c r="H659" s="13">
        <v>22.3</v>
      </c>
      <c r="I659" s="14"/>
      <c r="J659" s="14">
        <v>24.3</v>
      </c>
      <c r="K659" s="14"/>
      <c r="L659" s="13">
        <v>6.3</v>
      </c>
      <c r="M659" s="13">
        <v>1.5</v>
      </c>
      <c r="P659" s="12" t="s">
        <v>14</v>
      </c>
      <c r="Q659" s="12"/>
      <c r="R659" s="12"/>
      <c r="S659" t="s">
        <v>102</v>
      </c>
      <c r="T659">
        <f t="shared" si="20"/>
        <v>7.0983104618985324</v>
      </c>
      <c r="U659">
        <f t="shared" si="21"/>
        <v>7.7349302342661135</v>
      </c>
    </row>
    <row r="660" spans="1:21">
      <c r="A660" s="12">
        <v>20</v>
      </c>
      <c r="B660" s="12">
        <v>-30</v>
      </c>
      <c r="C660" s="11">
        <v>29.747392448829025</v>
      </c>
      <c r="D660" s="11">
        <v>-29.646693186014126</v>
      </c>
      <c r="E660" s="11"/>
      <c r="F660" s="12">
        <v>658</v>
      </c>
      <c r="G660" s="12" t="s">
        <v>11</v>
      </c>
      <c r="H660" s="13">
        <v>22.5</v>
      </c>
      <c r="I660" s="14"/>
      <c r="J660" s="14" t="s">
        <v>70</v>
      </c>
      <c r="K660" s="14"/>
      <c r="L660" s="13">
        <v>7.1</v>
      </c>
      <c r="M660" s="13">
        <v>0.7</v>
      </c>
      <c r="P660" s="12" t="s">
        <v>14</v>
      </c>
      <c r="Q660" s="12"/>
      <c r="R660" s="12"/>
      <c r="T660">
        <f t="shared" si="20"/>
        <v>7.1619724391352904</v>
      </c>
      <c r="U660" t="str">
        <f t="shared" si="21"/>
        <v>dead</v>
      </c>
    </row>
    <row r="661" spans="1:21">
      <c r="A661" s="12">
        <v>30</v>
      </c>
      <c r="B661" s="12">
        <v>10</v>
      </c>
      <c r="C661" s="11">
        <v>32.261169715280353</v>
      </c>
      <c r="D661" s="11">
        <v>17.237390451276372</v>
      </c>
      <c r="E661" s="11"/>
      <c r="F661" s="12">
        <v>228</v>
      </c>
      <c r="G661" s="12" t="s">
        <v>13</v>
      </c>
      <c r="H661" s="13">
        <v>22.9</v>
      </c>
      <c r="I661" s="14"/>
      <c r="J661" s="14">
        <v>23.1</v>
      </c>
      <c r="K661" s="14"/>
      <c r="L661" s="13">
        <v>4.3</v>
      </c>
      <c r="M661" s="13">
        <v>2.9</v>
      </c>
      <c r="P661" s="12" t="s">
        <v>14</v>
      </c>
      <c r="Q661" s="12"/>
      <c r="R661" s="12"/>
      <c r="T661">
        <f t="shared" si="20"/>
        <v>7.2892963936088062</v>
      </c>
      <c r="U661">
        <f t="shared" si="21"/>
        <v>7.352958370845565</v>
      </c>
    </row>
    <row r="662" spans="1:21">
      <c r="A662" s="12">
        <v>30</v>
      </c>
      <c r="B662" s="12">
        <v>-10</v>
      </c>
      <c r="C662" s="11">
        <v>36.224931257984402</v>
      </c>
      <c r="D662" s="11">
        <v>-1.8300026932038236</v>
      </c>
      <c r="E662" s="11"/>
      <c r="F662" s="10">
        <v>435</v>
      </c>
      <c r="G662" s="12" t="s">
        <v>13</v>
      </c>
      <c r="H662" s="13">
        <v>23</v>
      </c>
      <c r="I662" s="14"/>
      <c r="J662" s="14">
        <v>23.7</v>
      </c>
      <c r="K662" s="14"/>
      <c r="L662" s="13">
        <v>6.4</v>
      </c>
      <c r="M662" s="13">
        <v>2.2000000000000002</v>
      </c>
      <c r="P662" s="12" t="s">
        <v>14</v>
      </c>
      <c r="Q662" s="12"/>
      <c r="R662" s="12"/>
      <c r="T662">
        <f t="shared" si="20"/>
        <v>7.3211273822271856</v>
      </c>
      <c r="U662">
        <f t="shared" si="21"/>
        <v>7.5439443025558388</v>
      </c>
    </row>
    <row r="663" spans="1:21">
      <c r="A663" s="12">
        <v>30</v>
      </c>
      <c r="B663" s="12">
        <v>-10</v>
      </c>
      <c r="C663" s="11">
        <v>38.599978655638978</v>
      </c>
      <c r="D663" s="11">
        <v>-2.2961801529803694</v>
      </c>
      <c r="E663" s="11"/>
      <c r="F663" s="10">
        <v>439</v>
      </c>
      <c r="G663" s="12" t="s">
        <v>11</v>
      </c>
      <c r="H663" s="13">
        <v>23.1</v>
      </c>
      <c r="I663" s="14"/>
      <c r="J663" s="14" t="s">
        <v>70</v>
      </c>
      <c r="K663" s="14"/>
      <c r="L663" s="13">
        <v>7.9</v>
      </c>
      <c r="M663" s="13"/>
      <c r="P663" s="12" t="s">
        <v>12</v>
      </c>
      <c r="Q663" s="12"/>
      <c r="R663" s="12"/>
      <c r="T663">
        <f t="shared" si="20"/>
        <v>7.352958370845565</v>
      </c>
      <c r="U663" t="str">
        <f t="shared" si="21"/>
        <v>dead</v>
      </c>
    </row>
    <row r="664" spans="1:21">
      <c r="A664" s="12">
        <v>40</v>
      </c>
      <c r="B664" s="12">
        <v>-30</v>
      </c>
      <c r="C664" s="11">
        <v>42.242981371580008</v>
      </c>
      <c r="D664" s="11">
        <v>-25.944872339684423</v>
      </c>
      <c r="E664" s="11"/>
      <c r="F664" s="12">
        <v>686</v>
      </c>
      <c r="G664" s="12" t="s">
        <v>13</v>
      </c>
      <c r="H664" s="13">
        <v>23.1</v>
      </c>
      <c r="I664" s="14"/>
      <c r="J664" s="14">
        <v>25.2</v>
      </c>
      <c r="K664" s="14"/>
      <c r="L664" s="13">
        <v>5.9</v>
      </c>
      <c r="M664" s="13">
        <v>1.6</v>
      </c>
      <c r="P664" s="12" t="s">
        <v>14</v>
      </c>
      <c r="Q664" s="12"/>
      <c r="R664" s="12"/>
      <c r="T664">
        <f t="shared" si="20"/>
        <v>7.352958370845565</v>
      </c>
      <c r="U664">
        <f t="shared" si="21"/>
        <v>8.0214091318315255</v>
      </c>
    </row>
    <row r="665" spans="1:21">
      <c r="A665" s="12">
        <v>30</v>
      </c>
      <c r="B665" s="12">
        <v>-20</v>
      </c>
      <c r="C665" s="11">
        <v>39.721062829151542</v>
      </c>
      <c r="D665" s="11">
        <v>-19.98610504925314</v>
      </c>
      <c r="E665" s="11"/>
      <c r="F665" s="12">
        <v>514</v>
      </c>
      <c r="G665" s="12" t="s">
        <v>21</v>
      </c>
      <c r="H665" s="13">
        <v>23.3</v>
      </c>
      <c r="I665" s="14"/>
      <c r="J665" s="14">
        <v>24.2</v>
      </c>
      <c r="K665" s="14"/>
      <c r="L665" s="13">
        <v>7</v>
      </c>
      <c r="M665" s="13">
        <v>1.4</v>
      </c>
      <c r="P665" s="12" t="s">
        <v>14</v>
      </c>
      <c r="Q665" s="12"/>
      <c r="R665" s="12"/>
      <c r="S665" t="s">
        <v>96</v>
      </c>
      <c r="T665">
        <f t="shared" si="20"/>
        <v>7.416620348082323</v>
      </c>
      <c r="U665">
        <f t="shared" si="21"/>
        <v>7.7030992456477341</v>
      </c>
    </row>
    <row r="666" spans="1:21">
      <c r="A666" s="12">
        <v>30</v>
      </c>
      <c r="B666" s="12">
        <v>0</v>
      </c>
      <c r="C666" s="11">
        <v>34.025777339984387</v>
      </c>
      <c r="D666" s="11">
        <v>9.7119086697301942</v>
      </c>
      <c r="E666" s="11"/>
      <c r="F666" s="10">
        <v>245</v>
      </c>
      <c r="G666" s="12" t="s">
        <v>13</v>
      </c>
      <c r="H666" s="13">
        <v>23.4</v>
      </c>
      <c r="I666" s="14"/>
      <c r="J666" s="14">
        <v>24.2</v>
      </c>
      <c r="K666" s="14"/>
      <c r="L666" s="13">
        <v>6.6</v>
      </c>
      <c r="M666" s="13">
        <v>3.4</v>
      </c>
      <c r="P666" s="12" t="s">
        <v>14</v>
      </c>
      <c r="Q666" s="12"/>
      <c r="R666" s="12"/>
      <c r="T666">
        <f t="shared" si="20"/>
        <v>7.4484513367007015</v>
      </c>
      <c r="U666">
        <f t="shared" si="21"/>
        <v>7.7030992456477341</v>
      </c>
    </row>
    <row r="667" spans="1:21">
      <c r="A667" s="12">
        <v>40</v>
      </c>
      <c r="B667" s="12">
        <v>0</v>
      </c>
      <c r="C667" s="11">
        <v>40.620282470305909</v>
      </c>
      <c r="D667" s="11">
        <v>5.3511991162202692</v>
      </c>
      <c r="E667" s="11"/>
      <c r="F667" s="12">
        <v>264</v>
      </c>
      <c r="G667" s="12" t="s">
        <v>13</v>
      </c>
      <c r="H667" s="13">
        <v>23.4</v>
      </c>
      <c r="I667" s="14"/>
      <c r="J667" s="14"/>
      <c r="K667" s="14">
        <v>25.1</v>
      </c>
      <c r="L667" s="13">
        <v>8.1</v>
      </c>
      <c r="M667" s="13">
        <v>1.8</v>
      </c>
      <c r="P667" s="12" t="s">
        <v>14</v>
      </c>
      <c r="Q667" s="12"/>
      <c r="R667" s="12"/>
      <c r="T667">
        <f t="shared" si="20"/>
        <v>7.4484513367007015</v>
      </c>
      <c r="U667">
        <f t="shared" si="21"/>
        <v>25.1</v>
      </c>
    </row>
    <row r="668" spans="1:21">
      <c r="A668" s="12">
        <v>40</v>
      </c>
      <c r="B668" s="12">
        <v>40</v>
      </c>
      <c r="C668" s="11">
        <v>45.361908717962699</v>
      </c>
      <c r="D668" s="11">
        <v>45.727565735937873</v>
      </c>
      <c r="E668" s="11"/>
      <c r="F668" s="12">
        <v>354</v>
      </c>
      <c r="G668" s="12" t="s">
        <v>11</v>
      </c>
      <c r="H668" s="13">
        <v>23.4</v>
      </c>
      <c r="I668" s="14"/>
      <c r="J668" s="14">
        <v>27.5</v>
      </c>
      <c r="K668" s="14"/>
      <c r="L668" s="13">
        <v>7.9</v>
      </c>
      <c r="M668" s="13">
        <v>0.8</v>
      </c>
      <c r="P668" s="12" t="s">
        <v>14</v>
      </c>
      <c r="Q668" s="12"/>
      <c r="R668" s="12"/>
      <c r="T668">
        <f t="shared" si="20"/>
        <v>7.4484513367007015</v>
      </c>
      <c r="U668">
        <f t="shared" si="21"/>
        <v>8.753521870054243</v>
      </c>
    </row>
    <row r="669" spans="1:21">
      <c r="A669" s="12">
        <v>10</v>
      </c>
      <c r="B669" s="12">
        <v>20</v>
      </c>
      <c r="C669" s="11">
        <v>12.124794924736131</v>
      </c>
      <c r="D669" s="11">
        <v>29.575586041234914</v>
      </c>
      <c r="E669" s="11"/>
      <c r="F669" s="10">
        <v>97</v>
      </c>
      <c r="G669" s="12" t="s">
        <v>11</v>
      </c>
      <c r="H669" s="13">
        <v>23.5</v>
      </c>
      <c r="I669" s="14"/>
      <c r="J669" s="14" t="s">
        <v>70</v>
      </c>
      <c r="K669" s="14"/>
      <c r="L669" s="13">
        <v>4.7</v>
      </c>
      <c r="M669" s="13">
        <v>0.7</v>
      </c>
      <c r="P669" s="12" t="s">
        <v>14</v>
      </c>
      <c r="Q669" s="12"/>
      <c r="R669" s="12"/>
      <c r="T669">
        <f t="shared" si="20"/>
        <v>7.4802823253190809</v>
      </c>
      <c r="U669" t="str">
        <f t="shared" si="21"/>
        <v>dead</v>
      </c>
    </row>
    <row r="670" spans="1:21">
      <c r="A670" s="12">
        <v>40</v>
      </c>
      <c r="B670" s="12">
        <v>-10</v>
      </c>
      <c r="C670" s="11">
        <v>43.482322601613816</v>
      </c>
      <c r="D670" s="11">
        <v>-9.5600803501892919</v>
      </c>
      <c r="E670" s="11"/>
      <c r="F670" s="12">
        <v>452</v>
      </c>
      <c r="G670" s="12" t="s">
        <v>13</v>
      </c>
      <c r="H670" s="13">
        <v>23.5</v>
      </c>
      <c r="I670" s="14"/>
      <c r="J670" s="14">
        <v>26.3</v>
      </c>
      <c r="K670" s="14"/>
      <c r="L670" s="13">
        <v>5.3</v>
      </c>
      <c r="M670" s="13">
        <v>2</v>
      </c>
      <c r="P670" s="12" t="s">
        <v>14</v>
      </c>
      <c r="Q670" s="12"/>
      <c r="R670" s="12"/>
      <c r="T670">
        <f t="shared" si="20"/>
        <v>7.4802823253190809</v>
      </c>
      <c r="U670">
        <f t="shared" si="21"/>
        <v>8.3715500066336954</v>
      </c>
    </row>
    <row r="671" spans="1:21" s="27" customFormat="1">
      <c r="A671" s="12">
        <v>20</v>
      </c>
      <c r="B671" s="12">
        <v>-30</v>
      </c>
      <c r="C671" s="11">
        <v>25.627680224719889</v>
      </c>
      <c r="D671" s="11">
        <v>-20.929365257955382</v>
      </c>
      <c r="E671" s="11"/>
      <c r="F671" s="10">
        <v>635</v>
      </c>
      <c r="G671" s="12" t="s">
        <v>11</v>
      </c>
      <c r="H671" s="13">
        <v>23.5</v>
      </c>
      <c r="I671" s="14"/>
      <c r="J671" s="14" t="s">
        <v>70</v>
      </c>
      <c r="K671" s="14"/>
      <c r="L671" s="13">
        <v>7.4</v>
      </c>
      <c r="M671" s="13"/>
      <c r="N671"/>
      <c r="O671"/>
      <c r="P671" s="12" t="s">
        <v>12</v>
      </c>
      <c r="Q671" s="12"/>
      <c r="R671" s="12"/>
      <c r="S671"/>
      <c r="T671">
        <f t="shared" si="20"/>
        <v>7.4802823253190809</v>
      </c>
      <c r="U671" t="str">
        <f t="shared" si="21"/>
        <v>dead</v>
      </c>
    </row>
    <row r="672" spans="1:21">
      <c r="A672" s="12">
        <v>20</v>
      </c>
      <c r="B672" s="12">
        <v>30</v>
      </c>
      <c r="C672" s="11">
        <v>20.557772508087009</v>
      </c>
      <c r="D672" s="11">
        <v>33.493865215873384</v>
      </c>
      <c r="E672" s="11"/>
      <c r="F672" s="10">
        <v>173</v>
      </c>
      <c r="G672" s="12" t="s">
        <v>13</v>
      </c>
      <c r="H672" s="13">
        <v>23.6</v>
      </c>
      <c r="I672" s="14"/>
      <c r="J672" s="14">
        <v>24.1</v>
      </c>
      <c r="K672" s="14"/>
      <c r="L672" s="13">
        <v>7.7</v>
      </c>
      <c r="M672" s="13">
        <v>1.3</v>
      </c>
      <c r="P672" s="12" t="s">
        <v>14</v>
      </c>
      <c r="Q672" s="12"/>
      <c r="R672" s="12"/>
      <c r="T672">
        <f t="shared" si="20"/>
        <v>7.5121133139374603</v>
      </c>
      <c r="U672">
        <f t="shared" si="21"/>
        <v>7.6712682570293556</v>
      </c>
    </row>
    <row r="673" spans="1:21" s="27" customFormat="1">
      <c r="A673" s="12">
        <v>20</v>
      </c>
      <c r="B673" s="12">
        <v>10</v>
      </c>
      <c r="C673" s="11">
        <v>24.481330698158807</v>
      </c>
      <c r="D673" s="11">
        <v>11.261086766992761</v>
      </c>
      <c r="E673" s="11"/>
      <c r="F673" s="10">
        <v>133</v>
      </c>
      <c r="G673" s="12" t="s">
        <v>13</v>
      </c>
      <c r="H673" s="13">
        <v>24</v>
      </c>
      <c r="I673" s="14"/>
      <c r="J673" s="14">
        <v>14.9</v>
      </c>
      <c r="K673" s="14"/>
      <c r="L673" s="13">
        <v>8.5</v>
      </c>
      <c r="M673" s="13">
        <v>2.8</v>
      </c>
      <c r="N673"/>
      <c r="O673"/>
      <c r="P673" s="12" t="s">
        <v>14</v>
      </c>
      <c r="Q673" s="12"/>
      <c r="R673" s="12"/>
      <c r="S673"/>
      <c r="T673">
        <f t="shared" si="20"/>
        <v>7.6394372684109761</v>
      </c>
      <c r="U673">
        <f t="shared" si="21"/>
        <v>4.7428173041384811</v>
      </c>
    </row>
    <row r="674" spans="1:21">
      <c r="A674" s="12">
        <v>20</v>
      </c>
      <c r="B674" s="12">
        <v>30</v>
      </c>
      <c r="C674" s="11">
        <v>21.000976199357556</v>
      </c>
      <c r="D674" s="11">
        <v>33.607899668472051</v>
      </c>
      <c r="E674" s="11"/>
      <c r="F674" s="12">
        <v>178</v>
      </c>
      <c r="G674" s="12" t="s">
        <v>13</v>
      </c>
      <c r="H674" s="13">
        <v>24.1</v>
      </c>
      <c r="I674" s="14"/>
      <c r="J674" s="14">
        <v>25.5</v>
      </c>
      <c r="K674" s="14"/>
      <c r="L674" s="13">
        <v>9.1999999999999993</v>
      </c>
      <c r="M674" s="13">
        <v>1.1000000000000001</v>
      </c>
      <c r="P674" s="12" t="s">
        <v>14</v>
      </c>
      <c r="Q674" s="12"/>
      <c r="R674" s="12" t="s">
        <v>26</v>
      </c>
      <c r="T674">
        <f t="shared" si="20"/>
        <v>7.6712682570293556</v>
      </c>
      <c r="U674">
        <f t="shared" si="21"/>
        <v>8.1169020976866619</v>
      </c>
    </row>
    <row r="675" spans="1:21">
      <c r="A675" s="12">
        <v>40</v>
      </c>
      <c r="B675" s="12">
        <v>-20</v>
      </c>
      <c r="C675" s="11">
        <v>47.835224083829708</v>
      </c>
      <c r="D675" s="11">
        <v>-10.273612054147605</v>
      </c>
      <c r="E675" s="11"/>
      <c r="F675" s="10">
        <v>501</v>
      </c>
      <c r="G675" s="12" t="s">
        <v>13</v>
      </c>
      <c r="H675" s="13">
        <v>24.2</v>
      </c>
      <c r="I675" s="14"/>
      <c r="J675" s="14">
        <v>26</v>
      </c>
      <c r="K675" s="14"/>
      <c r="L675" s="13">
        <v>7.6</v>
      </c>
      <c r="M675" s="13">
        <v>2.2000000000000002</v>
      </c>
      <c r="P675" s="12" t="s">
        <v>14</v>
      </c>
      <c r="Q675" s="12"/>
      <c r="R675" s="12" t="s">
        <v>37</v>
      </c>
      <c r="T675">
        <f t="shared" si="20"/>
        <v>7.7030992456477341</v>
      </c>
      <c r="U675">
        <f t="shared" si="21"/>
        <v>8.2760570407785572</v>
      </c>
    </row>
    <row r="676" spans="1:21">
      <c r="A676" s="12">
        <v>30</v>
      </c>
      <c r="B676" s="12">
        <v>10</v>
      </c>
      <c r="C676" s="11">
        <v>31.685505222718554</v>
      </c>
      <c r="D676" s="11">
        <v>18.033487314002659</v>
      </c>
      <c r="E676" s="11"/>
      <c r="F676" s="12">
        <v>222</v>
      </c>
      <c r="G676" s="12" t="s">
        <v>13</v>
      </c>
      <c r="H676" s="13">
        <v>24.4</v>
      </c>
      <c r="I676" s="14"/>
      <c r="J676" s="14">
        <v>25.7</v>
      </c>
      <c r="K676" s="14"/>
      <c r="L676" s="13">
        <v>7.2</v>
      </c>
      <c r="M676" s="13">
        <v>2.8</v>
      </c>
      <c r="P676" s="12" t="s">
        <v>14</v>
      </c>
      <c r="Q676" s="12"/>
      <c r="R676" s="12"/>
      <c r="T676">
        <f t="shared" si="20"/>
        <v>7.766761222884492</v>
      </c>
      <c r="U676">
        <f t="shared" si="21"/>
        <v>8.1805640749234207</v>
      </c>
    </row>
    <row r="677" spans="1:21">
      <c r="A677" s="12">
        <v>0</v>
      </c>
      <c r="B677" s="12">
        <v>-50</v>
      </c>
      <c r="C677" s="11">
        <v>6.1188161453040522</v>
      </c>
      <c r="D677" s="11">
        <v>-45.461356231381316</v>
      </c>
      <c r="E677" s="11"/>
      <c r="F677" s="12">
        <v>808</v>
      </c>
      <c r="G677" s="12" t="s">
        <v>11</v>
      </c>
      <c r="H677" s="13">
        <v>24.5</v>
      </c>
      <c r="I677" s="14"/>
      <c r="J677" s="14">
        <v>25.7</v>
      </c>
      <c r="K677" s="14"/>
      <c r="L677" s="13">
        <v>7.3</v>
      </c>
      <c r="M677" s="13">
        <v>1.8</v>
      </c>
      <c r="P677" s="12" t="s">
        <v>14</v>
      </c>
      <c r="Q677" s="12"/>
      <c r="R677" s="12"/>
      <c r="T677">
        <f t="shared" si="20"/>
        <v>7.7985922115028714</v>
      </c>
      <c r="U677">
        <f t="shared" si="21"/>
        <v>8.1805640749234207</v>
      </c>
    </row>
    <row r="678" spans="1:21">
      <c r="A678" s="9">
        <v>0</v>
      </c>
      <c r="B678" s="9">
        <v>0</v>
      </c>
      <c r="C678" s="11">
        <v>4.6543320396682057</v>
      </c>
      <c r="D678" s="11">
        <v>9.1054419762351273</v>
      </c>
      <c r="E678" s="11"/>
      <c r="F678" s="10">
        <v>11</v>
      </c>
      <c r="G678" s="12" t="s">
        <v>13</v>
      </c>
      <c r="H678" s="13">
        <v>24.8</v>
      </c>
      <c r="I678" s="14"/>
      <c r="J678" s="14">
        <v>25.9</v>
      </c>
      <c r="K678" s="14"/>
      <c r="L678" s="13">
        <v>6.6</v>
      </c>
      <c r="M678" s="13">
        <v>3.9</v>
      </c>
      <c r="P678" s="12" t="s">
        <v>14</v>
      </c>
      <c r="Q678" s="12"/>
      <c r="R678" s="12"/>
      <c r="T678">
        <f t="shared" si="20"/>
        <v>7.8940851773580096</v>
      </c>
      <c r="U678">
        <f t="shared" si="21"/>
        <v>8.2442260521601778</v>
      </c>
    </row>
    <row r="679" spans="1:21">
      <c r="A679" s="12">
        <v>30</v>
      </c>
      <c r="B679" s="12">
        <v>-10</v>
      </c>
      <c r="C679" s="11">
        <v>35.335404450103319</v>
      </c>
      <c r="D679" s="11">
        <v>-8.6005542683319032</v>
      </c>
      <c r="E679" s="11"/>
      <c r="F679" s="12">
        <v>432</v>
      </c>
      <c r="G679" s="12" t="s">
        <v>21</v>
      </c>
      <c r="H679" s="13">
        <v>24.9</v>
      </c>
      <c r="I679" s="14"/>
      <c r="J679" s="14">
        <v>26.3</v>
      </c>
      <c r="K679" s="14"/>
      <c r="L679" s="13">
        <v>8.1</v>
      </c>
      <c r="M679" s="13">
        <v>2.5</v>
      </c>
      <c r="P679" s="12" t="s">
        <v>14</v>
      </c>
      <c r="Q679" s="12"/>
      <c r="R679" s="12"/>
      <c r="T679">
        <f t="shared" si="20"/>
        <v>7.9259161659763873</v>
      </c>
      <c r="U679">
        <f t="shared" si="21"/>
        <v>8.3715500066336954</v>
      </c>
    </row>
    <row r="680" spans="1:21">
      <c r="A680" s="12">
        <v>50</v>
      </c>
      <c r="B680" s="12">
        <v>-30</v>
      </c>
      <c r="C680" s="11">
        <v>50.215139710240834</v>
      </c>
      <c r="D680" s="11">
        <v>-27.437723206428444</v>
      </c>
      <c r="E680" s="11"/>
      <c r="F680" s="12">
        <v>2003</v>
      </c>
      <c r="G680" s="12" t="s">
        <v>13</v>
      </c>
      <c r="H680" s="13">
        <v>25</v>
      </c>
      <c r="I680" s="14"/>
      <c r="J680" s="14">
        <v>38.799999999999997</v>
      </c>
      <c r="K680" s="14"/>
      <c r="L680" s="13"/>
      <c r="M680" s="13"/>
      <c r="N680">
        <v>7</v>
      </c>
      <c r="O680">
        <v>2.2000000000000002</v>
      </c>
      <c r="P680" s="12"/>
      <c r="Q680" s="12"/>
      <c r="R680" s="12" t="s">
        <v>57</v>
      </c>
      <c r="S680" t="s">
        <v>137</v>
      </c>
      <c r="T680">
        <f t="shared" si="20"/>
        <v>7.9577471545947667</v>
      </c>
      <c r="U680">
        <f t="shared" si="21"/>
        <v>12.350423583931077</v>
      </c>
    </row>
    <row r="681" spans="1:21">
      <c r="A681" s="12">
        <v>30</v>
      </c>
      <c r="B681" s="12">
        <v>0</v>
      </c>
      <c r="C681" s="11">
        <v>30.928387507289877</v>
      </c>
      <c r="D681" s="11">
        <v>8.0276987045174106</v>
      </c>
      <c r="E681" s="11"/>
      <c r="F681" s="10">
        <v>127</v>
      </c>
      <c r="G681" s="12" t="s">
        <v>21</v>
      </c>
      <c r="H681" s="13">
        <v>25.5</v>
      </c>
      <c r="I681" s="14"/>
      <c r="J681" s="14" t="s">
        <v>70</v>
      </c>
      <c r="K681" s="14"/>
      <c r="L681" s="13">
        <v>8.1</v>
      </c>
      <c r="M681" s="13"/>
      <c r="P681" s="12" t="s">
        <v>12</v>
      </c>
      <c r="Q681" s="12"/>
      <c r="R681" s="12"/>
      <c r="T681">
        <f t="shared" si="20"/>
        <v>8.1169020976866619</v>
      </c>
      <c r="U681" t="str">
        <f t="shared" si="21"/>
        <v>dead</v>
      </c>
    </row>
    <row r="682" spans="1:21">
      <c r="A682" s="12">
        <v>40</v>
      </c>
      <c r="B682" s="12">
        <v>-10</v>
      </c>
      <c r="C682" s="11">
        <v>47.995502870026861</v>
      </c>
      <c r="D682" s="11">
        <v>-2.519998265064773</v>
      </c>
      <c r="E682" s="11"/>
      <c r="F682" s="12">
        <v>460</v>
      </c>
      <c r="G682" s="12" t="s">
        <v>13</v>
      </c>
      <c r="H682" s="13">
        <v>25.5</v>
      </c>
      <c r="I682" s="14"/>
      <c r="J682" s="14">
        <v>29</v>
      </c>
      <c r="K682" s="14"/>
      <c r="L682" s="13">
        <v>6.6</v>
      </c>
      <c r="M682" s="13">
        <v>2.2999999999999998</v>
      </c>
      <c r="P682" s="12" t="s">
        <v>14</v>
      </c>
      <c r="Q682" s="12"/>
      <c r="R682" s="12"/>
      <c r="T682">
        <f t="shared" si="20"/>
        <v>8.1169020976866619</v>
      </c>
      <c r="U682">
        <f t="shared" si="21"/>
        <v>9.2309866993299305</v>
      </c>
    </row>
    <row r="683" spans="1:21">
      <c r="A683" s="9">
        <v>0</v>
      </c>
      <c r="B683" s="9">
        <v>0</v>
      </c>
      <c r="C683" s="11">
        <v>4.5413373125291585</v>
      </c>
      <c r="D683" s="11">
        <v>8.7497993503386731</v>
      </c>
      <c r="E683" s="11"/>
      <c r="F683" s="12">
        <v>4</v>
      </c>
      <c r="G683" s="12" t="s">
        <v>13</v>
      </c>
      <c r="H683" s="13">
        <v>26</v>
      </c>
      <c r="I683" s="14"/>
      <c r="J683" s="14">
        <v>28</v>
      </c>
      <c r="K683" s="14"/>
      <c r="L683" s="13">
        <v>8.3000000000000007</v>
      </c>
      <c r="M683" s="13">
        <v>3.2</v>
      </c>
      <c r="N683" s="32"/>
      <c r="O683" s="32"/>
      <c r="P683" s="12" t="s">
        <v>14</v>
      </c>
      <c r="Q683" s="12"/>
      <c r="R683" s="12"/>
      <c r="S683" s="32" t="s">
        <v>72</v>
      </c>
      <c r="T683">
        <f t="shared" si="20"/>
        <v>8.2760570407785572</v>
      </c>
      <c r="U683">
        <f t="shared" si="21"/>
        <v>8.91267681314614</v>
      </c>
    </row>
    <row r="684" spans="1:21" s="27" customFormat="1">
      <c r="A684" s="12">
        <v>30</v>
      </c>
      <c r="B684" s="12">
        <v>-50</v>
      </c>
      <c r="C684" s="11">
        <v>39.579541004681793</v>
      </c>
      <c r="D684" s="11">
        <v>-40.455647048992972</v>
      </c>
      <c r="E684" s="11"/>
      <c r="F684" s="12">
        <v>822</v>
      </c>
      <c r="G684" s="12" t="s">
        <v>11</v>
      </c>
      <c r="H684" s="13">
        <v>26.3</v>
      </c>
      <c r="I684" s="14"/>
      <c r="J684" s="14">
        <v>29.3</v>
      </c>
      <c r="K684" s="14"/>
      <c r="L684" s="13">
        <v>7.3</v>
      </c>
      <c r="M684" s="13">
        <v>1.7</v>
      </c>
      <c r="N684"/>
      <c r="O684"/>
      <c r="P684" s="12" t="s">
        <v>14</v>
      </c>
      <c r="Q684" s="12"/>
      <c r="R684" s="12"/>
      <c r="S684"/>
      <c r="T684">
        <f t="shared" si="20"/>
        <v>8.3715500066336954</v>
      </c>
      <c r="U684">
        <f t="shared" si="21"/>
        <v>9.326479665185067</v>
      </c>
    </row>
    <row r="685" spans="1:21">
      <c r="A685" s="12">
        <v>20</v>
      </c>
      <c r="B685" s="12">
        <v>10</v>
      </c>
      <c r="C685" s="11">
        <v>24.431560707957821</v>
      </c>
      <c r="D685" s="11">
        <v>11.484658013701774</v>
      </c>
      <c r="E685" s="11"/>
      <c r="F685" s="10">
        <v>135</v>
      </c>
      <c r="G685" s="12" t="s">
        <v>13</v>
      </c>
      <c r="H685" s="13">
        <v>26.6</v>
      </c>
      <c r="I685" s="14"/>
      <c r="J685" s="14">
        <v>27.1</v>
      </c>
      <c r="K685" s="14"/>
      <c r="L685" s="13">
        <v>7.1</v>
      </c>
      <c r="M685" s="13">
        <v>2.7</v>
      </c>
      <c r="P685" s="12" t="s">
        <v>14</v>
      </c>
      <c r="Q685" s="12"/>
      <c r="R685" s="12"/>
      <c r="T685">
        <f t="shared" si="20"/>
        <v>8.4670429724888319</v>
      </c>
      <c r="U685">
        <f t="shared" si="21"/>
        <v>8.6261979155807271</v>
      </c>
    </row>
    <row r="686" spans="1:21">
      <c r="A686" s="12">
        <v>10</v>
      </c>
      <c r="B686" s="12">
        <v>20</v>
      </c>
      <c r="C686" s="11">
        <v>10.313090442493955</v>
      </c>
      <c r="D686" s="11">
        <v>24.787177197988377</v>
      </c>
      <c r="E686" s="11"/>
      <c r="F686" s="12">
        <v>98</v>
      </c>
      <c r="G686" s="12" t="s">
        <v>11</v>
      </c>
      <c r="H686" s="13">
        <v>26.8</v>
      </c>
      <c r="I686" s="14"/>
      <c r="J686" s="14" t="s">
        <v>70</v>
      </c>
      <c r="K686" s="14"/>
      <c r="L686" s="13">
        <v>3.9</v>
      </c>
      <c r="M686" s="13"/>
      <c r="P686" s="12" t="s">
        <v>12</v>
      </c>
      <c r="Q686" s="12"/>
      <c r="R686" s="12" t="s">
        <v>16</v>
      </c>
      <c r="T686">
        <f t="shared" si="20"/>
        <v>8.5307049497255907</v>
      </c>
      <c r="U686" t="str">
        <f t="shared" si="21"/>
        <v>dead</v>
      </c>
    </row>
    <row r="687" spans="1:21">
      <c r="A687" s="12">
        <v>40</v>
      </c>
      <c r="B687" s="12">
        <v>20</v>
      </c>
      <c r="C687" s="11">
        <v>42.499091903781498</v>
      </c>
      <c r="D687" s="11">
        <v>29.730277569567264</v>
      </c>
      <c r="E687" s="11"/>
      <c r="F687" s="10">
        <v>299</v>
      </c>
      <c r="G687" s="12" t="s">
        <v>13</v>
      </c>
      <c r="H687" s="13">
        <v>26.8</v>
      </c>
      <c r="I687" s="14"/>
      <c r="J687" s="14">
        <v>28.1</v>
      </c>
      <c r="K687" s="14"/>
      <c r="L687" s="13">
        <v>7.3</v>
      </c>
      <c r="M687" s="13">
        <v>1.9</v>
      </c>
      <c r="P687" s="12" t="s">
        <v>14</v>
      </c>
      <c r="Q687" s="12"/>
      <c r="R687" s="12"/>
      <c r="T687">
        <f t="shared" si="20"/>
        <v>8.5307049497255907</v>
      </c>
      <c r="U687">
        <f t="shared" si="21"/>
        <v>8.9445078017645194</v>
      </c>
    </row>
    <row r="688" spans="1:21">
      <c r="A688" s="12">
        <v>40</v>
      </c>
      <c r="B688" s="12">
        <v>40</v>
      </c>
      <c r="C688" s="11">
        <v>49.006355480452719</v>
      </c>
      <c r="D688" s="11">
        <v>42.140623873727854</v>
      </c>
      <c r="E688" s="11"/>
      <c r="F688" s="10">
        <v>347</v>
      </c>
      <c r="G688" s="12" t="s">
        <v>13</v>
      </c>
      <c r="H688" s="13">
        <v>26.9</v>
      </c>
      <c r="I688" s="14"/>
      <c r="J688" s="14">
        <v>29.2</v>
      </c>
      <c r="K688" s="14"/>
      <c r="L688" s="13">
        <v>8.6</v>
      </c>
      <c r="M688" s="13">
        <v>2.2999999999999998</v>
      </c>
      <c r="P688" s="12" t="s">
        <v>14</v>
      </c>
      <c r="Q688" s="12"/>
      <c r="R688" s="12"/>
      <c r="T688">
        <f t="shared" si="20"/>
        <v>8.5625359383439683</v>
      </c>
      <c r="U688">
        <f t="shared" si="21"/>
        <v>9.2946486765666876</v>
      </c>
    </row>
    <row r="689" spans="1:21">
      <c r="A689" s="12">
        <v>10</v>
      </c>
      <c r="B689" s="12">
        <v>-30</v>
      </c>
      <c r="C689" s="11">
        <v>18.162512928283768</v>
      </c>
      <c r="D689" s="11">
        <v>-24.107753797548693</v>
      </c>
      <c r="E689" s="11"/>
      <c r="F689" s="10">
        <v>625</v>
      </c>
      <c r="G689" s="12" t="s">
        <v>11</v>
      </c>
      <c r="H689" s="13">
        <v>27.5</v>
      </c>
      <c r="I689" s="14"/>
      <c r="J689" s="14" t="s">
        <v>70</v>
      </c>
      <c r="K689" s="14"/>
      <c r="L689" s="13">
        <v>7.2</v>
      </c>
      <c r="M689" s="13">
        <v>0.9</v>
      </c>
      <c r="P689" s="12" t="s">
        <v>14</v>
      </c>
      <c r="Q689" s="12"/>
      <c r="R689" s="12"/>
      <c r="T689">
        <f t="shared" si="20"/>
        <v>8.753521870054243</v>
      </c>
      <c r="U689" t="str">
        <f t="shared" si="21"/>
        <v>dead</v>
      </c>
    </row>
    <row r="690" spans="1:21">
      <c r="A690" s="9">
        <v>0</v>
      </c>
      <c r="B690" s="12">
        <v>20</v>
      </c>
      <c r="C690" s="11">
        <v>7.614100830171675</v>
      </c>
      <c r="D690" s="11">
        <v>23.664419264764746</v>
      </c>
      <c r="E690" s="11"/>
      <c r="F690" s="10">
        <v>39</v>
      </c>
      <c r="G690" s="12" t="s">
        <v>11</v>
      </c>
      <c r="H690" s="13">
        <v>27.6</v>
      </c>
      <c r="I690" s="14"/>
      <c r="J690" s="14" t="s">
        <v>70</v>
      </c>
      <c r="K690" s="14"/>
      <c r="L690" s="13">
        <v>5.2</v>
      </c>
      <c r="M690" s="13"/>
      <c r="P690" s="12" t="s">
        <v>12</v>
      </c>
      <c r="Q690" s="12"/>
      <c r="R690" s="12"/>
      <c r="T690">
        <f t="shared" si="20"/>
        <v>8.7853528586726242</v>
      </c>
      <c r="U690" t="str">
        <f t="shared" si="21"/>
        <v>dead</v>
      </c>
    </row>
    <row r="691" spans="1:21">
      <c r="A691" s="12">
        <v>10</v>
      </c>
      <c r="B691" s="12">
        <v>10</v>
      </c>
      <c r="C691" s="11">
        <v>16.471613120300947</v>
      </c>
      <c r="D691" s="11">
        <v>13.888537465570909</v>
      </c>
      <c r="E691" s="11"/>
      <c r="F691" s="12">
        <v>112</v>
      </c>
      <c r="G691" s="12" t="s">
        <v>13</v>
      </c>
      <c r="H691" s="13">
        <v>27.6</v>
      </c>
      <c r="I691" s="14"/>
      <c r="J691" s="14">
        <v>30</v>
      </c>
      <c r="K691" s="14"/>
      <c r="L691" s="13">
        <v>6.3</v>
      </c>
      <c r="M691" s="13">
        <v>1.8</v>
      </c>
      <c r="P691" s="12" t="s">
        <v>14</v>
      </c>
      <c r="Q691" s="12"/>
      <c r="R691" s="12"/>
      <c r="T691">
        <f t="shared" si="20"/>
        <v>8.7853528586726242</v>
      </c>
      <c r="U691">
        <f t="shared" si="21"/>
        <v>9.5492965855137211</v>
      </c>
    </row>
    <row r="692" spans="1:21">
      <c r="A692" s="12">
        <v>50</v>
      </c>
      <c r="B692" s="12">
        <v>-30</v>
      </c>
      <c r="C692" s="11">
        <v>50.189114493623592</v>
      </c>
      <c r="D692" s="11">
        <v>-27.790330927717896</v>
      </c>
      <c r="E692" s="11"/>
      <c r="F692" s="12">
        <v>704</v>
      </c>
      <c r="G692" s="12" t="s">
        <v>13</v>
      </c>
      <c r="H692" s="13">
        <v>27.8</v>
      </c>
      <c r="I692" s="14"/>
      <c r="J692" s="14">
        <v>28.5</v>
      </c>
      <c r="K692" s="14"/>
      <c r="L692" s="13">
        <v>6.9</v>
      </c>
      <c r="M692" s="13">
        <v>2.2999999999999998</v>
      </c>
      <c r="P692" s="12" t="s">
        <v>14</v>
      </c>
      <c r="Q692" s="12"/>
      <c r="R692" s="12"/>
      <c r="T692">
        <f t="shared" si="20"/>
        <v>8.8490148359093812</v>
      </c>
      <c r="U692">
        <f t="shared" si="21"/>
        <v>9.0718317562380353</v>
      </c>
    </row>
    <row r="693" spans="1:21">
      <c r="A693" s="9">
        <v>20</v>
      </c>
      <c r="B693" s="9">
        <v>-10</v>
      </c>
      <c r="C693" s="11">
        <v>21.766250392445837</v>
      </c>
      <c r="D693" s="11">
        <v>-9.5225324628643904</v>
      </c>
      <c r="E693" s="11"/>
      <c r="F693" s="10">
        <v>411</v>
      </c>
      <c r="G693" s="12" t="s">
        <v>13</v>
      </c>
      <c r="H693" s="13">
        <v>28.3</v>
      </c>
      <c r="I693" s="14"/>
      <c r="J693" s="14" t="s">
        <v>70</v>
      </c>
      <c r="K693" s="14"/>
      <c r="L693" s="13">
        <v>4.4000000000000004</v>
      </c>
      <c r="M693" s="13">
        <v>2.2000000000000002</v>
      </c>
      <c r="P693" s="12" t="s">
        <v>14</v>
      </c>
      <c r="Q693" s="12"/>
      <c r="R693" s="12"/>
      <c r="T693">
        <f t="shared" si="20"/>
        <v>9.0081697790012765</v>
      </c>
      <c r="U693" t="str">
        <f t="shared" si="21"/>
        <v>dead</v>
      </c>
    </row>
    <row r="694" spans="1:21">
      <c r="A694" s="12">
        <v>10</v>
      </c>
      <c r="B694" s="12">
        <v>-50</v>
      </c>
      <c r="C694" s="11">
        <v>16.681584647994701</v>
      </c>
      <c r="D694" s="11">
        <v>-45.752622038059769</v>
      </c>
      <c r="E694" s="11"/>
      <c r="F694" s="12">
        <v>816</v>
      </c>
      <c r="G694" s="12" t="s">
        <v>11</v>
      </c>
      <c r="H694" s="13">
        <v>28.3</v>
      </c>
      <c r="I694" s="14"/>
      <c r="J694" s="14">
        <v>27.5</v>
      </c>
      <c r="K694" s="14"/>
      <c r="L694" s="13">
        <v>5.2</v>
      </c>
      <c r="M694" s="13">
        <v>2.6</v>
      </c>
      <c r="P694" s="12" t="s">
        <v>14</v>
      </c>
      <c r="Q694" s="12"/>
      <c r="R694" s="12" t="s">
        <v>55</v>
      </c>
      <c r="T694">
        <f t="shared" si="20"/>
        <v>9.0081697790012765</v>
      </c>
      <c r="U694">
        <f t="shared" si="21"/>
        <v>8.753521870054243</v>
      </c>
    </row>
    <row r="695" spans="1:21">
      <c r="A695" s="12">
        <v>20</v>
      </c>
      <c r="B695" s="12">
        <v>40</v>
      </c>
      <c r="C695" s="11">
        <v>25.842201321935772</v>
      </c>
      <c r="D695" s="11">
        <v>46.937837106330178</v>
      </c>
      <c r="E695" s="11"/>
      <c r="F695" s="10">
        <v>197</v>
      </c>
      <c r="G695" s="12" t="s">
        <v>13</v>
      </c>
      <c r="H695" s="13">
        <v>28.4</v>
      </c>
      <c r="I695" s="14"/>
      <c r="J695" s="14">
        <v>28.3</v>
      </c>
      <c r="K695" s="14"/>
      <c r="L695" s="13">
        <v>10.8</v>
      </c>
      <c r="M695" s="13">
        <v>3.7</v>
      </c>
      <c r="P695" s="12" t="s">
        <v>14</v>
      </c>
      <c r="Q695" s="12"/>
      <c r="R695" s="12"/>
      <c r="T695">
        <f t="shared" si="20"/>
        <v>9.0400007676196541</v>
      </c>
      <c r="U695">
        <f t="shared" si="21"/>
        <v>9.0081697790012765</v>
      </c>
    </row>
    <row r="696" spans="1:21">
      <c r="A696" s="12">
        <v>30</v>
      </c>
      <c r="B696" s="12">
        <v>10</v>
      </c>
      <c r="C696" s="11">
        <v>31.863786000705463</v>
      </c>
      <c r="D696" s="11">
        <v>17.937307162087787</v>
      </c>
      <c r="E696" s="11"/>
      <c r="F696" s="10">
        <v>221</v>
      </c>
      <c r="G696" s="12" t="s">
        <v>13</v>
      </c>
      <c r="H696" s="13">
        <v>28.7</v>
      </c>
      <c r="I696" s="14"/>
      <c r="J696" s="14">
        <v>25</v>
      </c>
      <c r="K696" s="14"/>
      <c r="L696" s="13">
        <v>7.4</v>
      </c>
      <c r="M696" s="13">
        <v>1.7</v>
      </c>
      <c r="P696" s="12" t="s">
        <v>14</v>
      </c>
      <c r="Q696" s="12"/>
      <c r="R696" s="12"/>
      <c r="T696">
        <f t="shared" si="20"/>
        <v>9.1354937334747923</v>
      </c>
      <c r="U696">
        <f t="shared" si="21"/>
        <v>7.9577471545947667</v>
      </c>
    </row>
    <row r="697" spans="1:21">
      <c r="A697" s="12">
        <v>10</v>
      </c>
      <c r="B697" s="12">
        <v>-50</v>
      </c>
      <c r="C697" s="11">
        <v>14.848486988509565</v>
      </c>
      <c r="D697" s="11">
        <v>-47.855632099558299</v>
      </c>
      <c r="E697" s="11"/>
      <c r="F697" s="10">
        <v>815</v>
      </c>
      <c r="G697" s="12" t="s">
        <v>11</v>
      </c>
      <c r="H697" s="13">
        <v>29.3</v>
      </c>
      <c r="I697" s="14"/>
      <c r="J697" s="14">
        <v>30.4</v>
      </c>
      <c r="K697" s="14"/>
      <c r="L697" s="13">
        <v>8.5</v>
      </c>
      <c r="M697" s="13">
        <v>1.7</v>
      </c>
      <c r="P697" s="12" t="s">
        <v>14</v>
      </c>
      <c r="Q697" s="12"/>
      <c r="R697" s="12"/>
      <c r="T697">
        <f t="shared" si="20"/>
        <v>9.326479665185067</v>
      </c>
      <c r="U697">
        <f t="shared" si="21"/>
        <v>9.6766205399872369</v>
      </c>
    </row>
    <row r="698" spans="1:21">
      <c r="A698" s="12">
        <v>30</v>
      </c>
      <c r="B698" s="12">
        <v>0</v>
      </c>
      <c r="C698" s="11">
        <v>35.804963619066001</v>
      </c>
      <c r="D698" s="11">
        <v>9.125</v>
      </c>
      <c r="E698" s="11"/>
      <c r="F698" s="10">
        <v>243</v>
      </c>
      <c r="G698" s="12" t="s">
        <v>11</v>
      </c>
      <c r="H698" s="13">
        <v>29.4</v>
      </c>
      <c r="I698" s="14"/>
      <c r="J698" s="14" t="s">
        <v>70</v>
      </c>
      <c r="K698" s="14"/>
      <c r="L698" s="13">
        <v>6.5</v>
      </c>
      <c r="M698" s="13"/>
      <c r="P698" s="12" t="s">
        <v>12</v>
      </c>
      <c r="Q698" s="12"/>
      <c r="R698" s="12"/>
      <c r="T698">
        <f t="shared" si="20"/>
        <v>9.3583106538034464</v>
      </c>
      <c r="U698" t="str">
        <f t="shared" si="21"/>
        <v>dead</v>
      </c>
    </row>
    <row r="699" spans="1:21" s="27" customFormat="1">
      <c r="A699" s="12">
        <v>30</v>
      </c>
      <c r="B699" s="12">
        <v>0</v>
      </c>
      <c r="C699" s="11">
        <v>33.450797670107235</v>
      </c>
      <c r="D699" s="11">
        <v>6.101552428508481</v>
      </c>
      <c r="E699" s="11"/>
      <c r="F699" s="10">
        <v>257</v>
      </c>
      <c r="G699" s="12" t="s">
        <v>21</v>
      </c>
      <c r="H699" s="13">
        <v>29.5</v>
      </c>
      <c r="I699" s="14"/>
      <c r="J699" s="14">
        <v>31.3</v>
      </c>
      <c r="K699" s="14"/>
      <c r="L699" s="13">
        <v>10</v>
      </c>
      <c r="M699" s="13">
        <v>4.2</v>
      </c>
      <c r="N699"/>
      <c r="O699"/>
      <c r="P699" s="12" t="s">
        <v>14</v>
      </c>
      <c r="Q699" s="12"/>
      <c r="R699" s="12"/>
      <c r="S699"/>
      <c r="T699">
        <f t="shared" si="20"/>
        <v>9.3901416424218258</v>
      </c>
      <c r="U699">
        <f t="shared" si="21"/>
        <v>9.963099437552648</v>
      </c>
    </row>
    <row r="700" spans="1:21" s="27" customFormat="1">
      <c r="A700" s="12">
        <v>30</v>
      </c>
      <c r="B700" s="12">
        <v>-10</v>
      </c>
      <c r="C700" s="11">
        <v>34.217457461745369</v>
      </c>
      <c r="D700" s="11">
        <v>-7.32809023481785</v>
      </c>
      <c r="E700" s="11"/>
      <c r="F700" s="12">
        <v>430</v>
      </c>
      <c r="G700" s="12" t="s">
        <v>13</v>
      </c>
      <c r="H700" s="13">
        <v>29.5</v>
      </c>
      <c r="I700" s="14"/>
      <c r="J700" s="14">
        <v>29.7</v>
      </c>
      <c r="K700" s="14"/>
      <c r="L700" s="13">
        <v>8.6</v>
      </c>
      <c r="M700" s="13">
        <v>3.3</v>
      </c>
      <c r="N700"/>
      <c r="O700"/>
      <c r="P700" s="12" t="s">
        <v>14</v>
      </c>
      <c r="Q700" s="12"/>
      <c r="R700" s="12" t="s">
        <v>35</v>
      </c>
      <c r="S700"/>
      <c r="T700">
        <f t="shared" si="20"/>
        <v>9.3901416424218258</v>
      </c>
      <c r="U700">
        <f t="shared" si="21"/>
        <v>9.4538036196585828</v>
      </c>
    </row>
    <row r="701" spans="1:21" s="27" customFormat="1">
      <c r="A701" s="12">
        <v>50</v>
      </c>
      <c r="B701" s="12">
        <v>-30</v>
      </c>
      <c r="C701" s="11">
        <v>50.122764376874976</v>
      </c>
      <c r="D701" s="11">
        <v>-27.684136505344721</v>
      </c>
      <c r="E701" s="11"/>
      <c r="F701" s="12">
        <v>702</v>
      </c>
      <c r="G701" s="12" t="s">
        <v>13</v>
      </c>
      <c r="H701" s="13">
        <v>29.7</v>
      </c>
      <c r="I701" s="14"/>
      <c r="J701" s="14">
        <v>30.3</v>
      </c>
      <c r="K701" s="14"/>
      <c r="L701" s="13">
        <v>11</v>
      </c>
      <c r="M701" s="13">
        <v>4.0999999999999996</v>
      </c>
      <c r="N701"/>
      <c r="O701"/>
      <c r="P701" s="12" t="s">
        <v>14</v>
      </c>
      <c r="Q701" s="12"/>
      <c r="R701" s="12" t="s">
        <v>50</v>
      </c>
      <c r="S701"/>
      <c r="T701">
        <f t="shared" si="20"/>
        <v>9.4538036196585828</v>
      </c>
      <c r="U701">
        <f t="shared" si="21"/>
        <v>9.6447895513688575</v>
      </c>
    </row>
    <row r="702" spans="1:21">
      <c r="A702" s="12">
        <v>20</v>
      </c>
      <c r="B702" s="12">
        <v>-30</v>
      </c>
      <c r="C702" s="11">
        <v>24.978339189507665</v>
      </c>
      <c r="D702" s="11">
        <v>-25.942333102777518</v>
      </c>
      <c r="E702" s="11"/>
      <c r="F702" s="10">
        <v>647</v>
      </c>
      <c r="G702" s="12" t="s">
        <v>13</v>
      </c>
      <c r="H702" s="13">
        <v>30</v>
      </c>
      <c r="I702" s="14"/>
      <c r="J702" s="14">
        <v>31.2</v>
      </c>
      <c r="K702" s="14"/>
      <c r="L702" s="13">
        <v>7.9</v>
      </c>
      <c r="M702" s="13">
        <v>3.3</v>
      </c>
      <c r="P702" s="12" t="s">
        <v>14</v>
      </c>
      <c r="Q702" s="12"/>
      <c r="R702" s="12"/>
      <c r="T702">
        <f t="shared" si="20"/>
        <v>9.5492965855137211</v>
      </c>
      <c r="U702">
        <f t="shared" si="21"/>
        <v>9.9312684489342686</v>
      </c>
    </row>
    <row r="703" spans="1:21">
      <c r="A703" s="9">
        <v>0</v>
      </c>
      <c r="B703" s="12">
        <v>10</v>
      </c>
      <c r="C703" s="11">
        <v>9.9838034761087275</v>
      </c>
      <c r="D703" s="11">
        <v>12.319943463236516</v>
      </c>
      <c r="E703" s="11"/>
      <c r="F703" s="12">
        <v>18</v>
      </c>
      <c r="G703" s="12" t="s">
        <v>11</v>
      </c>
      <c r="H703" s="13">
        <v>30.5</v>
      </c>
      <c r="I703" s="14"/>
      <c r="J703" s="31" t="s">
        <v>70</v>
      </c>
      <c r="K703" s="14"/>
      <c r="L703" s="13">
        <v>7.6</v>
      </c>
      <c r="M703" s="13"/>
      <c r="P703" s="12" t="s">
        <v>12</v>
      </c>
      <c r="Q703" s="12"/>
      <c r="R703" s="12"/>
      <c r="T703">
        <f t="shared" si="20"/>
        <v>9.7084515286056163</v>
      </c>
      <c r="U703" t="str">
        <f t="shared" si="21"/>
        <v>dead</v>
      </c>
    </row>
    <row r="704" spans="1:21">
      <c r="A704" s="12">
        <v>40</v>
      </c>
      <c r="B704" s="12">
        <v>-50</v>
      </c>
      <c r="C704" s="11">
        <v>46.484910842853935</v>
      </c>
      <c r="D704" s="11">
        <v>-41.761911280466606</v>
      </c>
      <c r="E704" s="11"/>
      <c r="F704" s="12">
        <v>830</v>
      </c>
      <c r="G704" s="12" t="s">
        <v>11</v>
      </c>
      <c r="H704" s="13">
        <v>31</v>
      </c>
      <c r="I704" s="14"/>
      <c r="J704" s="14">
        <v>33.9</v>
      </c>
      <c r="K704" s="14"/>
      <c r="L704" s="13">
        <v>6.6</v>
      </c>
      <c r="M704" s="13">
        <v>1.8</v>
      </c>
      <c r="P704" s="12" t="s">
        <v>14</v>
      </c>
      <c r="Q704" s="12"/>
      <c r="R704" s="12"/>
      <c r="T704">
        <f t="shared" si="20"/>
        <v>9.8676064716975116</v>
      </c>
      <c r="U704">
        <f t="shared" si="21"/>
        <v>10.790705141630504</v>
      </c>
    </row>
    <row r="705" spans="1:21">
      <c r="A705" s="12">
        <v>30</v>
      </c>
      <c r="B705" s="12">
        <v>-10</v>
      </c>
      <c r="C705" s="11">
        <v>34.096027688842931</v>
      </c>
      <c r="D705" s="11">
        <v>-6.9396714311873886</v>
      </c>
      <c r="E705" s="11"/>
      <c r="F705" s="10">
        <v>431</v>
      </c>
      <c r="G705" s="12" t="s">
        <v>13</v>
      </c>
      <c r="H705" s="13">
        <v>31.2</v>
      </c>
      <c r="I705" s="14"/>
      <c r="J705" s="14" t="s">
        <v>70</v>
      </c>
      <c r="K705" s="14"/>
      <c r="L705" s="13">
        <v>3.4</v>
      </c>
      <c r="M705" s="13"/>
      <c r="P705" s="12" t="s">
        <v>12</v>
      </c>
      <c r="Q705" s="12"/>
      <c r="R705" s="12"/>
      <c r="T705">
        <f t="shared" si="20"/>
        <v>9.9312684489342686</v>
      </c>
      <c r="U705" t="str">
        <f t="shared" si="21"/>
        <v>dead</v>
      </c>
    </row>
    <row r="706" spans="1:21">
      <c r="A706" s="12">
        <v>30</v>
      </c>
      <c r="B706" s="12">
        <v>10</v>
      </c>
      <c r="C706" s="11">
        <v>33.173371849837416</v>
      </c>
      <c r="D706" s="11">
        <v>11.088136496632174</v>
      </c>
      <c r="E706" s="11"/>
      <c r="F706" s="12">
        <v>236</v>
      </c>
      <c r="G706" s="12" t="s">
        <v>11</v>
      </c>
      <c r="H706" s="13">
        <v>31.4</v>
      </c>
      <c r="I706" s="14"/>
      <c r="J706" s="14" t="s">
        <v>79</v>
      </c>
      <c r="K706" s="14"/>
      <c r="L706" s="13">
        <v>1.6</v>
      </c>
      <c r="M706" s="13"/>
      <c r="P706" s="12" t="s">
        <v>12</v>
      </c>
      <c r="Q706" s="12"/>
      <c r="R706" s="12" t="s">
        <v>16</v>
      </c>
      <c r="T706">
        <f t="shared" ref="T706:T769" si="22">IF(H706="",I706,H706/PI())</f>
        <v>9.9949304261710274</v>
      </c>
      <c r="U706" t="str">
        <f t="shared" ref="U706:U769" si="23">IF(J706="dead","dead",J706/PI()+K706)</f>
        <v>dead</v>
      </c>
    </row>
    <row r="707" spans="1:21">
      <c r="A707" s="12">
        <v>10</v>
      </c>
      <c r="B707" s="12">
        <v>-50</v>
      </c>
      <c r="C707" s="11">
        <v>13.313416888113256</v>
      </c>
      <c r="D707" s="11">
        <v>-46.262995010997308</v>
      </c>
      <c r="E707" s="11"/>
      <c r="F707" s="10">
        <v>813</v>
      </c>
      <c r="G707" s="12" t="s">
        <v>11</v>
      </c>
      <c r="H707" s="13">
        <v>31.6</v>
      </c>
      <c r="I707" s="14"/>
      <c r="J707" s="14">
        <v>32.299999999999997</v>
      </c>
      <c r="K707" s="14"/>
      <c r="L707" s="13">
        <v>7.9</v>
      </c>
      <c r="M707" s="13">
        <v>3.4</v>
      </c>
      <c r="P707" s="12" t="s">
        <v>14</v>
      </c>
      <c r="Q707" s="12"/>
      <c r="R707" s="12"/>
      <c r="T707">
        <f t="shared" si="22"/>
        <v>10.058592403407786</v>
      </c>
      <c r="U707">
        <f t="shared" si="23"/>
        <v>10.281409323736439</v>
      </c>
    </row>
    <row r="708" spans="1:21">
      <c r="A708" s="12">
        <v>30</v>
      </c>
      <c r="B708" s="12">
        <v>0</v>
      </c>
      <c r="C708" s="11">
        <v>32.364956775153857</v>
      </c>
      <c r="D708" s="11">
        <v>6.71362375685269</v>
      </c>
      <c r="E708" s="11"/>
      <c r="F708" s="10">
        <v>255</v>
      </c>
      <c r="G708" s="12" t="s">
        <v>21</v>
      </c>
      <c r="H708" s="13">
        <v>31.8</v>
      </c>
      <c r="I708" s="14"/>
      <c r="J708" s="14">
        <v>33.4</v>
      </c>
      <c r="K708" s="14"/>
      <c r="L708" s="13">
        <v>10.199999999999999</v>
      </c>
      <c r="M708" s="13">
        <v>3.3</v>
      </c>
      <c r="P708" s="12" t="s">
        <v>14</v>
      </c>
      <c r="Q708" s="12"/>
      <c r="R708" s="12"/>
      <c r="T708">
        <f t="shared" si="22"/>
        <v>10.122254380644543</v>
      </c>
      <c r="U708">
        <f t="shared" si="23"/>
        <v>10.631550198538608</v>
      </c>
    </row>
    <row r="709" spans="1:21">
      <c r="A709" s="12">
        <v>20</v>
      </c>
      <c r="B709" s="12">
        <v>-30</v>
      </c>
      <c r="C709" s="11">
        <v>24.426142049030712</v>
      </c>
      <c r="D709" s="11">
        <v>-26.190396396226696</v>
      </c>
      <c r="E709" s="11"/>
      <c r="F709" s="12">
        <v>644</v>
      </c>
      <c r="G709" s="12" t="s">
        <v>13</v>
      </c>
      <c r="H709" s="13">
        <v>32.299999999999997</v>
      </c>
      <c r="I709" s="14"/>
      <c r="J709" s="14">
        <v>33.200000000000003</v>
      </c>
      <c r="K709" s="14"/>
      <c r="L709" s="13">
        <v>7.9</v>
      </c>
      <c r="M709" s="13">
        <v>2.7</v>
      </c>
      <c r="P709" s="12" t="s">
        <v>14</v>
      </c>
      <c r="Q709" s="12"/>
      <c r="R709" s="12"/>
      <c r="T709">
        <f t="shared" si="22"/>
        <v>10.281409323736439</v>
      </c>
      <c r="U709">
        <f t="shared" si="23"/>
        <v>10.567888221301851</v>
      </c>
    </row>
    <row r="710" spans="1:21">
      <c r="A710" s="9">
        <v>20</v>
      </c>
      <c r="B710" s="9">
        <v>-10</v>
      </c>
      <c r="C710" s="11">
        <v>28.096502686916914</v>
      </c>
      <c r="D710" s="11">
        <v>-4.7002215407223211</v>
      </c>
      <c r="E710" s="11"/>
      <c r="F710" s="12">
        <v>418</v>
      </c>
      <c r="G710" s="12" t="s">
        <v>13</v>
      </c>
      <c r="H710" s="13">
        <v>32.4</v>
      </c>
      <c r="I710" s="14"/>
      <c r="J710" s="14">
        <v>30.4</v>
      </c>
      <c r="K710" s="14"/>
      <c r="L710" s="13">
        <v>6.1</v>
      </c>
      <c r="M710" s="13">
        <v>2.4</v>
      </c>
      <c r="P710" s="12" t="s">
        <v>14</v>
      </c>
      <c r="Q710" s="12"/>
      <c r="R710" s="12"/>
      <c r="S710" t="s">
        <v>89</v>
      </c>
      <c r="T710">
        <f t="shared" si="22"/>
        <v>10.313240312354818</v>
      </c>
      <c r="U710">
        <f t="shared" si="23"/>
        <v>9.6766205399872369</v>
      </c>
    </row>
    <row r="711" spans="1:21">
      <c r="A711" s="12">
        <v>20</v>
      </c>
      <c r="B711" s="12">
        <v>0</v>
      </c>
      <c r="C711" s="11">
        <v>23.975649436810265</v>
      </c>
      <c r="D711" s="11">
        <v>3.1623743541191063</v>
      </c>
      <c r="E711" s="11"/>
      <c r="F711" s="10">
        <v>121</v>
      </c>
      <c r="G711" s="12" t="s">
        <v>21</v>
      </c>
      <c r="H711" s="13">
        <v>32.5</v>
      </c>
      <c r="I711" s="14"/>
      <c r="J711" s="14">
        <v>33.1</v>
      </c>
      <c r="K711" s="14"/>
      <c r="L711" s="13">
        <v>9.9</v>
      </c>
      <c r="M711" s="13">
        <v>2.6</v>
      </c>
      <c r="P711" s="12" t="s">
        <v>14</v>
      </c>
      <c r="Q711" s="12"/>
      <c r="R711" s="12"/>
      <c r="T711">
        <f t="shared" si="22"/>
        <v>10.345071300973197</v>
      </c>
      <c r="U711">
        <f t="shared" si="23"/>
        <v>10.536057232683472</v>
      </c>
    </row>
    <row r="712" spans="1:21">
      <c r="A712" s="12">
        <v>30</v>
      </c>
      <c r="B712" s="12">
        <v>-10</v>
      </c>
      <c r="C712" s="11">
        <v>35.122213435174388</v>
      </c>
      <c r="D712" s="11">
        <v>-6.1890554677341747</v>
      </c>
      <c r="E712" s="28"/>
      <c r="F712" s="33">
        <v>433</v>
      </c>
      <c r="G712" s="18" t="s">
        <v>21</v>
      </c>
      <c r="H712" s="19">
        <v>32.5</v>
      </c>
      <c r="I712" s="20"/>
      <c r="J712" s="20">
        <v>34</v>
      </c>
      <c r="K712" s="20"/>
      <c r="L712" s="19">
        <v>9.1999999999999993</v>
      </c>
      <c r="M712" s="19">
        <v>3.3</v>
      </c>
      <c r="P712" s="18" t="s">
        <v>14</v>
      </c>
      <c r="Q712" s="18"/>
      <c r="R712" s="18"/>
      <c r="T712">
        <f t="shared" si="22"/>
        <v>10.345071300973197</v>
      </c>
      <c r="U712">
        <f t="shared" si="23"/>
        <v>10.822536130248883</v>
      </c>
    </row>
    <row r="713" spans="1:21">
      <c r="A713" s="9">
        <v>0</v>
      </c>
      <c r="B713" s="12">
        <v>10</v>
      </c>
      <c r="C713" s="11">
        <v>6.8999120717316238</v>
      </c>
      <c r="D713" s="11">
        <v>17.634595918383937</v>
      </c>
      <c r="E713" s="11"/>
      <c r="F713" s="12">
        <v>20</v>
      </c>
      <c r="G713" s="12" t="s">
        <v>13</v>
      </c>
      <c r="H713" s="13">
        <v>32.700000000000003</v>
      </c>
      <c r="I713" s="14"/>
      <c r="J713" s="14">
        <v>35.9</v>
      </c>
      <c r="K713" s="14"/>
      <c r="L713" s="13">
        <v>8.1999999999999993</v>
      </c>
      <c r="M713" s="13">
        <v>2.7</v>
      </c>
      <c r="P713" s="12" t="s">
        <v>14</v>
      </c>
      <c r="Q713" s="12"/>
      <c r="R713" s="12"/>
      <c r="T713">
        <f t="shared" si="22"/>
        <v>10.408733278209956</v>
      </c>
      <c r="U713">
        <f t="shared" si="23"/>
        <v>11.427324913998085</v>
      </c>
    </row>
    <row r="714" spans="1:21">
      <c r="A714" s="12">
        <v>20</v>
      </c>
      <c r="B714" s="12">
        <v>30</v>
      </c>
      <c r="C714" s="11">
        <v>20.652257610790159</v>
      </c>
      <c r="D714" s="11">
        <v>33.794183372901976</v>
      </c>
      <c r="E714" s="11"/>
      <c r="F714" s="12">
        <v>176</v>
      </c>
      <c r="G714" s="12" t="s">
        <v>13</v>
      </c>
      <c r="H714" s="13">
        <v>32.799999999999997</v>
      </c>
      <c r="I714" s="14"/>
      <c r="J714" s="14">
        <v>35.299999999999997</v>
      </c>
      <c r="K714" s="14"/>
      <c r="L714" s="13">
        <v>9.9</v>
      </c>
      <c r="M714" s="13">
        <v>2.8</v>
      </c>
      <c r="P714" s="12" t="s">
        <v>14</v>
      </c>
      <c r="Q714" s="12"/>
      <c r="R714" s="12"/>
      <c r="T714">
        <f t="shared" si="22"/>
        <v>10.440564266828334</v>
      </c>
      <c r="U714">
        <f t="shared" si="23"/>
        <v>11.23633898228781</v>
      </c>
    </row>
    <row r="715" spans="1:21">
      <c r="A715" s="12">
        <v>30</v>
      </c>
      <c r="B715" s="12">
        <v>10</v>
      </c>
      <c r="C715" s="11">
        <v>34.695315057578405</v>
      </c>
      <c r="D715" s="11">
        <v>13.584665518456774</v>
      </c>
      <c r="E715" s="11"/>
      <c r="F715" s="12">
        <v>232</v>
      </c>
      <c r="G715" s="12" t="s">
        <v>11</v>
      </c>
      <c r="H715" s="13">
        <v>32.799999999999997</v>
      </c>
      <c r="I715" s="14"/>
      <c r="J715" s="14" t="s">
        <v>79</v>
      </c>
      <c r="K715" s="14"/>
      <c r="L715" s="13">
        <v>8.3000000000000007</v>
      </c>
      <c r="M715" s="13"/>
      <c r="P715" s="12" t="s">
        <v>12</v>
      </c>
      <c r="Q715" s="12"/>
      <c r="R715" s="12"/>
      <c r="T715">
        <f t="shared" si="22"/>
        <v>10.440564266828334</v>
      </c>
      <c r="U715" t="str">
        <f t="shared" si="23"/>
        <v>dead</v>
      </c>
    </row>
    <row r="716" spans="1:21">
      <c r="A716" s="12">
        <v>40</v>
      </c>
      <c r="B716" s="12">
        <v>-50</v>
      </c>
      <c r="C716" s="11">
        <v>44.973961314677979</v>
      </c>
      <c r="D716" s="11">
        <v>-49.889621268789163</v>
      </c>
      <c r="E716" s="11"/>
      <c r="F716" s="10">
        <v>827</v>
      </c>
      <c r="G716" s="12" t="s">
        <v>11</v>
      </c>
      <c r="H716" s="13">
        <v>32.799999999999997</v>
      </c>
      <c r="I716" s="14"/>
      <c r="J716" s="14">
        <v>33.9</v>
      </c>
      <c r="K716" s="14"/>
      <c r="L716" s="13">
        <v>8.8000000000000007</v>
      </c>
      <c r="M716" s="13">
        <v>4.4000000000000004</v>
      </c>
      <c r="P716" s="12" t="s">
        <v>14</v>
      </c>
      <c r="Q716" s="12"/>
      <c r="R716" s="12"/>
      <c r="T716">
        <f t="shared" si="22"/>
        <v>10.440564266828334</v>
      </c>
      <c r="U716">
        <f t="shared" si="23"/>
        <v>10.790705141630504</v>
      </c>
    </row>
    <row r="717" spans="1:21">
      <c r="A717" s="12">
        <v>20</v>
      </c>
      <c r="B717" s="12">
        <v>-50</v>
      </c>
      <c r="C717" s="11">
        <v>26.290903973680571</v>
      </c>
      <c r="D717" s="11">
        <v>-49.394254844072186</v>
      </c>
      <c r="E717" s="11"/>
      <c r="F717" s="12">
        <v>820</v>
      </c>
      <c r="G717" s="12" t="s">
        <v>11</v>
      </c>
      <c r="H717" s="13">
        <v>33</v>
      </c>
      <c r="I717" s="14"/>
      <c r="J717" s="14">
        <v>33.299999999999997</v>
      </c>
      <c r="K717" s="14"/>
      <c r="L717" s="13">
        <v>9.1999999999999993</v>
      </c>
      <c r="M717" s="13">
        <v>4.9000000000000004</v>
      </c>
      <c r="P717" s="12" t="s">
        <v>14</v>
      </c>
      <c r="Q717" s="12"/>
      <c r="R717" s="12"/>
      <c r="T717">
        <f t="shared" si="22"/>
        <v>10.504226244065093</v>
      </c>
      <c r="U717">
        <f t="shared" si="23"/>
        <v>10.599719209920229</v>
      </c>
    </row>
    <row r="718" spans="1:21">
      <c r="A718" s="12">
        <v>20</v>
      </c>
      <c r="B718" s="12">
        <v>40</v>
      </c>
      <c r="C718" s="11">
        <v>26.645579839866279</v>
      </c>
      <c r="D718" s="11">
        <v>47.052118021698369</v>
      </c>
      <c r="E718" s="11"/>
      <c r="F718" s="10">
        <v>191</v>
      </c>
      <c r="G718" s="12" t="s">
        <v>13</v>
      </c>
      <c r="H718" s="13">
        <v>33.200000000000003</v>
      </c>
      <c r="I718" s="14"/>
      <c r="J718" s="14">
        <v>33.799999999999997</v>
      </c>
      <c r="K718" s="14"/>
      <c r="L718" s="13">
        <v>9.5</v>
      </c>
      <c r="M718" s="13">
        <v>3.6</v>
      </c>
      <c r="P718" s="12" t="s">
        <v>14</v>
      </c>
      <c r="Q718" s="12"/>
      <c r="R718" s="12"/>
      <c r="T718">
        <f t="shared" si="22"/>
        <v>10.567888221301851</v>
      </c>
      <c r="U718">
        <f t="shared" si="23"/>
        <v>10.758874153012124</v>
      </c>
    </row>
    <row r="719" spans="1:21">
      <c r="A719" s="9">
        <v>20</v>
      </c>
      <c r="B719" s="9">
        <v>-10</v>
      </c>
      <c r="C719" s="11">
        <v>27.496033648053988</v>
      </c>
      <c r="D719" s="11">
        <v>-9.3665763902395547</v>
      </c>
      <c r="E719" s="11"/>
      <c r="F719" s="12">
        <v>420</v>
      </c>
      <c r="G719" s="12" t="s">
        <v>11</v>
      </c>
      <c r="H719" s="13">
        <v>33.4</v>
      </c>
      <c r="I719" s="14"/>
      <c r="J719" s="14" t="s">
        <v>70</v>
      </c>
      <c r="K719" s="14"/>
      <c r="L719" s="13">
        <v>7.7</v>
      </c>
      <c r="M719" s="13">
        <v>0.7</v>
      </c>
      <c r="P719" s="12" t="s">
        <v>14</v>
      </c>
      <c r="Q719" s="12"/>
      <c r="R719" s="12"/>
      <c r="T719">
        <f t="shared" si="22"/>
        <v>10.631550198538608</v>
      </c>
      <c r="U719" t="str">
        <f t="shared" si="23"/>
        <v>dead</v>
      </c>
    </row>
    <row r="720" spans="1:21">
      <c r="A720" s="9">
        <v>0</v>
      </c>
      <c r="B720" s="12">
        <v>40</v>
      </c>
      <c r="C720" s="11">
        <v>2.0941290288313348</v>
      </c>
      <c r="D720" s="11">
        <v>41.357580003610096</v>
      </c>
      <c r="E720" s="11"/>
      <c r="F720" s="12">
        <v>68</v>
      </c>
      <c r="G720" s="12" t="s">
        <v>11</v>
      </c>
      <c r="H720" s="13">
        <v>33.5</v>
      </c>
      <c r="I720" s="14"/>
      <c r="J720" s="14" t="s">
        <v>70</v>
      </c>
      <c r="K720" s="14"/>
      <c r="L720" s="13">
        <v>2.2000000000000002</v>
      </c>
      <c r="M720" s="13"/>
      <c r="P720" s="12" t="s">
        <v>12</v>
      </c>
      <c r="Q720" s="12"/>
      <c r="R720" s="12" t="s">
        <v>16</v>
      </c>
      <c r="T720">
        <f t="shared" si="22"/>
        <v>10.663381187156988</v>
      </c>
      <c r="U720" t="str">
        <f t="shared" si="23"/>
        <v>dead</v>
      </c>
    </row>
    <row r="721" spans="1:21">
      <c r="A721" s="12">
        <v>20</v>
      </c>
      <c r="B721" s="12">
        <v>30</v>
      </c>
      <c r="C721" s="11">
        <v>20.978472868674029</v>
      </c>
      <c r="D721" s="11">
        <v>33.95872605775331</v>
      </c>
      <c r="E721" s="11"/>
      <c r="F721" s="10">
        <v>179</v>
      </c>
      <c r="G721" s="12" t="s">
        <v>13</v>
      </c>
      <c r="H721" s="13">
        <v>33.5</v>
      </c>
      <c r="I721" s="14"/>
      <c r="J721" s="14" t="s">
        <v>70</v>
      </c>
      <c r="K721" s="14"/>
      <c r="L721" s="13">
        <v>6.8</v>
      </c>
      <c r="M721" s="13"/>
      <c r="P721" s="12" t="s">
        <v>12</v>
      </c>
      <c r="Q721" s="12"/>
      <c r="R721" s="12" t="s">
        <v>16</v>
      </c>
      <c r="T721">
        <f t="shared" si="22"/>
        <v>10.663381187156988</v>
      </c>
      <c r="U721" t="str">
        <f t="shared" si="23"/>
        <v>dead</v>
      </c>
    </row>
    <row r="722" spans="1:21">
      <c r="A722" s="12">
        <v>30</v>
      </c>
      <c r="B722" s="12">
        <v>10</v>
      </c>
      <c r="C722" s="11">
        <v>31.896743692831674</v>
      </c>
      <c r="D722" s="11">
        <v>17.510168004924175</v>
      </c>
      <c r="E722" s="11"/>
      <c r="F722" s="12">
        <v>1000</v>
      </c>
      <c r="G722" s="12" t="s">
        <v>13</v>
      </c>
      <c r="H722" s="13">
        <v>34.5</v>
      </c>
      <c r="I722" s="14"/>
      <c r="J722" s="14">
        <v>34.4</v>
      </c>
      <c r="K722" s="14"/>
      <c r="L722" s="13">
        <v>7.6</v>
      </c>
      <c r="M722" s="13">
        <v>3.4</v>
      </c>
      <c r="P722" s="12" t="s">
        <v>14</v>
      </c>
      <c r="Q722" s="12"/>
      <c r="R722" s="12" t="s">
        <v>65</v>
      </c>
      <c r="S722" t="s">
        <v>87</v>
      </c>
      <c r="T722">
        <f t="shared" si="22"/>
        <v>10.981691073340778</v>
      </c>
      <c r="U722">
        <f t="shared" si="23"/>
        <v>10.949860084722399</v>
      </c>
    </row>
    <row r="723" spans="1:21">
      <c r="A723" s="9">
        <v>0</v>
      </c>
      <c r="B723" s="12">
        <v>10</v>
      </c>
      <c r="C723" s="11">
        <v>6.9093167736498451</v>
      </c>
      <c r="D723" s="11">
        <v>17.281193390808802</v>
      </c>
      <c r="E723" s="11"/>
      <c r="F723" s="10">
        <v>19</v>
      </c>
      <c r="G723" s="12" t="s">
        <v>13</v>
      </c>
      <c r="H723" s="13">
        <v>34.700000000000003</v>
      </c>
      <c r="I723" s="14"/>
      <c r="J723" s="14" t="s">
        <v>70</v>
      </c>
      <c r="K723" s="14"/>
      <c r="L723" s="13">
        <v>5</v>
      </c>
      <c r="M723" s="13"/>
      <c r="P723" s="12" t="s">
        <v>12</v>
      </c>
      <c r="Q723" s="12"/>
      <c r="R723" s="12" t="s">
        <v>16</v>
      </c>
      <c r="T723">
        <f t="shared" si="22"/>
        <v>11.045353050577537</v>
      </c>
      <c r="U723" t="str">
        <f t="shared" si="23"/>
        <v>dead</v>
      </c>
    </row>
    <row r="724" spans="1:21">
      <c r="A724" s="12">
        <v>40</v>
      </c>
      <c r="B724" s="12">
        <v>10</v>
      </c>
      <c r="C724" s="11">
        <v>49.999878153155805</v>
      </c>
      <c r="D724" s="11">
        <v>19.930186971695527</v>
      </c>
      <c r="E724" s="11"/>
      <c r="F724" s="10">
        <v>285</v>
      </c>
      <c r="G724" s="12" t="s">
        <v>11</v>
      </c>
      <c r="H724" s="13">
        <v>34.700000000000003</v>
      </c>
      <c r="I724" s="14"/>
      <c r="J724" s="14" t="s">
        <v>70</v>
      </c>
      <c r="K724" s="14"/>
      <c r="L724" s="13">
        <v>7.4</v>
      </c>
      <c r="M724" s="13">
        <v>1.6</v>
      </c>
      <c r="P724" s="12" t="s">
        <v>14</v>
      </c>
      <c r="Q724" s="12"/>
      <c r="R724" s="12"/>
      <c r="T724">
        <f t="shared" si="22"/>
        <v>11.045353050577537</v>
      </c>
      <c r="U724" t="str">
        <f t="shared" si="23"/>
        <v>dead</v>
      </c>
    </row>
    <row r="725" spans="1:21">
      <c r="A725" s="12">
        <v>40</v>
      </c>
      <c r="B725" s="12">
        <v>-50</v>
      </c>
      <c r="C725" s="11">
        <v>43.173974312698384</v>
      </c>
      <c r="D725" s="11">
        <v>-48.816052805101094</v>
      </c>
      <c r="E725" s="11"/>
      <c r="F725" s="12">
        <v>824</v>
      </c>
      <c r="G725" s="12" t="s">
        <v>11</v>
      </c>
      <c r="H725" s="13">
        <v>34.799999999999997</v>
      </c>
      <c r="I725" s="14"/>
      <c r="J725" s="14">
        <v>36</v>
      </c>
      <c r="K725" s="14"/>
      <c r="L725" s="13">
        <v>8.3000000000000007</v>
      </c>
      <c r="M725" s="13">
        <v>3.2</v>
      </c>
      <c r="P725" s="12" t="s">
        <v>14</v>
      </c>
      <c r="Q725" s="12"/>
      <c r="R725" s="12"/>
      <c r="T725">
        <f t="shared" si="22"/>
        <v>11.077184039195915</v>
      </c>
      <c r="U725">
        <f t="shared" si="23"/>
        <v>11.459155902616464</v>
      </c>
    </row>
    <row r="726" spans="1:21">
      <c r="A726" s="12">
        <v>20</v>
      </c>
      <c r="B726" s="12">
        <v>10</v>
      </c>
      <c r="C726" s="11">
        <v>23.904153440943681</v>
      </c>
      <c r="D726" s="11">
        <v>10.785104816809508</v>
      </c>
      <c r="E726" s="11"/>
      <c r="F726" s="10">
        <v>139</v>
      </c>
      <c r="G726" s="12" t="s">
        <v>13</v>
      </c>
      <c r="H726" s="13">
        <v>35</v>
      </c>
      <c r="I726" s="14"/>
      <c r="J726" s="14">
        <v>36.299999999999997</v>
      </c>
      <c r="K726" s="14"/>
      <c r="L726" s="13">
        <v>1.6</v>
      </c>
      <c r="M726" s="13">
        <v>0.4</v>
      </c>
      <c r="P726" s="12" t="s">
        <v>14</v>
      </c>
      <c r="Q726" s="12"/>
      <c r="R726" s="12"/>
      <c r="T726">
        <f t="shared" si="22"/>
        <v>11.140846016432674</v>
      </c>
      <c r="U726">
        <f t="shared" si="23"/>
        <v>11.554648868471601</v>
      </c>
    </row>
    <row r="727" spans="1:21">
      <c r="A727" s="12">
        <v>40</v>
      </c>
      <c r="B727" s="12">
        <v>20</v>
      </c>
      <c r="C727" s="11">
        <v>48.295744434881712</v>
      </c>
      <c r="D727" s="11">
        <v>26.804126363721846</v>
      </c>
      <c r="E727" s="11"/>
      <c r="F727" s="12">
        <v>288</v>
      </c>
      <c r="G727" s="12" t="s">
        <v>11</v>
      </c>
      <c r="H727" s="13">
        <v>35</v>
      </c>
      <c r="I727" s="14"/>
      <c r="J727" s="14" t="s">
        <v>70</v>
      </c>
      <c r="K727" s="14"/>
      <c r="L727" s="13">
        <v>9.8000000000000007</v>
      </c>
      <c r="M727" s="13"/>
      <c r="P727" s="12" t="s">
        <v>12</v>
      </c>
      <c r="Q727" s="12"/>
      <c r="R727" s="12"/>
      <c r="T727">
        <f t="shared" si="22"/>
        <v>11.140846016432674</v>
      </c>
      <c r="U727" t="str">
        <f t="shared" si="23"/>
        <v>dead</v>
      </c>
    </row>
    <row r="728" spans="1:21">
      <c r="A728" s="12">
        <v>30</v>
      </c>
      <c r="B728" s="12">
        <v>0</v>
      </c>
      <c r="C728" s="11">
        <v>31.285787071530518</v>
      </c>
      <c r="D728" s="11">
        <v>8.1996042694799964</v>
      </c>
      <c r="E728" s="11"/>
      <c r="F728" s="12">
        <v>128</v>
      </c>
      <c r="G728" s="12" t="s">
        <v>21</v>
      </c>
      <c r="H728" s="13">
        <v>35.1</v>
      </c>
      <c r="I728" s="14"/>
      <c r="J728" s="14">
        <v>38</v>
      </c>
      <c r="K728" s="14"/>
      <c r="L728" s="13">
        <v>11</v>
      </c>
      <c r="M728" s="13">
        <v>3.2</v>
      </c>
      <c r="P728" s="12" t="s">
        <v>14</v>
      </c>
      <c r="Q728" s="12"/>
      <c r="R728" s="12"/>
      <c r="T728">
        <f t="shared" si="22"/>
        <v>11.172677005051053</v>
      </c>
      <c r="U728">
        <f t="shared" si="23"/>
        <v>12.095775674984045</v>
      </c>
    </row>
    <row r="729" spans="1:21">
      <c r="A729" s="12">
        <v>10</v>
      </c>
      <c r="B729" s="12">
        <v>-20</v>
      </c>
      <c r="C729" s="11">
        <v>16.117883851958656</v>
      </c>
      <c r="D729" s="11">
        <v>-12.281271204847481</v>
      </c>
      <c r="E729" s="11"/>
      <c r="F729" s="10">
        <v>575</v>
      </c>
      <c r="G729" s="12" t="s">
        <v>13</v>
      </c>
      <c r="H729" s="13">
        <v>35.200000000000003</v>
      </c>
      <c r="I729" s="14"/>
      <c r="J729" s="14">
        <v>36.1</v>
      </c>
      <c r="K729" s="14"/>
      <c r="L729" s="13">
        <v>7.3</v>
      </c>
      <c r="M729" s="13">
        <v>4.3</v>
      </c>
      <c r="P729" s="12" t="s">
        <v>14</v>
      </c>
      <c r="Q729" s="12"/>
      <c r="R729" s="12"/>
      <c r="T729">
        <f t="shared" si="22"/>
        <v>11.204507993669433</v>
      </c>
      <c r="U729">
        <f t="shared" si="23"/>
        <v>11.490986891234844</v>
      </c>
    </row>
    <row r="730" spans="1:21">
      <c r="A730" s="9">
        <v>0</v>
      </c>
      <c r="B730" s="12">
        <v>20</v>
      </c>
      <c r="C730" s="11">
        <v>6.0918837271439479</v>
      </c>
      <c r="D730" s="11">
        <v>26.624873784077607</v>
      </c>
      <c r="E730" s="11"/>
      <c r="F730" s="10">
        <v>41</v>
      </c>
      <c r="G730" s="12" t="s">
        <v>11</v>
      </c>
      <c r="H730" s="13">
        <v>35.4</v>
      </c>
      <c r="I730" s="14"/>
      <c r="J730" s="14" t="s">
        <v>70</v>
      </c>
      <c r="K730" s="14"/>
      <c r="L730" s="13">
        <v>4</v>
      </c>
      <c r="M730" s="13"/>
      <c r="P730" s="12" t="s">
        <v>12</v>
      </c>
      <c r="Q730" s="12"/>
      <c r="R730" s="12" t="s">
        <v>16</v>
      </c>
      <c r="T730">
        <f t="shared" si="22"/>
        <v>11.26816997090619</v>
      </c>
      <c r="U730" t="str">
        <f t="shared" si="23"/>
        <v>dead</v>
      </c>
    </row>
    <row r="731" spans="1:21">
      <c r="A731" s="12">
        <v>40</v>
      </c>
      <c r="B731" s="12">
        <v>0</v>
      </c>
      <c r="C731" s="11">
        <v>49.011636361915841</v>
      </c>
      <c r="D731" s="11">
        <v>7.869739433638161</v>
      </c>
      <c r="E731" s="11"/>
      <c r="F731" s="12">
        <v>278</v>
      </c>
      <c r="G731" s="12" t="s">
        <v>11</v>
      </c>
      <c r="H731" s="13">
        <v>36</v>
      </c>
      <c r="I731" s="14"/>
      <c r="J731" s="14" t="s">
        <v>70</v>
      </c>
      <c r="K731" s="14"/>
      <c r="L731" s="13">
        <v>10</v>
      </c>
      <c r="M731" s="13"/>
      <c r="P731" s="12" t="s">
        <v>12</v>
      </c>
      <c r="Q731" s="12"/>
      <c r="R731" s="12"/>
      <c r="T731">
        <f t="shared" si="22"/>
        <v>11.459155902616464</v>
      </c>
      <c r="U731" t="str">
        <f t="shared" si="23"/>
        <v>dead</v>
      </c>
    </row>
    <row r="732" spans="1:21" s="27" customFormat="1">
      <c r="A732" s="12">
        <v>20</v>
      </c>
      <c r="B732" s="12">
        <v>-20</v>
      </c>
      <c r="C732" s="11">
        <v>27.816973727695228</v>
      </c>
      <c r="D732" s="11">
        <v>-18.819040245306269</v>
      </c>
      <c r="E732" s="11"/>
      <c r="F732" s="12">
        <v>562</v>
      </c>
      <c r="G732" s="12" t="s">
        <v>13</v>
      </c>
      <c r="H732" s="13">
        <v>36</v>
      </c>
      <c r="I732" s="14"/>
      <c r="J732" s="14">
        <v>36.6</v>
      </c>
      <c r="K732" s="14"/>
      <c r="L732" s="13">
        <v>9.1999999999999993</v>
      </c>
      <c r="M732" s="13">
        <v>3.3</v>
      </c>
      <c r="N732"/>
      <c r="O732"/>
      <c r="P732" s="12" t="s">
        <v>14</v>
      </c>
      <c r="Q732" s="12"/>
      <c r="R732" s="12"/>
      <c r="S732"/>
      <c r="T732">
        <f t="shared" si="22"/>
        <v>11.459155902616464</v>
      </c>
      <c r="U732">
        <f t="shared" si="23"/>
        <v>11.650141834326739</v>
      </c>
    </row>
    <row r="733" spans="1:21">
      <c r="A733" s="12">
        <v>0</v>
      </c>
      <c r="B733" s="12">
        <v>-50</v>
      </c>
      <c r="C733" s="11">
        <v>8.2400703001238895</v>
      </c>
      <c r="D733" s="11">
        <v>-43.791443979738325</v>
      </c>
      <c r="E733" s="11"/>
      <c r="F733" s="10">
        <v>809</v>
      </c>
      <c r="G733" s="12" t="s">
        <v>11</v>
      </c>
      <c r="H733" s="13">
        <v>36.200000000000003</v>
      </c>
      <c r="I733" s="14"/>
      <c r="J733" s="14">
        <v>36.6</v>
      </c>
      <c r="K733" s="14"/>
      <c r="L733" s="13">
        <v>9.3000000000000007</v>
      </c>
      <c r="M733" s="13">
        <v>4.3</v>
      </c>
      <c r="P733" s="12" t="s">
        <v>14</v>
      </c>
      <c r="Q733" s="12"/>
      <c r="R733" s="12"/>
      <c r="T733">
        <f t="shared" si="22"/>
        <v>11.522817879853223</v>
      </c>
      <c r="U733">
        <f t="shared" si="23"/>
        <v>11.650141834326739</v>
      </c>
    </row>
    <row r="734" spans="1:21">
      <c r="A734" s="12">
        <v>30</v>
      </c>
      <c r="B734" s="12">
        <v>-10</v>
      </c>
      <c r="C734" s="11">
        <v>32.700022916406624</v>
      </c>
      <c r="D734" s="11">
        <v>-4.0462839688971055</v>
      </c>
      <c r="E734" s="11"/>
      <c r="F734" s="10">
        <v>423</v>
      </c>
      <c r="G734" s="12" t="s">
        <v>13</v>
      </c>
      <c r="H734" s="13">
        <v>36.5</v>
      </c>
      <c r="I734" s="14"/>
      <c r="J734" s="14">
        <v>37</v>
      </c>
      <c r="K734" s="14"/>
      <c r="L734" s="13">
        <v>8.1</v>
      </c>
      <c r="M734" s="13">
        <v>3.1</v>
      </c>
      <c r="P734" s="12" t="s">
        <v>14</v>
      </c>
      <c r="Q734" s="12"/>
      <c r="R734" s="12" t="s">
        <v>34</v>
      </c>
      <c r="T734">
        <f t="shared" si="22"/>
        <v>11.618310845708359</v>
      </c>
      <c r="U734">
        <f t="shared" si="23"/>
        <v>11.777465788800255</v>
      </c>
    </row>
    <row r="735" spans="1:21">
      <c r="A735" s="12">
        <v>20</v>
      </c>
      <c r="B735" s="12">
        <v>10</v>
      </c>
      <c r="C735" s="11">
        <v>27.91934640397676</v>
      </c>
      <c r="D735" s="11">
        <v>12.973972118584976</v>
      </c>
      <c r="E735" s="11"/>
      <c r="F735" s="12">
        <v>160</v>
      </c>
      <c r="G735" s="12" t="s">
        <v>21</v>
      </c>
      <c r="H735" s="13">
        <v>36.6</v>
      </c>
      <c r="I735" s="14"/>
      <c r="J735" s="14">
        <v>39.299999999999997</v>
      </c>
      <c r="K735" s="14"/>
      <c r="L735" s="13">
        <v>11.5</v>
      </c>
      <c r="M735" s="13">
        <v>2.8</v>
      </c>
      <c r="P735" s="12" t="s">
        <v>14</v>
      </c>
      <c r="Q735" s="12"/>
      <c r="R735" s="12"/>
      <c r="T735">
        <f t="shared" si="22"/>
        <v>11.650141834326739</v>
      </c>
      <c r="U735">
        <f t="shared" si="23"/>
        <v>12.509578527022972</v>
      </c>
    </row>
    <row r="736" spans="1:21">
      <c r="A736" s="12">
        <v>40</v>
      </c>
      <c r="B736" s="12">
        <v>-30</v>
      </c>
      <c r="C736" s="11">
        <v>48.053490775127813</v>
      </c>
      <c r="D736" s="11">
        <v>-23.804467220567812</v>
      </c>
      <c r="E736" s="11"/>
      <c r="F736" s="12">
        <v>698</v>
      </c>
      <c r="G736" s="12" t="s">
        <v>13</v>
      </c>
      <c r="H736" s="13">
        <v>36.700000000000003</v>
      </c>
      <c r="I736" s="14"/>
      <c r="J736" s="14" t="s">
        <v>70</v>
      </c>
      <c r="K736" s="14"/>
      <c r="L736" s="13">
        <v>6.4</v>
      </c>
      <c r="M736" s="13"/>
      <c r="P736" s="12" t="s">
        <v>12</v>
      </c>
      <c r="Q736" s="12"/>
      <c r="R736" s="12"/>
      <c r="S736" t="s">
        <v>127</v>
      </c>
      <c r="T736">
        <f t="shared" si="22"/>
        <v>11.681972822945118</v>
      </c>
      <c r="U736" t="str">
        <f t="shared" si="23"/>
        <v>dead</v>
      </c>
    </row>
    <row r="737" spans="1:21">
      <c r="A737" s="12">
        <v>30</v>
      </c>
      <c r="B737" s="12">
        <v>20</v>
      </c>
      <c r="C737" s="11">
        <v>35.139414580817089</v>
      </c>
      <c r="D737" s="11">
        <v>25.434778538862901</v>
      </c>
      <c r="E737" s="11"/>
      <c r="F737" s="12">
        <v>208</v>
      </c>
      <c r="G737" s="12" t="s">
        <v>11</v>
      </c>
      <c r="H737" s="13">
        <v>37</v>
      </c>
      <c r="I737" s="14"/>
      <c r="J737" s="14" t="s">
        <v>70</v>
      </c>
      <c r="K737" s="14"/>
      <c r="L737" s="13">
        <v>4.3</v>
      </c>
      <c r="M737" s="13"/>
      <c r="P737" s="12" t="s">
        <v>12</v>
      </c>
      <c r="Q737" s="12"/>
      <c r="R737" s="12" t="s">
        <v>16</v>
      </c>
      <c r="T737">
        <f t="shared" si="22"/>
        <v>11.777465788800255</v>
      </c>
      <c r="U737" t="str">
        <f t="shared" si="23"/>
        <v>dead</v>
      </c>
    </row>
    <row r="738" spans="1:21">
      <c r="A738" s="12">
        <v>0</v>
      </c>
      <c r="B738" s="12">
        <v>-50</v>
      </c>
      <c r="C738" s="11">
        <v>7.1191281745700135</v>
      </c>
      <c r="D738" s="11">
        <v>-48.272737003280334</v>
      </c>
      <c r="E738" s="11"/>
      <c r="F738" s="10">
        <v>807</v>
      </c>
      <c r="G738" s="12" t="s">
        <v>11</v>
      </c>
      <c r="H738" s="13">
        <v>37.4</v>
      </c>
      <c r="I738" s="14"/>
      <c r="J738" s="14">
        <v>38.4</v>
      </c>
      <c r="K738" s="14"/>
      <c r="L738" s="13">
        <v>11.2</v>
      </c>
      <c r="M738" s="13">
        <v>5.0999999999999996</v>
      </c>
      <c r="P738" s="12" t="s">
        <v>14</v>
      </c>
      <c r="Q738" s="12"/>
      <c r="R738" s="12"/>
      <c r="T738">
        <f t="shared" si="22"/>
        <v>11.904789743273771</v>
      </c>
      <c r="U738">
        <f t="shared" si="23"/>
        <v>12.223099629457561</v>
      </c>
    </row>
    <row r="739" spans="1:21">
      <c r="A739" s="12">
        <v>20</v>
      </c>
      <c r="B739" s="12">
        <v>0</v>
      </c>
      <c r="C739" s="11">
        <v>22.479514615325314</v>
      </c>
      <c r="D739" s="11">
        <v>3.6348324957813607</v>
      </c>
      <c r="E739" s="11"/>
      <c r="F739" s="12">
        <v>122</v>
      </c>
      <c r="G739" s="12" t="s">
        <v>21</v>
      </c>
      <c r="H739" s="13">
        <v>37.6</v>
      </c>
      <c r="I739" s="14"/>
      <c r="J739" s="14">
        <v>38.5</v>
      </c>
      <c r="K739" s="14"/>
      <c r="L739" s="13">
        <v>10.5</v>
      </c>
      <c r="M739" s="13">
        <v>3.2</v>
      </c>
      <c r="P739" s="12" t="s">
        <v>14</v>
      </c>
      <c r="Q739" s="12"/>
      <c r="R739" s="12"/>
      <c r="T739">
        <f t="shared" si="22"/>
        <v>11.968451720510529</v>
      </c>
      <c r="U739">
        <f t="shared" si="23"/>
        <v>12.254930618075941</v>
      </c>
    </row>
    <row r="740" spans="1:21">
      <c r="A740" s="12">
        <v>0</v>
      </c>
      <c r="B740" s="12">
        <v>-50</v>
      </c>
      <c r="C740" s="11">
        <v>2.6202140931912341</v>
      </c>
      <c r="D740" s="11">
        <v>-43.363162197942096</v>
      </c>
      <c r="E740" s="11"/>
      <c r="F740" s="10">
        <v>803</v>
      </c>
      <c r="G740" s="12" t="s">
        <v>11</v>
      </c>
      <c r="H740" s="13">
        <v>37.700000000000003</v>
      </c>
      <c r="I740" s="14"/>
      <c r="J740" s="14">
        <v>38.9</v>
      </c>
      <c r="K740" s="14"/>
      <c r="L740" s="13">
        <v>11.4</v>
      </c>
      <c r="M740" s="13">
        <v>5</v>
      </c>
      <c r="P740" s="12" t="s">
        <v>14</v>
      </c>
      <c r="Q740" s="12"/>
      <c r="R740" s="12"/>
      <c r="T740">
        <f t="shared" si="22"/>
        <v>12.000282709128909</v>
      </c>
      <c r="U740">
        <f t="shared" si="23"/>
        <v>12.382254572549456</v>
      </c>
    </row>
    <row r="741" spans="1:21">
      <c r="A741" s="12">
        <v>30</v>
      </c>
      <c r="B741" s="12">
        <v>0</v>
      </c>
      <c r="C741" s="11">
        <v>35.396556682889127</v>
      </c>
      <c r="D741" s="11">
        <v>9.324486168716339</v>
      </c>
      <c r="E741" s="11"/>
      <c r="F741" s="12">
        <v>244</v>
      </c>
      <c r="G741" s="12" t="s">
        <v>11</v>
      </c>
      <c r="H741" s="13">
        <v>37.9</v>
      </c>
      <c r="I741" s="14"/>
      <c r="J741" s="14" t="s">
        <v>70</v>
      </c>
      <c r="K741" s="14"/>
      <c r="L741" s="13">
        <v>9</v>
      </c>
      <c r="M741" s="13"/>
      <c r="P741" s="12" t="s">
        <v>12</v>
      </c>
      <c r="Q741" s="12"/>
      <c r="R741" s="12"/>
      <c r="T741">
        <f t="shared" si="22"/>
        <v>12.063944686365666</v>
      </c>
      <c r="U741" t="str">
        <f t="shared" si="23"/>
        <v>dead</v>
      </c>
    </row>
    <row r="742" spans="1:21">
      <c r="A742" s="12">
        <v>10</v>
      </c>
      <c r="B742" s="12">
        <v>-50</v>
      </c>
      <c r="C742" s="11">
        <v>11.166274455480494</v>
      </c>
      <c r="D742" s="11">
        <v>-48.442375846327636</v>
      </c>
      <c r="E742" s="11"/>
      <c r="F742" s="10">
        <v>811</v>
      </c>
      <c r="G742" s="12" t="s">
        <v>11</v>
      </c>
      <c r="H742" s="13">
        <v>37.9</v>
      </c>
      <c r="I742" s="14"/>
      <c r="J742" s="14">
        <v>37.4</v>
      </c>
      <c r="K742" s="14"/>
      <c r="L742" s="13">
        <v>10.6</v>
      </c>
      <c r="M742" s="13">
        <v>6.1</v>
      </c>
      <c r="P742" s="12" t="s">
        <v>14</v>
      </c>
      <c r="Q742" s="12"/>
      <c r="R742" s="12"/>
      <c r="T742">
        <f t="shared" si="22"/>
        <v>12.063944686365666</v>
      </c>
      <c r="U742">
        <f t="shared" si="23"/>
        <v>11.904789743273771</v>
      </c>
    </row>
    <row r="743" spans="1:21">
      <c r="A743" s="9">
        <v>10</v>
      </c>
      <c r="B743" s="9">
        <v>-20</v>
      </c>
      <c r="C743" s="11">
        <v>17.002655475487977</v>
      </c>
      <c r="D743" s="11">
        <v>-10.07550079607055</v>
      </c>
      <c r="E743" s="11"/>
      <c r="F743" s="10">
        <v>409</v>
      </c>
      <c r="G743" s="12" t="s">
        <v>13</v>
      </c>
      <c r="H743" s="13">
        <v>38</v>
      </c>
      <c r="I743" s="14"/>
      <c r="J743" s="14" t="s">
        <v>70</v>
      </c>
      <c r="K743" s="14"/>
      <c r="L743" s="13">
        <v>2.8</v>
      </c>
      <c r="M743" s="13"/>
      <c r="P743" s="12" t="s">
        <v>12</v>
      </c>
      <c r="Q743" s="12"/>
      <c r="R743" s="12" t="s">
        <v>16</v>
      </c>
      <c r="T743">
        <f t="shared" si="22"/>
        <v>12.095775674984045</v>
      </c>
      <c r="U743" t="str">
        <f t="shared" si="23"/>
        <v>dead</v>
      </c>
    </row>
    <row r="744" spans="1:21">
      <c r="A744" s="12">
        <v>10</v>
      </c>
      <c r="B744" s="12">
        <v>20</v>
      </c>
      <c r="C744" s="11">
        <v>19.288186164934192</v>
      </c>
      <c r="D744" s="11">
        <v>28.62802262785867</v>
      </c>
      <c r="E744" s="11"/>
      <c r="F744" s="10">
        <v>91</v>
      </c>
      <c r="G744" s="12" t="s">
        <v>13</v>
      </c>
      <c r="H744" s="13">
        <v>38.200000000000003</v>
      </c>
      <c r="I744" s="14"/>
      <c r="J744" s="14">
        <v>38.700000000000003</v>
      </c>
      <c r="K744" s="14"/>
      <c r="L744" s="13">
        <v>7.4</v>
      </c>
      <c r="M744" s="13">
        <v>2.8</v>
      </c>
      <c r="P744" s="12" t="s">
        <v>14</v>
      </c>
      <c r="Q744" s="12"/>
      <c r="R744" s="12" t="s">
        <v>18</v>
      </c>
      <c r="T744">
        <f t="shared" si="22"/>
        <v>12.159437652220806</v>
      </c>
      <c r="U744">
        <f t="shared" si="23"/>
        <v>12.318592595312701</v>
      </c>
    </row>
    <row r="745" spans="1:21">
      <c r="A745" s="12">
        <v>40</v>
      </c>
      <c r="B745" s="12">
        <v>-20</v>
      </c>
      <c r="C745" s="11">
        <v>49.112968455015206</v>
      </c>
      <c r="D745" s="11">
        <v>-16.596689013277626</v>
      </c>
      <c r="E745" s="11"/>
      <c r="F745" s="10">
        <v>507</v>
      </c>
      <c r="G745" s="12" t="s">
        <v>13</v>
      </c>
      <c r="H745" s="13">
        <v>38.200000000000003</v>
      </c>
      <c r="I745" s="14"/>
      <c r="J745" s="14" t="s">
        <v>70</v>
      </c>
      <c r="K745" s="14"/>
      <c r="L745" s="13">
        <v>7.8</v>
      </c>
      <c r="M745" s="13"/>
      <c r="P745" s="12" t="s">
        <v>12</v>
      </c>
      <c r="Q745" s="12"/>
      <c r="R745" s="12"/>
      <c r="T745">
        <f t="shared" si="22"/>
        <v>12.159437652220806</v>
      </c>
      <c r="U745" t="str">
        <f t="shared" si="23"/>
        <v>dead</v>
      </c>
    </row>
    <row r="746" spans="1:21">
      <c r="A746" s="12">
        <v>50</v>
      </c>
      <c r="B746" s="12">
        <v>-30</v>
      </c>
      <c r="C746" s="11">
        <v>50.215139710240834</v>
      </c>
      <c r="D746" s="11">
        <v>-27.437723206428444</v>
      </c>
      <c r="E746" s="11"/>
      <c r="F746" s="12">
        <v>2008</v>
      </c>
      <c r="G746" s="12" t="s">
        <v>13</v>
      </c>
      <c r="H746" s="13">
        <v>38.4</v>
      </c>
      <c r="I746" s="14"/>
      <c r="J746" s="14">
        <v>25.5</v>
      </c>
      <c r="K746" s="14"/>
      <c r="L746" s="13"/>
      <c r="M746" s="13"/>
      <c r="N746">
        <v>8</v>
      </c>
      <c r="O746">
        <v>3.7</v>
      </c>
      <c r="P746" s="12"/>
      <c r="Q746" s="12"/>
      <c r="R746" s="12" t="s">
        <v>57</v>
      </c>
      <c r="S746" t="s">
        <v>142</v>
      </c>
      <c r="T746">
        <f t="shared" si="22"/>
        <v>12.223099629457561</v>
      </c>
      <c r="U746">
        <f t="shared" si="23"/>
        <v>8.1169020976866619</v>
      </c>
    </row>
    <row r="747" spans="1:21">
      <c r="A747" s="9">
        <v>0</v>
      </c>
      <c r="B747" s="9">
        <v>0</v>
      </c>
      <c r="C747" s="11">
        <v>9.4845444850729379</v>
      </c>
      <c r="D747" s="11">
        <v>3.8616039870230532</v>
      </c>
      <c r="E747" s="11"/>
      <c r="F747" s="10">
        <v>17</v>
      </c>
      <c r="G747" s="12" t="s">
        <v>11</v>
      </c>
      <c r="H747" s="13">
        <v>39.200000000000003</v>
      </c>
      <c r="I747" s="14"/>
      <c r="J747" s="14" t="s">
        <v>70</v>
      </c>
      <c r="K747" s="14"/>
      <c r="L747" s="13">
        <v>9.4</v>
      </c>
      <c r="M747" s="13"/>
      <c r="P747" s="12" t="s">
        <v>12</v>
      </c>
      <c r="Q747" s="12"/>
      <c r="R747" s="12"/>
      <c r="T747">
        <f t="shared" si="22"/>
        <v>12.477747538404596</v>
      </c>
      <c r="U747" t="str">
        <f t="shared" si="23"/>
        <v>dead</v>
      </c>
    </row>
    <row r="748" spans="1:21">
      <c r="A748" s="12">
        <v>10</v>
      </c>
      <c r="B748" s="12">
        <v>40</v>
      </c>
      <c r="C748" s="11">
        <v>12.792044209999499</v>
      </c>
      <c r="D748" s="11">
        <v>41.998943053065361</v>
      </c>
      <c r="E748" s="11"/>
      <c r="F748" s="12">
        <v>82</v>
      </c>
      <c r="G748" s="12" t="s">
        <v>11</v>
      </c>
      <c r="H748" s="13">
        <v>39.299999999999997</v>
      </c>
      <c r="I748" s="14"/>
      <c r="J748" s="14" t="s">
        <v>79</v>
      </c>
      <c r="K748" s="14"/>
      <c r="L748" s="13">
        <v>8.4</v>
      </c>
      <c r="M748" s="13"/>
      <c r="P748" s="12" t="s">
        <v>12</v>
      </c>
      <c r="Q748" s="12"/>
      <c r="R748" s="12"/>
      <c r="T748">
        <f t="shared" si="22"/>
        <v>12.509578527022972</v>
      </c>
      <c r="U748" t="str">
        <f t="shared" si="23"/>
        <v>dead</v>
      </c>
    </row>
    <row r="749" spans="1:21">
      <c r="A749" s="12">
        <v>20</v>
      </c>
      <c r="B749" s="12">
        <v>40</v>
      </c>
      <c r="C749" s="11">
        <v>26.125615719030783</v>
      </c>
      <c r="D749" s="11">
        <v>47.274402522734292</v>
      </c>
      <c r="E749" s="11"/>
      <c r="F749" s="10">
        <v>195</v>
      </c>
      <c r="G749" s="12" t="s">
        <v>13</v>
      </c>
      <c r="H749" s="13">
        <v>39.4</v>
      </c>
      <c r="I749" s="14"/>
      <c r="J749" s="14">
        <v>38.200000000000003</v>
      </c>
      <c r="K749" s="14"/>
      <c r="L749" s="13">
        <v>9.6999999999999993</v>
      </c>
      <c r="M749" s="13">
        <v>4.2</v>
      </c>
      <c r="P749" s="12" t="s">
        <v>14</v>
      </c>
      <c r="Q749" s="12"/>
      <c r="R749" s="12"/>
      <c r="T749">
        <f t="shared" si="22"/>
        <v>12.541409515641352</v>
      </c>
      <c r="U749">
        <f t="shared" si="23"/>
        <v>12.159437652220806</v>
      </c>
    </row>
    <row r="750" spans="1:21">
      <c r="A750" s="12">
        <v>0</v>
      </c>
      <c r="B750" s="12">
        <v>-40</v>
      </c>
      <c r="C750" s="11">
        <v>8.2807998791533848</v>
      </c>
      <c r="D750" s="11">
        <v>-36.859816733933989</v>
      </c>
      <c r="E750" s="11"/>
      <c r="F750" s="12">
        <v>726</v>
      </c>
      <c r="G750" s="12" t="s">
        <v>11</v>
      </c>
      <c r="H750" s="13">
        <v>39.5</v>
      </c>
      <c r="I750" s="14"/>
      <c r="J750" s="14" t="s">
        <v>70</v>
      </c>
      <c r="K750" s="14"/>
      <c r="L750" s="13">
        <v>9</v>
      </c>
      <c r="M750" s="13">
        <v>1.8</v>
      </c>
      <c r="P750" s="12" t="s">
        <v>14</v>
      </c>
      <c r="Q750" s="12"/>
      <c r="R750" s="12"/>
      <c r="T750">
        <f t="shared" si="22"/>
        <v>12.573240504259733</v>
      </c>
      <c r="U750" t="str">
        <f t="shared" si="23"/>
        <v>dead</v>
      </c>
    </row>
    <row r="751" spans="1:21">
      <c r="A751" s="12">
        <v>0</v>
      </c>
      <c r="B751" s="12">
        <v>-50</v>
      </c>
      <c r="C751" s="11">
        <v>3.6412415325252461</v>
      </c>
      <c r="D751" s="11">
        <v>-45.488733073516883</v>
      </c>
      <c r="E751" s="11"/>
      <c r="F751" s="12">
        <v>804</v>
      </c>
      <c r="G751" s="12" t="s">
        <v>11</v>
      </c>
      <c r="H751" s="13">
        <v>39.5</v>
      </c>
      <c r="I751" s="14"/>
      <c r="J751" s="14">
        <v>39.9</v>
      </c>
      <c r="K751" s="14"/>
      <c r="L751" s="13">
        <v>12.6</v>
      </c>
      <c r="M751" s="13">
        <v>6.4</v>
      </c>
      <c r="P751" s="12" t="s">
        <v>14</v>
      </c>
      <c r="Q751" s="12"/>
      <c r="R751" s="12" t="s">
        <v>54</v>
      </c>
      <c r="T751">
        <f t="shared" si="22"/>
        <v>12.573240504259733</v>
      </c>
      <c r="U751">
        <f t="shared" si="23"/>
        <v>12.700564458733249</v>
      </c>
    </row>
    <row r="752" spans="1:21">
      <c r="A752" s="12">
        <v>30</v>
      </c>
      <c r="B752" s="12">
        <v>40</v>
      </c>
      <c r="C752" s="11">
        <v>37.972624291761235</v>
      </c>
      <c r="D752" s="11">
        <v>45.943877191462981</v>
      </c>
      <c r="E752" s="11"/>
      <c r="F752" s="12">
        <v>200</v>
      </c>
      <c r="G752" s="12" t="s">
        <v>13</v>
      </c>
      <c r="H752" s="13">
        <v>39.700000000000003</v>
      </c>
      <c r="I752" s="14"/>
      <c r="J752" s="14">
        <v>40.6</v>
      </c>
      <c r="K752" s="14"/>
      <c r="L752" s="13">
        <v>10.7</v>
      </c>
      <c r="M752" s="13">
        <v>2.9</v>
      </c>
      <c r="P752" s="12" t="s">
        <v>14</v>
      </c>
      <c r="Q752" s="12"/>
      <c r="R752" s="12"/>
      <c r="T752">
        <f t="shared" si="22"/>
        <v>12.636902481496492</v>
      </c>
      <c r="U752">
        <f t="shared" si="23"/>
        <v>12.923381379061903</v>
      </c>
    </row>
    <row r="753" spans="1:21">
      <c r="A753" s="12">
        <v>10</v>
      </c>
      <c r="B753" s="12">
        <v>-20</v>
      </c>
      <c r="C753" s="11">
        <v>11.930988836250952</v>
      </c>
      <c r="D753" s="11">
        <v>-17.142613284958919</v>
      </c>
      <c r="E753" s="11"/>
      <c r="F753" s="12">
        <v>578</v>
      </c>
      <c r="G753" s="12" t="s">
        <v>11</v>
      </c>
      <c r="H753" s="13">
        <v>40</v>
      </c>
      <c r="I753" s="14"/>
      <c r="J753" s="14" t="s">
        <v>70</v>
      </c>
      <c r="K753" s="14"/>
      <c r="L753" s="13">
        <v>6.4</v>
      </c>
      <c r="M753" s="13"/>
      <c r="P753" s="12" t="s">
        <v>12</v>
      </c>
      <c r="Q753" s="12"/>
      <c r="R753" s="12" t="s">
        <v>16</v>
      </c>
      <c r="T753">
        <f t="shared" si="22"/>
        <v>12.732395447351628</v>
      </c>
      <c r="U753" t="str">
        <f t="shared" si="23"/>
        <v>dead</v>
      </c>
    </row>
    <row r="754" spans="1:21">
      <c r="A754" s="12">
        <v>0</v>
      </c>
      <c r="B754" s="12">
        <v>-30</v>
      </c>
      <c r="C754" s="11">
        <v>9.3207208494274312</v>
      </c>
      <c r="D754" s="11">
        <v>-23.663665790959932</v>
      </c>
      <c r="E754" s="11"/>
      <c r="F754" s="10">
        <v>607</v>
      </c>
      <c r="G754" s="12" t="s">
        <v>11</v>
      </c>
      <c r="H754" s="13">
        <v>40</v>
      </c>
      <c r="I754" s="14"/>
      <c r="J754" s="14" t="s">
        <v>70</v>
      </c>
      <c r="K754" s="14"/>
      <c r="L754" s="13">
        <v>10.5</v>
      </c>
      <c r="M754" s="13"/>
      <c r="P754" s="12" t="s">
        <v>12</v>
      </c>
      <c r="Q754" s="12"/>
      <c r="R754" s="12"/>
      <c r="T754">
        <f t="shared" si="22"/>
        <v>12.732395447351628</v>
      </c>
      <c r="U754" t="str">
        <f t="shared" si="23"/>
        <v>dead</v>
      </c>
    </row>
    <row r="755" spans="1:21">
      <c r="A755" s="9">
        <v>0</v>
      </c>
      <c r="B755" s="12">
        <v>20</v>
      </c>
      <c r="C755" s="11">
        <v>6.420031139275026</v>
      </c>
      <c r="D755" s="11">
        <v>24.873068865790739</v>
      </c>
      <c r="E755" s="11"/>
      <c r="F755" s="12">
        <v>40</v>
      </c>
      <c r="G755" s="12" t="s">
        <v>11</v>
      </c>
      <c r="H755" s="13">
        <v>40.4</v>
      </c>
      <c r="I755" s="14"/>
      <c r="J755" s="14" t="s">
        <v>70</v>
      </c>
      <c r="K755" s="14"/>
      <c r="L755" s="13">
        <v>8.1999999999999993</v>
      </c>
      <c r="M755" s="13"/>
      <c r="P755" s="12" t="s">
        <v>12</v>
      </c>
      <c r="Q755" s="12"/>
      <c r="R755" s="12" t="s">
        <v>16</v>
      </c>
      <c r="T755">
        <f t="shared" si="22"/>
        <v>12.859719401825144</v>
      </c>
      <c r="U755" t="str">
        <f t="shared" si="23"/>
        <v>dead</v>
      </c>
    </row>
    <row r="756" spans="1:21">
      <c r="A756" s="12">
        <v>30</v>
      </c>
      <c r="B756" s="12">
        <v>40</v>
      </c>
      <c r="C756" s="11">
        <v>37.195101814616379</v>
      </c>
      <c r="D756" s="11">
        <v>45.587027258299045</v>
      </c>
      <c r="E756" s="11"/>
      <c r="F756" s="10">
        <v>203</v>
      </c>
      <c r="G756" s="12" t="s">
        <v>13</v>
      </c>
      <c r="H756" s="13">
        <v>40.4</v>
      </c>
      <c r="I756" s="14"/>
      <c r="J756" s="14">
        <v>42.2</v>
      </c>
      <c r="K756" s="14"/>
      <c r="L756" s="13">
        <v>8.3000000000000007</v>
      </c>
      <c r="M756" s="13">
        <v>1.9</v>
      </c>
      <c r="P756" s="12" t="s">
        <v>14</v>
      </c>
      <c r="Q756" s="12"/>
      <c r="R756" s="12"/>
      <c r="T756">
        <f t="shared" si="22"/>
        <v>12.859719401825144</v>
      </c>
      <c r="U756">
        <f t="shared" si="23"/>
        <v>13.432677196955968</v>
      </c>
    </row>
    <row r="757" spans="1:21">
      <c r="A757" s="12">
        <v>0</v>
      </c>
      <c r="B757" s="12">
        <v>-50</v>
      </c>
      <c r="C757" s="11">
        <v>1.3122807443575066</v>
      </c>
      <c r="D757" s="11">
        <v>-43.563093337977357</v>
      </c>
      <c r="E757" s="11"/>
      <c r="F757" s="10">
        <v>801</v>
      </c>
      <c r="G757" s="12" t="s">
        <v>11</v>
      </c>
      <c r="H757" s="13">
        <v>40.5</v>
      </c>
      <c r="I757" s="14"/>
      <c r="J757" s="14">
        <v>42.8</v>
      </c>
      <c r="K757" s="14"/>
      <c r="L757" s="13">
        <v>12.3</v>
      </c>
      <c r="M757" s="13">
        <v>3.4</v>
      </c>
      <c r="P757" s="12" t="s">
        <v>14</v>
      </c>
      <c r="Q757" s="12"/>
      <c r="R757" s="12" t="s">
        <v>16</v>
      </c>
      <c r="T757">
        <f t="shared" si="22"/>
        <v>12.891550390443523</v>
      </c>
      <c r="U757">
        <f t="shared" si="23"/>
        <v>13.623663128666241</v>
      </c>
    </row>
    <row r="758" spans="1:21">
      <c r="A758" s="12">
        <v>10</v>
      </c>
      <c r="B758" s="12">
        <v>20</v>
      </c>
      <c r="C758" s="11">
        <v>19.074849547210579</v>
      </c>
      <c r="D758" s="11">
        <v>28.29398063364512</v>
      </c>
      <c r="E758" s="11"/>
      <c r="F758" s="12">
        <v>94</v>
      </c>
      <c r="G758" s="12" t="s">
        <v>13</v>
      </c>
      <c r="H758" s="13">
        <v>40.6</v>
      </c>
      <c r="I758" s="14"/>
      <c r="J758" s="14">
        <v>42.8</v>
      </c>
      <c r="K758" s="14"/>
      <c r="L758" s="13">
        <v>6.4</v>
      </c>
      <c r="M758" s="13">
        <v>3.1</v>
      </c>
      <c r="P758" s="12" t="s">
        <v>14</v>
      </c>
      <c r="Q758" s="12"/>
      <c r="R758" s="12" t="s">
        <v>19</v>
      </c>
      <c r="T758">
        <f t="shared" si="22"/>
        <v>12.923381379061903</v>
      </c>
      <c r="U758">
        <f t="shared" si="23"/>
        <v>13.623663128666241</v>
      </c>
    </row>
    <row r="759" spans="1:21">
      <c r="A759" s="12">
        <v>40</v>
      </c>
      <c r="B759" s="12">
        <v>20</v>
      </c>
      <c r="C759" s="11">
        <v>42.20210713056332</v>
      </c>
      <c r="D759" s="11">
        <v>29.671270938933304</v>
      </c>
      <c r="E759" s="11"/>
      <c r="F759" s="12">
        <v>302</v>
      </c>
      <c r="G759" s="12" t="s">
        <v>13</v>
      </c>
      <c r="H759" s="13">
        <v>40.6</v>
      </c>
      <c r="I759" s="14"/>
      <c r="J759" s="14">
        <v>40.9</v>
      </c>
      <c r="K759" s="14"/>
      <c r="L759" s="13">
        <v>8</v>
      </c>
      <c r="M759" s="13">
        <v>4</v>
      </c>
      <c r="P759" s="12" t="s">
        <v>14</v>
      </c>
      <c r="Q759" s="12"/>
      <c r="R759" s="12"/>
      <c r="T759">
        <f t="shared" si="22"/>
        <v>12.923381379061903</v>
      </c>
      <c r="U759">
        <f t="shared" si="23"/>
        <v>13.018874344917039</v>
      </c>
    </row>
    <row r="760" spans="1:21">
      <c r="A760" s="12">
        <v>20</v>
      </c>
      <c r="B760" s="12">
        <v>20</v>
      </c>
      <c r="C760" s="11">
        <v>30.004333579254549</v>
      </c>
      <c r="D760" s="11">
        <v>27.592263592948925</v>
      </c>
      <c r="E760" s="11"/>
      <c r="F760" s="10">
        <v>169</v>
      </c>
      <c r="G760" s="12" t="s">
        <v>11</v>
      </c>
      <c r="H760" s="13">
        <v>41</v>
      </c>
      <c r="I760" s="14"/>
      <c r="J760" s="14" t="s">
        <v>70</v>
      </c>
      <c r="K760" s="14"/>
      <c r="L760" s="13">
        <v>9.9</v>
      </c>
      <c r="M760" s="13"/>
      <c r="P760" s="12" t="s">
        <v>12</v>
      </c>
      <c r="Q760" s="12"/>
      <c r="R760" s="12"/>
      <c r="T760">
        <f t="shared" si="22"/>
        <v>13.050705333535419</v>
      </c>
      <c r="U760" t="str">
        <f t="shared" si="23"/>
        <v>dead</v>
      </c>
    </row>
    <row r="761" spans="1:21">
      <c r="A761" s="12">
        <v>30</v>
      </c>
      <c r="B761" s="12">
        <v>10</v>
      </c>
      <c r="C761" s="11">
        <v>34.753410149350231</v>
      </c>
      <c r="D761" s="11">
        <v>11.281629054000154</v>
      </c>
      <c r="E761" s="11"/>
      <c r="F761" s="12">
        <v>238</v>
      </c>
      <c r="G761" s="12" t="s">
        <v>11</v>
      </c>
      <c r="H761" s="13">
        <v>41</v>
      </c>
      <c r="I761" s="14"/>
      <c r="J761" s="14" t="s">
        <v>79</v>
      </c>
      <c r="K761" s="14"/>
      <c r="L761" s="13">
        <v>8.1</v>
      </c>
      <c r="M761" s="13"/>
      <c r="P761" s="12" t="s">
        <v>12</v>
      </c>
      <c r="Q761" s="12"/>
      <c r="R761" s="12"/>
      <c r="T761">
        <f t="shared" si="22"/>
        <v>13.050705333535419</v>
      </c>
      <c r="U761" t="str">
        <f t="shared" si="23"/>
        <v>dead</v>
      </c>
    </row>
    <row r="762" spans="1:21">
      <c r="A762" s="9">
        <v>0</v>
      </c>
      <c r="B762" s="9">
        <v>0</v>
      </c>
      <c r="C762" s="11">
        <v>2.9719342653964747</v>
      </c>
      <c r="D762" s="11">
        <v>8.7986707237015302</v>
      </c>
      <c r="E762" s="11"/>
      <c r="F762" s="10">
        <v>1</v>
      </c>
      <c r="G762" s="12" t="s">
        <v>11</v>
      </c>
      <c r="H762" s="13">
        <v>41.2</v>
      </c>
      <c r="I762" s="14"/>
      <c r="J762" s="14" t="s">
        <v>70</v>
      </c>
      <c r="K762" s="14"/>
      <c r="L762" s="13">
        <v>9</v>
      </c>
      <c r="M762" s="13"/>
      <c r="P762" s="12" t="s">
        <v>12</v>
      </c>
      <c r="Q762" s="12"/>
      <c r="R762" s="12"/>
      <c r="T762">
        <f t="shared" si="22"/>
        <v>13.114367310772177</v>
      </c>
      <c r="U762" t="str">
        <f t="shared" si="23"/>
        <v>dead</v>
      </c>
    </row>
    <row r="763" spans="1:21">
      <c r="A763" s="9">
        <v>0</v>
      </c>
      <c r="B763" s="12">
        <v>40</v>
      </c>
      <c r="C763" s="11">
        <v>4.8306923269049742</v>
      </c>
      <c r="D763" s="11">
        <v>46.320372558966213</v>
      </c>
      <c r="E763" s="11"/>
      <c r="F763" s="12">
        <v>70</v>
      </c>
      <c r="G763" s="12" t="s">
        <v>11</v>
      </c>
      <c r="H763" s="13">
        <v>41.3</v>
      </c>
      <c r="I763" s="14"/>
      <c r="J763" s="14">
        <v>44.5</v>
      </c>
      <c r="K763" s="14"/>
      <c r="L763" s="13">
        <v>9.6999999999999993</v>
      </c>
      <c r="M763" s="13">
        <v>1.2</v>
      </c>
      <c r="P763" s="12" t="s">
        <v>14</v>
      </c>
      <c r="Q763" s="12"/>
      <c r="R763" s="12"/>
      <c r="T763">
        <f t="shared" si="22"/>
        <v>13.146198299390555</v>
      </c>
      <c r="U763">
        <f t="shared" si="23"/>
        <v>14.164789935178685</v>
      </c>
    </row>
    <row r="764" spans="1:21">
      <c r="A764" s="12">
        <v>40</v>
      </c>
      <c r="B764" s="12">
        <v>-30</v>
      </c>
      <c r="C764" s="11">
        <v>42.374703444130603</v>
      </c>
      <c r="D764" s="11">
        <v>-25.665581582664061</v>
      </c>
      <c r="E764" s="11"/>
      <c r="F764" s="12">
        <v>678</v>
      </c>
      <c r="G764" s="12" t="s">
        <v>13</v>
      </c>
      <c r="H764" s="13">
        <v>41.5</v>
      </c>
      <c r="I764" s="14"/>
      <c r="J764" s="14" t="s">
        <v>70</v>
      </c>
      <c r="K764" s="14"/>
      <c r="L764" s="13">
        <v>4.3</v>
      </c>
      <c r="M764" s="13"/>
      <c r="P764" s="12" t="s">
        <v>12</v>
      </c>
      <c r="Q764" s="12"/>
      <c r="R764" s="12" t="s">
        <v>16</v>
      </c>
      <c r="T764">
        <f t="shared" si="22"/>
        <v>13.209860276627314</v>
      </c>
      <c r="U764" t="str">
        <f t="shared" si="23"/>
        <v>dead</v>
      </c>
    </row>
    <row r="765" spans="1:21">
      <c r="A765" s="12">
        <v>50</v>
      </c>
      <c r="B765" s="12">
        <v>-30</v>
      </c>
      <c r="C765" s="11">
        <v>50.215139710240834</v>
      </c>
      <c r="D765" s="11">
        <v>-27.437723206428444</v>
      </c>
      <c r="E765" s="11"/>
      <c r="F765" s="12">
        <v>2006</v>
      </c>
      <c r="G765" s="12" t="s">
        <v>13</v>
      </c>
      <c r="H765" s="13">
        <v>41.5</v>
      </c>
      <c r="I765" s="14"/>
      <c r="J765" s="14">
        <v>12.9</v>
      </c>
      <c r="K765" s="14"/>
      <c r="L765" s="13"/>
      <c r="M765" s="13"/>
      <c r="N765">
        <v>3.5</v>
      </c>
      <c r="O765">
        <v>2.1</v>
      </c>
      <c r="P765" s="12"/>
      <c r="Q765" s="12"/>
      <c r="R765" s="12" t="s">
        <v>57</v>
      </c>
      <c r="S765" t="s">
        <v>139</v>
      </c>
      <c r="T765">
        <f t="shared" si="22"/>
        <v>13.209860276627314</v>
      </c>
      <c r="U765">
        <f t="shared" si="23"/>
        <v>4.1061975317709001</v>
      </c>
    </row>
    <row r="766" spans="1:21">
      <c r="A766" s="9">
        <v>0</v>
      </c>
      <c r="B766" s="12">
        <v>20</v>
      </c>
      <c r="C766" s="11">
        <v>8.5072670275945281</v>
      </c>
      <c r="D766" s="11">
        <v>22.715015234064623</v>
      </c>
      <c r="E766" s="11"/>
      <c r="F766" s="10">
        <v>33</v>
      </c>
      <c r="G766" s="12" t="s">
        <v>13</v>
      </c>
      <c r="H766" s="13">
        <v>42.7</v>
      </c>
      <c r="I766" s="14"/>
      <c r="J766" s="14">
        <v>43</v>
      </c>
      <c r="K766" s="14"/>
      <c r="L766" s="13">
        <v>5.8</v>
      </c>
      <c r="M766" s="13">
        <v>1.9</v>
      </c>
      <c r="P766" s="12" t="s">
        <v>14</v>
      </c>
      <c r="Q766" s="12"/>
      <c r="R766" s="12" t="s">
        <v>15</v>
      </c>
      <c r="T766">
        <f t="shared" si="22"/>
        <v>13.591832140047863</v>
      </c>
      <c r="U766">
        <f t="shared" si="23"/>
        <v>13.687325105903</v>
      </c>
    </row>
    <row r="767" spans="1:21">
      <c r="A767" s="12">
        <v>0</v>
      </c>
      <c r="B767" s="12">
        <v>-50</v>
      </c>
      <c r="C767" s="11">
        <v>4.3793029065855924</v>
      </c>
      <c r="D767" s="11">
        <v>-46.242416534010111</v>
      </c>
      <c r="E767" s="11"/>
      <c r="F767" s="10">
        <v>805</v>
      </c>
      <c r="G767" s="12" t="s">
        <v>11</v>
      </c>
      <c r="H767" s="13">
        <v>43.4</v>
      </c>
      <c r="I767" s="14"/>
      <c r="J767" s="14">
        <v>44.9</v>
      </c>
      <c r="K767" s="14"/>
      <c r="L767" s="13">
        <v>11.5</v>
      </c>
      <c r="M767" s="13">
        <v>5.2</v>
      </c>
      <c r="P767" s="12" t="s">
        <v>14</v>
      </c>
      <c r="Q767" s="12"/>
      <c r="R767" s="12" t="s">
        <v>16</v>
      </c>
      <c r="T767">
        <f t="shared" si="22"/>
        <v>13.814649060376516</v>
      </c>
      <c r="U767">
        <f t="shared" si="23"/>
        <v>14.292113889652201</v>
      </c>
    </row>
    <row r="768" spans="1:21">
      <c r="A768" s="12">
        <v>40</v>
      </c>
      <c r="B768" s="12">
        <v>-10</v>
      </c>
      <c r="C768" s="11">
        <v>43.624437901391879</v>
      </c>
      <c r="D768" s="11">
        <v>-9.6637710616945149</v>
      </c>
      <c r="E768" s="11"/>
      <c r="F768" s="10">
        <v>453</v>
      </c>
      <c r="G768" s="12" t="s">
        <v>13</v>
      </c>
      <c r="H768" s="13">
        <v>43.5</v>
      </c>
      <c r="I768" s="14"/>
      <c r="J768" s="14" t="s">
        <v>70</v>
      </c>
      <c r="K768" s="14"/>
      <c r="L768" s="13">
        <v>3.9</v>
      </c>
      <c r="M768" s="13"/>
      <c r="P768" s="12" t="s">
        <v>12</v>
      </c>
      <c r="Q768" s="12"/>
      <c r="R768" s="12"/>
      <c r="T768">
        <f t="shared" si="22"/>
        <v>13.846480048994895</v>
      </c>
      <c r="U768" t="str">
        <f t="shared" si="23"/>
        <v>dead</v>
      </c>
    </row>
    <row r="769" spans="1:21">
      <c r="A769" s="12">
        <v>30</v>
      </c>
      <c r="B769" s="12">
        <v>10</v>
      </c>
      <c r="C769" s="11">
        <v>33.238191204915331</v>
      </c>
      <c r="D769" s="11">
        <v>10.433176194765108</v>
      </c>
      <c r="E769" s="11"/>
      <c r="F769" s="10">
        <v>237</v>
      </c>
      <c r="G769" s="12" t="s">
        <v>11</v>
      </c>
      <c r="H769" s="13">
        <v>43.7</v>
      </c>
      <c r="I769" s="14"/>
      <c r="J769" s="14" t="s">
        <v>79</v>
      </c>
      <c r="K769" s="14"/>
      <c r="L769" s="13">
        <v>10.3</v>
      </c>
      <c r="M769" s="13">
        <v>1.5</v>
      </c>
      <c r="P769" s="12" t="s">
        <v>14</v>
      </c>
      <c r="Q769" s="12"/>
      <c r="R769" s="12"/>
      <c r="T769">
        <f t="shared" si="22"/>
        <v>13.910142026231654</v>
      </c>
      <c r="U769" t="str">
        <f t="shared" si="23"/>
        <v>dead</v>
      </c>
    </row>
    <row r="770" spans="1:21">
      <c r="A770" s="12">
        <v>10</v>
      </c>
      <c r="B770" s="12">
        <v>-20</v>
      </c>
      <c r="C770" s="11">
        <v>16.067810813301975</v>
      </c>
      <c r="D770" s="11">
        <v>-11.937817404696471</v>
      </c>
      <c r="E770" s="11"/>
      <c r="F770" s="12">
        <v>574</v>
      </c>
      <c r="G770" s="12" t="s">
        <v>13</v>
      </c>
      <c r="H770" s="13">
        <v>44.7</v>
      </c>
      <c r="I770" s="14"/>
      <c r="J770" s="14">
        <v>46</v>
      </c>
      <c r="K770" s="14"/>
      <c r="L770" s="13">
        <v>10.199999999999999</v>
      </c>
      <c r="M770" s="13">
        <v>2.8</v>
      </c>
      <c r="P770" s="12" t="s">
        <v>14</v>
      </c>
      <c r="Q770" s="12"/>
      <c r="R770" s="12"/>
      <c r="T770">
        <f t="shared" ref="T770:T833" si="24">IF(H770="",I770,H770/PI())</f>
        <v>14.228451912415444</v>
      </c>
      <c r="U770">
        <f t="shared" ref="U770:U833" si="25">IF(J770="dead","dead",J770/PI()+K770)</f>
        <v>14.642254764454371</v>
      </c>
    </row>
    <row r="771" spans="1:21">
      <c r="A771" s="12">
        <v>50</v>
      </c>
      <c r="B771" s="12">
        <v>-30</v>
      </c>
      <c r="C771" s="11">
        <v>50.215139710240834</v>
      </c>
      <c r="D771" s="11">
        <v>-27.437723206428444</v>
      </c>
      <c r="E771" s="11"/>
      <c r="F771" s="12">
        <v>2002</v>
      </c>
      <c r="G771" s="12" t="s">
        <v>13</v>
      </c>
      <c r="H771" s="13">
        <v>44.8</v>
      </c>
      <c r="I771" s="14"/>
      <c r="J771" s="14">
        <v>10.3</v>
      </c>
      <c r="K771" s="14"/>
      <c r="L771" s="13"/>
      <c r="M771" s="13"/>
      <c r="N771">
        <v>6</v>
      </c>
      <c r="O771">
        <v>2.1</v>
      </c>
      <c r="P771" s="12"/>
      <c r="Q771" s="12"/>
      <c r="R771" s="12" t="s">
        <v>57</v>
      </c>
      <c r="S771" t="s">
        <v>136</v>
      </c>
      <c r="T771">
        <f t="shared" si="24"/>
        <v>14.260282901033822</v>
      </c>
      <c r="U771">
        <f t="shared" si="25"/>
        <v>3.2785918276930444</v>
      </c>
    </row>
    <row r="772" spans="1:21">
      <c r="A772" s="12">
        <v>30</v>
      </c>
      <c r="B772" s="12">
        <v>10</v>
      </c>
      <c r="C772" s="11">
        <v>32.689872970198586</v>
      </c>
      <c r="D772" s="11">
        <v>12.689139352703059</v>
      </c>
      <c r="E772" s="11"/>
      <c r="F772" s="10">
        <v>235</v>
      </c>
      <c r="G772" s="12" t="s">
        <v>11</v>
      </c>
      <c r="H772" s="13">
        <v>45.2</v>
      </c>
      <c r="I772" s="14"/>
      <c r="J772" s="14" t="s">
        <v>79</v>
      </c>
      <c r="K772" s="14"/>
      <c r="L772" s="13">
        <v>7.6</v>
      </c>
      <c r="M772" s="13"/>
      <c r="P772" s="12" t="s">
        <v>12</v>
      </c>
      <c r="Q772" s="12"/>
      <c r="R772" s="12" t="s">
        <v>16</v>
      </c>
      <c r="T772">
        <f t="shared" si="24"/>
        <v>14.38760685550734</v>
      </c>
      <c r="U772" t="str">
        <f t="shared" si="25"/>
        <v>dead</v>
      </c>
    </row>
    <row r="773" spans="1:21">
      <c r="A773" s="12">
        <v>40</v>
      </c>
      <c r="B773" s="12">
        <v>20</v>
      </c>
      <c r="C773" s="11">
        <v>41.081628906778029</v>
      </c>
      <c r="D773" s="11">
        <v>27.390527773607346</v>
      </c>
      <c r="E773" s="11"/>
      <c r="F773" s="10">
        <v>303</v>
      </c>
      <c r="G773" s="12" t="s">
        <v>11</v>
      </c>
      <c r="H773" s="13">
        <v>45.4</v>
      </c>
      <c r="I773" s="14"/>
      <c r="J773" s="14" t="s">
        <v>79</v>
      </c>
      <c r="K773" s="14"/>
      <c r="L773" s="13">
        <v>7.5</v>
      </c>
      <c r="M773" s="13"/>
      <c r="P773" s="12" t="s">
        <v>12</v>
      </c>
      <c r="Q773" s="12"/>
      <c r="R773" s="12" t="s">
        <v>16</v>
      </c>
      <c r="T773">
        <f t="shared" si="24"/>
        <v>14.451268832744097</v>
      </c>
      <c r="U773" t="str">
        <f t="shared" si="25"/>
        <v>dead</v>
      </c>
    </row>
    <row r="774" spans="1:21">
      <c r="A774" s="9">
        <v>0</v>
      </c>
      <c r="B774" s="12">
        <v>30</v>
      </c>
      <c r="C774" s="11">
        <v>3.7176452813807801</v>
      </c>
      <c r="D774" s="11">
        <v>39.488579054457183</v>
      </c>
      <c r="E774" s="11"/>
      <c r="F774" s="10">
        <v>55</v>
      </c>
      <c r="G774" s="12" t="s">
        <v>11</v>
      </c>
      <c r="H774" s="13">
        <v>46.4</v>
      </c>
      <c r="I774" s="14"/>
      <c r="J774" s="14" t="s">
        <v>70</v>
      </c>
      <c r="K774" s="14"/>
      <c r="L774" s="13">
        <v>12</v>
      </c>
      <c r="M774" s="13"/>
      <c r="P774" s="12" t="s">
        <v>12</v>
      </c>
      <c r="Q774" s="12"/>
      <c r="R774" s="12"/>
      <c r="T774">
        <f t="shared" si="24"/>
        <v>14.769578718927887</v>
      </c>
      <c r="U774" t="str">
        <f t="shared" si="25"/>
        <v>dead</v>
      </c>
    </row>
    <row r="775" spans="1:21">
      <c r="A775" s="12">
        <v>40</v>
      </c>
      <c r="B775" s="12">
        <v>0</v>
      </c>
      <c r="C775" s="11">
        <v>40.876130854070112</v>
      </c>
      <c r="D775" s="11">
        <v>5.1789633141256459</v>
      </c>
      <c r="E775" s="11"/>
      <c r="F775" s="10">
        <v>265</v>
      </c>
      <c r="G775" s="12" t="s">
        <v>13</v>
      </c>
      <c r="H775" s="13">
        <v>46.9</v>
      </c>
      <c r="I775" s="14"/>
      <c r="J775" s="14" t="s">
        <v>70</v>
      </c>
      <c r="K775" s="14"/>
      <c r="L775" s="13">
        <v>6.6</v>
      </c>
      <c r="M775" s="13">
        <v>4.4000000000000004</v>
      </c>
      <c r="P775" s="12" t="s">
        <v>14</v>
      </c>
      <c r="Q775" s="12"/>
      <c r="R775" s="12" t="s">
        <v>28</v>
      </c>
      <c r="T775">
        <f t="shared" si="24"/>
        <v>14.928733662019782</v>
      </c>
      <c r="U775" t="str">
        <f t="shared" si="25"/>
        <v>dead</v>
      </c>
    </row>
    <row r="776" spans="1:21">
      <c r="A776" s="12">
        <v>30</v>
      </c>
      <c r="B776" s="12">
        <v>-20</v>
      </c>
      <c r="C776" s="11">
        <v>31.451980341886681</v>
      </c>
      <c r="D776" s="11">
        <v>-13.401670166919232</v>
      </c>
      <c r="E776" s="11"/>
      <c r="F776" s="12">
        <v>526</v>
      </c>
      <c r="G776" s="12" t="s">
        <v>21</v>
      </c>
      <c r="H776" s="13">
        <v>46.9</v>
      </c>
      <c r="I776" s="14"/>
      <c r="J776" s="14">
        <v>50.3</v>
      </c>
      <c r="K776" s="14"/>
      <c r="L776" s="13">
        <v>12.6</v>
      </c>
      <c r="M776" s="13">
        <v>2.5</v>
      </c>
      <c r="P776" s="12" t="s">
        <v>14</v>
      </c>
      <c r="Q776" s="12"/>
      <c r="R776" s="12"/>
      <c r="T776">
        <f t="shared" si="24"/>
        <v>14.928733662019782</v>
      </c>
      <c r="U776">
        <f t="shared" si="25"/>
        <v>16.01098727504467</v>
      </c>
    </row>
    <row r="777" spans="1:21">
      <c r="A777" s="12">
        <v>20</v>
      </c>
      <c r="B777" s="12">
        <v>-20</v>
      </c>
      <c r="C777" s="11">
        <v>27.094591953759824</v>
      </c>
      <c r="D777" s="11">
        <v>-13.337565454045706</v>
      </c>
      <c r="E777" s="11"/>
      <c r="F777" s="12">
        <v>546</v>
      </c>
      <c r="G777" s="12" t="s">
        <v>13</v>
      </c>
      <c r="H777" s="13">
        <v>48</v>
      </c>
      <c r="I777" s="14"/>
      <c r="J777" s="14" t="s">
        <v>70</v>
      </c>
      <c r="K777" s="14"/>
      <c r="L777" s="13">
        <v>4.3</v>
      </c>
      <c r="M777" s="13"/>
      <c r="P777" s="12" t="s">
        <v>12</v>
      </c>
      <c r="Q777" s="12"/>
      <c r="R777" s="12"/>
      <c r="T777">
        <f t="shared" si="24"/>
        <v>15.278874536821952</v>
      </c>
      <c r="U777" t="str">
        <f t="shared" si="25"/>
        <v>dead</v>
      </c>
    </row>
    <row r="778" spans="1:21">
      <c r="A778" s="9">
        <v>0</v>
      </c>
      <c r="B778" s="12">
        <v>20</v>
      </c>
      <c r="C778" s="11">
        <v>8.9259555083891282</v>
      </c>
      <c r="D778" s="11">
        <v>22.883005074962199</v>
      </c>
      <c r="E778" s="11"/>
      <c r="F778" s="10">
        <v>37</v>
      </c>
      <c r="G778" s="12" t="s">
        <v>13</v>
      </c>
      <c r="H778" s="13">
        <v>48.4</v>
      </c>
      <c r="I778" s="14"/>
      <c r="J778" s="14">
        <v>52.5</v>
      </c>
      <c r="K778" s="14"/>
      <c r="L778" s="13">
        <v>14.2</v>
      </c>
      <c r="M778" s="13">
        <v>3</v>
      </c>
      <c r="P778" s="12" t="s">
        <v>14</v>
      </c>
      <c r="Q778" s="12"/>
      <c r="R778" s="12"/>
      <c r="T778">
        <f t="shared" si="24"/>
        <v>15.406198491295468</v>
      </c>
      <c r="U778">
        <f t="shared" si="25"/>
        <v>16.71126902464901</v>
      </c>
    </row>
    <row r="779" spans="1:21">
      <c r="A779" s="12">
        <v>20</v>
      </c>
      <c r="B779" s="12">
        <v>30</v>
      </c>
      <c r="C779" s="11">
        <v>25.097578655256243</v>
      </c>
      <c r="D779" s="11">
        <v>34.13590656166906</v>
      </c>
      <c r="E779" s="11"/>
      <c r="F779" s="12">
        <v>170</v>
      </c>
      <c r="G779" s="12" t="s">
        <v>13</v>
      </c>
      <c r="H779" s="13">
        <v>49</v>
      </c>
      <c r="I779" s="14"/>
      <c r="J779" s="14" t="s">
        <v>70</v>
      </c>
      <c r="K779" s="14"/>
      <c r="L779" s="13">
        <v>6.1</v>
      </c>
      <c r="M779" s="13">
        <v>3.2</v>
      </c>
      <c r="P779" s="12" t="s">
        <v>14</v>
      </c>
      <c r="Q779" s="12"/>
      <c r="R779" s="12" t="s">
        <v>24</v>
      </c>
      <c r="T779">
        <f t="shared" si="24"/>
        <v>15.597184423005743</v>
      </c>
      <c r="U779" t="str">
        <f t="shared" si="25"/>
        <v>dead</v>
      </c>
    </row>
    <row r="780" spans="1:21">
      <c r="A780" s="12">
        <v>10</v>
      </c>
      <c r="B780" s="12">
        <v>-50</v>
      </c>
      <c r="C780" s="11">
        <v>17.164256873551739</v>
      </c>
      <c r="D780" s="11">
        <v>-46.13960352802961</v>
      </c>
      <c r="E780" s="11"/>
      <c r="F780" s="10">
        <v>817</v>
      </c>
      <c r="G780" s="12" t="s">
        <v>11</v>
      </c>
      <c r="H780" s="13">
        <v>49.4</v>
      </c>
      <c r="I780" s="14"/>
      <c r="J780" s="14">
        <v>50.5</v>
      </c>
      <c r="K780" s="14"/>
      <c r="L780" s="13">
        <v>11.7</v>
      </c>
      <c r="M780" s="13">
        <v>3.6</v>
      </c>
      <c r="P780" s="12" t="s">
        <v>14</v>
      </c>
      <c r="Q780" s="12"/>
      <c r="R780" s="12"/>
      <c r="T780">
        <f t="shared" si="24"/>
        <v>15.724508377479259</v>
      </c>
      <c r="U780">
        <f t="shared" si="25"/>
        <v>16.074649252281429</v>
      </c>
    </row>
    <row r="781" spans="1:21">
      <c r="A781" s="12">
        <v>40</v>
      </c>
      <c r="B781" s="12">
        <v>10</v>
      </c>
      <c r="C781" s="11">
        <v>42.304581878069619</v>
      </c>
      <c r="D781" s="11">
        <v>19.634808535312285</v>
      </c>
      <c r="E781" s="11"/>
      <c r="F781" s="12">
        <v>284</v>
      </c>
      <c r="G781" s="12" t="s">
        <v>13</v>
      </c>
      <c r="H781" s="13">
        <v>49.7</v>
      </c>
      <c r="I781" s="14"/>
      <c r="J781" s="14">
        <v>50.3</v>
      </c>
      <c r="K781" s="14"/>
      <c r="L781" s="13">
        <v>10.7</v>
      </c>
      <c r="M781" s="13">
        <v>3.2</v>
      </c>
      <c r="P781" s="12" t="s">
        <v>14</v>
      </c>
      <c r="Q781" s="12"/>
      <c r="R781" s="12"/>
      <c r="T781">
        <f t="shared" si="24"/>
        <v>15.820001343334399</v>
      </c>
      <c r="U781">
        <f t="shared" si="25"/>
        <v>16.01098727504467</v>
      </c>
    </row>
    <row r="782" spans="1:21">
      <c r="A782" s="12">
        <v>10</v>
      </c>
      <c r="B782" s="12">
        <v>40</v>
      </c>
      <c r="C782" s="11">
        <v>19.23738470341846</v>
      </c>
      <c r="D782" s="11">
        <v>42.642142673933385</v>
      </c>
      <c r="E782" s="11"/>
      <c r="F782" s="10">
        <v>81</v>
      </c>
      <c r="G782" s="12" t="s">
        <v>11</v>
      </c>
      <c r="H782" s="13">
        <v>50.2</v>
      </c>
      <c r="I782" s="14"/>
      <c r="J782" s="14" t="s">
        <v>79</v>
      </c>
      <c r="K782" s="14"/>
      <c r="L782" s="13">
        <v>12.1</v>
      </c>
      <c r="M782" s="13"/>
      <c r="P782" s="12" t="s">
        <v>12</v>
      </c>
      <c r="Q782" s="12"/>
      <c r="R782" s="12"/>
      <c r="T782">
        <f t="shared" si="24"/>
        <v>15.979156286426294</v>
      </c>
      <c r="U782" t="str">
        <f t="shared" si="25"/>
        <v>dead</v>
      </c>
    </row>
    <row r="783" spans="1:21">
      <c r="A783" s="12">
        <v>40</v>
      </c>
      <c r="B783" s="12">
        <v>0</v>
      </c>
      <c r="C783" s="11">
        <v>48.467731741905403</v>
      </c>
      <c r="D783" s="11">
        <v>4.3313476780518956</v>
      </c>
      <c r="E783" s="11"/>
      <c r="F783" s="10">
        <v>277</v>
      </c>
      <c r="G783" s="12" t="s">
        <v>11</v>
      </c>
      <c r="H783" s="13">
        <v>50.3</v>
      </c>
      <c r="I783" s="14"/>
      <c r="J783" s="14" t="s">
        <v>70</v>
      </c>
      <c r="K783" s="14"/>
      <c r="L783" s="13">
        <v>4.0999999999999996</v>
      </c>
      <c r="M783" s="13"/>
      <c r="P783" s="12" t="s">
        <v>12</v>
      </c>
      <c r="Q783" s="12"/>
      <c r="R783" s="12" t="s">
        <v>16</v>
      </c>
      <c r="T783">
        <f t="shared" si="24"/>
        <v>16.01098727504467</v>
      </c>
      <c r="U783" t="str">
        <f t="shared" si="25"/>
        <v>dead</v>
      </c>
    </row>
    <row r="784" spans="1:21">
      <c r="A784" s="12">
        <v>40</v>
      </c>
      <c r="B784" s="12">
        <v>-30</v>
      </c>
      <c r="C784" s="11">
        <v>48.043097408521334</v>
      </c>
      <c r="D784" s="11">
        <v>-23.901055742566481</v>
      </c>
      <c r="E784" s="11"/>
      <c r="F784" s="12">
        <v>696</v>
      </c>
      <c r="G784" s="12" t="s">
        <v>13</v>
      </c>
      <c r="H784" s="13">
        <v>51</v>
      </c>
      <c r="I784" s="14"/>
      <c r="J784" s="14">
        <v>50</v>
      </c>
      <c r="K784" s="14"/>
      <c r="L784" s="13">
        <v>9.5</v>
      </c>
      <c r="M784" s="13">
        <v>4.2</v>
      </c>
      <c r="P784" s="12" t="s">
        <v>14</v>
      </c>
      <c r="Q784" s="12"/>
      <c r="R784" s="12" t="s">
        <v>49</v>
      </c>
      <c r="T784">
        <f t="shared" si="24"/>
        <v>16.233804195373324</v>
      </c>
      <c r="U784">
        <f t="shared" si="25"/>
        <v>15.915494309189533</v>
      </c>
    </row>
    <row r="785" spans="1:21">
      <c r="A785" s="12">
        <v>0</v>
      </c>
      <c r="B785" s="12">
        <v>-30</v>
      </c>
      <c r="C785" s="11">
        <v>9.0173586714432492</v>
      </c>
      <c r="D785" s="11">
        <v>-23.071405532326935</v>
      </c>
      <c r="E785" s="11"/>
      <c r="F785" s="12">
        <v>608</v>
      </c>
      <c r="G785" s="12" t="s">
        <v>13</v>
      </c>
      <c r="H785" s="13">
        <v>51.7</v>
      </c>
      <c r="I785" s="14"/>
      <c r="J785" s="14" t="s">
        <v>70</v>
      </c>
      <c r="K785" s="14"/>
      <c r="L785" s="13">
        <v>6.6</v>
      </c>
      <c r="M785" s="13">
        <v>5</v>
      </c>
      <c r="P785" s="12" t="s">
        <v>14</v>
      </c>
      <c r="Q785" s="12"/>
      <c r="R785" s="12" t="s">
        <v>44</v>
      </c>
      <c r="T785">
        <f t="shared" si="24"/>
        <v>16.456621115701978</v>
      </c>
      <c r="U785" t="str">
        <f t="shared" si="25"/>
        <v>dead</v>
      </c>
    </row>
    <row r="786" spans="1:21">
      <c r="A786" s="12">
        <v>20</v>
      </c>
      <c r="B786" s="12">
        <v>-30</v>
      </c>
      <c r="C786" s="11">
        <v>24.631125327517815</v>
      </c>
      <c r="D786" s="11">
        <v>-26.197998447174644</v>
      </c>
      <c r="E786" s="11"/>
      <c r="F786" s="12">
        <v>646</v>
      </c>
      <c r="G786" s="12" t="s">
        <v>13</v>
      </c>
      <c r="H786" s="13">
        <v>52.2</v>
      </c>
      <c r="I786" s="14"/>
      <c r="J786" s="14">
        <v>52</v>
      </c>
      <c r="K786" s="14"/>
      <c r="L786" s="13">
        <v>11.9</v>
      </c>
      <c r="M786" s="13">
        <v>4.0999999999999996</v>
      </c>
      <c r="P786" s="12" t="s">
        <v>14</v>
      </c>
      <c r="Q786" s="12"/>
      <c r="R786" s="12"/>
      <c r="T786">
        <f t="shared" si="24"/>
        <v>16.615776058793873</v>
      </c>
      <c r="U786">
        <f t="shared" si="25"/>
        <v>16.552114081557114</v>
      </c>
    </row>
    <row r="787" spans="1:21">
      <c r="A787" s="12">
        <v>40</v>
      </c>
      <c r="B787" s="12">
        <v>-50</v>
      </c>
      <c r="C787" s="11">
        <v>45.008992517250434</v>
      </c>
      <c r="D787" s="11">
        <v>-49.500399673810001</v>
      </c>
      <c r="E787" s="11"/>
      <c r="F787" s="12">
        <v>826</v>
      </c>
      <c r="G787" s="12" t="s">
        <v>11</v>
      </c>
      <c r="H787" s="13">
        <v>53.2</v>
      </c>
      <c r="I787" s="14"/>
      <c r="J787" s="14">
        <v>54.6</v>
      </c>
      <c r="K787" s="14"/>
      <c r="L787" s="13">
        <v>11.1</v>
      </c>
      <c r="M787" s="13">
        <v>3.7</v>
      </c>
      <c r="P787" s="12" t="s">
        <v>14</v>
      </c>
      <c r="Q787" s="12"/>
      <c r="R787" s="12"/>
      <c r="T787">
        <f t="shared" si="24"/>
        <v>16.934085944977664</v>
      </c>
      <c r="U787">
        <f t="shared" si="25"/>
        <v>17.379719785634972</v>
      </c>
    </row>
    <row r="788" spans="1:21">
      <c r="A788" s="12">
        <v>40</v>
      </c>
      <c r="B788" s="12">
        <v>-30</v>
      </c>
      <c r="C788" s="11">
        <v>43.168294263952326</v>
      </c>
      <c r="D788" s="11">
        <v>-26.62296203959831</v>
      </c>
      <c r="E788" s="11"/>
      <c r="F788" s="10">
        <v>683</v>
      </c>
      <c r="G788" s="12" t="s">
        <v>11</v>
      </c>
      <c r="H788" s="13">
        <v>53.6</v>
      </c>
      <c r="I788" s="14"/>
      <c r="J788" s="14" t="s">
        <v>70</v>
      </c>
      <c r="K788" s="14"/>
      <c r="L788" s="13">
        <v>12</v>
      </c>
      <c r="M788" s="13"/>
      <c r="P788" s="12" t="s">
        <v>12</v>
      </c>
      <c r="Q788" s="12"/>
      <c r="R788" s="12"/>
      <c r="T788">
        <f t="shared" si="24"/>
        <v>17.061409899451181</v>
      </c>
      <c r="U788" t="str">
        <f t="shared" si="25"/>
        <v>dead</v>
      </c>
    </row>
    <row r="789" spans="1:21">
      <c r="A789" s="12">
        <v>0</v>
      </c>
      <c r="B789" s="12">
        <v>-20</v>
      </c>
      <c r="C789" s="11">
        <v>6.4666413112328369</v>
      </c>
      <c r="D789" s="11">
        <v>-17.283553401455698</v>
      </c>
      <c r="E789" s="11"/>
      <c r="F789" s="12">
        <v>582</v>
      </c>
      <c r="G789" s="12" t="s">
        <v>11</v>
      </c>
      <c r="H789" s="13">
        <v>54.8</v>
      </c>
      <c r="I789" s="14"/>
      <c r="J789" s="14" t="s">
        <v>70</v>
      </c>
      <c r="K789" s="14"/>
      <c r="L789" s="13">
        <v>3.7</v>
      </c>
      <c r="M789" s="13"/>
      <c r="P789" s="12" t="s">
        <v>12</v>
      </c>
      <c r="Q789" s="12"/>
      <c r="R789" s="12" t="s">
        <v>16</v>
      </c>
      <c r="T789">
        <f t="shared" si="24"/>
        <v>17.443381762871727</v>
      </c>
      <c r="U789" t="str">
        <f t="shared" si="25"/>
        <v>dead</v>
      </c>
    </row>
    <row r="790" spans="1:21">
      <c r="A790" s="12">
        <v>0</v>
      </c>
      <c r="B790" s="12">
        <v>-40</v>
      </c>
      <c r="C790" s="11">
        <v>4.8140191056457162</v>
      </c>
      <c r="D790" s="11">
        <v>-37.96763631123946</v>
      </c>
      <c r="E790" s="11"/>
      <c r="F790" s="12">
        <v>728</v>
      </c>
      <c r="G790" s="12" t="s">
        <v>11</v>
      </c>
      <c r="H790" s="13">
        <v>54.8</v>
      </c>
      <c r="I790" s="14"/>
      <c r="J790" s="14">
        <v>55.8</v>
      </c>
      <c r="K790" s="14"/>
      <c r="L790" s="13">
        <v>13.1</v>
      </c>
      <c r="M790" s="13">
        <v>3</v>
      </c>
      <c r="P790" s="12" t="s">
        <v>14</v>
      </c>
      <c r="Q790" s="12"/>
      <c r="R790" s="12"/>
      <c r="T790">
        <f t="shared" si="24"/>
        <v>17.443381762871727</v>
      </c>
      <c r="U790">
        <f t="shared" si="25"/>
        <v>17.761691649055518</v>
      </c>
    </row>
    <row r="791" spans="1:21">
      <c r="A791" s="9">
        <v>10</v>
      </c>
      <c r="B791" s="9">
        <v>-10</v>
      </c>
      <c r="C791" s="11">
        <v>10.990466041018198</v>
      </c>
      <c r="D791" s="11">
        <v>-3.8857530829415468</v>
      </c>
      <c r="E791" s="11"/>
      <c r="F791" s="12">
        <v>406</v>
      </c>
      <c r="G791" s="12" t="s">
        <v>11</v>
      </c>
      <c r="H791" s="13">
        <v>56.9</v>
      </c>
      <c r="I791" s="14"/>
      <c r="J791" s="14" t="s">
        <v>70</v>
      </c>
      <c r="K791" s="14"/>
      <c r="L791" s="13">
        <v>11.4</v>
      </c>
      <c r="M791" s="13"/>
      <c r="P791" s="12" t="s">
        <v>12</v>
      </c>
      <c r="Q791" s="12"/>
      <c r="R791" s="12"/>
      <c r="T791">
        <f t="shared" si="24"/>
        <v>18.111832523857689</v>
      </c>
      <c r="U791" t="str">
        <f t="shared" si="25"/>
        <v>dead</v>
      </c>
    </row>
    <row r="792" spans="1:21">
      <c r="A792" s="9">
        <v>0</v>
      </c>
      <c r="B792" s="12">
        <v>20</v>
      </c>
      <c r="C792" s="11">
        <v>8.640717581892984</v>
      </c>
      <c r="D792" s="11">
        <v>22.445076618424352</v>
      </c>
      <c r="E792" s="11"/>
      <c r="F792" s="12">
        <v>32</v>
      </c>
      <c r="G792" s="12" t="s">
        <v>13</v>
      </c>
      <c r="H792" s="13">
        <v>57.3</v>
      </c>
      <c r="I792" s="14"/>
      <c r="J792" s="14">
        <v>58.2</v>
      </c>
      <c r="K792" s="14"/>
      <c r="L792" s="13">
        <v>11.9</v>
      </c>
      <c r="M792" s="13">
        <v>3.5</v>
      </c>
      <c r="P792" s="12" t="s">
        <v>14</v>
      </c>
      <c r="Q792" s="12"/>
      <c r="R792" s="12"/>
      <c r="T792">
        <f t="shared" si="24"/>
        <v>18.239156478331207</v>
      </c>
      <c r="U792">
        <f t="shared" si="25"/>
        <v>18.52563537589662</v>
      </c>
    </row>
    <row r="793" spans="1:21">
      <c r="A793" s="12">
        <v>10</v>
      </c>
      <c r="B793" s="12">
        <v>40</v>
      </c>
      <c r="C793" s="11">
        <v>11.407461215204988</v>
      </c>
      <c r="D793" s="11">
        <v>46.883921646256113</v>
      </c>
      <c r="E793" s="11"/>
      <c r="F793" s="12">
        <v>74</v>
      </c>
      <c r="G793" s="12" t="s">
        <v>11</v>
      </c>
      <c r="H793" s="13">
        <v>57.7</v>
      </c>
      <c r="I793" s="14"/>
      <c r="J793" s="14">
        <v>58.8</v>
      </c>
      <c r="K793" s="14"/>
      <c r="L793" s="13">
        <v>11.3</v>
      </c>
      <c r="M793" s="13">
        <v>1.1000000000000001</v>
      </c>
      <c r="P793" s="12" t="s">
        <v>14</v>
      </c>
      <c r="Q793" s="12"/>
      <c r="R793" s="12"/>
      <c r="T793">
        <f t="shared" si="24"/>
        <v>18.366480432804725</v>
      </c>
      <c r="U793">
        <f t="shared" si="25"/>
        <v>18.716621307606893</v>
      </c>
    </row>
    <row r="794" spans="1:21">
      <c r="A794" s="12">
        <v>30</v>
      </c>
      <c r="B794" s="12">
        <v>40</v>
      </c>
      <c r="C794" s="11">
        <v>37.478923043387454</v>
      </c>
      <c r="D794" s="11">
        <v>45.780601114359932</v>
      </c>
      <c r="E794" s="11"/>
      <c r="F794" s="12">
        <v>202</v>
      </c>
      <c r="G794" s="12" t="s">
        <v>13</v>
      </c>
      <c r="H794" s="13">
        <v>57.7</v>
      </c>
      <c r="I794" s="14"/>
      <c r="J794" s="14" t="s">
        <v>79</v>
      </c>
      <c r="K794" s="14"/>
      <c r="L794" s="13">
        <v>5.9</v>
      </c>
      <c r="M794" s="13"/>
      <c r="P794" s="12" t="s">
        <v>12</v>
      </c>
      <c r="Q794" s="12"/>
      <c r="R794" s="12" t="s">
        <v>16</v>
      </c>
      <c r="T794">
        <f t="shared" si="24"/>
        <v>18.366480432804725</v>
      </c>
      <c r="U794" t="str">
        <f t="shared" si="25"/>
        <v>dead</v>
      </c>
    </row>
    <row r="795" spans="1:21">
      <c r="A795" s="12">
        <v>0</v>
      </c>
      <c r="B795" s="12">
        <v>-50</v>
      </c>
      <c r="C795" s="11">
        <v>8.970067549236866</v>
      </c>
      <c r="D795" s="11">
        <v>-42.178838944682475</v>
      </c>
      <c r="E795" s="11"/>
      <c r="F795" s="12">
        <v>810</v>
      </c>
      <c r="G795" s="12" t="s">
        <v>11</v>
      </c>
      <c r="H795" s="13">
        <v>58.5</v>
      </c>
      <c r="I795" s="14"/>
      <c r="J795" s="14">
        <v>59.5</v>
      </c>
      <c r="K795" s="14"/>
      <c r="L795" s="13">
        <v>14</v>
      </c>
      <c r="M795" s="13">
        <v>4.5</v>
      </c>
      <c r="P795" s="12" t="s">
        <v>14</v>
      </c>
      <c r="Q795" s="12"/>
      <c r="R795" s="12"/>
      <c r="T795">
        <f t="shared" si="24"/>
        <v>18.621128341751756</v>
      </c>
      <c r="U795">
        <f t="shared" si="25"/>
        <v>18.939438227935547</v>
      </c>
    </row>
    <row r="796" spans="1:21">
      <c r="A796" s="12">
        <v>20</v>
      </c>
      <c r="B796" s="12">
        <v>-30</v>
      </c>
      <c r="C796" s="11">
        <v>24.64606832553627</v>
      </c>
      <c r="D796" s="11">
        <v>-24.540464252163428</v>
      </c>
      <c r="E796" s="11"/>
      <c r="F796" s="10">
        <v>639</v>
      </c>
      <c r="G796" s="12" t="s">
        <v>11</v>
      </c>
      <c r="H796" s="13">
        <v>59</v>
      </c>
      <c r="I796" s="14"/>
      <c r="J796" s="14" t="s">
        <v>70</v>
      </c>
      <c r="K796" s="14"/>
      <c r="L796" s="13">
        <v>8.6999999999999993</v>
      </c>
      <c r="M796" s="13"/>
      <c r="P796" s="12" t="s">
        <v>12</v>
      </c>
      <c r="Q796" s="12"/>
      <c r="R796" s="12" t="s">
        <v>16</v>
      </c>
      <c r="T796">
        <f t="shared" si="24"/>
        <v>18.780283284843652</v>
      </c>
      <c r="U796" t="str">
        <f t="shared" si="25"/>
        <v>dead</v>
      </c>
    </row>
    <row r="797" spans="1:21">
      <c r="A797" s="12">
        <v>30</v>
      </c>
      <c r="B797" s="12">
        <v>-20</v>
      </c>
      <c r="C797" s="11">
        <v>30.348473496172943</v>
      </c>
      <c r="D797" s="11">
        <v>-13.361017129668324</v>
      </c>
      <c r="E797" s="11"/>
      <c r="F797" s="10">
        <v>527</v>
      </c>
      <c r="G797" s="12" t="s">
        <v>13</v>
      </c>
      <c r="H797" s="13">
        <v>59.8</v>
      </c>
      <c r="I797" s="14"/>
      <c r="J797" s="14">
        <v>61</v>
      </c>
      <c r="K797" s="14"/>
      <c r="L797" s="13">
        <v>11.3</v>
      </c>
      <c r="M797" s="13">
        <v>4.0999999999999996</v>
      </c>
      <c r="P797" s="12" t="s">
        <v>14</v>
      </c>
      <c r="Q797" s="12"/>
      <c r="R797" s="12" t="s">
        <v>38</v>
      </c>
      <c r="T797">
        <f t="shared" si="24"/>
        <v>19.034931193790683</v>
      </c>
      <c r="U797">
        <f t="shared" si="25"/>
        <v>19.416903057211233</v>
      </c>
    </row>
    <row r="798" spans="1:21">
      <c r="A798" s="12">
        <v>20</v>
      </c>
      <c r="B798" s="12">
        <v>10</v>
      </c>
      <c r="C798" s="11">
        <v>21.782757902395126</v>
      </c>
      <c r="D798" s="11">
        <v>10.540297636283698</v>
      </c>
      <c r="E798" s="11"/>
      <c r="F798" s="12">
        <v>146</v>
      </c>
      <c r="G798" s="12" t="s">
        <v>13</v>
      </c>
      <c r="H798" s="13">
        <v>60</v>
      </c>
      <c r="I798" s="14"/>
      <c r="J798" s="14" t="s">
        <v>70</v>
      </c>
      <c r="K798" s="14"/>
      <c r="L798" s="13">
        <v>7.5</v>
      </c>
      <c r="M798" s="13"/>
      <c r="P798" s="12" t="s">
        <v>12</v>
      </c>
      <c r="Q798" s="12"/>
      <c r="R798" s="12" t="s">
        <v>64</v>
      </c>
      <c r="T798">
        <f t="shared" si="24"/>
        <v>19.098593171027442</v>
      </c>
      <c r="U798" t="str">
        <f t="shared" si="25"/>
        <v>dead</v>
      </c>
    </row>
    <row r="799" spans="1:21">
      <c r="A799" s="12">
        <v>0</v>
      </c>
      <c r="B799" s="12">
        <v>-40</v>
      </c>
      <c r="C799" s="11">
        <v>2.0996441669634551</v>
      </c>
      <c r="D799" s="11">
        <v>-32.60697776877376</v>
      </c>
      <c r="E799" s="11"/>
      <c r="F799" s="12">
        <v>730</v>
      </c>
      <c r="G799" s="12" t="s">
        <v>11</v>
      </c>
      <c r="H799" s="13">
        <v>61.3</v>
      </c>
      <c r="I799" s="14"/>
      <c r="J799" s="14" t="s">
        <v>70</v>
      </c>
      <c r="K799" s="14"/>
      <c r="L799" s="13">
        <v>13.2</v>
      </c>
      <c r="M799" s="13"/>
      <c r="P799" s="12" t="s">
        <v>12</v>
      </c>
      <c r="Q799" s="12"/>
      <c r="R799" s="12"/>
      <c r="T799">
        <f t="shared" si="24"/>
        <v>19.512396023066369</v>
      </c>
      <c r="U799" t="str">
        <f t="shared" si="25"/>
        <v>dead</v>
      </c>
    </row>
    <row r="800" spans="1:21">
      <c r="A800" s="12">
        <v>20</v>
      </c>
      <c r="B800" s="12">
        <v>0</v>
      </c>
      <c r="C800" s="11">
        <v>27.834202182826417</v>
      </c>
      <c r="D800" s="11">
        <v>1.0174852129627514</v>
      </c>
      <c r="E800" s="11"/>
      <c r="F800" s="10">
        <v>117</v>
      </c>
      <c r="G800" s="12" t="s">
        <v>21</v>
      </c>
      <c r="H800" s="13">
        <v>61.5</v>
      </c>
      <c r="I800" s="14"/>
      <c r="J800" s="14">
        <v>62.4</v>
      </c>
      <c r="K800" s="14"/>
      <c r="L800" s="13">
        <v>10.5</v>
      </c>
      <c r="M800" s="13">
        <v>4.9000000000000004</v>
      </c>
      <c r="P800" s="12" t="s">
        <v>14</v>
      </c>
      <c r="Q800" s="12"/>
      <c r="R800" s="12"/>
      <c r="T800">
        <f t="shared" si="24"/>
        <v>19.576058000303128</v>
      </c>
      <c r="U800">
        <f t="shared" si="25"/>
        <v>19.862536897868537</v>
      </c>
    </row>
    <row r="801" spans="1:21">
      <c r="A801" s="12">
        <v>0</v>
      </c>
      <c r="B801" s="12">
        <v>-50</v>
      </c>
      <c r="C801" s="11">
        <v>1.8060621866094895</v>
      </c>
      <c r="D801" s="11">
        <v>-44.139055823528977</v>
      </c>
      <c r="E801" s="11"/>
      <c r="F801" s="12">
        <v>802</v>
      </c>
      <c r="G801" s="12" t="s">
        <v>11</v>
      </c>
      <c r="H801" s="13">
        <v>61.6</v>
      </c>
      <c r="I801" s="14"/>
      <c r="J801" s="14">
        <v>62</v>
      </c>
      <c r="K801" s="14"/>
      <c r="L801" s="13">
        <v>15.2</v>
      </c>
      <c r="M801" s="13">
        <v>6.9</v>
      </c>
      <c r="P801" s="12" t="s">
        <v>14</v>
      </c>
      <c r="Q801" s="12"/>
      <c r="R801" s="12"/>
      <c r="T801">
        <f t="shared" si="24"/>
        <v>19.607888988921506</v>
      </c>
      <c r="U801">
        <f t="shared" si="25"/>
        <v>19.735212943395023</v>
      </c>
    </row>
    <row r="802" spans="1:21">
      <c r="A802" s="12">
        <v>10</v>
      </c>
      <c r="B802" s="12">
        <v>-50</v>
      </c>
      <c r="C802" s="11">
        <v>13.668225905124411</v>
      </c>
      <c r="D802" s="11">
        <v>-49.401471127294251</v>
      </c>
      <c r="E802" s="11"/>
      <c r="F802" s="12">
        <v>814</v>
      </c>
      <c r="G802" s="12" t="s">
        <v>11</v>
      </c>
      <c r="H802" s="13">
        <v>62.8</v>
      </c>
      <c r="I802" s="14"/>
      <c r="J802" s="14">
        <v>63.4</v>
      </c>
      <c r="K802" s="14"/>
      <c r="L802" s="13">
        <v>16.7</v>
      </c>
      <c r="M802" s="13">
        <v>10.9</v>
      </c>
      <c r="P802" s="12" t="s">
        <v>14</v>
      </c>
      <c r="Q802" s="12"/>
      <c r="R802" s="12"/>
      <c r="T802">
        <f t="shared" si="24"/>
        <v>19.989860852342055</v>
      </c>
      <c r="U802">
        <f t="shared" si="25"/>
        <v>20.180846784052328</v>
      </c>
    </row>
    <row r="803" spans="1:21">
      <c r="A803" s="12">
        <v>0</v>
      </c>
      <c r="B803" s="12">
        <v>-40</v>
      </c>
      <c r="C803" s="11">
        <v>3.6821489091014223</v>
      </c>
      <c r="D803" s="11">
        <v>-38.271631522726807</v>
      </c>
      <c r="E803" s="11"/>
      <c r="F803" s="10">
        <v>729</v>
      </c>
      <c r="G803" s="12" t="s">
        <v>11</v>
      </c>
      <c r="H803" s="13">
        <v>63.4</v>
      </c>
      <c r="I803" s="14"/>
      <c r="J803" s="14">
        <v>64.5</v>
      </c>
      <c r="K803" s="14"/>
      <c r="L803" s="13">
        <v>16.2</v>
      </c>
      <c r="M803" s="13">
        <v>4.3</v>
      </c>
      <c r="P803" s="12" t="s">
        <v>14</v>
      </c>
      <c r="Q803" s="12"/>
      <c r="R803" s="12"/>
      <c r="T803">
        <f t="shared" si="24"/>
        <v>20.180846784052328</v>
      </c>
      <c r="U803">
        <f t="shared" si="25"/>
        <v>20.5309876588545</v>
      </c>
    </row>
    <row r="804" spans="1:21">
      <c r="A804" s="12">
        <v>10</v>
      </c>
      <c r="B804" s="12">
        <v>-50</v>
      </c>
      <c r="C804" s="11">
        <v>19.293620727485088</v>
      </c>
      <c r="D804" s="11">
        <v>-47.435506224737267</v>
      </c>
      <c r="E804" s="11"/>
      <c r="F804" s="12">
        <v>818</v>
      </c>
      <c r="G804" s="12" t="s">
        <v>11</v>
      </c>
      <c r="H804" s="13">
        <v>63.8</v>
      </c>
      <c r="I804" s="14"/>
      <c r="J804" s="14">
        <v>64.8</v>
      </c>
      <c r="K804" s="14"/>
      <c r="L804" s="13">
        <v>14.4</v>
      </c>
      <c r="M804" s="13">
        <v>4.5</v>
      </c>
      <c r="P804" s="12" t="s">
        <v>14</v>
      </c>
      <c r="Q804" s="12"/>
      <c r="R804" s="12"/>
      <c r="T804">
        <f t="shared" si="24"/>
        <v>20.308170738525845</v>
      </c>
      <c r="U804">
        <f t="shared" si="25"/>
        <v>20.626480624709636</v>
      </c>
    </row>
    <row r="805" spans="1:21">
      <c r="A805" s="12">
        <v>40</v>
      </c>
      <c r="B805" s="12">
        <v>30</v>
      </c>
      <c r="C805" s="11">
        <v>43.199272330210086</v>
      </c>
      <c r="D805" s="11">
        <v>33.055325553969148</v>
      </c>
      <c r="E805" s="11"/>
      <c r="F805" s="12">
        <v>342</v>
      </c>
      <c r="G805" s="12" t="s">
        <v>11</v>
      </c>
      <c r="H805" s="13">
        <v>65.5</v>
      </c>
      <c r="I805" s="14"/>
      <c r="J805" s="14" t="s">
        <v>70</v>
      </c>
      <c r="K805" s="14"/>
      <c r="L805" s="13">
        <v>7.9</v>
      </c>
      <c r="M805" s="13"/>
      <c r="P805" s="12" t="s">
        <v>12</v>
      </c>
      <c r="Q805" s="12"/>
      <c r="R805" s="12" t="s">
        <v>16</v>
      </c>
      <c r="T805">
        <f t="shared" si="24"/>
        <v>20.84929754503829</v>
      </c>
      <c r="U805" t="str">
        <f t="shared" si="25"/>
        <v>dead</v>
      </c>
    </row>
    <row r="806" spans="1:21">
      <c r="A806" s="12">
        <v>40</v>
      </c>
      <c r="B806" s="12">
        <v>20</v>
      </c>
      <c r="C806" s="11">
        <v>43.349094919314922</v>
      </c>
      <c r="D806" s="11">
        <v>23.576879203316832</v>
      </c>
      <c r="E806" s="11"/>
      <c r="F806" s="12">
        <v>286</v>
      </c>
      <c r="G806" s="12" t="s">
        <v>11</v>
      </c>
      <c r="H806" s="13">
        <v>65.599999999999994</v>
      </c>
      <c r="I806" s="14"/>
      <c r="J806" s="14" t="s">
        <v>70</v>
      </c>
      <c r="K806" s="14"/>
      <c r="L806" s="13">
        <v>12.2</v>
      </c>
      <c r="M806" s="13"/>
      <c r="P806" s="12" t="s">
        <v>12</v>
      </c>
      <c r="Q806" s="12"/>
      <c r="R806" s="12"/>
      <c r="T806">
        <f t="shared" si="24"/>
        <v>20.881128533656668</v>
      </c>
      <c r="U806" t="str">
        <f t="shared" si="25"/>
        <v>dead</v>
      </c>
    </row>
    <row r="807" spans="1:21">
      <c r="A807" s="12">
        <v>10</v>
      </c>
      <c r="B807" s="12">
        <v>-40</v>
      </c>
      <c r="C807" s="11">
        <v>15.458956323973755</v>
      </c>
      <c r="D807" s="11">
        <v>-30.151782097610404</v>
      </c>
      <c r="E807" s="11"/>
      <c r="F807" s="12">
        <v>724</v>
      </c>
      <c r="G807" s="12" t="s">
        <v>11</v>
      </c>
      <c r="H807" s="13">
        <v>66.900000000000006</v>
      </c>
      <c r="I807" s="14"/>
      <c r="J807" s="14" t="s">
        <v>70</v>
      </c>
      <c r="K807" s="14"/>
      <c r="L807" s="13">
        <v>15.7</v>
      </c>
      <c r="M807" s="13"/>
      <c r="P807" s="12" t="s">
        <v>12</v>
      </c>
      <c r="Q807" s="12"/>
      <c r="R807" s="12"/>
      <c r="T807">
        <f t="shared" si="24"/>
        <v>21.294931385695598</v>
      </c>
      <c r="U807" t="str">
        <f t="shared" si="25"/>
        <v>dead</v>
      </c>
    </row>
    <row r="808" spans="1:21">
      <c r="A808" s="12">
        <v>20</v>
      </c>
      <c r="B808" s="12">
        <v>10</v>
      </c>
      <c r="C808" s="11">
        <v>24.081992358517237</v>
      </c>
      <c r="D808" s="11">
        <v>14.329945512283251</v>
      </c>
      <c r="E808" s="11"/>
      <c r="F808" s="12">
        <v>158</v>
      </c>
      <c r="G808" s="12" t="s">
        <v>11</v>
      </c>
      <c r="H808" s="13">
        <v>67</v>
      </c>
      <c r="I808" s="14"/>
      <c r="J808" s="14" t="s">
        <v>79</v>
      </c>
      <c r="K808" s="14"/>
      <c r="L808" s="13">
        <v>11.4</v>
      </c>
      <c r="M808" s="13"/>
      <c r="P808" s="12" t="s">
        <v>12</v>
      </c>
      <c r="Q808" s="12"/>
      <c r="R808" s="12"/>
      <c r="T808">
        <f t="shared" si="24"/>
        <v>21.326762374313976</v>
      </c>
      <c r="U808" t="str">
        <f t="shared" si="25"/>
        <v>dead</v>
      </c>
    </row>
    <row r="809" spans="1:21">
      <c r="A809" s="12">
        <v>30</v>
      </c>
      <c r="B809" s="12">
        <v>10</v>
      </c>
      <c r="C809" s="11">
        <v>31.896743692831674</v>
      </c>
      <c r="D809" s="11">
        <v>17.510168004924175</v>
      </c>
      <c r="E809" s="11"/>
      <c r="F809" s="12">
        <v>224</v>
      </c>
      <c r="G809" s="12" t="s">
        <v>13</v>
      </c>
      <c r="H809" s="13">
        <v>68.8</v>
      </c>
      <c r="I809" s="14"/>
      <c r="J809" s="14">
        <v>68.5</v>
      </c>
      <c r="K809" s="14"/>
      <c r="L809" s="13">
        <v>7.3</v>
      </c>
      <c r="M809" s="13">
        <v>3.2</v>
      </c>
      <c r="P809" s="12" t="s">
        <v>14</v>
      </c>
      <c r="Q809" s="12"/>
      <c r="R809" s="12" t="s">
        <v>27</v>
      </c>
      <c r="T809">
        <f t="shared" si="24"/>
        <v>21.899720169444798</v>
      </c>
      <c r="U809">
        <f t="shared" si="25"/>
        <v>21.804227203589662</v>
      </c>
    </row>
    <row r="810" spans="1:21">
      <c r="A810" s="9">
        <v>10</v>
      </c>
      <c r="B810" s="9">
        <v>-10</v>
      </c>
      <c r="C810" s="11">
        <v>16.700577497173406</v>
      </c>
      <c r="D810" s="11">
        <v>-0.72791565745859188</v>
      </c>
      <c r="E810" s="11"/>
      <c r="F810" s="12">
        <v>408</v>
      </c>
      <c r="G810" s="12" t="s">
        <v>11</v>
      </c>
      <c r="H810" s="13">
        <v>69.2</v>
      </c>
      <c r="I810" s="14"/>
      <c r="J810" s="14" t="s">
        <v>70</v>
      </c>
      <c r="K810" s="14"/>
      <c r="L810" s="13">
        <v>13.5</v>
      </c>
      <c r="M810" s="13"/>
      <c r="P810" s="12" t="s">
        <v>12</v>
      </c>
      <c r="Q810" s="12"/>
      <c r="R810" s="12"/>
      <c r="T810">
        <f t="shared" si="24"/>
        <v>22.027044123918316</v>
      </c>
      <c r="U810" t="str">
        <f t="shared" si="25"/>
        <v>dead</v>
      </c>
    </row>
    <row r="811" spans="1:21">
      <c r="A811" s="12">
        <v>20</v>
      </c>
      <c r="B811" s="12">
        <v>-30</v>
      </c>
      <c r="C811" s="11">
        <v>25.194452297598396</v>
      </c>
      <c r="D811" s="11">
        <v>-23.933295219017086</v>
      </c>
      <c r="E811" s="11"/>
      <c r="F811" s="12">
        <v>638</v>
      </c>
      <c r="G811" s="12" t="s">
        <v>11</v>
      </c>
      <c r="H811" s="13">
        <v>69.8</v>
      </c>
      <c r="I811" s="14"/>
      <c r="J811" s="14" t="s">
        <v>70</v>
      </c>
      <c r="K811" s="14"/>
      <c r="L811" s="13">
        <v>14.6</v>
      </c>
      <c r="M811" s="13"/>
      <c r="P811" s="12" t="s">
        <v>12</v>
      </c>
      <c r="Q811" s="12"/>
      <c r="R811" s="12"/>
      <c r="T811">
        <f t="shared" si="24"/>
        <v>22.218030055628589</v>
      </c>
      <c r="U811" t="str">
        <f t="shared" si="25"/>
        <v>dead</v>
      </c>
    </row>
    <row r="812" spans="1:21">
      <c r="A812" s="12">
        <v>40</v>
      </c>
      <c r="B812" s="12">
        <v>-30</v>
      </c>
      <c r="C812" s="11">
        <v>47.825175149350287</v>
      </c>
      <c r="D812" s="11">
        <v>-23.723873104039001</v>
      </c>
      <c r="E812" s="11"/>
      <c r="F812" s="10">
        <v>697</v>
      </c>
      <c r="G812" s="12" t="s">
        <v>13</v>
      </c>
      <c r="H812" s="13">
        <v>71.2</v>
      </c>
      <c r="I812" s="14"/>
      <c r="J812" s="14">
        <v>18</v>
      </c>
      <c r="K812" s="14"/>
      <c r="L812" s="13">
        <v>5.5</v>
      </c>
      <c r="M812" s="13">
        <v>1.9</v>
      </c>
      <c r="P812" s="12" t="s">
        <v>14</v>
      </c>
      <c r="Q812" s="12"/>
      <c r="R812" s="12"/>
      <c r="T812">
        <f t="shared" si="24"/>
        <v>22.663663896285897</v>
      </c>
      <c r="U812">
        <f t="shared" si="25"/>
        <v>5.7295779513082321</v>
      </c>
    </row>
    <row r="813" spans="1:21">
      <c r="A813" s="9">
        <v>0</v>
      </c>
      <c r="B813" s="12">
        <v>30</v>
      </c>
      <c r="C813" s="11">
        <v>8.4116641956156712</v>
      </c>
      <c r="D813" s="11">
        <v>38.288269613612911</v>
      </c>
      <c r="E813" s="11"/>
      <c r="F813" s="12">
        <v>60</v>
      </c>
      <c r="G813" s="12" t="s">
        <v>11</v>
      </c>
      <c r="H813" s="13">
        <v>71.5</v>
      </c>
      <c r="I813" s="14"/>
      <c r="J813" s="14" t="s">
        <v>70</v>
      </c>
      <c r="K813" s="14"/>
      <c r="L813" s="13">
        <v>13.1</v>
      </c>
      <c r="M813" s="13"/>
      <c r="P813" s="12" t="s">
        <v>12</v>
      </c>
      <c r="Q813" s="12"/>
      <c r="R813" s="12"/>
      <c r="T813">
        <f t="shared" si="24"/>
        <v>22.759156862141033</v>
      </c>
      <c r="U813" t="str">
        <f t="shared" si="25"/>
        <v>dead</v>
      </c>
    </row>
    <row r="814" spans="1:21">
      <c r="A814" s="9">
        <v>0</v>
      </c>
      <c r="B814" s="9">
        <v>0</v>
      </c>
      <c r="C814" s="11">
        <v>5.1128726289895026</v>
      </c>
      <c r="D814" s="11">
        <v>4.974456640370116</v>
      </c>
      <c r="E814" s="11"/>
      <c r="F814" s="12">
        <v>16</v>
      </c>
      <c r="G814" s="12" t="s">
        <v>11</v>
      </c>
      <c r="H814" s="13">
        <v>72.2</v>
      </c>
      <c r="I814" s="14"/>
      <c r="J814" s="14" t="s">
        <v>70</v>
      </c>
      <c r="K814" s="14"/>
      <c r="L814" s="13">
        <v>9.8000000000000007</v>
      </c>
      <c r="M814" s="13"/>
      <c r="P814" s="12" t="s">
        <v>12</v>
      </c>
      <c r="Q814" s="12"/>
      <c r="R814" s="12" t="s">
        <v>16</v>
      </c>
      <c r="T814">
        <f t="shared" si="24"/>
        <v>22.981973782469687</v>
      </c>
      <c r="U814" t="str">
        <f t="shared" si="25"/>
        <v>dead</v>
      </c>
    </row>
    <row r="815" spans="1:21">
      <c r="A815" s="12">
        <v>20</v>
      </c>
      <c r="B815" s="12">
        <v>-20</v>
      </c>
      <c r="C815" s="11">
        <v>28.465129140768692</v>
      </c>
      <c r="D815" s="11">
        <v>-16.499565697864465</v>
      </c>
      <c r="E815" s="11"/>
      <c r="F815" s="10">
        <v>559</v>
      </c>
      <c r="G815" s="12" t="s">
        <v>11</v>
      </c>
      <c r="H815" s="13">
        <v>73</v>
      </c>
      <c r="I815" s="14"/>
      <c r="J815" s="14" t="s">
        <v>70</v>
      </c>
      <c r="K815" s="14"/>
      <c r="L815" s="13">
        <v>3</v>
      </c>
      <c r="M815" s="13"/>
      <c r="P815" s="12" t="s">
        <v>12</v>
      </c>
      <c r="Q815" s="12"/>
      <c r="R815" s="12"/>
      <c r="T815">
        <f t="shared" si="24"/>
        <v>23.236621691416719</v>
      </c>
      <c r="U815" t="str">
        <f t="shared" si="25"/>
        <v>dead</v>
      </c>
    </row>
    <row r="816" spans="1:21">
      <c r="A816" s="12">
        <v>10</v>
      </c>
      <c r="B816" s="12">
        <v>-30</v>
      </c>
      <c r="C816" s="11">
        <v>10.670995073625223</v>
      </c>
      <c r="D816" s="11">
        <v>-20.197424387494433</v>
      </c>
      <c r="E816" s="11"/>
      <c r="F816" s="10">
        <v>617</v>
      </c>
      <c r="G816" s="12" t="s">
        <v>11</v>
      </c>
      <c r="H816" s="13">
        <v>73</v>
      </c>
      <c r="I816" s="14"/>
      <c r="J816" s="14" t="s">
        <v>70</v>
      </c>
      <c r="K816" s="14"/>
      <c r="L816" s="13">
        <v>13.7</v>
      </c>
      <c r="M816" s="13"/>
      <c r="P816" s="12" t="s">
        <v>12</v>
      </c>
      <c r="Q816" s="12"/>
      <c r="R816" s="12"/>
      <c r="T816">
        <f t="shared" si="24"/>
        <v>23.236621691416719</v>
      </c>
      <c r="U816" t="str">
        <f t="shared" si="25"/>
        <v>dead</v>
      </c>
    </row>
    <row r="817" spans="1:21">
      <c r="A817" s="12">
        <v>40</v>
      </c>
      <c r="B817" s="12">
        <v>10</v>
      </c>
      <c r="C817" s="11">
        <v>44.877625007161186</v>
      </c>
      <c r="D817" s="11">
        <v>16.837663182661874</v>
      </c>
      <c r="E817" s="11"/>
      <c r="F817" s="10">
        <v>283</v>
      </c>
      <c r="G817" s="12" t="s">
        <v>11</v>
      </c>
      <c r="H817" s="13">
        <v>73.400000000000006</v>
      </c>
      <c r="I817" s="14"/>
      <c r="J817" s="14" t="s">
        <v>70</v>
      </c>
      <c r="K817" s="14"/>
      <c r="L817" s="13">
        <v>15.9</v>
      </c>
      <c r="M817" s="13"/>
      <c r="P817" s="12" t="s">
        <v>12</v>
      </c>
      <c r="Q817" s="12"/>
      <c r="R817" s="12"/>
      <c r="T817">
        <f t="shared" si="24"/>
        <v>23.363945645890237</v>
      </c>
      <c r="U817" t="str">
        <f t="shared" si="25"/>
        <v>dead</v>
      </c>
    </row>
    <row r="818" spans="1:21">
      <c r="A818" s="12">
        <v>40</v>
      </c>
      <c r="B818" s="12">
        <v>-30</v>
      </c>
      <c r="C818" s="11">
        <v>41.448771966454686</v>
      </c>
      <c r="D818" s="11">
        <v>-26.34615792902456</v>
      </c>
      <c r="E818" s="11"/>
      <c r="F818" s="10">
        <v>693</v>
      </c>
      <c r="G818" s="12" t="s">
        <v>11</v>
      </c>
      <c r="H818" s="13">
        <v>75.5</v>
      </c>
      <c r="I818" s="14"/>
      <c r="J818" s="14" t="s">
        <v>70</v>
      </c>
      <c r="K818" s="14"/>
      <c r="L818" s="13">
        <v>14.5</v>
      </c>
      <c r="M818" s="13"/>
      <c r="P818" s="12" t="s">
        <v>12</v>
      </c>
      <c r="Q818" s="12"/>
      <c r="R818" s="12"/>
      <c r="T818">
        <f t="shared" si="24"/>
        <v>24.032396406876195</v>
      </c>
      <c r="U818" t="str">
        <f t="shared" si="25"/>
        <v>dead</v>
      </c>
    </row>
    <row r="819" spans="1:21">
      <c r="A819" s="12">
        <v>10</v>
      </c>
      <c r="B819" s="12">
        <v>-50</v>
      </c>
      <c r="C819" s="11">
        <v>11.451037265159524</v>
      </c>
      <c r="D819" s="11">
        <v>-46.139995316284079</v>
      </c>
      <c r="E819" s="11"/>
      <c r="F819" s="12">
        <v>812</v>
      </c>
      <c r="G819" s="12" t="s">
        <v>11</v>
      </c>
      <c r="H819" s="13">
        <v>76.5</v>
      </c>
      <c r="I819" s="14"/>
      <c r="J819" s="14">
        <v>78.2</v>
      </c>
      <c r="K819" s="14"/>
      <c r="L819" s="13">
        <v>16</v>
      </c>
      <c r="M819" s="13">
        <v>4.5999999999999996</v>
      </c>
      <c r="P819" s="12" t="s">
        <v>14</v>
      </c>
      <c r="Q819" s="12"/>
      <c r="R819" s="12"/>
      <c r="T819">
        <f t="shared" si="24"/>
        <v>24.350706293059986</v>
      </c>
      <c r="U819">
        <f t="shared" si="25"/>
        <v>24.891833099572434</v>
      </c>
    </row>
    <row r="820" spans="1:21">
      <c r="A820" s="12">
        <v>20</v>
      </c>
      <c r="B820" s="12">
        <v>-30</v>
      </c>
      <c r="C820" s="11">
        <v>23.287444262669794</v>
      </c>
      <c r="D820" s="11">
        <v>-25.263316014950586</v>
      </c>
      <c r="E820" s="11"/>
      <c r="F820" s="12">
        <v>640</v>
      </c>
      <c r="G820" s="12" t="s">
        <v>11</v>
      </c>
      <c r="H820" s="13">
        <v>78.5</v>
      </c>
      <c r="I820" s="14"/>
      <c r="J820" s="14" t="s">
        <v>70</v>
      </c>
      <c r="K820" s="14"/>
      <c r="L820" s="13">
        <v>15.7</v>
      </c>
      <c r="M820" s="13"/>
      <c r="P820" s="12" t="s">
        <v>12</v>
      </c>
      <c r="Q820" s="12"/>
      <c r="R820" s="12"/>
      <c r="T820">
        <f t="shared" si="24"/>
        <v>24.98732606542757</v>
      </c>
      <c r="U820" t="str">
        <f t="shared" si="25"/>
        <v>dead</v>
      </c>
    </row>
    <row r="821" spans="1:21">
      <c r="A821" s="12">
        <v>10</v>
      </c>
      <c r="B821" s="12">
        <v>-40</v>
      </c>
      <c r="C821" s="11">
        <v>15.09772605013295</v>
      </c>
      <c r="D821" s="11">
        <v>-34.417277624868319</v>
      </c>
      <c r="E821" s="11"/>
      <c r="F821" s="10">
        <v>725</v>
      </c>
      <c r="G821" s="12" t="s">
        <v>11</v>
      </c>
      <c r="H821" s="13">
        <v>79.5</v>
      </c>
      <c r="I821" s="14"/>
      <c r="J821" s="14" t="s">
        <v>70</v>
      </c>
      <c r="K821" s="14"/>
      <c r="L821" s="13">
        <v>15.3</v>
      </c>
      <c r="M821" s="13"/>
      <c r="P821" s="12" t="s">
        <v>12</v>
      </c>
      <c r="Q821" s="12"/>
      <c r="R821" s="12"/>
      <c r="T821">
        <f t="shared" si="24"/>
        <v>25.305635951611361</v>
      </c>
      <c r="U821" t="str">
        <f t="shared" si="25"/>
        <v>dead</v>
      </c>
    </row>
    <row r="822" spans="1:21">
      <c r="A822" s="12">
        <v>20</v>
      </c>
      <c r="B822" s="12">
        <v>0</v>
      </c>
      <c r="C822" s="11">
        <v>26.439860963064383</v>
      </c>
      <c r="D822" s="11">
        <v>0.88215122082297992</v>
      </c>
      <c r="E822" s="11"/>
      <c r="F822" s="12">
        <v>116</v>
      </c>
      <c r="G822" s="12" t="s">
        <v>21</v>
      </c>
      <c r="H822" s="13">
        <v>80</v>
      </c>
      <c r="I822" s="14"/>
      <c r="J822" s="14" t="s">
        <v>79</v>
      </c>
      <c r="K822" s="14"/>
      <c r="L822" s="13">
        <v>1.8</v>
      </c>
      <c r="M822" s="13"/>
      <c r="P822" s="12" t="s">
        <v>12</v>
      </c>
      <c r="Q822" s="12"/>
      <c r="R822" s="12" t="s">
        <v>63</v>
      </c>
      <c r="T822">
        <f t="shared" si="24"/>
        <v>25.464790894703256</v>
      </c>
      <c r="U822" t="str">
        <f t="shared" si="25"/>
        <v>dead</v>
      </c>
    </row>
    <row r="823" spans="1:21">
      <c r="A823" s="12">
        <v>40</v>
      </c>
      <c r="B823" s="12">
        <v>20</v>
      </c>
      <c r="C823" s="11">
        <v>48.156732809019061</v>
      </c>
      <c r="D823" s="11">
        <v>26.181056034521198</v>
      </c>
      <c r="E823" s="11"/>
      <c r="F823" s="10">
        <v>287</v>
      </c>
      <c r="G823" s="12" t="s">
        <v>11</v>
      </c>
      <c r="H823" s="13">
        <v>80.400000000000006</v>
      </c>
      <c r="I823" s="14"/>
      <c r="J823" s="14" t="s">
        <v>70</v>
      </c>
      <c r="K823" s="14"/>
      <c r="L823" s="13">
        <v>18.5</v>
      </c>
      <c r="M823" s="13"/>
      <c r="P823" s="12" t="s">
        <v>12</v>
      </c>
      <c r="Q823" s="12"/>
      <c r="R823" s="12"/>
      <c r="T823">
        <f t="shared" si="24"/>
        <v>25.592114849176774</v>
      </c>
      <c r="U823" t="str">
        <f t="shared" si="25"/>
        <v>dead</v>
      </c>
    </row>
    <row r="824" spans="1:21">
      <c r="A824" s="12">
        <v>40</v>
      </c>
      <c r="B824" s="12">
        <v>-20</v>
      </c>
      <c r="C824" s="11">
        <v>40.793988816431167</v>
      </c>
      <c r="D824" s="11">
        <v>-19.0753336996158</v>
      </c>
      <c r="E824" s="11"/>
      <c r="F824" s="12">
        <v>512</v>
      </c>
      <c r="G824" s="12" t="s">
        <v>11</v>
      </c>
      <c r="H824" s="13">
        <v>86</v>
      </c>
      <c r="I824" s="14"/>
      <c r="J824" s="14" t="s">
        <v>70</v>
      </c>
      <c r="K824" s="14"/>
      <c r="L824" s="13">
        <v>16.5</v>
      </c>
      <c r="M824" s="13"/>
      <c r="P824" s="12" t="s">
        <v>12</v>
      </c>
      <c r="Q824" s="12"/>
      <c r="R824" s="12"/>
      <c r="T824">
        <f t="shared" si="24"/>
        <v>27.374650211805999</v>
      </c>
      <c r="U824" t="str">
        <f t="shared" si="25"/>
        <v>dead</v>
      </c>
    </row>
    <row r="825" spans="1:21">
      <c r="A825" s="12">
        <v>20</v>
      </c>
      <c r="B825" s="12">
        <v>-50</v>
      </c>
      <c r="C825" s="11">
        <v>23.607320227562639</v>
      </c>
      <c r="D825" s="11">
        <v>-43.356142628275542</v>
      </c>
      <c r="E825" s="11"/>
      <c r="F825" s="10">
        <v>819</v>
      </c>
      <c r="G825" s="10" t="s">
        <v>56</v>
      </c>
      <c r="H825" s="13">
        <v>87.8</v>
      </c>
      <c r="I825" s="14"/>
      <c r="J825" s="14" t="s">
        <v>70</v>
      </c>
      <c r="K825" s="14"/>
      <c r="L825" s="13">
        <v>16.899999999999999</v>
      </c>
      <c r="M825" s="13"/>
      <c r="P825" s="12" t="s">
        <v>12</v>
      </c>
      <c r="Q825" s="12"/>
      <c r="R825" s="12"/>
      <c r="T825">
        <f t="shared" si="24"/>
        <v>27.947608006936822</v>
      </c>
      <c r="U825" t="str">
        <f t="shared" si="25"/>
        <v>dead</v>
      </c>
    </row>
    <row r="826" spans="1:21">
      <c r="A826" s="12">
        <v>0</v>
      </c>
      <c r="B826" s="12">
        <v>-20</v>
      </c>
      <c r="C826" s="11">
        <v>8.5366685337559378</v>
      </c>
      <c r="D826" s="11">
        <v>-10.477273867691553</v>
      </c>
      <c r="E826" s="11"/>
      <c r="F826" s="12">
        <v>590</v>
      </c>
      <c r="G826" s="12" t="s">
        <v>11</v>
      </c>
      <c r="H826" s="13">
        <v>88.5</v>
      </c>
      <c r="I826" s="14"/>
      <c r="J826" s="14" t="s">
        <v>70</v>
      </c>
      <c r="K826" s="14"/>
      <c r="L826" s="13">
        <v>8.4</v>
      </c>
      <c r="M826" s="13"/>
      <c r="P826" s="12" t="s">
        <v>12</v>
      </c>
      <c r="Q826" s="12"/>
      <c r="R826" s="12" t="s">
        <v>16</v>
      </c>
      <c r="T826">
        <f t="shared" si="24"/>
        <v>28.170424927265476</v>
      </c>
      <c r="U826" t="str">
        <f t="shared" si="25"/>
        <v>dead</v>
      </c>
    </row>
    <row r="827" spans="1:21">
      <c r="A827" s="12">
        <v>20</v>
      </c>
      <c r="B827" s="12">
        <v>-20</v>
      </c>
      <c r="C827" s="11">
        <v>27.300589115830448</v>
      </c>
      <c r="D827" s="11">
        <v>-39.453605858000387</v>
      </c>
      <c r="E827" s="11"/>
      <c r="F827" s="10">
        <v>717</v>
      </c>
      <c r="G827" s="12" t="s">
        <v>11</v>
      </c>
      <c r="H827" s="13">
        <v>90.2</v>
      </c>
      <c r="I827" s="14"/>
      <c r="J827" s="14" t="s">
        <v>70</v>
      </c>
      <c r="K827" s="14"/>
      <c r="L827" s="13">
        <v>19.399999999999999</v>
      </c>
      <c r="M827" s="13"/>
      <c r="P827" s="12" t="s">
        <v>12</v>
      </c>
      <c r="Q827" s="12"/>
      <c r="R827" s="12"/>
      <c r="T827">
        <f t="shared" si="24"/>
        <v>28.71155173377792</v>
      </c>
      <c r="U827" t="str">
        <f t="shared" si="25"/>
        <v>dead</v>
      </c>
    </row>
    <row r="828" spans="1:21">
      <c r="A828" s="12">
        <v>30</v>
      </c>
      <c r="B828" s="12">
        <v>-20</v>
      </c>
      <c r="C828" s="11">
        <v>30.741420526021269</v>
      </c>
      <c r="D828" s="11">
        <v>-33.689937750172362</v>
      </c>
      <c r="E828" s="11"/>
      <c r="F828" s="10">
        <v>713</v>
      </c>
      <c r="G828" s="12" t="s">
        <v>11</v>
      </c>
      <c r="H828" s="13">
        <v>91.4</v>
      </c>
      <c r="I828" s="14"/>
      <c r="J828" s="14" t="s">
        <v>70</v>
      </c>
      <c r="K828" s="14"/>
      <c r="L828" s="13">
        <v>16.100000000000001</v>
      </c>
      <c r="M828" s="13"/>
      <c r="P828" s="12" t="s">
        <v>12</v>
      </c>
      <c r="Q828" s="12"/>
      <c r="R828" s="12" t="s">
        <v>16</v>
      </c>
      <c r="T828">
        <f t="shared" si="24"/>
        <v>29.09352359719847</v>
      </c>
      <c r="U828" t="str">
        <f t="shared" si="25"/>
        <v>dead</v>
      </c>
    </row>
    <row r="829" spans="1:21">
      <c r="A829" s="12">
        <v>0</v>
      </c>
      <c r="B829" s="12">
        <v>-20</v>
      </c>
      <c r="C829" s="11">
        <v>1.8407745955404609</v>
      </c>
      <c r="D829" s="11">
        <v>-14.422176939971177</v>
      </c>
      <c r="E829" s="11"/>
      <c r="F829" s="12">
        <v>588</v>
      </c>
      <c r="G829" s="12" t="s">
        <v>11</v>
      </c>
      <c r="H829" s="13">
        <v>92</v>
      </c>
      <c r="I829" s="14"/>
      <c r="J829" s="14" t="s">
        <v>70</v>
      </c>
      <c r="K829" s="14"/>
      <c r="L829" s="13">
        <v>13.5</v>
      </c>
      <c r="M829" s="13"/>
      <c r="P829" s="12" t="s">
        <v>12</v>
      </c>
      <c r="Q829" s="12"/>
      <c r="R829" s="12"/>
      <c r="T829">
        <f t="shared" si="24"/>
        <v>29.284509528908742</v>
      </c>
      <c r="U829" t="str">
        <f t="shared" si="25"/>
        <v>dead</v>
      </c>
    </row>
    <row r="830" spans="1:21">
      <c r="A830" s="12">
        <v>0</v>
      </c>
      <c r="B830" s="12">
        <v>-30</v>
      </c>
      <c r="C830" s="11">
        <v>3.7272304886527081</v>
      </c>
      <c r="D830" s="11">
        <v>-27.998115259228051</v>
      </c>
      <c r="E830" s="11"/>
      <c r="F830" s="12">
        <v>606</v>
      </c>
      <c r="G830" s="12" t="s">
        <v>11</v>
      </c>
      <c r="H830" s="13">
        <v>93.6</v>
      </c>
      <c r="I830" s="14"/>
      <c r="J830" s="14" t="s">
        <v>70</v>
      </c>
      <c r="K830" s="14"/>
      <c r="L830" s="13">
        <v>18.399999999999999</v>
      </c>
      <c r="M830" s="13"/>
      <c r="P830" s="12" t="s">
        <v>12</v>
      </c>
      <c r="Q830" s="12"/>
      <c r="R830" s="12"/>
      <c r="T830">
        <f t="shared" si="24"/>
        <v>29.793805346802806</v>
      </c>
      <c r="U830" t="str">
        <f t="shared" si="25"/>
        <v>dead</v>
      </c>
    </row>
    <row r="831" spans="1:21">
      <c r="A831" s="12">
        <v>10</v>
      </c>
      <c r="B831" s="12">
        <v>-20</v>
      </c>
      <c r="C831" s="11">
        <v>17.437640230641318</v>
      </c>
      <c r="D831" s="11">
        <v>-18.478582104623413</v>
      </c>
      <c r="E831" s="11"/>
      <c r="F831" s="10">
        <v>571</v>
      </c>
      <c r="G831" s="12" t="s">
        <v>11</v>
      </c>
      <c r="H831" s="13">
        <v>97.2</v>
      </c>
      <c r="I831" s="14"/>
      <c r="J831" s="14" t="s">
        <v>70</v>
      </c>
      <c r="K831" s="14"/>
      <c r="L831" s="13">
        <v>16.3</v>
      </c>
      <c r="M831" s="13"/>
      <c r="P831" s="12" t="s">
        <v>12</v>
      </c>
      <c r="Q831" s="12"/>
      <c r="R831" s="12"/>
      <c r="T831">
        <f t="shared" si="24"/>
        <v>30.939720937064454</v>
      </c>
      <c r="U831" t="str">
        <f t="shared" si="25"/>
        <v>dead</v>
      </c>
    </row>
    <row r="832" spans="1:21">
      <c r="A832" s="12">
        <v>20</v>
      </c>
      <c r="B832" s="12">
        <v>10</v>
      </c>
      <c r="C832" s="11">
        <v>23.07038032055581</v>
      </c>
      <c r="D832" s="11">
        <v>14.569998788165483</v>
      </c>
      <c r="E832" s="11"/>
      <c r="F832" s="12">
        <v>156</v>
      </c>
      <c r="G832" s="12" t="s">
        <v>11</v>
      </c>
      <c r="H832" s="13">
        <v>97.3</v>
      </c>
      <c r="I832" s="14"/>
      <c r="J832" s="14" t="s">
        <v>79</v>
      </c>
      <c r="K832" s="14"/>
      <c r="L832" s="13">
        <v>16.899999999999999</v>
      </c>
      <c r="M832" s="13"/>
      <c r="P832" s="12" t="s">
        <v>12</v>
      </c>
      <c r="Q832" s="12"/>
      <c r="R832" s="12"/>
      <c r="T832">
        <f t="shared" si="24"/>
        <v>30.971551925682832</v>
      </c>
      <c r="U832" t="str">
        <f t="shared" si="25"/>
        <v>dead</v>
      </c>
    </row>
    <row r="833" spans="1:21">
      <c r="A833" s="12">
        <v>30</v>
      </c>
      <c r="B833" s="12">
        <v>-50</v>
      </c>
      <c r="C833" s="11">
        <v>33.914906133753021</v>
      </c>
      <c r="D833" s="11">
        <v>-40.244402616523288</v>
      </c>
      <c r="E833" s="11"/>
      <c r="F833" s="10">
        <v>821</v>
      </c>
      <c r="G833" s="12" t="s">
        <v>11</v>
      </c>
      <c r="H833" s="13">
        <v>99.5</v>
      </c>
      <c r="I833" s="14"/>
      <c r="J833" s="14" t="s">
        <v>70</v>
      </c>
      <c r="K833" s="14"/>
      <c r="L833" s="13">
        <v>18.600000000000001</v>
      </c>
      <c r="M833" s="13"/>
      <c r="P833" s="12" t="s">
        <v>12</v>
      </c>
      <c r="Q833" s="12"/>
      <c r="R833" s="12"/>
      <c r="T833">
        <f t="shared" si="24"/>
        <v>31.671833675287171</v>
      </c>
      <c r="U833" t="str">
        <f t="shared" si="25"/>
        <v>dead</v>
      </c>
    </row>
    <row r="834" spans="1:21">
      <c r="A834" s="12">
        <v>10</v>
      </c>
      <c r="B834" s="12">
        <v>-40</v>
      </c>
      <c r="C834" s="11">
        <v>18.077169041346473</v>
      </c>
      <c r="D834" s="11">
        <v>-34.59280661733704</v>
      </c>
      <c r="E834" s="11"/>
      <c r="F834" s="12">
        <v>722</v>
      </c>
      <c r="G834" s="12" t="s">
        <v>11</v>
      </c>
      <c r="H834" s="13">
        <v>101.1</v>
      </c>
      <c r="I834" s="14"/>
      <c r="J834" s="14" t="s">
        <v>70</v>
      </c>
      <c r="K834" s="14"/>
      <c r="L834" s="13">
        <v>21.4</v>
      </c>
      <c r="M834" s="13"/>
      <c r="P834" s="12" t="s">
        <v>12</v>
      </c>
      <c r="Q834" s="12"/>
      <c r="R834" s="12"/>
      <c r="T834">
        <f t="shared" ref="T834:T842" si="26">IF(H834="",I834,H834/PI())</f>
        <v>32.181129493181238</v>
      </c>
      <c r="U834" t="str">
        <f t="shared" ref="U834:U842" si="27">IF(J834="dead","dead",J834/PI()+K834)</f>
        <v>dead</v>
      </c>
    </row>
    <row r="835" spans="1:21">
      <c r="A835" s="9">
        <v>0</v>
      </c>
      <c r="B835" s="9">
        <v>-10</v>
      </c>
      <c r="C835" s="11">
        <v>1.2154303413929617</v>
      </c>
      <c r="D835" s="11">
        <v>-9.4124380158473588</v>
      </c>
      <c r="E835" s="11"/>
      <c r="F835" s="10">
        <v>405</v>
      </c>
      <c r="G835" s="12" t="s">
        <v>11</v>
      </c>
      <c r="H835" s="13">
        <v>103</v>
      </c>
      <c r="I835" s="14"/>
      <c r="J835" s="14" t="s">
        <v>70</v>
      </c>
      <c r="K835" s="14"/>
      <c r="L835" s="13">
        <v>14.6</v>
      </c>
      <c r="M835" s="13"/>
      <c r="P835" s="12" t="s">
        <v>12</v>
      </c>
      <c r="Q835" s="12"/>
      <c r="R835" s="12"/>
      <c r="T835">
        <f t="shared" si="26"/>
        <v>32.785918276930438</v>
      </c>
      <c r="U835" t="str">
        <f t="shared" si="27"/>
        <v>dead</v>
      </c>
    </row>
    <row r="836" spans="1:21">
      <c r="A836" s="12">
        <v>0</v>
      </c>
      <c r="B836" s="12">
        <v>-50</v>
      </c>
      <c r="C836" s="11">
        <v>3.5447906807329383</v>
      </c>
      <c r="D836" s="11">
        <v>-47.858700442468063</v>
      </c>
      <c r="E836" s="11"/>
      <c r="F836" s="12">
        <v>806</v>
      </c>
      <c r="G836" s="12" t="s">
        <v>11</v>
      </c>
      <c r="H836" s="13">
        <v>103.2</v>
      </c>
      <c r="I836" s="14"/>
      <c r="J836" s="14">
        <v>105.3</v>
      </c>
      <c r="K836" s="14"/>
      <c r="L836" s="13">
        <v>18.5</v>
      </c>
      <c r="M836" s="13">
        <v>10.3</v>
      </c>
      <c r="P836" s="12" t="s">
        <v>14</v>
      </c>
      <c r="Q836" s="12"/>
      <c r="R836" s="12"/>
      <c r="T836">
        <f t="shared" si="26"/>
        <v>32.849580254167201</v>
      </c>
      <c r="U836">
        <f t="shared" si="27"/>
        <v>33.518031015153156</v>
      </c>
    </row>
    <row r="837" spans="1:21">
      <c r="A837" s="12">
        <v>30</v>
      </c>
      <c r="B837" s="12">
        <v>-30</v>
      </c>
      <c r="C837" s="11">
        <v>36.146983389485356</v>
      </c>
      <c r="D837" s="11">
        <v>-27.645305435977761</v>
      </c>
      <c r="E837" s="11"/>
      <c r="F837" s="10">
        <v>675</v>
      </c>
      <c r="G837" s="12" t="s">
        <v>11</v>
      </c>
      <c r="H837" s="13">
        <v>104</v>
      </c>
      <c r="I837" s="14"/>
      <c r="J837" s="14" t="s">
        <v>70</v>
      </c>
      <c r="K837" s="14"/>
      <c r="L837" s="13">
        <v>2.5</v>
      </c>
      <c r="M837" s="13"/>
      <c r="P837" s="12" t="s">
        <v>12</v>
      </c>
      <c r="Q837" s="12"/>
      <c r="R837" s="12" t="s">
        <v>46</v>
      </c>
      <c r="T837">
        <f t="shared" si="26"/>
        <v>33.104228163114229</v>
      </c>
      <c r="U837" t="str">
        <f t="shared" si="27"/>
        <v>dead</v>
      </c>
    </row>
    <row r="838" spans="1:21">
      <c r="A838" s="12">
        <v>0</v>
      </c>
      <c r="B838" s="12">
        <v>-40</v>
      </c>
      <c r="C838" s="11">
        <v>6.0081109655701512</v>
      </c>
      <c r="D838" s="11">
        <v>-33.485829144334737</v>
      </c>
      <c r="E838" s="11"/>
      <c r="F838" s="10">
        <v>727</v>
      </c>
      <c r="G838" s="12" t="s">
        <v>11</v>
      </c>
      <c r="H838" s="13">
        <v>117</v>
      </c>
      <c r="I838" s="14"/>
      <c r="J838" s="14" t="s">
        <v>70</v>
      </c>
      <c r="K838" s="14"/>
      <c r="L838" s="13">
        <v>21</v>
      </c>
      <c r="M838" s="13"/>
      <c r="P838" s="12" t="s">
        <v>12</v>
      </c>
      <c r="Q838" s="12"/>
      <c r="R838" s="12"/>
      <c r="T838">
        <f t="shared" si="26"/>
        <v>37.242256683503513</v>
      </c>
      <c r="U838" t="str">
        <f t="shared" si="27"/>
        <v>dead</v>
      </c>
    </row>
    <row r="839" spans="1:21">
      <c r="A839" s="12">
        <v>0</v>
      </c>
      <c r="B839" s="12">
        <v>-40</v>
      </c>
      <c r="C839" s="11">
        <v>0.80116598442242903</v>
      </c>
      <c r="D839" s="11">
        <v>-32.577476658584828</v>
      </c>
      <c r="E839" s="11"/>
      <c r="F839" s="10">
        <v>731</v>
      </c>
      <c r="G839" s="12" t="s">
        <v>11</v>
      </c>
      <c r="H839" s="13">
        <v>118.5</v>
      </c>
      <c r="I839" s="14"/>
      <c r="J839" s="14" t="s">
        <v>70</v>
      </c>
      <c r="K839" s="14"/>
      <c r="L839" s="13">
        <v>14.6</v>
      </c>
      <c r="M839" s="13"/>
      <c r="P839" s="12" t="s">
        <v>12</v>
      </c>
      <c r="Q839" s="12"/>
      <c r="R839" s="12" t="s">
        <v>16</v>
      </c>
      <c r="T839">
        <f t="shared" si="26"/>
        <v>37.719721512779195</v>
      </c>
      <c r="U839" t="str">
        <f t="shared" si="27"/>
        <v>dead</v>
      </c>
    </row>
    <row r="840" spans="1:21">
      <c r="A840" s="9">
        <v>0</v>
      </c>
      <c r="B840" s="9">
        <v>-10</v>
      </c>
      <c r="C840" s="11">
        <v>2.7557223334190488</v>
      </c>
      <c r="D840" s="11">
        <v>-4.5915903981766064</v>
      </c>
      <c r="E840" s="11"/>
      <c r="F840" s="12">
        <v>404</v>
      </c>
      <c r="G840" s="12" t="s">
        <v>11</v>
      </c>
      <c r="H840" s="13">
        <v>127.8</v>
      </c>
      <c r="I840" s="14"/>
      <c r="J840" s="14" t="s">
        <v>70</v>
      </c>
      <c r="K840" s="14"/>
      <c r="L840" s="13">
        <v>5.4</v>
      </c>
      <c r="M840" s="13"/>
      <c r="P840" s="12" t="s">
        <v>12</v>
      </c>
      <c r="Q840" s="12"/>
      <c r="R840" s="12" t="s">
        <v>16</v>
      </c>
      <c r="T840">
        <f t="shared" si="26"/>
        <v>40.680003454288446</v>
      </c>
      <c r="U840" t="str">
        <f t="shared" si="27"/>
        <v>dead</v>
      </c>
    </row>
    <row r="841" spans="1:21">
      <c r="A841" s="12">
        <v>10</v>
      </c>
      <c r="B841" s="12">
        <v>-30</v>
      </c>
      <c r="C841" s="11">
        <v>12.339531167012069</v>
      </c>
      <c r="D841" s="11">
        <v>-29.699835939788905</v>
      </c>
      <c r="E841" s="11"/>
      <c r="F841" s="12">
        <v>626</v>
      </c>
      <c r="G841" s="12" t="s">
        <v>11</v>
      </c>
      <c r="H841" s="13">
        <v>135</v>
      </c>
      <c r="I841" s="14"/>
      <c r="J841" s="14" t="s">
        <v>70</v>
      </c>
      <c r="K841" s="14"/>
      <c r="L841" s="13">
        <v>3.2</v>
      </c>
      <c r="M841" s="13"/>
      <c r="P841" s="12" t="s">
        <v>12</v>
      </c>
      <c r="Q841" s="12"/>
      <c r="R841" s="12" t="s">
        <v>16</v>
      </c>
      <c r="T841">
        <f t="shared" si="26"/>
        <v>42.971834634811742</v>
      </c>
      <c r="U841" t="str">
        <f t="shared" si="27"/>
        <v>dead</v>
      </c>
    </row>
    <row r="842" spans="1:21">
      <c r="A842" s="9" t="s">
        <v>0</v>
      </c>
      <c r="B842" s="9" t="s">
        <v>1</v>
      </c>
      <c r="C842" s="11" t="s">
        <v>7</v>
      </c>
      <c r="D842" s="11" t="s">
        <v>8</v>
      </c>
      <c r="E842" s="11"/>
      <c r="F842" s="10" t="s">
        <v>2</v>
      </c>
      <c r="G842" s="12" t="s">
        <v>3</v>
      </c>
      <c r="H842" s="13" t="s">
        <v>4</v>
      </c>
      <c r="I842" s="14" t="s">
        <v>5</v>
      </c>
      <c r="J842" s="14"/>
      <c r="K842" s="14"/>
      <c r="L842" s="13" t="s">
        <v>33</v>
      </c>
      <c r="M842" s="13" t="s">
        <v>9</v>
      </c>
      <c r="P842" s="11" t="s">
        <v>10</v>
      </c>
      <c r="Q842" s="11"/>
      <c r="R842" s="11" t="s">
        <v>6</v>
      </c>
      <c r="T842" t="e">
        <f t="shared" si="26"/>
        <v>#VALUE!</v>
      </c>
      <c r="U842">
        <f t="shared" si="27"/>
        <v>0</v>
      </c>
    </row>
    <row r="846" spans="1:21">
      <c r="G846" s="1"/>
      <c r="H846" s="1"/>
      <c r="I846"/>
      <c r="J846"/>
      <c r="K846"/>
      <c r="M846"/>
    </row>
    <row r="847" spans="1:21">
      <c r="G847" s="1"/>
      <c r="H847" s="1"/>
      <c r="I847"/>
      <c r="J847"/>
      <c r="K847"/>
      <c r="M847"/>
    </row>
    <row r="848" spans="1:21">
      <c r="G848" s="1"/>
      <c r="H848" s="1"/>
      <c r="I848"/>
      <c r="J848"/>
      <c r="K848"/>
      <c r="M848"/>
    </row>
    <row r="849" spans="7:13">
      <c r="G849" s="1"/>
      <c r="H849" s="1"/>
      <c r="I849"/>
      <c r="J849"/>
      <c r="K849"/>
      <c r="M849"/>
    </row>
    <row r="850" spans="7:13">
      <c r="G850" s="1"/>
      <c r="H850" s="1"/>
      <c r="I850"/>
      <c r="J850"/>
      <c r="K850"/>
      <c r="M850"/>
    </row>
    <row r="851" spans="7:13">
      <c r="G851" s="1"/>
      <c r="H851" s="1"/>
      <c r="I851"/>
      <c r="J851"/>
      <c r="K851"/>
      <c r="M851"/>
    </row>
    <row r="852" spans="7:13">
      <c r="G852" s="1"/>
      <c r="H852" s="1"/>
      <c r="I852"/>
      <c r="J852"/>
      <c r="K852"/>
      <c r="M852"/>
    </row>
    <row r="853" spans="7:13">
      <c r="G853" s="1"/>
      <c r="H853" s="1"/>
      <c r="I853"/>
      <c r="J853"/>
      <c r="K853"/>
      <c r="M853"/>
    </row>
    <row r="854" spans="7:13">
      <c r="G854" s="1"/>
      <c r="H854" s="1"/>
      <c r="I854"/>
      <c r="J854"/>
      <c r="K854"/>
      <c r="M854"/>
    </row>
    <row r="855" spans="7:13">
      <c r="G855" s="1"/>
      <c r="H855" s="1"/>
      <c r="I855"/>
      <c r="J855"/>
      <c r="K855"/>
      <c r="M855"/>
    </row>
    <row r="856" spans="7:13">
      <c r="G856" s="1"/>
      <c r="H856" s="1"/>
      <c r="I856"/>
      <c r="J856"/>
      <c r="K856"/>
      <c r="M856"/>
    </row>
    <row r="857" spans="7:13">
      <c r="G857" s="1"/>
      <c r="H857" s="1"/>
      <c r="I857"/>
      <c r="J857"/>
      <c r="K857"/>
      <c r="M857"/>
    </row>
    <row r="858" spans="7:13">
      <c r="G858" s="1"/>
      <c r="H858" s="1"/>
      <c r="I858"/>
      <c r="J858"/>
      <c r="K858"/>
      <c r="M858"/>
    </row>
    <row r="859" spans="7:13">
      <c r="G859" s="1"/>
      <c r="H859" s="1"/>
      <c r="I859"/>
      <c r="J859"/>
      <c r="K859"/>
      <c r="M859"/>
    </row>
    <row r="860" spans="7:13">
      <c r="G860" s="1"/>
      <c r="H860" s="1"/>
      <c r="I860"/>
      <c r="J860"/>
      <c r="K860"/>
      <c r="M860"/>
    </row>
    <row r="861" spans="7:13">
      <c r="G861" s="1"/>
      <c r="H861" s="1"/>
      <c r="I861"/>
      <c r="J861"/>
      <c r="K861"/>
      <c r="M861"/>
    </row>
    <row r="862" spans="7:13">
      <c r="G862" s="1"/>
      <c r="H862" s="1"/>
      <c r="I862"/>
      <c r="J862"/>
      <c r="K862"/>
      <c r="M862"/>
    </row>
    <row r="863" spans="7:13">
      <c r="G863" s="1"/>
      <c r="H863" s="1"/>
      <c r="I863"/>
      <c r="J863"/>
      <c r="K863"/>
      <c r="M863"/>
    </row>
    <row r="864" spans="7:13">
      <c r="G864" s="1"/>
      <c r="H864" s="1"/>
      <c r="I864"/>
      <c r="J864"/>
      <c r="K864"/>
      <c r="M864"/>
    </row>
    <row r="865" spans="7:13">
      <c r="G865" s="1"/>
      <c r="H865" s="1"/>
      <c r="I865"/>
      <c r="J865"/>
      <c r="K865"/>
      <c r="M865"/>
    </row>
    <row r="866" spans="7:13">
      <c r="G866" s="1"/>
      <c r="H866" s="1"/>
      <c r="I866"/>
      <c r="J866"/>
      <c r="K866"/>
      <c r="M866"/>
    </row>
    <row r="867" spans="7:13">
      <c r="G867" s="1"/>
      <c r="H867" s="1"/>
      <c r="I867"/>
      <c r="J867"/>
      <c r="K867"/>
      <c r="M867"/>
    </row>
    <row r="868" spans="7:13">
      <c r="G868" s="1"/>
      <c r="H868" s="1"/>
      <c r="I868"/>
      <c r="J868"/>
      <c r="K868"/>
      <c r="M868"/>
    </row>
    <row r="869" spans="7:13">
      <c r="G869" s="1"/>
      <c r="H869" s="1"/>
      <c r="I869"/>
      <c r="J869"/>
      <c r="K869"/>
      <c r="M869"/>
    </row>
    <row r="870" spans="7:13">
      <c r="G870" s="1"/>
      <c r="H870" s="1"/>
      <c r="I870"/>
      <c r="J870"/>
      <c r="K870"/>
      <c r="M870"/>
    </row>
    <row r="871" spans="7:13">
      <c r="G871" s="1"/>
      <c r="H871" s="1"/>
      <c r="I871"/>
      <c r="J871"/>
      <c r="K871"/>
      <c r="M871"/>
    </row>
    <row r="872" spans="7:13">
      <c r="G872" s="1"/>
      <c r="H872" s="1"/>
      <c r="I872"/>
      <c r="J872"/>
      <c r="K872"/>
      <c r="M872"/>
    </row>
    <row r="873" spans="7:13">
      <c r="G873" s="1"/>
      <c r="H873" s="1"/>
      <c r="I873"/>
      <c r="J873"/>
      <c r="K873"/>
      <c r="M873"/>
    </row>
    <row r="874" spans="7:13">
      <c r="G874" s="1"/>
      <c r="H874" s="1"/>
      <c r="I874"/>
      <c r="J874"/>
      <c r="K874"/>
      <c r="M874"/>
    </row>
    <row r="875" spans="7:13">
      <c r="G875" s="1"/>
      <c r="H875" s="1"/>
      <c r="I875"/>
      <c r="J875"/>
      <c r="K875"/>
      <c r="M875"/>
    </row>
    <row r="876" spans="7:13">
      <c r="G876" s="1"/>
      <c r="H876" s="1"/>
      <c r="I876"/>
      <c r="J876"/>
      <c r="K876"/>
      <c r="M876"/>
    </row>
    <row r="877" spans="7:13">
      <c r="G877" s="1"/>
      <c r="H877" s="1"/>
      <c r="I877"/>
      <c r="J877"/>
      <c r="K877"/>
      <c r="M877"/>
    </row>
    <row r="878" spans="7:13">
      <c r="G878" s="1"/>
      <c r="H878" s="1"/>
      <c r="I878"/>
      <c r="J878"/>
      <c r="K878"/>
      <c r="M878"/>
    </row>
    <row r="879" spans="7:13">
      <c r="G879" s="1"/>
      <c r="H879" s="1"/>
      <c r="I879"/>
      <c r="J879"/>
      <c r="K879"/>
      <c r="M879"/>
    </row>
    <row r="880" spans="7:13">
      <c r="G880" s="1"/>
      <c r="H880" s="1"/>
      <c r="I880"/>
      <c r="J880"/>
      <c r="K880"/>
      <c r="M880"/>
    </row>
    <row r="881" spans="7:13">
      <c r="G881" s="1"/>
      <c r="H881" s="1"/>
      <c r="I881"/>
      <c r="J881"/>
      <c r="K881"/>
      <c r="M881"/>
    </row>
    <row r="882" spans="7:13">
      <c r="G882" s="1"/>
      <c r="H882" s="1"/>
      <c r="I882"/>
      <c r="J882"/>
      <c r="K882"/>
      <c r="M882"/>
    </row>
    <row r="883" spans="7:13">
      <c r="G883" s="1"/>
      <c r="H883" s="1"/>
      <c r="I883"/>
      <c r="J883"/>
      <c r="K883"/>
      <c r="M883"/>
    </row>
    <row r="884" spans="7:13">
      <c r="G884" s="1"/>
      <c r="H884" s="1"/>
      <c r="I884"/>
      <c r="J884"/>
      <c r="K884"/>
      <c r="M884"/>
    </row>
    <row r="885" spans="7:13">
      <c r="G885" s="1"/>
      <c r="H885" s="1"/>
      <c r="I885"/>
      <c r="J885"/>
      <c r="K885"/>
      <c r="M885"/>
    </row>
    <row r="886" spans="7:13">
      <c r="G886" s="1"/>
      <c r="H886" s="1"/>
      <c r="I886"/>
      <c r="J886"/>
      <c r="K886"/>
      <c r="M886"/>
    </row>
    <row r="887" spans="7:13">
      <c r="G887" s="1"/>
      <c r="H887" s="1"/>
      <c r="I887"/>
      <c r="J887"/>
      <c r="K887"/>
      <c r="M887"/>
    </row>
    <row r="888" spans="7:13">
      <c r="G888" s="1"/>
      <c r="H888" s="1"/>
      <c r="I888"/>
      <c r="J888"/>
      <c r="K888"/>
      <c r="M888"/>
    </row>
    <row r="889" spans="7:13">
      <c r="G889" s="1"/>
      <c r="H889" s="1"/>
      <c r="I889"/>
      <c r="J889"/>
      <c r="K889"/>
      <c r="M889"/>
    </row>
    <row r="890" spans="7:13">
      <c r="G890" s="1"/>
      <c r="H890" s="1"/>
      <c r="I890"/>
      <c r="J890"/>
      <c r="K890"/>
      <c r="M890"/>
    </row>
    <row r="891" spans="7:13">
      <c r="G891" s="1"/>
      <c r="H891" s="1"/>
      <c r="I891"/>
      <c r="J891"/>
      <c r="K891"/>
      <c r="M891"/>
    </row>
    <row r="892" spans="7:13">
      <c r="G892" s="1"/>
      <c r="H892" s="1"/>
      <c r="I892"/>
      <c r="J892"/>
      <c r="K892"/>
      <c r="M892"/>
    </row>
    <row r="893" spans="7:13">
      <c r="G893" s="1"/>
      <c r="H893" s="1"/>
      <c r="I893"/>
      <c r="J893"/>
      <c r="K893"/>
      <c r="M893"/>
    </row>
    <row r="894" spans="7:13">
      <c r="G894" s="1"/>
      <c r="H894" s="1"/>
      <c r="I894"/>
      <c r="J894"/>
      <c r="K894"/>
      <c r="M894"/>
    </row>
    <row r="895" spans="7:13">
      <c r="G895" s="1"/>
      <c r="H895" s="1"/>
      <c r="I895"/>
      <c r="J895"/>
      <c r="K895"/>
      <c r="M895"/>
    </row>
    <row r="896" spans="7:13">
      <c r="G896" s="1"/>
      <c r="H896" s="1"/>
      <c r="I896"/>
      <c r="J896"/>
      <c r="K896"/>
      <c r="M896"/>
    </row>
    <row r="897" spans="7:13">
      <c r="G897" s="1"/>
      <c r="H897" s="1"/>
      <c r="I897"/>
      <c r="J897"/>
      <c r="K897"/>
      <c r="M897"/>
    </row>
    <row r="898" spans="7:13">
      <c r="G898" s="1"/>
      <c r="H898" s="1"/>
      <c r="I898"/>
      <c r="J898"/>
      <c r="K898"/>
      <c r="M898"/>
    </row>
    <row r="899" spans="7:13">
      <c r="G899" s="1"/>
      <c r="H899" s="1"/>
      <c r="I899"/>
      <c r="J899"/>
      <c r="K899"/>
      <c r="M899"/>
    </row>
    <row r="900" spans="7:13">
      <c r="G900" s="1"/>
      <c r="H900" s="1"/>
      <c r="I900"/>
      <c r="J900"/>
      <c r="K900"/>
      <c r="M900"/>
    </row>
    <row r="901" spans="7:13">
      <c r="G901" s="1"/>
      <c r="H901" s="1"/>
      <c r="I901"/>
      <c r="J901"/>
      <c r="K901"/>
      <c r="M901"/>
    </row>
    <row r="902" spans="7:13">
      <c r="G902" s="1"/>
      <c r="H902" s="1"/>
      <c r="I902"/>
      <c r="J902"/>
      <c r="K902"/>
      <c r="M902"/>
    </row>
    <row r="903" spans="7:13">
      <c r="G903" s="1"/>
      <c r="H903" s="1"/>
      <c r="I903"/>
      <c r="J903"/>
      <c r="K903"/>
      <c r="M903"/>
    </row>
    <row r="904" spans="7:13">
      <c r="G904" s="1"/>
      <c r="H904" s="1"/>
      <c r="I904"/>
      <c r="J904"/>
      <c r="K904"/>
      <c r="M904"/>
    </row>
    <row r="905" spans="7:13">
      <c r="G905" s="1"/>
      <c r="H905" s="1"/>
      <c r="I905"/>
      <c r="J905"/>
      <c r="K905"/>
      <c r="M905"/>
    </row>
    <row r="906" spans="7:13">
      <c r="G906" s="1"/>
      <c r="H906" s="1"/>
      <c r="I906"/>
      <c r="J906"/>
      <c r="K906"/>
      <c r="M906"/>
    </row>
    <row r="907" spans="7:13">
      <c r="G907" s="1"/>
      <c r="H907" s="1"/>
      <c r="I907"/>
      <c r="J907"/>
      <c r="K907"/>
      <c r="M907"/>
    </row>
    <row r="908" spans="7:13">
      <c r="G908" s="1"/>
      <c r="H908" s="1"/>
      <c r="I908"/>
      <c r="J908"/>
      <c r="K908"/>
      <c r="M908"/>
    </row>
    <row r="909" spans="7:13">
      <c r="G909" s="1"/>
      <c r="H909" s="1"/>
      <c r="I909"/>
      <c r="J909"/>
      <c r="K909"/>
      <c r="M909"/>
    </row>
    <row r="910" spans="7:13">
      <c r="G910" s="1"/>
      <c r="H910" s="1"/>
      <c r="I910"/>
      <c r="J910"/>
      <c r="K910"/>
      <c r="M910"/>
    </row>
    <row r="911" spans="7:13">
      <c r="G911" s="1"/>
      <c r="H911" s="1"/>
      <c r="I911"/>
      <c r="J911"/>
      <c r="K911"/>
      <c r="M911"/>
    </row>
    <row r="912" spans="7:13">
      <c r="G912" s="1"/>
      <c r="H912" s="1"/>
      <c r="I912"/>
      <c r="J912"/>
      <c r="K912"/>
      <c r="M912"/>
    </row>
    <row r="913" spans="7:13">
      <c r="G913" s="1"/>
      <c r="H913" s="1"/>
      <c r="I913"/>
      <c r="J913"/>
      <c r="K913"/>
      <c r="M913"/>
    </row>
    <row r="914" spans="7:13">
      <c r="G914" s="1"/>
      <c r="H914" s="1"/>
      <c r="I914"/>
      <c r="J914"/>
      <c r="K914"/>
      <c r="M914"/>
    </row>
    <row r="915" spans="7:13">
      <c r="G915" s="1"/>
      <c r="H915" s="1"/>
      <c r="I915"/>
      <c r="J915"/>
      <c r="K915"/>
      <c r="M915"/>
    </row>
    <row r="916" spans="7:13">
      <c r="G916" s="1"/>
      <c r="H916" s="1"/>
      <c r="I916"/>
      <c r="J916"/>
      <c r="K916"/>
      <c r="M916"/>
    </row>
    <row r="917" spans="7:13">
      <c r="G917" s="1"/>
      <c r="H917" s="1"/>
      <c r="I917"/>
      <c r="J917"/>
      <c r="K917"/>
      <c r="M917"/>
    </row>
    <row r="918" spans="7:13">
      <c r="G918" s="1"/>
      <c r="H918" s="1"/>
      <c r="I918"/>
      <c r="J918"/>
      <c r="K918"/>
      <c r="M918"/>
    </row>
    <row r="919" spans="7:13">
      <c r="G919" s="1"/>
      <c r="H919" s="1"/>
      <c r="I919"/>
      <c r="J919"/>
      <c r="K919"/>
      <c r="M919"/>
    </row>
    <row r="920" spans="7:13">
      <c r="G920" s="1"/>
      <c r="H920" s="1"/>
      <c r="I920"/>
      <c r="J920"/>
      <c r="K920"/>
      <c r="M920"/>
    </row>
    <row r="921" spans="7:13">
      <c r="G921" s="1"/>
      <c r="H921" s="1"/>
      <c r="I921"/>
      <c r="J921"/>
      <c r="K921"/>
      <c r="M921"/>
    </row>
    <row r="922" spans="7:13">
      <c r="G922" s="1"/>
      <c r="H922" s="1"/>
      <c r="I922"/>
      <c r="J922"/>
      <c r="K922"/>
      <c r="M922"/>
    </row>
    <row r="923" spans="7:13">
      <c r="G923" s="1"/>
      <c r="H923" s="1"/>
      <c r="I923"/>
      <c r="J923"/>
      <c r="K923"/>
      <c r="M923"/>
    </row>
    <row r="924" spans="7:13">
      <c r="G924" s="1"/>
      <c r="H924" s="1"/>
      <c r="I924"/>
      <c r="J924"/>
      <c r="K924"/>
      <c r="M924"/>
    </row>
    <row r="925" spans="7:13">
      <c r="G925" s="1"/>
      <c r="H925" s="1"/>
      <c r="I925"/>
      <c r="J925"/>
      <c r="K925"/>
      <c r="M925"/>
    </row>
    <row r="926" spans="7:13">
      <c r="G926" s="1"/>
      <c r="H926" s="1"/>
      <c r="I926"/>
      <c r="J926"/>
      <c r="K926"/>
      <c r="M926"/>
    </row>
    <row r="927" spans="7:13">
      <c r="G927" s="1"/>
      <c r="H927" s="1"/>
      <c r="I927"/>
      <c r="J927"/>
      <c r="K927"/>
      <c r="M927"/>
    </row>
    <row r="928" spans="7:13">
      <c r="G928" s="1"/>
      <c r="H928" s="1"/>
      <c r="I928"/>
      <c r="J928"/>
      <c r="K928"/>
      <c r="M928"/>
    </row>
    <row r="929" spans="7:13">
      <c r="G929" s="1"/>
      <c r="H929" s="1"/>
      <c r="I929"/>
      <c r="J929"/>
      <c r="K929"/>
      <c r="M929"/>
    </row>
    <row r="930" spans="7:13">
      <c r="G930" s="1"/>
      <c r="H930" s="1"/>
      <c r="I930"/>
      <c r="J930"/>
      <c r="K930"/>
      <c r="M930"/>
    </row>
    <row r="931" spans="7:13">
      <c r="G931" s="1"/>
      <c r="H931" s="1"/>
      <c r="I931"/>
      <c r="J931"/>
      <c r="K931"/>
      <c r="M931"/>
    </row>
    <row r="932" spans="7:13">
      <c r="G932" s="1"/>
      <c r="H932" s="1"/>
      <c r="I932"/>
      <c r="J932"/>
      <c r="K932"/>
      <c r="M932"/>
    </row>
    <row r="933" spans="7:13">
      <c r="G933" s="1"/>
      <c r="H933" s="1"/>
      <c r="I933"/>
      <c r="J933"/>
      <c r="K933"/>
      <c r="M933"/>
    </row>
    <row r="934" spans="7:13">
      <c r="G934" s="1"/>
      <c r="H934" s="1"/>
      <c r="I934"/>
      <c r="J934"/>
      <c r="K934"/>
      <c r="M934"/>
    </row>
    <row r="935" spans="7:13">
      <c r="G935" s="1"/>
      <c r="H935" s="1"/>
      <c r="I935"/>
      <c r="J935"/>
      <c r="K935"/>
      <c r="M935"/>
    </row>
    <row r="936" spans="7:13">
      <c r="G936" s="1"/>
      <c r="H936" s="1"/>
      <c r="I936"/>
      <c r="J936"/>
      <c r="K936"/>
      <c r="M936"/>
    </row>
    <row r="937" spans="7:13">
      <c r="G937" s="1"/>
      <c r="H937" s="1"/>
      <c r="I937"/>
      <c r="J937"/>
      <c r="K937"/>
      <c r="M937"/>
    </row>
    <row r="938" spans="7:13">
      <c r="G938" s="1"/>
      <c r="H938" s="1"/>
      <c r="I938"/>
      <c r="J938"/>
      <c r="K938"/>
      <c r="M938"/>
    </row>
    <row r="939" spans="7:13">
      <c r="G939" s="1"/>
      <c r="H939" s="1"/>
      <c r="I939"/>
      <c r="J939"/>
      <c r="K939"/>
      <c r="M939"/>
    </row>
    <row r="940" spans="7:13">
      <c r="G940" s="1"/>
      <c r="H940" s="1"/>
      <c r="I940"/>
      <c r="J940"/>
      <c r="K940"/>
      <c r="M940"/>
    </row>
    <row r="941" spans="7:13">
      <c r="G941" s="1"/>
      <c r="H941" s="1"/>
      <c r="I941"/>
      <c r="J941"/>
      <c r="K941"/>
      <c r="M941"/>
    </row>
    <row r="942" spans="7:13">
      <c r="G942" s="1"/>
      <c r="H942" s="1"/>
      <c r="I942"/>
      <c r="J942"/>
      <c r="K942"/>
      <c r="M942"/>
    </row>
    <row r="943" spans="7:13">
      <c r="G943" s="1"/>
      <c r="H943" s="1"/>
      <c r="I943"/>
      <c r="J943"/>
      <c r="K943"/>
      <c r="M943"/>
    </row>
    <row r="944" spans="7:13">
      <c r="G944" s="1"/>
      <c r="H944" s="1"/>
      <c r="I944"/>
      <c r="J944"/>
      <c r="K944"/>
      <c r="M944"/>
    </row>
    <row r="945" spans="7:13">
      <c r="G945" s="1"/>
      <c r="H945" s="1"/>
      <c r="I945"/>
      <c r="J945"/>
      <c r="K945"/>
      <c r="M945"/>
    </row>
    <row r="946" spans="7:13">
      <c r="G946" s="1"/>
      <c r="H946" s="1"/>
      <c r="I946"/>
      <c r="J946"/>
      <c r="K946"/>
      <c r="M946"/>
    </row>
    <row r="947" spans="7:13">
      <c r="G947" s="1"/>
      <c r="H947" s="1"/>
      <c r="I947"/>
      <c r="J947"/>
      <c r="K947"/>
      <c r="M947"/>
    </row>
    <row r="948" spans="7:13">
      <c r="G948" s="1"/>
      <c r="H948" s="1"/>
      <c r="I948"/>
      <c r="J948"/>
      <c r="K948"/>
      <c r="M948"/>
    </row>
    <row r="949" spans="7:13">
      <c r="G949" s="1"/>
      <c r="H949" s="1"/>
      <c r="I949"/>
      <c r="J949"/>
      <c r="K949"/>
      <c r="M949"/>
    </row>
    <row r="950" spans="7:13">
      <c r="G950" s="1"/>
      <c r="H950" s="1"/>
      <c r="I950"/>
      <c r="J950"/>
      <c r="K950"/>
      <c r="M950"/>
    </row>
    <row r="951" spans="7:13">
      <c r="G951" s="1"/>
      <c r="H951" s="1"/>
      <c r="I951"/>
      <c r="J951"/>
      <c r="K951"/>
      <c r="M951"/>
    </row>
    <row r="952" spans="7:13">
      <c r="G952" s="1"/>
      <c r="H952" s="1"/>
      <c r="I952"/>
      <c r="J952"/>
      <c r="K952"/>
      <c r="M952"/>
    </row>
    <row r="953" spans="7:13">
      <c r="G953" s="1"/>
      <c r="H953" s="1"/>
      <c r="I953"/>
      <c r="J953"/>
      <c r="K953"/>
      <c r="M953"/>
    </row>
    <row r="954" spans="7:13">
      <c r="G954" s="1"/>
      <c r="H954" s="1"/>
      <c r="I954"/>
      <c r="J954"/>
      <c r="K954"/>
      <c r="M954"/>
    </row>
    <row r="955" spans="7:13">
      <c r="G955" s="1"/>
      <c r="H955" s="1"/>
      <c r="I955"/>
      <c r="J955"/>
      <c r="K955"/>
      <c r="M955"/>
    </row>
    <row r="956" spans="7:13">
      <c r="G956" s="1"/>
      <c r="H956" s="1"/>
      <c r="I956"/>
      <c r="J956"/>
      <c r="K956"/>
      <c r="M956"/>
    </row>
    <row r="957" spans="7:13">
      <c r="G957" s="1"/>
      <c r="H957" s="1"/>
      <c r="I957"/>
      <c r="J957"/>
      <c r="K957"/>
      <c r="M957"/>
    </row>
    <row r="958" spans="7:13">
      <c r="G958" s="1"/>
      <c r="H958" s="1"/>
      <c r="I958"/>
      <c r="J958"/>
      <c r="K958"/>
      <c r="M958"/>
    </row>
    <row r="959" spans="7:13">
      <c r="G959" s="1"/>
      <c r="H959" s="1"/>
      <c r="I959"/>
      <c r="J959"/>
      <c r="K959"/>
      <c r="M959"/>
    </row>
    <row r="960" spans="7:13">
      <c r="G960" s="1"/>
      <c r="H960" s="1"/>
      <c r="I960"/>
      <c r="J960"/>
      <c r="K960"/>
      <c r="M960"/>
    </row>
    <row r="961" spans="7:13">
      <c r="G961" s="1"/>
      <c r="H961" s="1"/>
      <c r="I961"/>
      <c r="J961"/>
      <c r="K961"/>
      <c r="M961"/>
    </row>
    <row r="962" spans="7:13">
      <c r="G962" s="1"/>
      <c r="H962" s="1"/>
      <c r="I962"/>
      <c r="J962"/>
      <c r="K962"/>
      <c r="M962"/>
    </row>
    <row r="963" spans="7:13">
      <c r="G963" s="1"/>
      <c r="H963" s="1"/>
      <c r="I963"/>
      <c r="J963"/>
      <c r="K963"/>
      <c r="M963"/>
    </row>
    <row r="964" spans="7:13">
      <c r="G964" s="1"/>
      <c r="H964" s="1"/>
      <c r="I964"/>
      <c r="J964"/>
      <c r="K964"/>
      <c r="M964"/>
    </row>
    <row r="965" spans="7:13">
      <c r="G965" s="1"/>
      <c r="H965" s="1"/>
      <c r="I965"/>
      <c r="J965"/>
      <c r="K965"/>
      <c r="M965"/>
    </row>
    <row r="966" spans="7:13">
      <c r="G966" s="1"/>
      <c r="H966" s="1"/>
      <c r="I966"/>
      <c r="J966"/>
      <c r="K966"/>
      <c r="M966"/>
    </row>
    <row r="967" spans="7:13">
      <c r="G967" s="1"/>
      <c r="H967" s="1"/>
      <c r="I967"/>
      <c r="J967"/>
      <c r="K967"/>
      <c r="M967"/>
    </row>
    <row r="968" spans="7:13">
      <c r="G968" s="1"/>
      <c r="H968" s="1"/>
      <c r="I968"/>
      <c r="J968"/>
      <c r="K968"/>
      <c r="M968"/>
    </row>
    <row r="969" spans="7:13">
      <c r="G969" s="1"/>
      <c r="H969" s="1"/>
      <c r="I969"/>
      <c r="J969"/>
      <c r="K969"/>
      <c r="M969"/>
    </row>
    <row r="970" spans="7:13">
      <c r="G970" s="1"/>
      <c r="H970" s="1"/>
      <c r="I970"/>
      <c r="J970"/>
      <c r="K970"/>
      <c r="M970"/>
    </row>
    <row r="971" spans="7:13">
      <c r="G971" s="1"/>
      <c r="H971" s="1"/>
      <c r="I971"/>
      <c r="J971"/>
      <c r="K971"/>
      <c r="M971"/>
    </row>
    <row r="972" spans="7:13">
      <c r="G972" s="1"/>
      <c r="H972" s="1"/>
      <c r="I972"/>
      <c r="J972"/>
      <c r="K972"/>
      <c r="M972"/>
    </row>
    <row r="973" spans="7:13">
      <c r="G973" s="1"/>
      <c r="H973" s="1"/>
      <c r="I973"/>
      <c r="J973"/>
      <c r="K973"/>
      <c r="M973"/>
    </row>
    <row r="974" spans="7:13">
      <c r="G974" s="1"/>
      <c r="H974" s="1"/>
      <c r="I974"/>
      <c r="J974"/>
      <c r="K974"/>
      <c r="M974"/>
    </row>
    <row r="975" spans="7:13">
      <c r="G975" s="1"/>
      <c r="H975" s="1"/>
      <c r="I975"/>
      <c r="J975"/>
      <c r="K975"/>
      <c r="M975"/>
    </row>
    <row r="976" spans="7:13">
      <c r="G976" s="1"/>
      <c r="H976" s="1"/>
      <c r="I976"/>
      <c r="J976"/>
      <c r="K976"/>
      <c r="M976"/>
    </row>
    <row r="977" spans="7:13">
      <c r="G977" s="1"/>
      <c r="H977" s="1"/>
      <c r="I977"/>
      <c r="J977"/>
      <c r="K977"/>
      <c r="M977"/>
    </row>
    <row r="978" spans="7:13">
      <c r="G978" s="1"/>
      <c r="H978" s="1"/>
      <c r="I978"/>
      <c r="J978"/>
      <c r="K978"/>
      <c r="M978"/>
    </row>
    <row r="979" spans="7:13">
      <c r="G979" s="1"/>
      <c r="H979" s="1"/>
      <c r="I979"/>
      <c r="J979"/>
      <c r="K979"/>
      <c r="M979"/>
    </row>
    <row r="980" spans="7:13">
      <c r="G980" s="1"/>
      <c r="H980" s="1"/>
      <c r="I980"/>
      <c r="J980"/>
      <c r="K980"/>
      <c r="M980"/>
    </row>
    <row r="981" spans="7:13">
      <c r="G981" s="1"/>
      <c r="H981" s="1"/>
      <c r="I981"/>
      <c r="J981"/>
      <c r="K981"/>
      <c r="M981"/>
    </row>
    <row r="982" spans="7:13">
      <c r="G982" s="1"/>
      <c r="H982" s="1"/>
      <c r="I982"/>
      <c r="J982"/>
      <c r="K982"/>
      <c r="M982"/>
    </row>
    <row r="983" spans="7:13">
      <c r="G983" s="1"/>
      <c r="H983" s="1"/>
      <c r="I983"/>
      <c r="J983"/>
      <c r="K983"/>
      <c r="M983"/>
    </row>
    <row r="984" spans="7:13">
      <c r="G984" s="1"/>
      <c r="H984" s="1"/>
      <c r="I984"/>
      <c r="J984"/>
      <c r="K984"/>
      <c r="M984"/>
    </row>
    <row r="985" spans="7:13">
      <c r="G985" s="1"/>
      <c r="H985" s="1"/>
      <c r="I985"/>
      <c r="J985"/>
      <c r="K985"/>
      <c r="M985"/>
    </row>
    <row r="986" spans="7:13">
      <c r="G986" s="1"/>
      <c r="H986" s="1"/>
      <c r="I986"/>
      <c r="J986"/>
      <c r="K986"/>
      <c r="M986"/>
    </row>
    <row r="987" spans="7:13">
      <c r="G987" s="1"/>
      <c r="H987" s="1"/>
      <c r="I987"/>
      <c r="J987"/>
      <c r="K987"/>
      <c r="M987"/>
    </row>
    <row r="988" spans="7:13">
      <c r="G988" s="1"/>
      <c r="H988" s="1"/>
      <c r="I988"/>
      <c r="J988"/>
      <c r="K988"/>
      <c r="M988"/>
    </row>
    <row r="989" spans="7:13">
      <c r="G989" s="1"/>
      <c r="H989" s="1"/>
      <c r="I989"/>
      <c r="J989"/>
      <c r="K989"/>
      <c r="M989"/>
    </row>
    <row r="990" spans="7:13">
      <c r="G990" s="1"/>
      <c r="H990" s="1"/>
      <c r="I990"/>
      <c r="J990"/>
      <c r="K990"/>
      <c r="M990"/>
    </row>
    <row r="991" spans="7:13">
      <c r="G991" s="1"/>
      <c r="H991" s="1"/>
      <c r="I991"/>
      <c r="J991"/>
      <c r="K991"/>
      <c r="M991"/>
    </row>
    <row r="992" spans="7:13">
      <c r="G992" s="1"/>
      <c r="H992" s="1"/>
      <c r="I992"/>
      <c r="J992"/>
      <c r="K992"/>
      <c r="M992"/>
    </row>
    <row r="993" spans="7:13">
      <c r="G993" s="1"/>
      <c r="H993" s="1"/>
      <c r="I993"/>
      <c r="J993"/>
      <c r="K993"/>
      <c r="M993"/>
    </row>
    <row r="994" spans="7:13">
      <c r="G994" s="1"/>
      <c r="H994" s="1"/>
      <c r="I994"/>
      <c r="J994"/>
      <c r="K994"/>
      <c r="M994"/>
    </row>
    <row r="995" spans="7:13">
      <c r="G995" s="1"/>
      <c r="H995" s="1"/>
      <c r="I995"/>
      <c r="J995"/>
      <c r="K995"/>
      <c r="M995"/>
    </row>
    <row r="996" spans="7:13">
      <c r="G996" s="1"/>
      <c r="H996" s="1"/>
      <c r="I996"/>
      <c r="J996"/>
      <c r="K996"/>
      <c r="M996"/>
    </row>
    <row r="997" spans="7:13">
      <c r="G997" s="1"/>
      <c r="H997" s="1"/>
      <c r="I997"/>
      <c r="J997"/>
      <c r="K997"/>
      <c r="M997"/>
    </row>
    <row r="998" spans="7:13">
      <c r="G998" s="1"/>
      <c r="H998" s="1"/>
      <c r="I998"/>
      <c r="J998"/>
      <c r="K998"/>
      <c r="M998"/>
    </row>
    <row r="999" spans="7:13">
      <c r="G999" s="1"/>
      <c r="H999" s="1"/>
      <c r="I999"/>
      <c r="J999"/>
      <c r="K999"/>
      <c r="M999"/>
    </row>
    <row r="1000" spans="7:13">
      <c r="G1000" s="1"/>
      <c r="H1000" s="1"/>
      <c r="I1000"/>
      <c r="J1000"/>
      <c r="K1000"/>
      <c r="M1000"/>
    </row>
    <row r="1001" spans="7:13">
      <c r="G1001" s="1"/>
      <c r="H1001" s="1"/>
      <c r="I1001"/>
      <c r="J1001"/>
      <c r="K1001"/>
      <c r="M1001"/>
    </row>
    <row r="1002" spans="7:13">
      <c r="G1002" s="1"/>
      <c r="H1002" s="1"/>
      <c r="I1002"/>
      <c r="J1002"/>
      <c r="K1002"/>
      <c r="M1002"/>
    </row>
    <row r="1003" spans="7:13">
      <c r="G1003" s="1"/>
      <c r="H1003" s="1"/>
      <c r="I1003"/>
      <c r="J1003"/>
      <c r="K1003"/>
      <c r="M1003"/>
    </row>
    <row r="1004" spans="7:13">
      <c r="G1004" s="1"/>
      <c r="H1004" s="1"/>
      <c r="I1004"/>
      <c r="J1004"/>
      <c r="K1004"/>
      <c r="M1004"/>
    </row>
    <row r="1005" spans="7:13">
      <c r="G1005" s="1"/>
      <c r="H1005" s="1"/>
      <c r="I1005"/>
      <c r="J1005"/>
      <c r="K1005"/>
      <c r="M1005"/>
    </row>
    <row r="1006" spans="7:13">
      <c r="G1006" s="1"/>
      <c r="H1006" s="1"/>
      <c r="I1006"/>
      <c r="J1006"/>
      <c r="K1006"/>
      <c r="M1006"/>
    </row>
    <row r="1007" spans="7:13">
      <c r="G1007" s="1"/>
      <c r="H1007" s="1"/>
      <c r="I1007"/>
      <c r="J1007"/>
      <c r="K1007"/>
      <c r="M1007"/>
    </row>
    <row r="1008" spans="7:13">
      <c r="G1008" s="1"/>
      <c r="H1008" s="1"/>
      <c r="I1008"/>
      <c r="J1008"/>
      <c r="K1008"/>
      <c r="M1008"/>
    </row>
    <row r="1009" spans="7:13">
      <c r="G1009" s="1"/>
      <c r="H1009" s="1"/>
      <c r="I1009"/>
      <c r="J1009"/>
      <c r="K1009"/>
      <c r="M1009"/>
    </row>
    <row r="1010" spans="7:13">
      <c r="G1010" s="1"/>
      <c r="H1010" s="1"/>
      <c r="I1010"/>
      <c r="J1010"/>
      <c r="K1010"/>
      <c r="M1010"/>
    </row>
    <row r="1011" spans="7:13">
      <c r="G1011" s="1"/>
      <c r="H1011" s="1"/>
      <c r="I1011"/>
      <c r="J1011"/>
      <c r="K1011"/>
      <c r="M1011"/>
    </row>
    <row r="1012" spans="7:13">
      <c r="G1012" s="1"/>
      <c r="H1012" s="1"/>
      <c r="I1012"/>
      <c r="J1012"/>
      <c r="K1012"/>
      <c r="M1012"/>
    </row>
    <row r="1013" spans="7:13">
      <c r="G1013" s="1"/>
      <c r="H1013" s="1"/>
      <c r="I1013"/>
      <c r="J1013"/>
      <c r="K1013"/>
      <c r="M1013"/>
    </row>
    <row r="1014" spans="7:13">
      <c r="G1014" s="1"/>
      <c r="H1014" s="1"/>
      <c r="I1014"/>
      <c r="J1014"/>
      <c r="K1014"/>
      <c r="M1014"/>
    </row>
    <row r="1015" spans="7:13">
      <c r="G1015" s="1"/>
      <c r="H1015" s="1"/>
      <c r="I1015"/>
      <c r="J1015"/>
      <c r="K1015"/>
      <c r="M1015"/>
    </row>
    <row r="1016" spans="7:13">
      <c r="G1016" s="1"/>
      <c r="H1016" s="1"/>
      <c r="I1016"/>
      <c r="J1016"/>
      <c r="K1016"/>
      <c r="M1016"/>
    </row>
    <row r="1017" spans="7:13">
      <c r="G1017" s="1"/>
      <c r="H1017" s="1"/>
      <c r="I1017"/>
      <c r="J1017"/>
      <c r="K1017"/>
      <c r="M1017"/>
    </row>
    <row r="1018" spans="7:13">
      <c r="G1018" s="1"/>
      <c r="H1018" s="1"/>
      <c r="I1018"/>
      <c r="J1018"/>
      <c r="K1018"/>
      <c r="M1018"/>
    </row>
    <row r="1019" spans="7:13">
      <c r="G1019" s="1"/>
      <c r="H1019" s="1"/>
      <c r="I1019"/>
      <c r="J1019"/>
      <c r="K1019"/>
      <c r="M1019"/>
    </row>
    <row r="1020" spans="7:13">
      <c r="G1020" s="1"/>
      <c r="H1020" s="1"/>
      <c r="I1020"/>
      <c r="J1020"/>
      <c r="K1020"/>
      <c r="M1020"/>
    </row>
    <row r="1021" spans="7:13">
      <c r="G1021" s="1"/>
      <c r="H1021" s="1"/>
      <c r="I1021"/>
      <c r="J1021"/>
      <c r="K1021"/>
      <c r="M1021"/>
    </row>
    <row r="1022" spans="7:13">
      <c r="G1022" s="1"/>
      <c r="H1022" s="1"/>
      <c r="I1022"/>
      <c r="J1022"/>
      <c r="K1022"/>
      <c r="M1022"/>
    </row>
    <row r="1023" spans="7:13">
      <c r="G1023" s="1"/>
      <c r="H1023" s="1"/>
      <c r="I1023"/>
      <c r="J1023"/>
      <c r="K1023"/>
      <c r="M1023"/>
    </row>
    <row r="1024" spans="7:13">
      <c r="G1024" s="1"/>
      <c r="H1024" s="1"/>
      <c r="I1024"/>
      <c r="J1024"/>
      <c r="K1024"/>
      <c r="M1024"/>
    </row>
    <row r="1025" spans="7:13">
      <c r="G1025" s="1"/>
      <c r="H1025" s="1"/>
      <c r="I1025"/>
      <c r="J1025"/>
      <c r="K1025"/>
      <c r="M1025"/>
    </row>
    <row r="1026" spans="7:13">
      <c r="G1026" s="1"/>
      <c r="H1026" s="1"/>
      <c r="I1026"/>
      <c r="J1026"/>
      <c r="K1026"/>
      <c r="M1026"/>
    </row>
    <row r="1027" spans="7:13">
      <c r="G1027" s="1"/>
      <c r="H1027" s="1"/>
      <c r="I1027"/>
      <c r="J1027"/>
      <c r="K1027"/>
      <c r="M1027"/>
    </row>
    <row r="1028" spans="7:13">
      <c r="G1028" s="1"/>
      <c r="H1028" s="1"/>
      <c r="I1028"/>
      <c r="J1028"/>
      <c r="K1028"/>
      <c r="M1028"/>
    </row>
    <row r="1029" spans="7:13">
      <c r="G1029" s="1"/>
      <c r="H1029" s="1"/>
      <c r="I1029"/>
      <c r="J1029"/>
      <c r="K1029"/>
      <c r="M1029"/>
    </row>
    <row r="1030" spans="7:13">
      <c r="G1030" s="1"/>
      <c r="H1030" s="1"/>
      <c r="I1030"/>
      <c r="J1030"/>
      <c r="K1030"/>
      <c r="M1030"/>
    </row>
    <row r="1031" spans="7:13">
      <c r="G1031" s="1"/>
      <c r="H1031" s="1"/>
      <c r="I1031"/>
      <c r="J1031"/>
      <c r="K1031"/>
      <c r="M1031"/>
    </row>
    <row r="1032" spans="7:13">
      <c r="G1032" s="1"/>
      <c r="H1032" s="1"/>
      <c r="I1032"/>
      <c r="J1032"/>
      <c r="K1032"/>
      <c r="M1032"/>
    </row>
    <row r="1033" spans="7:13">
      <c r="G1033" s="1"/>
      <c r="H1033" s="1"/>
      <c r="I1033"/>
      <c r="J1033"/>
      <c r="K1033"/>
      <c r="M1033"/>
    </row>
    <row r="1034" spans="7:13">
      <c r="G1034" s="1"/>
      <c r="H1034" s="1"/>
      <c r="I1034"/>
      <c r="J1034"/>
      <c r="K1034"/>
      <c r="M1034"/>
    </row>
    <row r="1035" spans="7:13">
      <c r="G1035" s="1"/>
      <c r="H1035" s="1"/>
      <c r="I1035"/>
      <c r="J1035"/>
      <c r="K1035"/>
      <c r="M1035"/>
    </row>
    <row r="1036" spans="7:13">
      <c r="G1036" s="1"/>
      <c r="H1036" s="1"/>
      <c r="I1036"/>
      <c r="J1036"/>
      <c r="K1036"/>
      <c r="M1036"/>
    </row>
    <row r="1037" spans="7:13">
      <c r="G1037" s="1"/>
      <c r="H1037" s="1"/>
      <c r="I1037"/>
      <c r="J1037"/>
      <c r="K1037"/>
      <c r="M1037"/>
    </row>
    <row r="1038" spans="7:13">
      <c r="G1038" s="1"/>
      <c r="H1038" s="1"/>
      <c r="I1038"/>
      <c r="J1038"/>
      <c r="K1038"/>
      <c r="M1038"/>
    </row>
    <row r="1039" spans="7:13">
      <c r="G1039" s="1"/>
      <c r="H1039" s="1"/>
      <c r="I1039"/>
      <c r="J1039"/>
      <c r="K1039"/>
      <c r="M1039"/>
    </row>
    <row r="1040" spans="7:13">
      <c r="G1040" s="1"/>
      <c r="H1040" s="1"/>
      <c r="I1040"/>
      <c r="J1040"/>
      <c r="K1040"/>
      <c r="M1040"/>
    </row>
    <row r="1041" spans="7:13">
      <c r="G1041" s="1"/>
      <c r="H1041" s="1"/>
      <c r="I1041"/>
      <c r="J1041"/>
      <c r="K1041"/>
      <c r="M1041"/>
    </row>
    <row r="1042" spans="7:13">
      <c r="G1042" s="1"/>
      <c r="H1042" s="1"/>
      <c r="I1042"/>
      <c r="J1042"/>
      <c r="K1042"/>
      <c r="M1042"/>
    </row>
    <row r="1043" spans="7:13">
      <c r="G1043" s="1"/>
      <c r="H1043" s="1"/>
      <c r="I1043"/>
      <c r="J1043"/>
      <c r="K1043"/>
      <c r="M1043"/>
    </row>
    <row r="1044" spans="7:13">
      <c r="G1044" s="1"/>
      <c r="H1044" s="1"/>
      <c r="I1044"/>
      <c r="J1044"/>
      <c r="K1044"/>
      <c r="M1044"/>
    </row>
    <row r="1045" spans="7:13">
      <c r="G1045" s="1"/>
      <c r="H1045" s="1"/>
      <c r="I1045"/>
      <c r="J1045"/>
      <c r="K1045"/>
      <c r="M1045"/>
    </row>
    <row r="1046" spans="7:13">
      <c r="G1046" s="1"/>
      <c r="H1046" s="1"/>
      <c r="I1046"/>
      <c r="J1046"/>
      <c r="K1046"/>
      <c r="M1046"/>
    </row>
    <row r="1047" spans="7:13">
      <c r="G1047" s="1"/>
      <c r="H1047" s="1"/>
      <c r="I1047"/>
      <c r="J1047"/>
      <c r="K1047"/>
      <c r="M1047"/>
    </row>
    <row r="1048" spans="7:13">
      <c r="G1048" s="1"/>
      <c r="H1048" s="1"/>
      <c r="I1048"/>
      <c r="J1048"/>
      <c r="K1048"/>
      <c r="M1048"/>
    </row>
    <row r="1049" spans="7:13">
      <c r="G1049" s="1"/>
      <c r="H1049" s="1"/>
      <c r="I1049"/>
      <c r="J1049"/>
      <c r="K1049"/>
      <c r="M1049"/>
    </row>
    <row r="1050" spans="7:13">
      <c r="G1050" s="1"/>
      <c r="H1050" s="1"/>
      <c r="I1050"/>
      <c r="J1050"/>
      <c r="K1050"/>
      <c r="M1050"/>
    </row>
    <row r="1051" spans="7:13">
      <c r="G1051" s="1"/>
      <c r="H1051" s="1"/>
      <c r="I1051"/>
      <c r="J1051"/>
      <c r="K1051"/>
      <c r="M1051"/>
    </row>
    <row r="1052" spans="7:13">
      <c r="G1052" s="1"/>
      <c r="H1052" s="1"/>
      <c r="I1052"/>
      <c r="J1052"/>
      <c r="K1052"/>
      <c r="M1052"/>
    </row>
    <row r="1053" spans="7:13">
      <c r="G1053" s="1"/>
      <c r="H1053" s="1"/>
      <c r="I1053"/>
      <c r="J1053"/>
      <c r="K1053"/>
      <c r="M1053"/>
    </row>
    <row r="1054" spans="7:13">
      <c r="G1054" s="1"/>
      <c r="H1054" s="1"/>
      <c r="I1054"/>
      <c r="J1054"/>
      <c r="K1054"/>
      <c r="M1054"/>
    </row>
    <row r="1055" spans="7:13">
      <c r="G1055" s="1"/>
      <c r="H1055" s="1"/>
      <c r="I1055"/>
      <c r="J1055"/>
      <c r="K1055"/>
      <c r="M1055"/>
    </row>
    <row r="1056" spans="7:13">
      <c r="G1056" s="1"/>
      <c r="H1056" s="1"/>
      <c r="I1056"/>
      <c r="J1056"/>
      <c r="K1056"/>
      <c r="M1056"/>
    </row>
    <row r="1057" spans="7:13">
      <c r="G1057" s="1"/>
      <c r="H1057" s="1"/>
      <c r="I1057"/>
      <c r="J1057"/>
      <c r="K1057"/>
      <c r="M1057"/>
    </row>
    <row r="1058" spans="7:13">
      <c r="G1058" s="1"/>
      <c r="H1058" s="1"/>
      <c r="I1058"/>
      <c r="J1058"/>
      <c r="K1058"/>
      <c r="M1058"/>
    </row>
    <row r="1059" spans="7:13">
      <c r="G1059" s="1"/>
      <c r="H1059" s="1"/>
      <c r="I1059"/>
      <c r="J1059"/>
      <c r="K1059"/>
      <c r="M1059"/>
    </row>
    <row r="1060" spans="7:13">
      <c r="G1060" s="1"/>
      <c r="H1060" s="1"/>
      <c r="I1060"/>
      <c r="J1060"/>
      <c r="K1060"/>
      <c r="M1060"/>
    </row>
    <row r="1061" spans="7:13">
      <c r="G1061" s="1"/>
      <c r="H1061" s="1"/>
      <c r="I1061"/>
      <c r="J1061"/>
      <c r="K1061"/>
      <c r="M1061"/>
    </row>
    <row r="1062" spans="7:13">
      <c r="G1062" s="1"/>
      <c r="H1062" s="1"/>
      <c r="I1062"/>
      <c r="J1062"/>
      <c r="K1062"/>
      <c r="M1062"/>
    </row>
    <row r="1063" spans="7:13">
      <c r="G1063" s="1"/>
      <c r="H1063" s="1"/>
      <c r="I1063"/>
      <c r="J1063"/>
      <c r="K1063"/>
      <c r="M1063"/>
    </row>
    <row r="1064" spans="7:13">
      <c r="G1064" s="1"/>
      <c r="H1064" s="1"/>
      <c r="I1064"/>
      <c r="J1064"/>
      <c r="K1064"/>
      <c r="M1064"/>
    </row>
    <row r="1065" spans="7:13">
      <c r="G1065" s="1"/>
      <c r="H1065" s="1"/>
      <c r="I1065"/>
      <c r="J1065"/>
      <c r="K1065"/>
      <c r="M1065"/>
    </row>
    <row r="1066" spans="7:13">
      <c r="G1066" s="1"/>
      <c r="H1066" s="1"/>
      <c r="I1066"/>
      <c r="J1066"/>
      <c r="K1066"/>
      <c r="M1066"/>
    </row>
    <row r="1067" spans="7:13">
      <c r="G1067" s="1"/>
      <c r="H1067" s="1"/>
      <c r="I1067"/>
      <c r="J1067"/>
      <c r="K1067"/>
      <c r="M1067"/>
    </row>
    <row r="1068" spans="7:13">
      <c r="G1068" s="1"/>
      <c r="H1068" s="1"/>
      <c r="I1068"/>
      <c r="J1068"/>
      <c r="K1068"/>
      <c r="M1068"/>
    </row>
    <row r="1069" spans="7:13">
      <c r="G1069" s="1"/>
      <c r="H1069" s="1"/>
      <c r="I1069"/>
      <c r="J1069"/>
      <c r="K1069"/>
      <c r="M1069"/>
    </row>
    <row r="1070" spans="7:13">
      <c r="G1070" s="1"/>
      <c r="H1070" s="1"/>
      <c r="I1070"/>
      <c r="J1070"/>
      <c r="K1070"/>
      <c r="M1070"/>
    </row>
    <row r="1071" spans="7:13">
      <c r="G1071" s="1"/>
      <c r="H1071" s="1"/>
      <c r="I1071"/>
      <c r="J1071"/>
      <c r="K1071"/>
      <c r="M1071"/>
    </row>
    <row r="1072" spans="7:13">
      <c r="G1072" s="1"/>
      <c r="H1072" s="1"/>
      <c r="I1072"/>
      <c r="J1072"/>
      <c r="K1072"/>
      <c r="M1072"/>
    </row>
    <row r="1073" spans="7:13">
      <c r="G1073" s="1"/>
      <c r="H1073" s="1"/>
      <c r="I1073"/>
      <c r="J1073"/>
      <c r="K1073"/>
      <c r="M1073"/>
    </row>
    <row r="1074" spans="7:13">
      <c r="G1074" s="1"/>
      <c r="H1074" s="1"/>
      <c r="I1074"/>
      <c r="J1074"/>
      <c r="K1074"/>
      <c r="M1074"/>
    </row>
    <row r="1075" spans="7:13">
      <c r="G1075" s="1"/>
      <c r="H1075" s="1"/>
      <c r="I1075"/>
      <c r="J1075"/>
      <c r="K1075"/>
      <c r="M1075"/>
    </row>
    <row r="1076" spans="7:13">
      <c r="G1076" s="1"/>
      <c r="H1076" s="1"/>
      <c r="I1076"/>
      <c r="J1076"/>
      <c r="K1076"/>
      <c r="M1076"/>
    </row>
    <row r="1077" spans="7:13">
      <c r="G1077" s="1"/>
      <c r="H1077" s="1"/>
      <c r="I1077"/>
      <c r="J1077"/>
      <c r="K1077"/>
      <c r="M1077"/>
    </row>
    <row r="1078" spans="7:13">
      <c r="G1078" s="1"/>
      <c r="H1078" s="1"/>
      <c r="I1078"/>
      <c r="J1078"/>
      <c r="K1078"/>
      <c r="M1078"/>
    </row>
    <row r="1079" spans="7:13">
      <c r="G1079" s="1"/>
      <c r="H1079" s="1"/>
      <c r="I1079"/>
      <c r="J1079"/>
      <c r="K1079"/>
      <c r="M1079"/>
    </row>
    <row r="1080" spans="7:13">
      <c r="G1080" s="1"/>
      <c r="H1080" s="1"/>
      <c r="I1080"/>
      <c r="J1080"/>
      <c r="K1080"/>
      <c r="M1080"/>
    </row>
    <row r="1081" spans="7:13">
      <c r="G1081" s="1"/>
      <c r="H1081" s="1"/>
      <c r="I1081"/>
      <c r="J1081"/>
      <c r="K1081"/>
      <c r="M1081"/>
    </row>
    <row r="1082" spans="7:13">
      <c r="G1082" s="1"/>
      <c r="H1082" s="1"/>
      <c r="I1082"/>
      <c r="J1082"/>
      <c r="K1082"/>
      <c r="M1082"/>
    </row>
    <row r="1083" spans="7:13">
      <c r="G1083" s="1"/>
      <c r="H1083" s="1"/>
      <c r="I1083"/>
      <c r="J1083"/>
      <c r="K1083"/>
      <c r="M1083"/>
    </row>
    <row r="1084" spans="7:13">
      <c r="G1084" s="1"/>
      <c r="H1084" s="1"/>
      <c r="I1084"/>
      <c r="J1084"/>
      <c r="K1084"/>
      <c r="M1084"/>
    </row>
    <row r="1085" spans="7:13">
      <c r="G1085" s="1"/>
      <c r="H1085" s="1"/>
      <c r="I1085"/>
      <c r="J1085"/>
      <c r="K1085"/>
      <c r="M1085"/>
    </row>
    <row r="1086" spans="7:13">
      <c r="G1086" s="1"/>
      <c r="H1086" s="1"/>
      <c r="I1086"/>
      <c r="J1086"/>
      <c r="K1086"/>
      <c r="M1086"/>
    </row>
    <row r="1087" spans="7:13">
      <c r="G1087" s="1"/>
      <c r="H1087" s="1"/>
      <c r="I1087"/>
      <c r="J1087"/>
      <c r="K1087"/>
      <c r="M1087"/>
    </row>
    <row r="1088" spans="7:13">
      <c r="G1088" s="1"/>
      <c r="H1088" s="1"/>
      <c r="I1088"/>
      <c r="J1088"/>
      <c r="K1088"/>
      <c r="M1088"/>
    </row>
    <row r="1089" spans="7:13">
      <c r="G1089" s="1"/>
      <c r="H1089" s="1"/>
      <c r="I1089"/>
      <c r="J1089"/>
      <c r="K1089"/>
      <c r="M1089"/>
    </row>
    <row r="1090" spans="7:13">
      <c r="G1090" s="1"/>
      <c r="H1090" s="1"/>
      <c r="I1090"/>
      <c r="J1090"/>
      <c r="K1090"/>
      <c r="M1090"/>
    </row>
    <row r="1091" spans="7:13">
      <c r="G1091" s="1"/>
      <c r="H1091" s="1"/>
      <c r="I1091"/>
      <c r="J1091"/>
      <c r="K1091"/>
      <c r="M1091"/>
    </row>
    <row r="1092" spans="7:13">
      <c r="G1092" s="1"/>
      <c r="H1092" s="1"/>
      <c r="I1092"/>
      <c r="J1092"/>
      <c r="K1092"/>
      <c r="M1092"/>
    </row>
    <row r="1093" spans="7:13">
      <c r="G1093" s="1"/>
      <c r="H1093" s="1"/>
      <c r="I1093"/>
      <c r="J1093"/>
      <c r="K1093"/>
      <c r="M1093"/>
    </row>
    <row r="1094" spans="7:13">
      <c r="G1094" s="1"/>
      <c r="H1094" s="1"/>
      <c r="I1094"/>
      <c r="J1094"/>
      <c r="K1094"/>
      <c r="M1094"/>
    </row>
    <row r="1095" spans="7:13">
      <c r="G1095" s="1"/>
      <c r="H1095" s="1"/>
      <c r="I1095"/>
      <c r="J1095"/>
      <c r="K1095"/>
      <c r="M1095"/>
    </row>
    <row r="1096" spans="7:13">
      <c r="G1096" s="1"/>
      <c r="H1096" s="1"/>
      <c r="I1096"/>
      <c r="J1096"/>
      <c r="K1096"/>
      <c r="M1096"/>
    </row>
    <row r="1097" spans="7:13">
      <c r="G1097" s="1"/>
      <c r="H1097" s="1"/>
      <c r="I1097"/>
      <c r="J1097"/>
      <c r="K1097"/>
      <c r="M1097"/>
    </row>
    <row r="1098" spans="7:13">
      <c r="G1098" s="1"/>
      <c r="H1098" s="1"/>
      <c r="I1098"/>
      <c r="J1098"/>
      <c r="K1098"/>
      <c r="M1098"/>
    </row>
    <row r="1099" spans="7:13">
      <c r="G1099" s="1"/>
      <c r="H1099" s="1"/>
      <c r="I1099"/>
      <c r="J1099"/>
      <c r="K1099"/>
      <c r="M1099"/>
    </row>
    <row r="1100" spans="7:13">
      <c r="G1100" s="1"/>
      <c r="H1100" s="1"/>
      <c r="I1100"/>
      <c r="J1100"/>
      <c r="K1100"/>
      <c r="M1100"/>
    </row>
    <row r="1101" spans="7:13">
      <c r="G1101" s="1"/>
      <c r="H1101" s="1"/>
      <c r="I1101"/>
      <c r="J1101"/>
      <c r="K1101"/>
      <c r="M1101"/>
    </row>
    <row r="1102" spans="7:13">
      <c r="G1102" s="1"/>
      <c r="H1102" s="1"/>
      <c r="I1102"/>
      <c r="J1102"/>
      <c r="K1102"/>
      <c r="M1102"/>
    </row>
    <row r="1103" spans="7:13">
      <c r="G1103" s="1"/>
      <c r="H1103" s="1"/>
      <c r="I1103"/>
      <c r="J1103"/>
      <c r="K1103"/>
      <c r="M1103"/>
    </row>
    <row r="1104" spans="7:13">
      <c r="G1104" s="1"/>
      <c r="H1104" s="1"/>
      <c r="I1104"/>
      <c r="J1104"/>
      <c r="K1104"/>
      <c r="M1104"/>
    </row>
    <row r="1105" spans="7:13">
      <c r="G1105" s="1"/>
      <c r="H1105" s="1"/>
      <c r="I1105"/>
      <c r="J1105"/>
      <c r="K1105"/>
      <c r="M1105"/>
    </row>
    <row r="1106" spans="7:13">
      <c r="G1106" s="1"/>
      <c r="H1106" s="1"/>
      <c r="I1106"/>
      <c r="J1106"/>
      <c r="K1106"/>
      <c r="M1106"/>
    </row>
    <row r="1107" spans="7:13">
      <c r="G1107" s="1"/>
      <c r="H1107" s="1"/>
      <c r="I1107"/>
      <c r="J1107"/>
      <c r="K1107"/>
      <c r="M1107"/>
    </row>
    <row r="1108" spans="7:13">
      <c r="G1108" s="1"/>
      <c r="H1108" s="1"/>
      <c r="I1108"/>
      <c r="J1108"/>
      <c r="K1108"/>
      <c r="M1108"/>
    </row>
    <row r="1109" spans="7:13">
      <c r="G1109" s="1"/>
      <c r="H1109" s="1"/>
      <c r="I1109"/>
      <c r="J1109"/>
      <c r="K1109"/>
      <c r="M1109"/>
    </row>
    <row r="1110" spans="7:13">
      <c r="G1110" s="1"/>
      <c r="H1110" s="1"/>
      <c r="I1110"/>
      <c r="J1110"/>
      <c r="K1110"/>
      <c r="M1110"/>
    </row>
    <row r="1111" spans="7:13">
      <c r="G1111" s="1"/>
      <c r="H1111" s="1"/>
      <c r="I1111"/>
      <c r="J1111"/>
      <c r="K1111"/>
      <c r="M1111"/>
    </row>
    <row r="1112" spans="7:13">
      <c r="G1112" s="1"/>
      <c r="H1112" s="1"/>
      <c r="I1112"/>
      <c r="J1112"/>
      <c r="K1112"/>
      <c r="M1112"/>
    </row>
    <row r="1113" spans="7:13">
      <c r="G1113" s="1"/>
      <c r="H1113" s="1"/>
      <c r="I1113"/>
      <c r="J1113"/>
      <c r="K1113"/>
      <c r="M1113"/>
    </row>
    <row r="1114" spans="7:13">
      <c r="G1114" s="1"/>
      <c r="H1114" s="1"/>
      <c r="I1114"/>
      <c r="J1114"/>
      <c r="K1114"/>
      <c r="M1114"/>
    </row>
    <row r="1115" spans="7:13">
      <c r="G1115" s="1"/>
      <c r="H1115" s="1"/>
      <c r="I1115"/>
      <c r="J1115"/>
      <c r="K1115"/>
      <c r="M1115"/>
    </row>
    <row r="1116" spans="7:13">
      <c r="G1116" s="1"/>
      <c r="H1116" s="1"/>
      <c r="I1116"/>
      <c r="J1116"/>
      <c r="K1116"/>
      <c r="M1116"/>
    </row>
    <row r="1117" spans="7:13">
      <c r="G1117" s="1"/>
      <c r="H1117" s="1"/>
      <c r="I1117"/>
      <c r="J1117"/>
      <c r="K1117"/>
      <c r="M1117"/>
    </row>
    <row r="1118" spans="7:13">
      <c r="G1118" s="1"/>
      <c r="H1118" s="1"/>
      <c r="I1118"/>
      <c r="J1118"/>
      <c r="K1118"/>
      <c r="M1118"/>
    </row>
    <row r="1119" spans="7:13">
      <c r="G1119" s="1"/>
      <c r="H1119" s="1"/>
      <c r="I1119"/>
      <c r="J1119"/>
      <c r="K1119"/>
      <c r="M1119"/>
    </row>
    <row r="1120" spans="7:13">
      <c r="G1120" s="1"/>
      <c r="H1120" s="1"/>
      <c r="I1120"/>
      <c r="J1120"/>
      <c r="K1120"/>
      <c r="M1120"/>
    </row>
    <row r="1121" spans="7:13">
      <c r="G1121" s="1"/>
      <c r="H1121" s="1"/>
      <c r="I1121"/>
      <c r="J1121"/>
      <c r="K1121"/>
      <c r="M1121"/>
    </row>
    <row r="1122" spans="7:13">
      <c r="G1122" s="1"/>
      <c r="H1122" s="1"/>
      <c r="I1122"/>
      <c r="J1122"/>
      <c r="K1122"/>
      <c r="M1122"/>
    </row>
    <row r="1123" spans="7:13">
      <c r="G1123" s="1"/>
      <c r="H1123" s="1"/>
      <c r="I1123"/>
      <c r="J1123"/>
      <c r="K1123"/>
      <c r="M1123"/>
    </row>
    <row r="1124" spans="7:13">
      <c r="G1124" s="1"/>
      <c r="H1124" s="1"/>
      <c r="I1124"/>
      <c r="J1124"/>
      <c r="K1124"/>
      <c r="M1124"/>
    </row>
    <row r="1125" spans="7:13">
      <c r="G1125" s="1"/>
      <c r="H1125" s="1"/>
      <c r="I1125"/>
      <c r="J1125"/>
      <c r="K1125"/>
      <c r="M1125"/>
    </row>
    <row r="1126" spans="7:13">
      <c r="G1126" s="1"/>
      <c r="H1126" s="1"/>
      <c r="I1126"/>
      <c r="J1126"/>
      <c r="K1126"/>
      <c r="M1126"/>
    </row>
    <row r="1127" spans="7:13">
      <c r="G1127" s="1"/>
      <c r="H1127" s="1"/>
      <c r="I1127"/>
      <c r="J1127"/>
      <c r="K1127"/>
      <c r="M1127"/>
    </row>
    <row r="1128" spans="7:13">
      <c r="G1128" s="1"/>
      <c r="H1128" s="1"/>
      <c r="I1128"/>
      <c r="J1128"/>
      <c r="K1128"/>
      <c r="M1128"/>
    </row>
    <row r="1129" spans="7:13">
      <c r="G1129" s="1"/>
      <c r="H1129" s="1"/>
      <c r="I1129"/>
      <c r="J1129"/>
      <c r="K1129"/>
      <c r="M1129"/>
    </row>
    <row r="1130" spans="7:13">
      <c r="G1130" s="1"/>
      <c r="H1130" s="1"/>
      <c r="I1130"/>
      <c r="J1130"/>
      <c r="K1130"/>
      <c r="M1130"/>
    </row>
    <row r="1131" spans="7:13">
      <c r="G1131" s="1"/>
      <c r="H1131" s="1"/>
      <c r="I1131"/>
      <c r="J1131"/>
      <c r="K1131"/>
      <c r="M1131"/>
    </row>
    <row r="1132" spans="7:13">
      <c r="G1132" s="1"/>
      <c r="H1132" s="1"/>
      <c r="I1132"/>
      <c r="J1132"/>
      <c r="K1132"/>
      <c r="M1132"/>
    </row>
    <row r="1133" spans="7:13">
      <c r="G1133" s="1"/>
      <c r="H1133" s="1"/>
      <c r="I1133"/>
      <c r="J1133"/>
      <c r="K1133"/>
      <c r="M1133"/>
    </row>
    <row r="1134" spans="7:13">
      <c r="G1134" s="1"/>
      <c r="H1134" s="1"/>
      <c r="I1134"/>
      <c r="J1134"/>
      <c r="K1134"/>
      <c r="M1134"/>
    </row>
    <row r="1135" spans="7:13">
      <c r="G1135" s="1"/>
      <c r="H1135" s="1"/>
      <c r="I1135"/>
      <c r="J1135"/>
      <c r="K1135"/>
      <c r="M1135"/>
    </row>
    <row r="1136" spans="7:13">
      <c r="G1136" s="1"/>
      <c r="H1136" s="1"/>
      <c r="I1136"/>
      <c r="J1136"/>
      <c r="K1136"/>
      <c r="M1136"/>
    </row>
    <row r="1137" spans="7:13">
      <c r="G1137" s="1"/>
      <c r="H1137" s="1"/>
      <c r="I1137"/>
      <c r="J1137"/>
      <c r="K1137"/>
      <c r="M1137"/>
    </row>
    <row r="1138" spans="7:13">
      <c r="G1138" s="1"/>
      <c r="H1138" s="1"/>
      <c r="I1138"/>
      <c r="J1138"/>
      <c r="K1138"/>
      <c r="M1138"/>
    </row>
    <row r="1139" spans="7:13">
      <c r="G1139" s="1"/>
      <c r="H1139" s="1"/>
      <c r="I1139"/>
      <c r="J1139"/>
      <c r="K1139"/>
      <c r="M1139"/>
    </row>
    <row r="1140" spans="7:13">
      <c r="G1140" s="1"/>
      <c r="H1140" s="1"/>
      <c r="I1140"/>
      <c r="J1140"/>
      <c r="K1140"/>
      <c r="M1140"/>
    </row>
    <row r="1141" spans="7:13">
      <c r="G1141" s="1"/>
      <c r="H1141" s="1"/>
      <c r="I1141"/>
      <c r="J1141"/>
      <c r="K1141"/>
      <c r="M1141"/>
    </row>
    <row r="1142" spans="7:13">
      <c r="G1142" s="1"/>
      <c r="H1142" s="1"/>
      <c r="I1142"/>
      <c r="J1142"/>
      <c r="K1142"/>
      <c r="M1142"/>
    </row>
    <row r="1143" spans="7:13">
      <c r="G1143" s="1"/>
      <c r="H1143" s="1"/>
      <c r="I1143"/>
      <c r="J1143"/>
      <c r="K1143"/>
      <c r="M1143"/>
    </row>
    <row r="1144" spans="7:13">
      <c r="G1144" s="1"/>
      <c r="H1144" s="1"/>
      <c r="I1144"/>
      <c r="J1144"/>
      <c r="K1144"/>
      <c r="M1144"/>
    </row>
    <row r="1145" spans="7:13">
      <c r="G1145" s="1"/>
      <c r="H1145" s="1"/>
      <c r="I1145"/>
      <c r="J1145"/>
      <c r="K1145"/>
      <c r="M1145"/>
    </row>
    <row r="1146" spans="7:13">
      <c r="G1146" s="1"/>
      <c r="H1146" s="1"/>
      <c r="I1146"/>
      <c r="J1146"/>
      <c r="K1146"/>
      <c r="M1146"/>
    </row>
    <row r="1147" spans="7:13">
      <c r="G1147" s="1"/>
      <c r="H1147" s="1"/>
      <c r="I1147"/>
      <c r="J1147"/>
      <c r="K1147"/>
      <c r="M1147"/>
    </row>
    <row r="1148" spans="7:13">
      <c r="G1148" s="1"/>
      <c r="H1148" s="1"/>
      <c r="I1148"/>
      <c r="J1148"/>
      <c r="K1148"/>
      <c r="M1148"/>
    </row>
    <row r="1149" spans="7:13">
      <c r="G1149" s="1"/>
      <c r="H1149" s="1"/>
      <c r="I1149"/>
      <c r="J1149"/>
      <c r="K1149"/>
      <c r="M1149"/>
    </row>
    <row r="1150" spans="7:13">
      <c r="G1150" s="1"/>
      <c r="H1150" s="1"/>
      <c r="I1150"/>
      <c r="J1150"/>
      <c r="K1150"/>
      <c r="M1150"/>
    </row>
    <row r="1151" spans="7:13">
      <c r="G1151" s="1"/>
      <c r="H1151" s="1"/>
      <c r="I1151"/>
      <c r="J1151"/>
      <c r="K1151"/>
      <c r="M1151"/>
    </row>
    <row r="1152" spans="7:13">
      <c r="G1152" s="1"/>
      <c r="H1152" s="1"/>
      <c r="I1152"/>
      <c r="J1152"/>
      <c r="K1152"/>
      <c r="M1152"/>
    </row>
    <row r="1153" spans="7:13">
      <c r="G1153" s="1"/>
      <c r="H1153" s="1"/>
      <c r="I1153"/>
      <c r="J1153"/>
      <c r="K1153"/>
      <c r="M1153"/>
    </row>
    <row r="1154" spans="7:13">
      <c r="G1154" s="1"/>
      <c r="H1154" s="1"/>
      <c r="I1154"/>
      <c r="J1154"/>
      <c r="K1154"/>
      <c r="M1154"/>
    </row>
    <row r="1155" spans="7:13">
      <c r="G1155" s="1"/>
      <c r="H1155" s="1"/>
      <c r="I1155"/>
      <c r="J1155"/>
      <c r="K1155"/>
      <c r="M1155"/>
    </row>
    <row r="1156" spans="7:13">
      <c r="G1156" s="1"/>
      <c r="H1156" s="1"/>
      <c r="I1156"/>
      <c r="J1156"/>
      <c r="K1156"/>
      <c r="M1156"/>
    </row>
    <row r="1157" spans="7:13">
      <c r="G1157" s="1"/>
      <c r="H1157" s="1"/>
      <c r="I1157"/>
      <c r="J1157"/>
      <c r="K1157"/>
      <c r="M1157"/>
    </row>
    <row r="1158" spans="7:13">
      <c r="G1158" s="1"/>
      <c r="H1158" s="1"/>
      <c r="I1158"/>
      <c r="J1158"/>
      <c r="K1158"/>
      <c r="M1158"/>
    </row>
    <row r="1159" spans="7:13">
      <c r="G1159" s="1"/>
      <c r="H1159" s="1"/>
      <c r="I1159"/>
      <c r="J1159"/>
      <c r="K1159"/>
      <c r="M1159"/>
    </row>
    <row r="1160" spans="7:13">
      <c r="G1160" s="1"/>
      <c r="H1160" s="1"/>
      <c r="I1160"/>
      <c r="J1160"/>
      <c r="K1160"/>
      <c r="M1160"/>
    </row>
    <row r="1161" spans="7:13">
      <c r="G1161" s="1"/>
      <c r="H1161" s="1"/>
      <c r="I1161"/>
      <c r="J1161"/>
      <c r="K1161"/>
      <c r="M1161"/>
    </row>
    <row r="1162" spans="7:13">
      <c r="G1162" s="1"/>
      <c r="H1162" s="1"/>
      <c r="I1162"/>
      <c r="J1162"/>
      <c r="K1162"/>
      <c r="M1162"/>
    </row>
    <row r="1163" spans="7:13">
      <c r="G1163" s="1"/>
      <c r="H1163" s="1"/>
      <c r="I1163"/>
      <c r="J1163"/>
      <c r="K1163"/>
      <c r="M1163"/>
    </row>
    <row r="1164" spans="7:13">
      <c r="G1164" s="1"/>
      <c r="H1164" s="1"/>
      <c r="I1164"/>
      <c r="J1164"/>
      <c r="K1164"/>
      <c r="M1164"/>
    </row>
    <row r="1165" spans="7:13">
      <c r="G1165" s="1"/>
      <c r="H1165" s="1"/>
      <c r="I1165"/>
      <c r="J1165"/>
      <c r="K1165"/>
      <c r="M1165"/>
    </row>
    <row r="1166" spans="7:13">
      <c r="G1166" s="1"/>
      <c r="H1166" s="1"/>
      <c r="I1166"/>
      <c r="J1166"/>
      <c r="K1166"/>
      <c r="M1166"/>
    </row>
    <row r="1167" spans="7:13">
      <c r="G1167" s="1"/>
      <c r="H1167" s="1"/>
      <c r="I1167"/>
      <c r="J1167"/>
      <c r="K1167"/>
      <c r="M1167"/>
    </row>
    <row r="1168" spans="7:13">
      <c r="G1168" s="1"/>
      <c r="H1168" s="1"/>
      <c r="I1168"/>
      <c r="J1168"/>
      <c r="K1168"/>
      <c r="M1168"/>
    </row>
    <row r="1169" spans="7:13">
      <c r="G1169" s="1"/>
      <c r="H1169" s="1"/>
      <c r="I1169"/>
      <c r="J1169"/>
      <c r="K1169"/>
      <c r="M1169"/>
    </row>
    <row r="1170" spans="7:13">
      <c r="G1170" s="1"/>
      <c r="H1170" s="1"/>
      <c r="I1170"/>
      <c r="J1170"/>
      <c r="K1170"/>
      <c r="M1170"/>
    </row>
    <row r="1171" spans="7:13">
      <c r="G1171" s="1"/>
      <c r="H1171" s="1"/>
      <c r="I1171"/>
      <c r="J1171"/>
      <c r="K1171"/>
      <c r="M1171"/>
    </row>
    <row r="1172" spans="7:13">
      <c r="G1172" s="1"/>
      <c r="H1172" s="1"/>
      <c r="I1172"/>
      <c r="J1172"/>
      <c r="K1172"/>
      <c r="M1172"/>
    </row>
    <row r="1173" spans="7:13">
      <c r="G1173" s="1"/>
      <c r="H1173" s="1"/>
      <c r="I1173"/>
      <c r="J1173"/>
      <c r="K1173"/>
      <c r="M1173"/>
    </row>
    <row r="1174" spans="7:13">
      <c r="G1174" s="1"/>
      <c r="H1174" s="1"/>
      <c r="I1174"/>
      <c r="J1174"/>
      <c r="K1174"/>
      <c r="M1174"/>
    </row>
    <row r="1175" spans="7:13">
      <c r="G1175" s="1"/>
      <c r="H1175" s="1"/>
      <c r="I1175"/>
      <c r="J1175"/>
      <c r="K1175"/>
      <c r="M1175"/>
    </row>
    <row r="1176" spans="7:13">
      <c r="G1176" s="1"/>
      <c r="H1176" s="1"/>
      <c r="I1176"/>
      <c r="J1176"/>
      <c r="K1176"/>
      <c r="M1176"/>
    </row>
    <row r="1177" spans="7:13">
      <c r="G1177" s="1"/>
      <c r="H1177" s="1"/>
      <c r="I1177"/>
      <c r="J1177"/>
      <c r="K1177"/>
      <c r="M1177"/>
    </row>
    <row r="1178" spans="7:13">
      <c r="G1178" s="1"/>
      <c r="H1178" s="1"/>
      <c r="I1178"/>
      <c r="J1178"/>
      <c r="K1178"/>
      <c r="M1178"/>
    </row>
    <row r="1179" spans="7:13">
      <c r="G1179" s="1"/>
      <c r="H1179" s="1"/>
      <c r="I1179"/>
      <c r="J1179"/>
      <c r="K1179"/>
      <c r="M1179"/>
    </row>
    <row r="1180" spans="7:13">
      <c r="G1180" s="1"/>
      <c r="H1180" s="1"/>
      <c r="I1180"/>
      <c r="J1180"/>
      <c r="K1180"/>
      <c r="M1180"/>
    </row>
    <row r="1181" spans="7:13">
      <c r="G1181" s="1"/>
      <c r="H1181" s="1"/>
      <c r="I1181"/>
      <c r="J1181"/>
      <c r="K1181"/>
      <c r="M1181"/>
    </row>
    <row r="1182" spans="7:13">
      <c r="G1182" s="1"/>
      <c r="H1182" s="1"/>
      <c r="I1182"/>
      <c r="J1182"/>
      <c r="K1182"/>
      <c r="M1182"/>
    </row>
    <row r="1183" spans="7:13">
      <c r="G1183" s="1"/>
      <c r="H1183" s="1"/>
      <c r="I1183"/>
      <c r="J1183"/>
      <c r="K1183"/>
      <c r="M1183"/>
    </row>
    <row r="1184" spans="7:13">
      <c r="G1184" s="1"/>
      <c r="H1184" s="1"/>
      <c r="I1184"/>
      <c r="J1184"/>
      <c r="K1184"/>
      <c r="M1184"/>
    </row>
    <row r="1185" spans="7:13">
      <c r="G1185" s="1"/>
      <c r="H1185" s="1"/>
      <c r="I1185"/>
      <c r="J1185"/>
      <c r="K1185"/>
      <c r="M1185"/>
    </row>
    <row r="1186" spans="7:13">
      <c r="G1186" s="1"/>
      <c r="H1186" s="1"/>
      <c r="I1186"/>
      <c r="J1186"/>
      <c r="K1186"/>
      <c r="M1186"/>
    </row>
    <row r="1187" spans="7:13">
      <c r="G1187" s="1"/>
      <c r="H1187" s="1"/>
      <c r="I1187"/>
      <c r="J1187"/>
      <c r="K1187"/>
      <c r="M1187"/>
    </row>
    <row r="1188" spans="7:13">
      <c r="G1188" s="1"/>
      <c r="H1188" s="1"/>
      <c r="I1188"/>
      <c r="J1188"/>
      <c r="K1188"/>
      <c r="M1188"/>
    </row>
    <row r="1189" spans="7:13">
      <c r="G1189" s="1"/>
      <c r="H1189" s="1"/>
      <c r="I1189"/>
      <c r="J1189"/>
      <c r="K1189"/>
      <c r="M1189"/>
    </row>
    <row r="1190" spans="7:13">
      <c r="G1190" s="1"/>
      <c r="H1190" s="1"/>
      <c r="I1190"/>
      <c r="J1190"/>
      <c r="K1190"/>
      <c r="M1190"/>
    </row>
    <row r="1191" spans="7:13">
      <c r="G1191" s="1"/>
      <c r="H1191" s="1"/>
      <c r="I1191"/>
      <c r="J1191"/>
      <c r="K1191"/>
      <c r="M1191"/>
    </row>
    <row r="1192" spans="7:13">
      <c r="G1192" s="1"/>
      <c r="H1192" s="1"/>
      <c r="I1192"/>
      <c r="J1192"/>
      <c r="K1192"/>
      <c r="M1192"/>
    </row>
    <row r="1193" spans="7:13">
      <c r="G1193" s="1"/>
      <c r="H1193" s="1"/>
      <c r="I1193"/>
      <c r="J1193"/>
      <c r="K1193"/>
      <c r="M1193"/>
    </row>
    <row r="1194" spans="7:13">
      <c r="G1194" s="1"/>
      <c r="H1194" s="1"/>
      <c r="I1194"/>
      <c r="J1194"/>
      <c r="K1194"/>
      <c r="M1194"/>
    </row>
    <row r="1195" spans="7:13">
      <c r="G1195" s="1"/>
      <c r="H1195" s="1"/>
      <c r="I1195"/>
      <c r="J1195"/>
      <c r="K1195"/>
      <c r="M1195"/>
    </row>
    <row r="1196" spans="7:13">
      <c r="G1196" s="1"/>
      <c r="H1196" s="1"/>
      <c r="I1196"/>
      <c r="J1196"/>
      <c r="K1196"/>
      <c r="M1196"/>
    </row>
    <row r="1197" spans="7:13">
      <c r="G1197" s="1"/>
      <c r="H1197" s="1"/>
      <c r="I1197"/>
      <c r="J1197"/>
      <c r="K1197"/>
      <c r="M1197"/>
    </row>
    <row r="1198" spans="7:13">
      <c r="G1198" s="1"/>
      <c r="H1198" s="1"/>
      <c r="I1198"/>
      <c r="J1198"/>
      <c r="K1198"/>
      <c r="M1198"/>
    </row>
    <row r="1199" spans="7:13">
      <c r="G1199" s="1"/>
      <c r="H1199" s="1"/>
      <c r="I1199"/>
      <c r="J1199"/>
      <c r="K1199"/>
      <c r="M1199"/>
    </row>
    <row r="1200" spans="7:13">
      <c r="G1200" s="1"/>
      <c r="H1200" s="1"/>
      <c r="I1200"/>
      <c r="J1200"/>
      <c r="K1200"/>
      <c r="M1200"/>
    </row>
    <row r="1201" spans="7:13">
      <c r="G1201" s="1"/>
      <c r="H1201" s="1"/>
      <c r="I1201"/>
      <c r="J1201"/>
      <c r="K1201"/>
      <c r="M1201"/>
    </row>
    <row r="1202" spans="7:13">
      <c r="G1202" s="1"/>
      <c r="H1202" s="1"/>
      <c r="I1202"/>
      <c r="J1202"/>
      <c r="K1202"/>
      <c r="M1202"/>
    </row>
    <row r="1203" spans="7:13">
      <c r="G1203" s="1"/>
      <c r="H1203" s="1"/>
      <c r="I1203"/>
      <c r="J1203"/>
      <c r="K1203"/>
      <c r="M1203"/>
    </row>
    <row r="1204" spans="7:13">
      <c r="G1204" s="1"/>
      <c r="H1204" s="1"/>
      <c r="I1204"/>
      <c r="J1204"/>
      <c r="K1204"/>
      <c r="M1204"/>
    </row>
    <row r="1205" spans="7:13">
      <c r="G1205" s="1"/>
      <c r="H1205" s="1"/>
      <c r="I1205"/>
      <c r="J1205"/>
      <c r="K1205"/>
      <c r="M1205"/>
    </row>
    <row r="1206" spans="7:13">
      <c r="G1206" s="1"/>
      <c r="H1206" s="1"/>
      <c r="I1206"/>
      <c r="J1206"/>
      <c r="K1206"/>
      <c r="M1206"/>
    </row>
    <row r="1207" spans="7:13">
      <c r="G1207" s="1"/>
      <c r="H1207" s="1"/>
      <c r="I1207"/>
      <c r="J1207"/>
      <c r="K1207"/>
      <c r="M1207"/>
    </row>
    <row r="1208" spans="7:13">
      <c r="G1208" s="1"/>
      <c r="H1208" s="1"/>
      <c r="I1208"/>
      <c r="J1208"/>
      <c r="K1208"/>
      <c r="M1208"/>
    </row>
    <row r="1209" spans="7:13">
      <c r="G1209" s="1"/>
      <c r="H1209" s="1"/>
      <c r="I1209"/>
      <c r="J1209"/>
      <c r="K1209"/>
      <c r="M1209"/>
    </row>
    <row r="1210" spans="7:13">
      <c r="G1210" s="1"/>
      <c r="H1210" s="1"/>
      <c r="I1210"/>
      <c r="J1210"/>
      <c r="K1210"/>
      <c r="M1210"/>
    </row>
    <row r="1211" spans="7:13">
      <c r="G1211" s="1"/>
      <c r="H1211" s="1"/>
      <c r="I1211"/>
      <c r="J1211"/>
      <c r="K1211"/>
      <c r="M1211"/>
    </row>
    <row r="1212" spans="7:13">
      <c r="G1212" s="1"/>
      <c r="H1212" s="1"/>
      <c r="I1212"/>
      <c r="J1212"/>
      <c r="K1212"/>
      <c r="M1212"/>
    </row>
    <row r="1213" spans="7:13">
      <c r="G1213" s="1"/>
      <c r="H1213" s="1"/>
      <c r="I1213"/>
      <c r="J1213"/>
      <c r="K1213"/>
      <c r="M1213"/>
    </row>
    <row r="1214" spans="7:13">
      <c r="G1214" s="1"/>
      <c r="H1214" s="1"/>
      <c r="I1214"/>
      <c r="J1214"/>
      <c r="K1214"/>
      <c r="M1214"/>
    </row>
    <row r="1215" spans="7:13">
      <c r="G1215" s="1"/>
      <c r="H1215" s="1"/>
      <c r="I1215"/>
      <c r="J1215"/>
      <c r="K1215"/>
      <c r="M1215"/>
    </row>
    <row r="1216" spans="7:13">
      <c r="G1216" s="1"/>
      <c r="H1216" s="1"/>
      <c r="I1216"/>
      <c r="J1216"/>
      <c r="K1216"/>
      <c r="M1216"/>
    </row>
    <row r="1217" spans="7:13">
      <c r="G1217" s="1"/>
      <c r="H1217" s="1"/>
      <c r="I1217"/>
      <c r="J1217"/>
      <c r="K1217"/>
      <c r="M1217"/>
    </row>
    <row r="1218" spans="7:13">
      <c r="G1218" s="1"/>
      <c r="H1218" s="1"/>
      <c r="I1218"/>
      <c r="J1218"/>
      <c r="K1218"/>
      <c r="M1218"/>
    </row>
    <row r="1219" spans="7:13">
      <c r="G1219" s="1"/>
      <c r="H1219" s="1"/>
      <c r="I1219"/>
      <c r="J1219"/>
      <c r="K1219"/>
      <c r="M1219"/>
    </row>
    <row r="1220" spans="7:13">
      <c r="G1220" s="1"/>
      <c r="H1220" s="1"/>
      <c r="I1220"/>
      <c r="J1220"/>
      <c r="K1220"/>
      <c r="M1220"/>
    </row>
    <row r="1221" spans="7:13">
      <c r="G1221" s="1"/>
      <c r="H1221" s="1"/>
      <c r="I1221"/>
      <c r="J1221"/>
      <c r="K1221"/>
      <c r="M1221"/>
    </row>
    <row r="1222" spans="7:13">
      <c r="G1222" s="1"/>
      <c r="H1222" s="1"/>
      <c r="I1222"/>
      <c r="J1222"/>
      <c r="K1222"/>
      <c r="M1222"/>
    </row>
    <row r="1223" spans="7:13">
      <c r="G1223" s="1"/>
      <c r="H1223" s="1"/>
      <c r="I1223"/>
      <c r="J1223"/>
      <c r="K1223"/>
      <c r="M1223"/>
    </row>
    <row r="1224" spans="7:13">
      <c r="G1224" s="1"/>
      <c r="H1224" s="1"/>
      <c r="I1224"/>
      <c r="J1224"/>
      <c r="K1224"/>
      <c r="M1224"/>
    </row>
    <row r="1225" spans="7:13">
      <c r="G1225" s="1"/>
      <c r="H1225" s="1"/>
      <c r="I1225"/>
      <c r="J1225"/>
      <c r="K1225"/>
      <c r="M1225"/>
    </row>
    <row r="1226" spans="7:13">
      <c r="G1226" s="1"/>
      <c r="H1226" s="1"/>
      <c r="I1226"/>
      <c r="J1226"/>
      <c r="K1226"/>
      <c r="M1226"/>
    </row>
    <row r="1227" spans="7:13">
      <c r="G1227" s="1"/>
      <c r="H1227" s="1"/>
      <c r="I1227"/>
      <c r="J1227"/>
      <c r="K1227"/>
      <c r="M1227"/>
    </row>
    <row r="1228" spans="7:13">
      <c r="G1228" s="1"/>
      <c r="H1228" s="1"/>
      <c r="I1228"/>
      <c r="J1228"/>
      <c r="K1228"/>
      <c r="M1228"/>
    </row>
    <row r="1229" spans="7:13">
      <c r="G1229" s="1"/>
      <c r="H1229" s="1"/>
      <c r="I1229"/>
      <c r="J1229"/>
      <c r="K1229"/>
      <c r="M1229"/>
    </row>
    <row r="1230" spans="7:13">
      <c r="G1230" s="1"/>
      <c r="H1230" s="1"/>
      <c r="I1230"/>
      <c r="J1230"/>
      <c r="K1230"/>
      <c r="M1230"/>
    </row>
    <row r="1231" spans="7:13">
      <c r="G1231" s="1"/>
      <c r="H1231" s="1"/>
      <c r="I1231"/>
      <c r="J1231"/>
      <c r="K1231"/>
      <c r="M1231"/>
    </row>
    <row r="1232" spans="7:13">
      <c r="G1232" s="1"/>
      <c r="H1232" s="1"/>
      <c r="I1232"/>
      <c r="J1232"/>
      <c r="K1232"/>
      <c r="M1232"/>
    </row>
    <row r="1233" spans="7:13">
      <c r="G1233" s="1"/>
      <c r="H1233" s="1"/>
      <c r="I1233"/>
      <c r="J1233"/>
      <c r="K1233"/>
      <c r="M1233"/>
    </row>
    <row r="1234" spans="7:13">
      <c r="G1234" s="1"/>
      <c r="H1234" s="1"/>
      <c r="I1234"/>
      <c r="J1234"/>
      <c r="K1234"/>
      <c r="M1234"/>
    </row>
    <row r="1235" spans="7:13">
      <c r="G1235" s="1"/>
      <c r="H1235" s="1"/>
      <c r="I1235"/>
      <c r="J1235"/>
      <c r="K1235"/>
      <c r="M1235"/>
    </row>
    <row r="1236" spans="7:13">
      <c r="G1236" s="1"/>
      <c r="H1236" s="1"/>
      <c r="I1236"/>
      <c r="J1236"/>
      <c r="K1236"/>
      <c r="M1236"/>
    </row>
    <row r="1237" spans="7:13">
      <c r="G1237" s="1"/>
      <c r="H1237" s="1"/>
      <c r="I1237"/>
      <c r="J1237"/>
      <c r="K1237"/>
      <c r="M1237"/>
    </row>
    <row r="1238" spans="7:13">
      <c r="G1238" s="1"/>
      <c r="H1238" s="1"/>
      <c r="I1238"/>
      <c r="J1238"/>
      <c r="K1238"/>
      <c r="M1238"/>
    </row>
    <row r="1239" spans="7:13">
      <c r="G1239" s="1"/>
      <c r="H1239" s="1"/>
      <c r="I1239"/>
      <c r="J1239"/>
      <c r="K1239"/>
      <c r="M1239"/>
    </row>
    <row r="1240" spans="7:13">
      <c r="G1240" s="1"/>
      <c r="H1240" s="1"/>
      <c r="I1240"/>
      <c r="J1240"/>
      <c r="K1240"/>
      <c r="M1240"/>
    </row>
    <row r="1241" spans="7:13">
      <c r="G1241" s="1"/>
      <c r="H1241" s="1"/>
      <c r="I1241"/>
      <c r="J1241"/>
      <c r="K1241"/>
      <c r="M1241"/>
    </row>
    <row r="1242" spans="7:13">
      <c r="G1242" s="1"/>
      <c r="H1242" s="1"/>
      <c r="I1242"/>
      <c r="J1242"/>
      <c r="K1242"/>
      <c r="M1242"/>
    </row>
    <row r="1243" spans="7:13">
      <c r="G1243" s="1"/>
      <c r="H1243" s="1"/>
      <c r="I1243"/>
      <c r="J1243"/>
      <c r="K1243"/>
      <c r="M1243"/>
    </row>
    <row r="1244" spans="7:13">
      <c r="G1244" s="1"/>
      <c r="H1244" s="1"/>
      <c r="I1244"/>
      <c r="J1244"/>
      <c r="K1244"/>
      <c r="M1244"/>
    </row>
    <row r="1245" spans="7:13">
      <c r="G1245" s="1"/>
      <c r="H1245" s="1"/>
      <c r="I1245"/>
      <c r="J1245"/>
      <c r="K1245"/>
      <c r="M1245"/>
    </row>
    <row r="1246" spans="7:13">
      <c r="G1246" s="1"/>
      <c r="H1246" s="1"/>
      <c r="I1246"/>
      <c r="J1246"/>
      <c r="K1246"/>
      <c r="M1246"/>
    </row>
    <row r="1247" spans="7:13">
      <c r="G1247" s="1"/>
      <c r="H1247" s="1"/>
      <c r="I1247"/>
      <c r="J1247"/>
      <c r="K1247"/>
      <c r="M1247"/>
    </row>
    <row r="1248" spans="7:13">
      <c r="G1248" s="1"/>
      <c r="H1248" s="1"/>
      <c r="I1248"/>
      <c r="J1248"/>
      <c r="K1248"/>
      <c r="M1248"/>
    </row>
    <row r="1249" spans="7:13">
      <c r="G1249" s="1"/>
      <c r="H1249" s="1"/>
      <c r="I1249"/>
      <c r="J1249"/>
      <c r="K1249"/>
      <c r="M1249"/>
    </row>
    <row r="1250" spans="7:13">
      <c r="G1250" s="1"/>
      <c r="H1250" s="1"/>
      <c r="I1250"/>
      <c r="J1250"/>
      <c r="K1250"/>
      <c r="M1250"/>
    </row>
    <row r="1251" spans="7:13">
      <c r="G1251" s="1"/>
      <c r="H1251" s="1"/>
      <c r="I1251"/>
      <c r="J1251"/>
      <c r="K1251"/>
      <c r="M1251"/>
    </row>
    <row r="1252" spans="7:13">
      <c r="G1252" s="1"/>
      <c r="H1252" s="1"/>
      <c r="I1252"/>
      <c r="J1252"/>
      <c r="K1252"/>
      <c r="M1252"/>
    </row>
    <row r="1253" spans="7:13">
      <c r="G1253" s="1"/>
      <c r="H1253" s="1"/>
      <c r="I1253"/>
      <c r="J1253"/>
      <c r="K1253"/>
      <c r="M1253"/>
    </row>
    <row r="1254" spans="7:13">
      <c r="G1254" s="1"/>
      <c r="H1254" s="1"/>
      <c r="I1254"/>
      <c r="J1254"/>
      <c r="K1254"/>
      <c r="M1254"/>
    </row>
    <row r="1255" spans="7:13">
      <c r="G1255" s="1"/>
      <c r="H1255" s="1"/>
      <c r="I1255"/>
      <c r="J1255"/>
      <c r="K1255"/>
      <c r="M1255"/>
    </row>
    <row r="1256" spans="7:13">
      <c r="G1256" s="1"/>
      <c r="H1256" s="1"/>
      <c r="I1256"/>
      <c r="J1256"/>
      <c r="K1256"/>
      <c r="M1256"/>
    </row>
    <row r="1257" spans="7:13">
      <c r="G1257" s="1"/>
      <c r="H1257" s="1"/>
      <c r="I1257"/>
      <c r="J1257"/>
      <c r="K1257"/>
      <c r="M1257"/>
    </row>
    <row r="1258" spans="7:13">
      <c r="G1258" s="1"/>
      <c r="H1258" s="1"/>
      <c r="I1258"/>
      <c r="J1258"/>
      <c r="K1258"/>
      <c r="M1258"/>
    </row>
    <row r="1259" spans="7:13">
      <c r="G1259" s="1"/>
      <c r="H1259" s="1"/>
      <c r="I1259"/>
      <c r="J1259"/>
      <c r="K1259"/>
      <c r="M1259"/>
    </row>
    <row r="1260" spans="7:13">
      <c r="G1260" s="1"/>
      <c r="H1260" s="1"/>
      <c r="I1260"/>
      <c r="J1260"/>
      <c r="K1260"/>
      <c r="M1260"/>
    </row>
    <row r="1261" spans="7:13">
      <c r="G1261" s="1"/>
      <c r="H1261" s="1"/>
      <c r="I1261"/>
      <c r="J1261"/>
      <c r="K1261"/>
      <c r="M1261"/>
    </row>
    <row r="1262" spans="7:13">
      <c r="G1262" s="1"/>
      <c r="H1262" s="1"/>
      <c r="I1262"/>
      <c r="J1262"/>
      <c r="K1262"/>
      <c r="M1262"/>
    </row>
    <row r="1263" spans="7:13">
      <c r="G1263" s="1"/>
      <c r="H1263" s="1"/>
      <c r="I1263"/>
      <c r="J1263"/>
      <c r="K1263"/>
      <c r="M1263"/>
    </row>
    <row r="1264" spans="7:13">
      <c r="G1264" s="1"/>
      <c r="H1264" s="1"/>
      <c r="I1264"/>
      <c r="J1264"/>
      <c r="K1264"/>
      <c r="M1264"/>
    </row>
    <row r="1265" spans="7:13">
      <c r="G1265" s="1"/>
      <c r="H1265" s="1"/>
      <c r="I1265"/>
      <c r="J1265"/>
      <c r="K1265"/>
      <c r="M1265"/>
    </row>
    <row r="1266" spans="7:13">
      <c r="G1266" s="1"/>
      <c r="H1266" s="1"/>
      <c r="I1266"/>
      <c r="J1266"/>
      <c r="K1266"/>
      <c r="M1266"/>
    </row>
    <row r="1267" spans="7:13">
      <c r="G1267" s="1"/>
      <c r="H1267" s="1"/>
      <c r="I1267"/>
      <c r="J1267"/>
      <c r="K1267"/>
      <c r="M1267"/>
    </row>
    <row r="1268" spans="7:13">
      <c r="G1268" s="1"/>
      <c r="H1268" s="1"/>
      <c r="I1268"/>
      <c r="J1268"/>
      <c r="K1268"/>
      <c r="M1268"/>
    </row>
    <row r="1269" spans="7:13">
      <c r="G1269" s="1"/>
      <c r="H1269" s="1"/>
      <c r="I1269"/>
      <c r="J1269"/>
      <c r="K1269"/>
      <c r="M1269"/>
    </row>
    <row r="1270" spans="7:13">
      <c r="G1270" s="1"/>
      <c r="H1270" s="1"/>
      <c r="I1270"/>
      <c r="J1270"/>
      <c r="K1270"/>
      <c r="M1270"/>
    </row>
    <row r="1271" spans="7:13">
      <c r="G1271" s="1"/>
      <c r="H1271" s="1"/>
      <c r="I1271"/>
      <c r="J1271"/>
      <c r="K1271"/>
      <c r="M1271"/>
    </row>
    <row r="1272" spans="7:13">
      <c r="G1272" s="1"/>
      <c r="H1272" s="1"/>
      <c r="I1272"/>
      <c r="J1272"/>
      <c r="K1272"/>
      <c r="M1272"/>
    </row>
    <row r="1273" spans="7:13">
      <c r="G1273" s="1"/>
      <c r="H1273" s="1"/>
      <c r="I1273"/>
      <c r="J1273"/>
      <c r="K1273"/>
      <c r="M1273"/>
    </row>
    <row r="1274" spans="7:13">
      <c r="G1274" s="1"/>
      <c r="H1274" s="1"/>
      <c r="I1274"/>
      <c r="J1274"/>
      <c r="K1274"/>
      <c r="M1274"/>
    </row>
    <row r="1275" spans="7:13">
      <c r="G1275" s="1"/>
      <c r="H1275" s="1"/>
      <c r="I1275"/>
      <c r="J1275"/>
      <c r="K1275"/>
      <c r="M1275"/>
    </row>
    <row r="1276" spans="7:13">
      <c r="G1276" s="1"/>
      <c r="H1276" s="1"/>
      <c r="I1276"/>
      <c r="J1276"/>
      <c r="K1276"/>
      <c r="M1276"/>
    </row>
    <row r="1277" spans="7:13">
      <c r="G1277" s="1"/>
      <c r="H1277" s="1"/>
      <c r="I1277"/>
      <c r="J1277"/>
      <c r="K1277"/>
      <c r="M1277"/>
    </row>
    <row r="1278" spans="7:13">
      <c r="G1278" s="1"/>
      <c r="H1278" s="1"/>
      <c r="I1278"/>
      <c r="J1278"/>
      <c r="K1278"/>
      <c r="M1278"/>
    </row>
    <row r="1279" spans="7:13">
      <c r="G1279" s="1"/>
      <c r="H1279" s="1"/>
      <c r="I1279"/>
      <c r="J1279"/>
      <c r="K1279"/>
      <c r="M1279"/>
    </row>
    <row r="1280" spans="7:13">
      <c r="G1280" s="1"/>
      <c r="H1280" s="1"/>
      <c r="I1280"/>
      <c r="J1280"/>
      <c r="K1280"/>
      <c r="M1280"/>
    </row>
    <row r="1281" spans="7:13">
      <c r="G1281" s="1"/>
      <c r="H1281" s="1"/>
      <c r="I1281"/>
      <c r="J1281"/>
      <c r="K1281"/>
      <c r="M1281"/>
    </row>
    <row r="1282" spans="7:13">
      <c r="G1282" s="1"/>
      <c r="H1282" s="1"/>
      <c r="I1282"/>
      <c r="J1282"/>
      <c r="K1282"/>
      <c r="M1282"/>
    </row>
    <row r="1283" spans="7:13">
      <c r="G1283" s="1"/>
      <c r="H1283" s="1"/>
      <c r="I1283"/>
      <c r="J1283"/>
      <c r="K1283"/>
      <c r="M1283"/>
    </row>
    <row r="1284" spans="7:13">
      <c r="G1284" s="1"/>
      <c r="H1284" s="1"/>
      <c r="I1284"/>
      <c r="J1284"/>
      <c r="K1284"/>
      <c r="M1284"/>
    </row>
    <row r="1285" spans="7:13">
      <c r="G1285" s="1"/>
      <c r="H1285" s="1"/>
      <c r="I1285"/>
      <c r="J1285"/>
      <c r="K1285"/>
      <c r="M1285"/>
    </row>
    <row r="1286" spans="7:13">
      <c r="G1286" s="1"/>
      <c r="H1286" s="1"/>
      <c r="I1286"/>
      <c r="J1286"/>
      <c r="K1286"/>
      <c r="M1286"/>
    </row>
    <row r="1287" spans="7:13">
      <c r="G1287" s="1"/>
      <c r="H1287" s="1"/>
      <c r="I1287"/>
      <c r="J1287"/>
      <c r="K1287"/>
      <c r="M1287"/>
    </row>
    <row r="1288" spans="7:13">
      <c r="G1288" s="1"/>
      <c r="H1288" s="1"/>
      <c r="I1288"/>
      <c r="J1288"/>
      <c r="K1288"/>
      <c r="M1288"/>
    </row>
    <row r="1289" spans="7:13">
      <c r="G1289" s="1"/>
      <c r="H1289" s="1"/>
      <c r="I1289"/>
      <c r="J1289"/>
      <c r="K1289"/>
      <c r="M1289"/>
    </row>
    <row r="1290" spans="7:13">
      <c r="G1290" s="1"/>
      <c r="H1290" s="1"/>
      <c r="I1290"/>
      <c r="J1290"/>
      <c r="K1290"/>
      <c r="M1290"/>
    </row>
    <row r="1291" spans="7:13">
      <c r="G1291" s="1"/>
      <c r="H1291" s="1"/>
      <c r="I1291"/>
      <c r="J1291"/>
      <c r="K1291"/>
      <c r="M1291"/>
    </row>
    <row r="1292" spans="7:13">
      <c r="G1292" s="1"/>
      <c r="H1292" s="1"/>
      <c r="I1292"/>
      <c r="J1292"/>
      <c r="K1292"/>
      <c r="M1292"/>
    </row>
    <row r="1293" spans="7:13">
      <c r="G1293" s="1"/>
      <c r="H1293" s="1"/>
      <c r="I1293"/>
      <c r="J1293"/>
      <c r="K1293"/>
      <c r="M1293"/>
    </row>
    <row r="1294" spans="7:13">
      <c r="G1294" s="1"/>
      <c r="H1294" s="1"/>
      <c r="I1294"/>
      <c r="J1294"/>
      <c r="K1294"/>
      <c r="M1294"/>
    </row>
    <row r="1295" spans="7:13">
      <c r="G1295" s="1"/>
      <c r="H1295" s="1"/>
      <c r="I1295"/>
      <c r="J1295"/>
      <c r="K1295"/>
      <c r="M1295"/>
    </row>
    <row r="1296" spans="7:13">
      <c r="G1296" s="1"/>
      <c r="H1296" s="1"/>
      <c r="I1296"/>
      <c r="J1296"/>
      <c r="K1296"/>
      <c r="M1296"/>
    </row>
    <row r="1297" spans="7:13">
      <c r="G1297" s="1"/>
      <c r="H1297" s="1"/>
      <c r="I1297"/>
      <c r="J1297"/>
      <c r="K1297"/>
      <c r="M1297"/>
    </row>
    <row r="1298" spans="7:13">
      <c r="G1298" s="1"/>
      <c r="H1298" s="1"/>
      <c r="I1298"/>
      <c r="J1298"/>
      <c r="K1298"/>
      <c r="M1298"/>
    </row>
    <row r="1299" spans="7:13">
      <c r="G1299" s="1"/>
      <c r="H1299" s="1"/>
      <c r="I1299"/>
      <c r="J1299"/>
      <c r="K1299"/>
      <c r="M1299"/>
    </row>
    <row r="1300" spans="7:13">
      <c r="G1300" s="1"/>
      <c r="H1300" s="1"/>
      <c r="I1300"/>
      <c r="J1300"/>
      <c r="K1300"/>
      <c r="M1300"/>
    </row>
    <row r="1301" spans="7:13">
      <c r="G1301" s="1"/>
      <c r="H1301" s="1"/>
      <c r="I1301"/>
      <c r="J1301"/>
      <c r="K1301"/>
      <c r="M1301"/>
    </row>
    <row r="1302" spans="7:13">
      <c r="G1302" s="1"/>
      <c r="H1302" s="1"/>
      <c r="I1302"/>
      <c r="J1302"/>
      <c r="K1302"/>
      <c r="M1302"/>
    </row>
    <row r="1303" spans="7:13">
      <c r="G1303" s="1"/>
      <c r="H1303" s="1"/>
      <c r="I1303"/>
      <c r="J1303"/>
      <c r="K1303"/>
      <c r="M1303"/>
    </row>
    <row r="1304" spans="7:13">
      <c r="G1304" s="1"/>
      <c r="H1304" s="1"/>
      <c r="I1304"/>
      <c r="J1304"/>
      <c r="K1304"/>
      <c r="M1304"/>
    </row>
    <row r="1305" spans="7:13">
      <c r="G1305" s="1"/>
      <c r="H1305" s="1"/>
      <c r="I1305"/>
      <c r="J1305"/>
      <c r="K1305"/>
      <c r="M1305"/>
    </row>
    <row r="1306" spans="7:13">
      <c r="G1306" s="1"/>
      <c r="H1306" s="1"/>
      <c r="I1306"/>
      <c r="J1306"/>
      <c r="K1306"/>
      <c r="M1306"/>
    </row>
    <row r="1307" spans="7:13">
      <c r="G1307" s="1"/>
      <c r="H1307" s="1"/>
      <c r="I1307"/>
      <c r="J1307"/>
      <c r="K1307"/>
      <c r="M1307"/>
    </row>
    <row r="1308" spans="7:13">
      <c r="G1308" s="1"/>
      <c r="H1308" s="1"/>
      <c r="I1308"/>
      <c r="J1308"/>
      <c r="K1308"/>
      <c r="M1308"/>
    </row>
    <row r="1309" spans="7:13">
      <c r="G1309" s="1"/>
      <c r="H1309" s="1"/>
      <c r="I1309"/>
      <c r="J1309"/>
      <c r="K1309"/>
      <c r="M1309"/>
    </row>
    <row r="1310" spans="7:13">
      <c r="G1310" s="1"/>
      <c r="H1310" s="1"/>
      <c r="I1310"/>
      <c r="J1310"/>
      <c r="K1310"/>
      <c r="M1310"/>
    </row>
    <row r="1311" spans="7:13">
      <c r="G1311" s="1"/>
      <c r="H1311" s="1"/>
      <c r="I1311"/>
      <c r="J1311"/>
      <c r="K1311"/>
      <c r="M1311"/>
    </row>
    <row r="1312" spans="7:13">
      <c r="G1312" s="1"/>
      <c r="H1312" s="1"/>
      <c r="I1312"/>
      <c r="J1312"/>
      <c r="K1312"/>
      <c r="M1312"/>
    </row>
    <row r="1313" spans="7:13">
      <c r="G1313" s="1"/>
      <c r="H1313" s="1"/>
      <c r="I1313"/>
      <c r="J1313"/>
      <c r="K1313"/>
      <c r="M1313"/>
    </row>
    <row r="1314" spans="7:13">
      <c r="G1314" s="1"/>
      <c r="H1314" s="1"/>
      <c r="I1314"/>
      <c r="J1314"/>
      <c r="K1314"/>
      <c r="M1314"/>
    </row>
    <row r="1315" spans="7:13">
      <c r="G1315" s="1"/>
      <c r="H1315" s="1"/>
      <c r="I1315"/>
      <c r="J1315"/>
      <c r="K1315"/>
      <c r="M1315"/>
    </row>
    <row r="1316" spans="7:13">
      <c r="G1316" s="1"/>
      <c r="H1316" s="1"/>
      <c r="I1316"/>
      <c r="J1316"/>
      <c r="K1316"/>
      <c r="M1316"/>
    </row>
    <row r="1317" spans="7:13">
      <c r="G1317" s="1"/>
      <c r="H1317" s="1"/>
      <c r="I1317"/>
      <c r="J1317"/>
      <c r="K1317"/>
      <c r="M1317"/>
    </row>
    <row r="1318" spans="7:13">
      <c r="G1318" s="1"/>
      <c r="H1318" s="1"/>
      <c r="I1318"/>
      <c r="J1318"/>
      <c r="K1318"/>
      <c r="M1318"/>
    </row>
    <row r="1319" spans="7:13">
      <c r="G1319" s="1"/>
      <c r="H1319" s="1"/>
      <c r="I1319"/>
      <c r="J1319"/>
      <c r="K1319"/>
      <c r="M1319"/>
    </row>
    <row r="1320" spans="7:13">
      <c r="G1320" s="1"/>
      <c r="H1320" s="1"/>
      <c r="I1320"/>
      <c r="J1320"/>
      <c r="K1320"/>
      <c r="M1320"/>
    </row>
    <row r="1321" spans="7:13">
      <c r="G1321" s="1"/>
      <c r="H1321" s="1"/>
      <c r="I1321"/>
      <c r="J1321"/>
      <c r="K1321"/>
      <c r="M1321"/>
    </row>
    <row r="1322" spans="7:13">
      <c r="G1322" s="1"/>
      <c r="H1322" s="1"/>
      <c r="I1322"/>
      <c r="J1322"/>
      <c r="K1322"/>
      <c r="M1322"/>
    </row>
    <row r="1323" spans="7:13">
      <c r="G1323" s="1"/>
      <c r="H1323" s="1"/>
      <c r="I1323"/>
      <c r="J1323"/>
      <c r="K1323"/>
      <c r="M1323"/>
    </row>
    <row r="1324" spans="7:13">
      <c r="G1324" s="1"/>
      <c r="H1324" s="1"/>
      <c r="I1324"/>
      <c r="J1324"/>
      <c r="K1324"/>
      <c r="M1324"/>
    </row>
    <row r="1325" spans="7:13">
      <c r="G1325" s="1"/>
      <c r="H1325" s="1"/>
      <c r="I1325"/>
      <c r="J1325"/>
      <c r="K1325"/>
      <c r="M1325"/>
    </row>
    <row r="1326" spans="7:13">
      <c r="G1326" s="1"/>
      <c r="H1326" s="1"/>
      <c r="I1326"/>
      <c r="J1326"/>
      <c r="K1326"/>
      <c r="M1326"/>
    </row>
    <row r="1327" spans="7:13">
      <c r="G1327" s="1"/>
      <c r="H1327" s="1"/>
      <c r="I1327"/>
      <c r="J1327"/>
      <c r="K1327"/>
      <c r="M1327"/>
    </row>
    <row r="1328" spans="7:13">
      <c r="G1328" s="1"/>
      <c r="H1328" s="1"/>
      <c r="I1328"/>
      <c r="J1328"/>
      <c r="K1328"/>
      <c r="M1328"/>
    </row>
    <row r="1329" spans="7:13">
      <c r="G1329" s="1"/>
      <c r="H1329" s="1"/>
      <c r="I1329"/>
      <c r="J1329"/>
      <c r="K1329"/>
      <c r="M1329"/>
    </row>
    <row r="1330" spans="7:13">
      <c r="G1330" s="1"/>
      <c r="H1330" s="1"/>
      <c r="I1330"/>
      <c r="J1330"/>
      <c r="K1330"/>
      <c r="M1330"/>
    </row>
    <row r="1331" spans="7:13">
      <c r="G1331" s="1"/>
      <c r="H1331" s="1"/>
      <c r="I1331"/>
      <c r="J1331"/>
      <c r="K1331"/>
      <c r="M1331"/>
    </row>
    <row r="1332" spans="7:13">
      <c r="G1332" s="1"/>
      <c r="H1332" s="1"/>
      <c r="I1332"/>
      <c r="J1332"/>
      <c r="K1332"/>
      <c r="M1332"/>
    </row>
    <row r="1333" spans="7:13">
      <c r="G1333" s="1"/>
      <c r="H1333" s="1"/>
      <c r="I1333"/>
      <c r="J1333"/>
      <c r="K1333"/>
      <c r="M1333"/>
    </row>
    <row r="1334" spans="7:13">
      <c r="G1334" s="1"/>
      <c r="H1334" s="1"/>
      <c r="I1334"/>
      <c r="J1334"/>
      <c r="K1334"/>
      <c r="M1334"/>
    </row>
    <row r="1335" spans="7:13">
      <c r="G1335" s="1"/>
      <c r="H1335" s="1"/>
      <c r="I1335"/>
      <c r="J1335"/>
      <c r="K1335"/>
      <c r="M1335"/>
    </row>
    <row r="1336" spans="7:13">
      <c r="G1336" s="1"/>
      <c r="H1336" s="1"/>
      <c r="I1336"/>
      <c r="J1336"/>
      <c r="K1336"/>
      <c r="M1336"/>
    </row>
    <row r="1337" spans="7:13">
      <c r="G1337" s="1"/>
      <c r="H1337" s="1"/>
      <c r="I1337"/>
      <c r="J1337"/>
      <c r="K1337"/>
      <c r="M1337"/>
    </row>
    <row r="1338" spans="7:13">
      <c r="G1338" s="1"/>
      <c r="H1338" s="1"/>
      <c r="I1338"/>
      <c r="J1338"/>
      <c r="K1338"/>
      <c r="M1338"/>
    </row>
    <row r="1339" spans="7:13">
      <c r="G1339" s="1"/>
      <c r="H1339" s="1"/>
      <c r="I1339"/>
      <c r="J1339"/>
      <c r="K1339"/>
      <c r="M1339"/>
    </row>
    <row r="1340" spans="7:13">
      <c r="G1340" s="1"/>
      <c r="H1340" s="1"/>
      <c r="I1340"/>
      <c r="J1340"/>
      <c r="K1340"/>
      <c r="M1340"/>
    </row>
    <row r="1341" spans="7:13">
      <c r="G1341" s="1"/>
      <c r="H1341" s="1"/>
      <c r="I1341"/>
      <c r="J1341"/>
      <c r="K1341"/>
      <c r="M1341"/>
    </row>
    <row r="1342" spans="7:13">
      <c r="G1342" s="1"/>
      <c r="H1342" s="1"/>
      <c r="I1342"/>
      <c r="J1342"/>
      <c r="K1342"/>
      <c r="M1342"/>
    </row>
    <row r="1343" spans="7:13">
      <c r="G1343" s="1"/>
      <c r="H1343" s="1"/>
      <c r="I1343"/>
      <c r="J1343"/>
      <c r="K1343"/>
      <c r="M1343"/>
    </row>
    <row r="1344" spans="7:13">
      <c r="G1344" s="1"/>
      <c r="H1344" s="1"/>
      <c r="I1344"/>
      <c r="J1344"/>
      <c r="K1344"/>
      <c r="M1344"/>
    </row>
    <row r="1345" spans="7:13">
      <c r="G1345" s="1"/>
      <c r="H1345" s="1"/>
      <c r="I1345"/>
      <c r="J1345"/>
      <c r="K1345"/>
      <c r="M1345"/>
    </row>
    <row r="1346" spans="7:13">
      <c r="G1346" s="1"/>
      <c r="H1346" s="1"/>
      <c r="I1346"/>
      <c r="J1346"/>
      <c r="K1346"/>
      <c r="M1346"/>
    </row>
    <row r="1347" spans="7:13">
      <c r="G1347" s="1"/>
      <c r="H1347" s="1"/>
      <c r="I1347"/>
      <c r="J1347"/>
      <c r="K1347"/>
      <c r="M1347"/>
    </row>
    <row r="1348" spans="7:13">
      <c r="G1348" s="1"/>
      <c r="H1348" s="1"/>
      <c r="I1348"/>
      <c r="J1348"/>
      <c r="K1348"/>
      <c r="M1348"/>
    </row>
    <row r="1349" spans="7:13">
      <c r="G1349" s="1"/>
      <c r="H1349" s="1"/>
      <c r="I1349"/>
      <c r="J1349"/>
      <c r="K1349"/>
      <c r="M1349"/>
    </row>
    <row r="1350" spans="7:13">
      <c r="G1350" s="1"/>
      <c r="H1350" s="1"/>
      <c r="I1350"/>
      <c r="J1350"/>
      <c r="K1350"/>
      <c r="M1350"/>
    </row>
    <row r="1351" spans="7:13">
      <c r="G1351" s="1"/>
      <c r="H1351" s="1"/>
      <c r="I1351"/>
      <c r="J1351"/>
      <c r="K1351"/>
      <c r="M1351"/>
    </row>
    <row r="1352" spans="7:13">
      <c r="G1352" s="1"/>
      <c r="H1352" s="1"/>
      <c r="I1352"/>
      <c r="J1352"/>
      <c r="K1352"/>
      <c r="M1352"/>
    </row>
    <row r="1353" spans="7:13">
      <c r="G1353" s="1"/>
      <c r="H1353" s="1"/>
      <c r="I1353"/>
      <c r="J1353"/>
      <c r="K1353"/>
      <c r="M1353"/>
    </row>
    <row r="1354" spans="7:13">
      <c r="G1354" s="1"/>
      <c r="H1354" s="1"/>
      <c r="I1354"/>
      <c r="J1354"/>
      <c r="K1354"/>
      <c r="M1354"/>
    </row>
    <row r="1355" spans="7:13">
      <c r="G1355" s="1"/>
      <c r="H1355" s="1"/>
      <c r="I1355"/>
      <c r="J1355"/>
      <c r="K1355"/>
      <c r="M1355"/>
    </row>
    <row r="1356" spans="7:13">
      <c r="G1356" s="1"/>
      <c r="H1356" s="1"/>
      <c r="I1356"/>
      <c r="J1356"/>
      <c r="K1356"/>
      <c r="M1356"/>
    </row>
    <row r="1357" spans="7:13">
      <c r="G1357" s="1"/>
      <c r="H1357" s="1"/>
      <c r="I1357"/>
      <c r="J1357"/>
      <c r="K1357"/>
      <c r="M1357"/>
    </row>
    <row r="1358" spans="7:13">
      <c r="G1358" s="1"/>
      <c r="H1358" s="1"/>
      <c r="I1358"/>
      <c r="J1358"/>
      <c r="K1358"/>
      <c r="M1358"/>
    </row>
    <row r="1359" spans="7:13">
      <c r="G1359" s="1"/>
      <c r="H1359" s="1"/>
      <c r="I1359"/>
      <c r="J1359"/>
      <c r="K1359"/>
      <c r="M1359"/>
    </row>
    <row r="1360" spans="7:13">
      <c r="G1360" s="1"/>
      <c r="H1360" s="1"/>
      <c r="I1360"/>
      <c r="J1360"/>
      <c r="K1360"/>
      <c r="M1360"/>
    </row>
    <row r="1361" spans="7:13">
      <c r="G1361" s="1"/>
      <c r="H1361" s="1"/>
      <c r="I1361"/>
      <c r="J1361"/>
      <c r="K1361"/>
      <c r="M1361"/>
    </row>
    <row r="1362" spans="7:13">
      <c r="G1362" s="1"/>
      <c r="H1362" s="1"/>
      <c r="I1362"/>
      <c r="J1362"/>
      <c r="K1362"/>
      <c r="M1362"/>
    </row>
    <row r="1363" spans="7:13">
      <c r="G1363" s="1"/>
      <c r="H1363" s="1"/>
      <c r="I1363"/>
      <c r="J1363"/>
      <c r="K1363"/>
      <c r="M1363"/>
    </row>
    <row r="1364" spans="7:13">
      <c r="G1364" s="1"/>
      <c r="H1364" s="1"/>
      <c r="I1364"/>
      <c r="J1364"/>
      <c r="K1364"/>
      <c r="M1364"/>
    </row>
    <row r="1365" spans="7:13">
      <c r="G1365" s="1"/>
      <c r="H1365" s="1"/>
      <c r="I1365"/>
      <c r="J1365"/>
      <c r="K1365"/>
      <c r="M1365"/>
    </row>
    <row r="1366" spans="7:13">
      <c r="G1366" s="1"/>
      <c r="H1366" s="1"/>
      <c r="I1366"/>
      <c r="J1366"/>
      <c r="K1366"/>
      <c r="M1366"/>
    </row>
    <row r="1367" spans="7:13">
      <c r="G1367" s="1"/>
      <c r="H1367" s="1"/>
      <c r="I1367"/>
      <c r="J1367"/>
      <c r="K1367"/>
      <c r="M1367"/>
    </row>
    <row r="1368" spans="7:13">
      <c r="G1368" s="1"/>
      <c r="H1368" s="1"/>
      <c r="I1368"/>
      <c r="J1368"/>
      <c r="K1368"/>
      <c r="M1368"/>
    </row>
  </sheetData>
  <sortState ref="A2:U842">
    <sortCondition ref="T2:T842"/>
  </sortState>
  <phoneticPr fontId="2"/>
  <pageMargins left="0.2" right="0.21" top="1" bottom="1" header="0.51200000000000001" footer="0.51200000000000001"/>
  <pageSetup paperSize="9" scale="95" orientation="landscape" verticalDpi="0" r:id="rId1"/>
  <headerFooter alignWithMargins="0">
    <oddHeader>&amp;F</oddHeader>
    <oddFooter>&amp;P / &amp;N ページ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2"/>
  <sheetViews>
    <sheetView zoomScale="110" zoomScaleNormal="110" workbookViewId="0">
      <selection activeCell="E4" sqref="E4"/>
    </sheetView>
  </sheetViews>
  <sheetFormatPr defaultRowHeight="13"/>
  <sheetData>
    <row r="1" spans="1:5">
      <c r="B1" t="s">
        <v>174</v>
      </c>
    </row>
    <row r="2" spans="1:5">
      <c r="A2" s="12">
        <v>2010</v>
      </c>
      <c r="B2">
        <v>1.57</v>
      </c>
      <c r="C2">
        <v>1.56</v>
      </c>
      <c r="D2" s="12">
        <v>2001</v>
      </c>
      <c r="E2">
        <f>B2-C2</f>
        <v>1.0000000000000009E-2</v>
      </c>
    </row>
    <row r="3" spans="1:5">
      <c r="A3" s="12">
        <v>2004</v>
      </c>
      <c r="B3">
        <v>3.1194368846011491</v>
      </c>
      <c r="C3">
        <v>3.2785918276930444</v>
      </c>
      <c r="D3" s="12">
        <v>2002</v>
      </c>
    </row>
    <row r="4" spans="1:5">
      <c r="A4" s="12">
        <v>2009</v>
      </c>
      <c r="B4">
        <v>3.183098861837907</v>
      </c>
      <c r="C4">
        <v>3.3422538049298023</v>
      </c>
      <c r="D4" s="12">
        <v>2007</v>
      </c>
      <c r="E4">
        <f t="shared" ref="E4:E12" si="0">B4-C4</f>
        <v>-0.15915494309189526</v>
      </c>
    </row>
    <row r="5" spans="1:5">
      <c r="A5" s="10">
        <v>701</v>
      </c>
      <c r="B5">
        <v>3.61</v>
      </c>
      <c r="C5">
        <v>4.1061975317709001</v>
      </c>
      <c r="D5" s="12">
        <v>2006</v>
      </c>
      <c r="E5">
        <f t="shared" si="0"/>
        <v>-0.4961975317709002</v>
      </c>
    </row>
    <row r="6" spans="1:5">
      <c r="A6" s="12">
        <v>2005</v>
      </c>
      <c r="B6">
        <v>3.9470425886790048</v>
      </c>
      <c r="C6">
        <v>4.1380285203892786</v>
      </c>
      <c r="D6" s="10">
        <v>701</v>
      </c>
      <c r="E6">
        <f t="shared" si="0"/>
        <v>-0.19098593171027378</v>
      </c>
    </row>
    <row r="7" spans="1:5">
      <c r="A7" s="12">
        <v>2001</v>
      </c>
      <c r="B7">
        <v>4.169859509007658</v>
      </c>
      <c r="C7">
        <v>4.169859509007658</v>
      </c>
      <c r="D7" s="12">
        <v>2009</v>
      </c>
      <c r="E7">
        <f t="shared" si="0"/>
        <v>0</v>
      </c>
    </row>
    <row r="8" spans="1:5">
      <c r="A8" s="12">
        <v>2007</v>
      </c>
      <c r="B8">
        <v>4.5836623610465859</v>
      </c>
      <c r="C8">
        <v>5.0929581789406511</v>
      </c>
      <c r="D8" s="12">
        <v>2005</v>
      </c>
      <c r="E8">
        <f t="shared" si="0"/>
        <v>-0.50929581789406519</v>
      </c>
    </row>
    <row r="9" spans="1:5">
      <c r="A9" s="12">
        <v>2003</v>
      </c>
      <c r="B9">
        <v>7.9577471545947667</v>
      </c>
      <c r="C9">
        <v>8.1169020976866619</v>
      </c>
      <c r="D9" s="12">
        <v>2008</v>
      </c>
      <c r="E9">
        <f t="shared" si="0"/>
        <v>-0.15915494309189526</v>
      </c>
    </row>
    <row r="10" spans="1:5">
      <c r="A10" s="12">
        <v>2008</v>
      </c>
      <c r="B10">
        <v>12.223099629457561</v>
      </c>
      <c r="C10">
        <v>12.350423583931077</v>
      </c>
      <c r="D10" s="12">
        <v>2003</v>
      </c>
      <c r="E10">
        <f t="shared" si="0"/>
        <v>-0.12732395447351585</v>
      </c>
    </row>
    <row r="11" spans="1:5">
      <c r="A11" s="12">
        <v>2006</v>
      </c>
      <c r="B11">
        <v>13.209860276627314</v>
      </c>
      <c r="C11">
        <v>13.369015219719209</v>
      </c>
      <c r="D11" s="12">
        <v>2004</v>
      </c>
      <c r="E11">
        <f t="shared" si="0"/>
        <v>-0.15915494309189526</v>
      </c>
    </row>
    <row r="12" spans="1:5">
      <c r="A12" s="12">
        <v>2002</v>
      </c>
      <c r="B12">
        <v>14.260282901033822</v>
      </c>
      <c r="C12">
        <v>14.260282901033822</v>
      </c>
      <c r="D12" s="12">
        <v>2010</v>
      </c>
      <c r="E12">
        <f t="shared" si="0"/>
        <v>0</v>
      </c>
    </row>
  </sheetData>
  <sortState ref="C2:D12">
    <sortCondition ref="C2"/>
  </sortState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A3" sqref="A3"/>
    </sheetView>
  </sheetViews>
  <sheetFormatPr defaultRowHeight="13"/>
  <sheetData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N56"/>
  <sheetViews>
    <sheetView workbookViewId="0">
      <selection activeCell="N4" sqref="N4"/>
    </sheetView>
  </sheetViews>
  <sheetFormatPr defaultRowHeight="13"/>
  <cols>
    <col min="1" max="1" width="22.08984375" bestFit="1" customWidth="1"/>
    <col min="2" max="2" width="11.26953125" bestFit="1" customWidth="1"/>
    <col min="3" max="5" width="4.54296875" bestFit="1" customWidth="1"/>
    <col min="6" max="6" width="5.6328125" bestFit="1" customWidth="1"/>
    <col min="7" max="12" width="6.7265625" bestFit="1" customWidth="1"/>
    <col min="13" max="13" width="5.453125" bestFit="1" customWidth="1"/>
    <col min="14" max="20" width="5.6328125" bestFit="1" customWidth="1"/>
    <col min="21" max="21" width="4.54296875" bestFit="1" customWidth="1"/>
    <col min="22" max="28" width="5.6328125" bestFit="1" customWidth="1"/>
    <col min="29" max="29" width="4.54296875" bestFit="1" customWidth="1"/>
    <col min="30" max="33" width="5.6328125" bestFit="1" customWidth="1"/>
    <col min="34" max="34" width="2.36328125" bestFit="1" customWidth="1"/>
    <col min="35" max="48" width="5.6328125" bestFit="1" customWidth="1"/>
    <col min="49" max="49" width="4.54296875" bestFit="1" customWidth="1"/>
    <col min="50" max="54" width="5.6328125" bestFit="1" customWidth="1"/>
    <col min="55" max="55" width="4.54296875" bestFit="1" customWidth="1"/>
    <col min="56" max="65" width="5.6328125" bestFit="1" customWidth="1"/>
    <col min="66" max="66" width="4.54296875" bestFit="1" customWidth="1"/>
    <col min="67" max="101" width="5.6328125" bestFit="1" customWidth="1"/>
    <col min="102" max="102" width="4.54296875" bestFit="1" customWidth="1"/>
    <col min="103" max="103" width="13.54296875" bestFit="1" customWidth="1"/>
    <col min="104" max="105" width="5.6328125" bestFit="1" customWidth="1"/>
    <col min="106" max="106" width="13.54296875" bestFit="1" customWidth="1"/>
    <col min="107" max="107" width="4.54296875" bestFit="1" customWidth="1"/>
    <col min="108" max="108" width="13.54296875" bestFit="1" customWidth="1"/>
    <col min="109" max="110" width="5.6328125" bestFit="1" customWidth="1"/>
    <col min="111" max="111" width="13.54296875" bestFit="1" customWidth="1"/>
    <col min="112" max="112" width="12.36328125" bestFit="1" customWidth="1"/>
    <col min="113" max="113" width="13.54296875" bestFit="1" customWidth="1"/>
    <col min="114" max="115" width="5.6328125" bestFit="1" customWidth="1"/>
    <col min="116" max="116" width="13.54296875" bestFit="1" customWidth="1"/>
    <col min="117" max="117" width="5.6328125" bestFit="1" customWidth="1"/>
    <col min="118" max="118" width="13.54296875" bestFit="1" customWidth="1"/>
    <col min="119" max="119" width="5.6328125" bestFit="1" customWidth="1"/>
    <col min="120" max="120" width="13.54296875" bestFit="1" customWidth="1"/>
    <col min="121" max="122" width="5.6328125" bestFit="1" customWidth="1"/>
    <col min="123" max="123" width="12.36328125" bestFit="1" customWidth="1"/>
    <col min="124" max="126" width="13.54296875" bestFit="1" customWidth="1"/>
    <col min="127" max="127" width="5.6328125" bestFit="1" customWidth="1"/>
    <col min="128" max="131" width="13.54296875" bestFit="1" customWidth="1"/>
    <col min="132" max="132" width="5.6328125" bestFit="1" customWidth="1"/>
    <col min="133" max="133" width="13.54296875" bestFit="1" customWidth="1"/>
    <col min="134" max="134" width="4.54296875" bestFit="1" customWidth="1"/>
    <col min="135" max="135" width="5.6328125" bestFit="1" customWidth="1"/>
    <col min="136" max="136" width="13.54296875" bestFit="1" customWidth="1"/>
    <col min="137" max="137" width="12.36328125" bestFit="1" customWidth="1"/>
    <col min="138" max="140" width="13.54296875" bestFit="1" customWidth="1"/>
    <col min="141" max="141" width="11.1796875" bestFit="1" customWidth="1"/>
    <col min="142" max="158" width="13.54296875" bestFit="1" customWidth="1"/>
    <col min="159" max="159" width="12.36328125" bestFit="1" customWidth="1"/>
    <col min="160" max="171" width="13.54296875" bestFit="1" customWidth="1"/>
    <col min="172" max="172" width="12.36328125" bestFit="1" customWidth="1"/>
    <col min="173" max="176" width="13.54296875" bestFit="1" customWidth="1"/>
    <col min="177" max="177" width="12.36328125" bestFit="1" customWidth="1"/>
    <col min="178" max="180" width="13.54296875" bestFit="1" customWidth="1"/>
    <col min="181" max="181" width="12.36328125" bestFit="1" customWidth="1"/>
    <col min="182" max="186" width="13.54296875" bestFit="1" customWidth="1"/>
    <col min="187" max="187" width="5.6328125" bestFit="1" customWidth="1"/>
    <col min="188" max="188" width="13.54296875" bestFit="1" customWidth="1"/>
    <col min="189" max="189" width="12.36328125" bestFit="1" customWidth="1"/>
    <col min="190" max="212" width="13.54296875" bestFit="1" customWidth="1"/>
    <col min="213" max="213" width="12.36328125" bestFit="1" customWidth="1"/>
    <col min="214" max="220" width="13.54296875" bestFit="1" customWidth="1"/>
    <col min="221" max="221" width="12.36328125" bestFit="1" customWidth="1"/>
    <col min="222" max="233" width="13.54296875" bestFit="1" customWidth="1"/>
    <col min="234" max="234" width="12.36328125" bestFit="1" customWidth="1"/>
    <col min="235" max="241" width="13.54296875" bestFit="1" customWidth="1"/>
    <col min="242" max="242" width="12.36328125" bestFit="1" customWidth="1"/>
    <col min="243" max="247" width="13.54296875" bestFit="1" customWidth="1"/>
    <col min="248" max="248" width="12.36328125" bestFit="1" customWidth="1"/>
    <col min="249" max="253" width="13.54296875" bestFit="1" customWidth="1"/>
    <col min="254" max="254" width="12.36328125" bestFit="1" customWidth="1"/>
    <col min="255" max="261" width="13.54296875" bestFit="1" customWidth="1"/>
    <col min="262" max="262" width="5.453125" bestFit="1" customWidth="1"/>
  </cols>
  <sheetData>
    <row r="3" spans="1:14">
      <c r="A3" s="62" t="s">
        <v>293</v>
      </c>
      <c r="B3" s="62" t="s">
        <v>281</v>
      </c>
    </row>
    <row r="4" spans="1:14">
      <c r="A4" s="62" t="s">
        <v>280</v>
      </c>
      <c r="B4" t="s">
        <v>282</v>
      </c>
      <c r="C4" t="s">
        <v>283</v>
      </c>
      <c r="D4" t="s">
        <v>284</v>
      </c>
      <c r="E4" t="s">
        <v>285</v>
      </c>
      <c r="F4" t="s">
        <v>286</v>
      </c>
      <c r="G4" t="s">
        <v>287</v>
      </c>
      <c r="H4" t="s">
        <v>288</v>
      </c>
      <c r="I4" t="s">
        <v>289</v>
      </c>
      <c r="J4" t="s">
        <v>290</v>
      </c>
      <c r="K4" t="s">
        <v>291</v>
      </c>
      <c r="L4" t="s">
        <v>292</v>
      </c>
      <c r="M4" t="s">
        <v>159</v>
      </c>
      <c r="N4" t="s">
        <v>295</v>
      </c>
    </row>
    <row r="5" spans="1:14">
      <c r="A5" s="63">
        <v>4</v>
      </c>
      <c r="B5" s="50">
        <v>6</v>
      </c>
      <c r="C5" s="50">
        <v>4</v>
      </c>
      <c r="D5" s="50">
        <v>2</v>
      </c>
      <c r="E5" s="50">
        <v>1</v>
      </c>
      <c r="F5" s="50">
        <v>1</v>
      </c>
      <c r="G5" s="50"/>
      <c r="H5" s="50"/>
      <c r="I5" s="50"/>
      <c r="J5" s="50"/>
      <c r="K5" s="50"/>
      <c r="L5" s="50"/>
      <c r="M5" s="50">
        <v>14</v>
      </c>
      <c r="N5" s="50">
        <v>110</v>
      </c>
    </row>
    <row r="6" spans="1:14">
      <c r="A6" s="63">
        <v>19</v>
      </c>
      <c r="B6" s="50">
        <v>2</v>
      </c>
      <c r="C6" s="50">
        <v>1</v>
      </c>
      <c r="D6" s="50">
        <v>2</v>
      </c>
      <c r="E6" s="50"/>
      <c r="F6" s="50"/>
      <c r="G6" s="50">
        <v>2</v>
      </c>
      <c r="H6" s="50"/>
      <c r="I6" s="50"/>
      <c r="J6" s="50"/>
      <c r="K6" s="50"/>
      <c r="L6" s="50"/>
      <c r="M6" s="50">
        <v>7</v>
      </c>
      <c r="N6" s="50">
        <v>111</v>
      </c>
    </row>
    <row r="7" spans="1:14">
      <c r="A7" s="63">
        <v>37</v>
      </c>
      <c r="B7" s="50">
        <v>2</v>
      </c>
      <c r="C7" s="50">
        <v>1</v>
      </c>
      <c r="D7" s="50">
        <v>3</v>
      </c>
      <c r="E7" s="50"/>
      <c r="F7" s="50"/>
      <c r="G7" s="50"/>
      <c r="H7" s="50">
        <v>1</v>
      </c>
      <c r="I7" s="50">
        <v>1</v>
      </c>
      <c r="J7" s="50"/>
      <c r="K7" s="50">
        <v>1</v>
      </c>
      <c r="L7" s="50"/>
      <c r="M7" s="50">
        <v>9</v>
      </c>
      <c r="N7" s="50">
        <v>117</v>
      </c>
    </row>
    <row r="8" spans="1:14">
      <c r="A8" s="63">
        <v>50</v>
      </c>
      <c r="B8" s="50">
        <v>2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>
        <v>2</v>
      </c>
      <c r="N8" s="50"/>
    </row>
    <row r="9" spans="1:14">
      <c r="A9" s="63">
        <v>94</v>
      </c>
      <c r="B9" s="50">
        <v>4</v>
      </c>
      <c r="C9" s="50">
        <v>3</v>
      </c>
      <c r="D9" s="50"/>
      <c r="E9" s="50"/>
      <c r="F9" s="50"/>
      <c r="G9" s="50"/>
      <c r="H9" s="50">
        <v>2</v>
      </c>
      <c r="I9" s="50"/>
      <c r="J9" s="50"/>
      <c r="K9" s="50"/>
      <c r="L9" s="50"/>
      <c r="M9" s="50">
        <v>9</v>
      </c>
      <c r="N9" s="50">
        <v>120</v>
      </c>
    </row>
    <row r="10" spans="1:14">
      <c r="A10" s="63">
        <v>105</v>
      </c>
      <c r="B10" s="50"/>
      <c r="C10" s="50">
        <v>1</v>
      </c>
      <c r="D10" s="50"/>
      <c r="E10" s="50"/>
      <c r="F10" s="50"/>
      <c r="G10" s="50"/>
      <c r="H10" s="50"/>
      <c r="I10" s="50"/>
      <c r="J10" s="50"/>
      <c r="K10" s="50"/>
      <c r="L10" s="50"/>
      <c r="M10" s="50">
        <v>1</v>
      </c>
      <c r="N10" s="50"/>
    </row>
    <row r="11" spans="1:14">
      <c r="A11" s="63">
        <v>111</v>
      </c>
      <c r="B11" s="50">
        <v>3</v>
      </c>
      <c r="C11" s="50"/>
      <c r="D11" s="50">
        <v>1</v>
      </c>
      <c r="E11" s="50"/>
      <c r="F11" s="50"/>
      <c r="G11" s="50"/>
      <c r="H11" s="50"/>
      <c r="I11" s="50"/>
      <c r="J11" s="50"/>
      <c r="K11" s="50"/>
      <c r="L11" s="50"/>
      <c r="M11" s="50">
        <v>4</v>
      </c>
      <c r="N11" s="50"/>
    </row>
    <row r="12" spans="1:14">
      <c r="A12" s="63">
        <v>112</v>
      </c>
      <c r="B12" s="50">
        <v>2</v>
      </c>
      <c r="C12" s="50"/>
      <c r="D12" s="50"/>
      <c r="E12" s="50"/>
      <c r="F12" s="50">
        <v>1</v>
      </c>
      <c r="G12" s="50"/>
      <c r="H12" s="50"/>
      <c r="I12" s="50"/>
      <c r="J12" s="50"/>
      <c r="K12" s="50"/>
      <c r="L12" s="50"/>
      <c r="M12" s="50">
        <v>3</v>
      </c>
      <c r="N12" s="50">
        <v>40</v>
      </c>
    </row>
    <row r="13" spans="1:14">
      <c r="A13" s="63">
        <v>139</v>
      </c>
      <c r="B13" s="50">
        <v>3</v>
      </c>
      <c r="C13" s="50">
        <v>3</v>
      </c>
      <c r="D13" s="50">
        <v>4</v>
      </c>
      <c r="E13" s="50"/>
      <c r="F13" s="50">
        <v>1</v>
      </c>
      <c r="G13" s="50">
        <v>1</v>
      </c>
      <c r="H13" s="50"/>
      <c r="I13" s="50"/>
      <c r="J13" s="50"/>
      <c r="K13" s="50"/>
      <c r="L13" s="50"/>
      <c r="M13" s="50">
        <v>12</v>
      </c>
      <c r="N13" s="50">
        <v>161</v>
      </c>
    </row>
    <row r="14" spans="1:14">
      <c r="A14" s="63">
        <v>146</v>
      </c>
      <c r="B14" s="50">
        <v>4</v>
      </c>
      <c r="C14" s="50">
        <v>3</v>
      </c>
      <c r="D14" s="50">
        <v>1</v>
      </c>
      <c r="E14" s="50">
        <v>1</v>
      </c>
      <c r="F14" s="50"/>
      <c r="G14" s="50"/>
      <c r="H14" s="50"/>
      <c r="I14" s="50"/>
      <c r="J14" s="50"/>
      <c r="K14" s="50">
        <v>1</v>
      </c>
      <c r="L14" s="50"/>
      <c r="M14" s="50">
        <v>10</v>
      </c>
      <c r="N14" s="50">
        <v>41</v>
      </c>
    </row>
    <row r="15" spans="1:14">
      <c r="A15" s="63">
        <v>170</v>
      </c>
      <c r="B15" s="50">
        <v>1</v>
      </c>
      <c r="C15" s="50">
        <v>1</v>
      </c>
      <c r="D15" s="50">
        <v>1</v>
      </c>
      <c r="E15" s="50"/>
      <c r="F15" s="50"/>
      <c r="G15" s="50"/>
      <c r="H15" s="50"/>
      <c r="I15" s="50">
        <v>1</v>
      </c>
      <c r="J15" s="50"/>
      <c r="K15" s="50"/>
      <c r="L15" s="50"/>
      <c r="M15" s="50">
        <v>4</v>
      </c>
      <c r="N15" s="50">
        <v>82</v>
      </c>
    </row>
    <row r="16" spans="1:14">
      <c r="A16" s="63">
        <v>176</v>
      </c>
      <c r="B16" s="50">
        <v>2</v>
      </c>
      <c r="C16" s="50">
        <v>1</v>
      </c>
      <c r="D16" s="50"/>
      <c r="E16" s="50">
        <v>3</v>
      </c>
      <c r="F16" s="50"/>
      <c r="G16" s="50">
        <v>2</v>
      </c>
      <c r="H16" s="50"/>
      <c r="I16" s="50"/>
      <c r="J16" s="50"/>
      <c r="K16" s="50"/>
      <c r="L16" s="50"/>
      <c r="M16" s="50">
        <v>8</v>
      </c>
      <c r="N16" s="50">
        <v>103</v>
      </c>
    </row>
    <row r="17" spans="1:14">
      <c r="A17" s="63">
        <v>195</v>
      </c>
      <c r="B17" s="50">
        <v>2</v>
      </c>
      <c r="C17" s="50">
        <v>4</v>
      </c>
      <c r="D17" s="50">
        <v>3</v>
      </c>
      <c r="E17" s="50">
        <v>1</v>
      </c>
      <c r="F17" s="50">
        <v>1</v>
      </c>
      <c r="G17" s="50">
        <v>1</v>
      </c>
      <c r="H17" s="50">
        <v>1</v>
      </c>
      <c r="I17" s="50"/>
      <c r="J17" s="50"/>
      <c r="K17" s="50"/>
      <c r="L17" s="50"/>
      <c r="M17" s="50">
        <v>13</v>
      </c>
      <c r="N17" s="50">
        <v>67</v>
      </c>
    </row>
    <row r="18" spans="1:14">
      <c r="A18" s="63">
        <v>199</v>
      </c>
      <c r="B18" s="50"/>
      <c r="C18" s="50"/>
      <c r="D18" s="50">
        <v>1</v>
      </c>
      <c r="E18" s="50"/>
      <c r="F18" s="50"/>
      <c r="G18" s="50"/>
      <c r="H18" s="50"/>
      <c r="I18" s="50"/>
      <c r="J18" s="50"/>
      <c r="K18" s="50"/>
      <c r="L18" s="50"/>
      <c r="M18" s="50">
        <v>1</v>
      </c>
      <c r="N18" s="50"/>
    </row>
    <row r="19" spans="1:14">
      <c r="A19" s="63">
        <v>202</v>
      </c>
      <c r="B19" s="50">
        <v>1</v>
      </c>
      <c r="C19" s="50"/>
      <c r="D19" s="50"/>
      <c r="E19" s="50"/>
      <c r="F19" s="50"/>
      <c r="G19" s="50"/>
      <c r="H19" s="50">
        <v>2</v>
      </c>
      <c r="I19" s="50"/>
      <c r="J19" s="50"/>
      <c r="K19" s="50">
        <v>1</v>
      </c>
      <c r="L19" s="50"/>
      <c r="M19" s="50">
        <v>4</v>
      </c>
      <c r="N19" s="50">
        <v>70</v>
      </c>
    </row>
    <row r="20" spans="1:14">
      <c r="A20" s="63">
        <v>212</v>
      </c>
      <c r="B20" s="50">
        <v>1</v>
      </c>
      <c r="C20" s="50"/>
      <c r="D20" s="50"/>
      <c r="E20" s="50">
        <v>1</v>
      </c>
      <c r="F20" s="50"/>
      <c r="G20" s="50"/>
      <c r="H20" s="50"/>
      <c r="I20" s="50"/>
      <c r="J20" s="50"/>
      <c r="K20" s="50"/>
      <c r="L20" s="50"/>
      <c r="M20" s="50">
        <v>2</v>
      </c>
      <c r="N20" s="50">
        <v>28</v>
      </c>
    </row>
    <row r="21" spans="1:14">
      <c r="A21" s="63">
        <v>224</v>
      </c>
      <c r="B21" s="50">
        <v>1</v>
      </c>
      <c r="C21" s="50">
        <v>4</v>
      </c>
      <c r="D21" s="50">
        <v>4</v>
      </c>
      <c r="E21" s="50">
        <v>3</v>
      </c>
      <c r="F21" s="50">
        <v>1</v>
      </c>
      <c r="G21" s="50">
        <v>1</v>
      </c>
      <c r="H21" s="50"/>
      <c r="I21" s="50"/>
      <c r="J21" s="50"/>
      <c r="K21" s="50"/>
      <c r="L21" s="50">
        <v>1</v>
      </c>
      <c r="M21" s="50">
        <v>15</v>
      </c>
      <c r="N21" s="50">
        <v>141</v>
      </c>
    </row>
    <row r="22" spans="1:14">
      <c r="A22" s="63">
        <v>245</v>
      </c>
      <c r="B22" s="50">
        <v>3</v>
      </c>
      <c r="C22" s="50">
        <v>4</v>
      </c>
      <c r="D22" s="50">
        <v>1</v>
      </c>
      <c r="E22" s="50">
        <v>1</v>
      </c>
      <c r="F22" s="50"/>
      <c r="G22" s="50"/>
      <c r="H22" s="50"/>
      <c r="I22" s="50"/>
      <c r="J22" s="50"/>
      <c r="K22" s="50"/>
      <c r="L22" s="50"/>
      <c r="M22" s="50">
        <v>9</v>
      </c>
      <c r="N22" s="50">
        <v>57</v>
      </c>
    </row>
    <row r="23" spans="1:14">
      <c r="A23" s="63">
        <v>265</v>
      </c>
      <c r="B23" s="50">
        <v>3</v>
      </c>
      <c r="C23" s="50"/>
      <c r="D23" s="50">
        <v>4</v>
      </c>
      <c r="E23" s="50">
        <v>2</v>
      </c>
      <c r="F23" s="50"/>
      <c r="G23" s="50"/>
      <c r="H23" s="50"/>
      <c r="I23" s="50">
        <v>1</v>
      </c>
      <c r="J23" s="50"/>
      <c r="K23" s="50"/>
      <c r="L23" s="50"/>
      <c r="M23" s="50">
        <v>10</v>
      </c>
      <c r="N23" s="50">
        <v>47</v>
      </c>
    </row>
    <row r="24" spans="1:14">
      <c r="A24" s="63">
        <v>284</v>
      </c>
      <c r="B24" s="50"/>
      <c r="C24" s="50"/>
      <c r="D24" s="50"/>
      <c r="E24" s="50"/>
      <c r="F24" s="50"/>
      <c r="G24" s="50"/>
      <c r="H24" s="50"/>
      <c r="I24" s="50">
        <v>1</v>
      </c>
      <c r="J24" s="50"/>
      <c r="K24" s="50"/>
      <c r="L24" s="50"/>
      <c r="M24" s="50">
        <v>1</v>
      </c>
      <c r="N24" s="50">
        <v>145</v>
      </c>
    </row>
    <row r="25" spans="1:14">
      <c r="A25" s="63">
        <v>302</v>
      </c>
      <c r="B25" s="50">
        <v>14</v>
      </c>
      <c r="C25" s="50">
        <v>8</v>
      </c>
      <c r="D25" s="50">
        <v>3</v>
      </c>
      <c r="E25" s="50">
        <v>1</v>
      </c>
      <c r="F25" s="50">
        <v>1</v>
      </c>
      <c r="G25" s="50"/>
      <c r="H25" s="50">
        <v>1</v>
      </c>
      <c r="I25" s="50"/>
      <c r="J25" s="50"/>
      <c r="K25" s="50"/>
      <c r="L25" s="50"/>
      <c r="M25" s="50">
        <v>28</v>
      </c>
      <c r="N25" s="50">
        <v>57</v>
      </c>
    </row>
    <row r="26" spans="1:14">
      <c r="A26" s="63">
        <v>347</v>
      </c>
      <c r="B26" s="50">
        <v>2</v>
      </c>
      <c r="C26" s="50">
        <v>2</v>
      </c>
      <c r="D26" s="50">
        <v>1</v>
      </c>
      <c r="E26" s="50"/>
      <c r="F26" s="50">
        <v>1</v>
      </c>
      <c r="G26" s="50"/>
      <c r="H26" s="50"/>
      <c r="I26" s="50"/>
      <c r="J26" s="50"/>
      <c r="K26" s="50"/>
      <c r="L26" s="50"/>
      <c r="M26" s="50">
        <v>6</v>
      </c>
      <c r="N26" s="50">
        <v>26</v>
      </c>
    </row>
    <row r="27" spans="1:14">
      <c r="A27" s="63">
        <v>352</v>
      </c>
      <c r="B27" s="50"/>
      <c r="C27" s="50">
        <v>1</v>
      </c>
      <c r="D27" s="50"/>
      <c r="E27" s="50"/>
      <c r="F27" s="50"/>
      <c r="G27" s="50"/>
      <c r="H27" s="50"/>
      <c r="I27" s="50"/>
      <c r="J27" s="50"/>
      <c r="K27" s="50"/>
      <c r="L27" s="50"/>
      <c r="M27" s="50">
        <v>1</v>
      </c>
      <c r="N27" s="50"/>
    </row>
    <row r="28" spans="1:14">
      <c r="A28" s="63">
        <v>358</v>
      </c>
      <c r="B28" s="50">
        <v>2</v>
      </c>
      <c r="C28" s="50">
        <v>2</v>
      </c>
      <c r="D28" s="50">
        <v>1</v>
      </c>
      <c r="E28" s="50"/>
      <c r="F28" s="50"/>
      <c r="G28" s="50"/>
      <c r="H28" s="50"/>
      <c r="I28" s="50"/>
      <c r="J28" s="50"/>
      <c r="K28" s="50"/>
      <c r="L28" s="50"/>
      <c r="M28" s="50">
        <v>5</v>
      </c>
      <c r="N28" s="50">
        <v>35</v>
      </c>
    </row>
    <row r="29" spans="1:14">
      <c r="A29" s="63">
        <v>364</v>
      </c>
      <c r="B29" s="50">
        <v>2</v>
      </c>
      <c r="C29" s="50">
        <v>3</v>
      </c>
      <c r="D29" s="50">
        <v>1</v>
      </c>
      <c r="E29" s="50">
        <v>1</v>
      </c>
      <c r="F29" s="50"/>
      <c r="G29" s="50"/>
      <c r="H29" s="50"/>
      <c r="I29" s="50"/>
      <c r="J29" s="50"/>
      <c r="K29" s="50"/>
      <c r="L29" s="50"/>
      <c r="M29" s="50">
        <v>7</v>
      </c>
      <c r="N29" s="50">
        <v>79</v>
      </c>
    </row>
    <row r="30" spans="1:14">
      <c r="A30" s="63">
        <v>409</v>
      </c>
      <c r="B30" s="50"/>
      <c r="C30" s="50"/>
      <c r="D30" s="50"/>
      <c r="E30" s="50"/>
      <c r="F30" s="50"/>
      <c r="G30" s="50"/>
      <c r="H30" s="50">
        <v>1</v>
      </c>
      <c r="I30" s="50"/>
      <c r="J30" s="50"/>
      <c r="K30" s="50"/>
      <c r="L30" s="50"/>
      <c r="M30" s="50">
        <v>1</v>
      </c>
      <c r="N30" s="50"/>
    </row>
    <row r="31" spans="1:14">
      <c r="A31" s="63">
        <v>411</v>
      </c>
      <c r="B31" s="50">
        <v>2</v>
      </c>
      <c r="C31" s="50">
        <v>4</v>
      </c>
      <c r="D31" s="50">
        <v>1</v>
      </c>
      <c r="E31" s="50"/>
      <c r="F31" s="50">
        <v>1</v>
      </c>
      <c r="G31" s="50"/>
      <c r="H31" s="50"/>
      <c r="I31" s="50"/>
      <c r="J31" s="50"/>
      <c r="K31" s="50"/>
      <c r="L31" s="50"/>
      <c r="M31" s="50">
        <v>8</v>
      </c>
      <c r="N31" s="50">
        <v>103</v>
      </c>
    </row>
    <row r="32" spans="1:14">
      <c r="A32" s="63">
        <v>418</v>
      </c>
      <c r="B32" s="50"/>
      <c r="C32" s="50"/>
      <c r="D32" s="50">
        <v>1</v>
      </c>
      <c r="E32" s="50"/>
      <c r="F32" s="50"/>
      <c r="G32" s="50">
        <v>1</v>
      </c>
      <c r="H32" s="50"/>
      <c r="I32" s="50"/>
      <c r="J32" s="50"/>
      <c r="K32" s="50"/>
      <c r="L32" s="50"/>
      <c r="M32" s="50">
        <v>2</v>
      </c>
      <c r="N32" s="50"/>
    </row>
    <row r="33" spans="1:14">
      <c r="A33" s="63">
        <v>423</v>
      </c>
      <c r="B33" s="50"/>
      <c r="C33" s="50">
        <v>2</v>
      </c>
      <c r="D33" s="50"/>
      <c r="E33" s="50">
        <v>1</v>
      </c>
      <c r="F33" s="50"/>
      <c r="G33" s="50">
        <v>1</v>
      </c>
      <c r="H33" s="50"/>
      <c r="I33" s="50"/>
      <c r="J33" s="50"/>
      <c r="K33" s="50"/>
      <c r="L33" s="50"/>
      <c r="M33" s="50">
        <v>4</v>
      </c>
      <c r="N33" s="50">
        <v>120</v>
      </c>
    </row>
    <row r="34" spans="1:14">
      <c r="A34" s="63">
        <v>427</v>
      </c>
      <c r="B34" s="50"/>
      <c r="C34" s="50">
        <v>1</v>
      </c>
      <c r="D34" s="50">
        <v>1</v>
      </c>
      <c r="E34" s="50"/>
      <c r="F34" s="50"/>
      <c r="G34" s="50"/>
      <c r="H34" s="50"/>
      <c r="I34" s="50"/>
      <c r="J34" s="50"/>
      <c r="K34" s="50"/>
      <c r="L34" s="50"/>
      <c r="M34" s="50">
        <v>2</v>
      </c>
      <c r="N34" s="50"/>
    </row>
    <row r="35" spans="1:14">
      <c r="A35" s="63">
        <v>430</v>
      </c>
      <c r="B35" s="50"/>
      <c r="C35" s="50"/>
      <c r="D35" s="50">
        <v>1</v>
      </c>
      <c r="E35" s="50"/>
      <c r="F35" s="50">
        <v>2</v>
      </c>
      <c r="G35" s="50"/>
      <c r="H35" s="50"/>
      <c r="I35" s="50"/>
      <c r="J35" s="50"/>
      <c r="K35" s="50"/>
      <c r="L35" s="50"/>
      <c r="M35" s="50">
        <v>3</v>
      </c>
      <c r="N35" s="50">
        <v>120</v>
      </c>
    </row>
    <row r="36" spans="1:14">
      <c r="A36" s="63">
        <v>435</v>
      </c>
      <c r="B36" s="50">
        <v>4</v>
      </c>
      <c r="C36" s="50"/>
      <c r="D36" s="50"/>
      <c r="E36" s="50">
        <v>1</v>
      </c>
      <c r="F36" s="50"/>
      <c r="G36" s="50"/>
      <c r="H36" s="50"/>
      <c r="I36" s="50"/>
      <c r="J36" s="50"/>
      <c r="K36" s="50"/>
      <c r="L36" s="50"/>
      <c r="M36" s="50">
        <v>5</v>
      </c>
      <c r="N36" s="50">
        <v>47</v>
      </c>
    </row>
    <row r="37" spans="1:14">
      <c r="A37" s="63">
        <v>443</v>
      </c>
      <c r="B37" s="50">
        <v>5</v>
      </c>
      <c r="C37" s="50">
        <v>1</v>
      </c>
      <c r="D37" s="50"/>
      <c r="E37" s="50"/>
      <c r="F37" s="50"/>
      <c r="G37" s="50"/>
      <c r="H37" s="50"/>
      <c r="I37" s="50"/>
      <c r="J37" s="50"/>
      <c r="K37" s="50"/>
      <c r="L37" s="50"/>
      <c r="M37" s="50">
        <v>6</v>
      </c>
      <c r="N37" s="50"/>
    </row>
    <row r="38" spans="1:14">
      <c r="A38" s="63">
        <v>446</v>
      </c>
      <c r="B38" s="50">
        <v>1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>
        <v>1</v>
      </c>
      <c r="N38" s="50"/>
    </row>
    <row r="39" spans="1:14">
      <c r="A39" s="63">
        <v>453</v>
      </c>
      <c r="B39" s="50">
        <v>3</v>
      </c>
      <c r="C39" s="50">
        <v>3</v>
      </c>
      <c r="D39" s="50"/>
      <c r="E39" s="50">
        <v>2</v>
      </c>
      <c r="F39" s="50"/>
      <c r="G39" s="50"/>
      <c r="H39" s="50">
        <v>1</v>
      </c>
      <c r="I39" s="50"/>
      <c r="J39" s="50"/>
      <c r="K39" s="50"/>
      <c r="L39" s="50"/>
      <c r="M39" s="50">
        <v>9</v>
      </c>
      <c r="N39" s="50">
        <v>66</v>
      </c>
    </row>
    <row r="40" spans="1:14">
      <c r="A40" s="63">
        <v>460</v>
      </c>
      <c r="B40" s="50">
        <v>2</v>
      </c>
      <c r="C40" s="50">
        <v>4</v>
      </c>
      <c r="D40" s="50">
        <v>7</v>
      </c>
      <c r="E40" s="50">
        <v>1</v>
      </c>
      <c r="F40" s="50">
        <v>1</v>
      </c>
      <c r="G40" s="50"/>
      <c r="H40" s="50"/>
      <c r="I40" s="50"/>
      <c r="J40" s="50"/>
      <c r="K40" s="50"/>
      <c r="L40" s="50"/>
      <c r="M40" s="50">
        <v>15</v>
      </c>
      <c r="N40" s="50">
        <v>75</v>
      </c>
    </row>
    <row r="41" spans="1:14">
      <c r="A41" s="63">
        <v>501</v>
      </c>
      <c r="B41" s="50">
        <v>2</v>
      </c>
      <c r="C41" s="50">
        <v>2</v>
      </c>
      <c r="D41" s="50"/>
      <c r="E41" s="50">
        <v>1</v>
      </c>
      <c r="F41" s="50"/>
      <c r="G41" s="50"/>
      <c r="H41" s="50"/>
      <c r="I41" s="50"/>
      <c r="J41" s="50"/>
      <c r="K41" s="50"/>
      <c r="L41" s="50"/>
      <c r="M41" s="50">
        <v>5</v>
      </c>
      <c r="N41" s="50"/>
    </row>
    <row r="42" spans="1:14">
      <c r="A42" s="63">
        <v>507</v>
      </c>
      <c r="B42" s="50">
        <v>1</v>
      </c>
      <c r="C42" s="50">
        <v>2</v>
      </c>
      <c r="D42" s="50">
        <v>1</v>
      </c>
      <c r="E42" s="50"/>
      <c r="F42" s="50"/>
      <c r="G42" s="50"/>
      <c r="H42" s="50">
        <v>1</v>
      </c>
      <c r="I42" s="50"/>
      <c r="J42" s="50"/>
      <c r="K42" s="50"/>
      <c r="L42" s="50"/>
      <c r="M42" s="50">
        <v>5</v>
      </c>
      <c r="N42" s="50">
        <v>44</v>
      </c>
    </row>
    <row r="43" spans="1:14">
      <c r="A43" s="63">
        <v>527</v>
      </c>
      <c r="B43" s="50">
        <v>5</v>
      </c>
      <c r="C43" s="50">
        <v>6</v>
      </c>
      <c r="D43" s="50">
        <v>1</v>
      </c>
      <c r="E43" s="50"/>
      <c r="F43" s="50"/>
      <c r="G43" s="50"/>
      <c r="H43" s="50"/>
      <c r="I43" s="50"/>
      <c r="J43" s="50"/>
      <c r="K43" s="50">
        <v>1</v>
      </c>
      <c r="L43" s="50"/>
      <c r="M43" s="50">
        <v>13</v>
      </c>
      <c r="N43" s="50">
        <v>138</v>
      </c>
    </row>
    <row r="44" spans="1:14">
      <c r="A44" s="63">
        <v>546</v>
      </c>
      <c r="B44" s="50">
        <v>9</v>
      </c>
      <c r="C44" s="50">
        <v>4</v>
      </c>
      <c r="D44" s="50">
        <v>1</v>
      </c>
      <c r="E44" s="50">
        <v>3</v>
      </c>
      <c r="F44" s="50"/>
      <c r="G44" s="50"/>
      <c r="H44" s="50"/>
      <c r="I44" s="50">
        <v>1</v>
      </c>
      <c r="J44" s="50"/>
      <c r="K44" s="50"/>
      <c r="L44" s="50"/>
      <c r="M44" s="50">
        <v>18</v>
      </c>
      <c r="N44" s="50">
        <v>75</v>
      </c>
    </row>
    <row r="45" spans="1:14">
      <c r="A45" s="63">
        <v>562</v>
      </c>
      <c r="B45" s="50">
        <v>2</v>
      </c>
      <c r="C45" s="50">
        <v>1</v>
      </c>
      <c r="D45" s="50">
        <v>2</v>
      </c>
      <c r="E45" s="50"/>
      <c r="F45" s="50"/>
      <c r="G45" s="50">
        <v>1</v>
      </c>
      <c r="H45" s="50"/>
      <c r="I45" s="50"/>
      <c r="J45" s="50"/>
      <c r="K45" s="50"/>
      <c r="L45" s="50"/>
      <c r="M45" s="50">
        <v>6</v>
      </c>
      <c r="N45" s="50">
        <v>86</v>
      </c>
    </row>
    <row r="46" spans="1:14">
      <c r="A46" s="63">
        <v>574</v>
      </c>
      <c r="B46" s="50"/>
      <c r="C46" s="50"/>
      <c r="D46" s="50">
        <v>1</v>
      </c>
      <c r="E46" s="50"/>
      <c r="F46" s="50"/>
      <c r="G46" s="50">
        <v>1</v>
      </c>
      <c r="H46" s="50"/>
      <c r="I46" s="50">
        <v>1</v>
      </c>
      <c r="J46" s="50"/>
      <c r="K46" s="50"/>
      <c r="L46" s="50"/>
      <c r="M46" s="50">
        <v>3</v>
      </c>
      <c r="N46" s="50">
        <v>138</v>
      </c>
    </row>
    <row r="47" spans="1:14">
      <c r="A47" s="63">
        <v>581</v>
      </c>
      <c r="B47" s="50"/>
      <c r="C47" s="50"/>
      <c r="D47" s="50"/>
      <c r="E47" s="50">
        <v>1</v>
      </c>
      <c r="F47" s="50"/>
      <c r="G47" s="50"/>
      <c r="H47" s="50"/>
      <c r="I47" s="50"/>
      <c r="J47" s="50"/>
      <c r="K47" s="50"/>
      <c r="L47" s="50"/>
      <c r="M47" s="50">
        <v>1</v>
      </c>
      <c r="N47" s="50"/>
    </row>
    <row r="48" spans="1:14">
      <c r="A48" s="63">
        <v>608</v>
      </c>
      <c r="B48" s="50">
        <v>1</v>
      </c>
      <c r="C48" s="50">
        <v>1</v>
      </c>
      <c r="D48" s="50">
        <v>1</v>
      </c>
      <c r="E48" s="50"/>
      <c r="F48" s="50"/>
      <c r="G48" s="50"/>
      <c r="H48" s="50"/>
      <c r="I48" s="50"/>
      <c r="J48" s="50">
        <v>1</v>
      </c>
      <c r="K48" s="50"/>
      <c r="L48" s="50"/>
      <c r="M48" s="50">
        <v>4</v>
      </c>
      <c r="N48" s="50">
        <v>133</v>
      </c>
    </row>
    <row r="49" spans="1:14">
      <c r="A49" s="63">
        <v>646</v>
      </c>
      <c r="B49" s="50"/>
      <c r="C49" s="50">
        <v>3</v>
      </c>
      <c r="D49" s="50">
        <v>1</v>
      </c>
      <c r="E49" s="50">
        <v>1</v>
      </c>
      <c r="F49" s="50">
        <v>1</v>
      </c>
      <c r="G49" s="50">
        <v>1</v>
      </c>
      <c r="H49" s="50"/>
      <c r="I49" s="50"/>
      <c r="J49" s="50">
        <v>1</v>
      </c>
      <c r="K49" s="50"/>
      <c r="L49" s="50"/>
      <c r="M49" s="50">
        <v>8</v>
      </c>
      <c r="N49" s="50">
        <v>98</v>
      </c>
    </row>
    <row r="50" spans="1:14">
      <c r="A50" s="63">
        <v>678</v>
      </c>
      <c r="B50" s="50">
        <v>5</v>
      </c>
      <c r="C50" s="50">
        <v>5</v>
      </c>
      <c r="D50" s="50">
        <v>1</v>
      </c>
      <c r="E50" s="50">
        <v>6</v>
      </c>
      <c r="F50" s="50"/>
      <c r="G50" s="50"/>
      <c r="H50" s="50">
        <v>1</v>
      </c>
      <c r="I50" s="50"/>
      <c r="J50" s="50"/>
      <c r="K50" s="50"/>
      <c r="L50" s="50"/>
      <c r="M50" s="50">
        <v>18</v>
      </c>
      <c r="N50" s="50">
        <v>114</v>
      </c>
    </row>
    <row r="51" spans="1:14">
      <c r="A51" s="63">
        <v>696</v>
      </c>
      <c r="B51" s="50">
        <v>1</v>
      </c>
      <c r="C51" s="50"/>
      <c r="D51" s="50">
        <v>1</v>
      </c>
      <c r="E51" s="50">
        <v>1</v>
      </c>
      <c r="F51" s="50"/>
      <c r="G51" s="50">
        <v>1</v>
      </c>
      <c r="H51" s="50"/>
      <c r="I51" s="50"/>
      <c r="J51" s="50">
        <v>1</v>
      </c>
      <c r="K51" s="50"/>
      <c r="L51" s="50"/>
      <c r="M51" s="50">
        <v>5</v>
      </c>
      <c r="N51" s="50">
        <v>152</v>
      </c>
    </row>
    <row r="52" spans="1:14">
      <c r="A52" s="63">
        <v>702</v>
      </c>
      <c r="B52" s="50">
        <v>1</v>
      </c>
      <c r="C52" s="50">
        <v>4</v>
      </c>
      <c r="D52" s="50">
        <v>4</v>
      </c>
      <c r="E52" s="50">
        <v>1</v>
      </c>
      <c r="F52" s="50">
        <v>2</v>
      </c>
      <c r="G52" s="50"/>
      <c r="H52" s="50">
        <v>2</v>
      </c>
      <c r="I52" s="50">
        <v>1</v>
      </c>
      <c r="J52" s="50"/>
      <c r="K52" s="50"/>
      <c r="L52" s="50"/>
      <c r="M52" s="50">
        <v>15</v>
      </c>
      <c r="N52" s="50">
        <v>16</v>
      </c>
    </row>
    <row r="53" spans="1:14">
      <c r="A53" s="63">
        <v>828</v>
      </c>
      <c r="B53" s="50"/>
      <c r="C53" s="50">
        <v>1</v>
      </c>
      <c r="D53" s="50"/>
      <c r="E53" s="50"/>
      <c r="F53" s="50"/>
      <c r="G53" s="50"/>
      <c r="H53" s="50"/>
      <c r="I53" s="50"/>
      <c r="J53" s="50"/>
      <c r="K53" s="50"/>
      <c r="L53" s="50"/>
      <c r="M53" s="50">
        <v>1</v>
      </c>
      <c r="N53" s="50"/>
    </row>
    <row r="54" spans="1:14">
      <c r="A54" s="63">
        <v>4747</v>
      </c>
      <c r="B54" s="50">
        <v>1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>
        <v>1</v>
      </c>
      <c r="N54" s="50"/>
    </row>
    <row r="55" spans="1:14">
      <c r="A55" s="63">
        <v>4778</v>
      </c>
      <c r="B55" s="50">
        <v>2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>
        <v>2</v>
      </c>
      <c r="N55" s="50"/>
    </row>
    <row r="56" spans="1:14">
      <c r="A56" s="63" t="s">
        <v>159</v>
      </c>
      <c r="B56" s="50">
        <v>109</v>
      </c>
      <c r="C56" s="50">
        <v>90</v>
      </c>
      <c r="D56" s="50">
        <v>58</v>
      </c>
      <c r="E56" s="50">
        <v>34</v>
      </c>
      <c r="F56" s="50">
        <v>14</v>
      </c>
      <c r="G56" s="50">
        <v>13</v>
      </c>
      <c r="H56" s="50">
        <v>13</v>
      </c>
      <c r="I56" s="50">
        <v>7</v>
      </c>
      <c r="J56" s="50">
        <v>3</v>
      </c>
      <c r="K56" s="50">
        <v>4</v>
      </c>
      <c r="L56" s="50">
        <v>1</v>
      </c>
      <c r="M56" s="50">
        <v>346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B55"/>
  <sheetViews>
    <sheetView workbookViewId="0">
      <selection activeCell="B3" sqref="B3"/>
    </sheetView>
  </sheetViews>
  <sheetFormatPr defaultRowHeight="13"/>
  <cols>
    <col min="1" max="1" width="11.26953125" customWidth="1"/>
    <col min="2" max="2" width="13.453125" customWidth="1"/>
    <col min="3" max="41" width="3.453125" bestFit="1" customWidth="1"/>
    <col min="42" max="56" width="4.54296875" bestFit="1" customWidth="1"/>
    <col min="57" max="57" width="6.90625" bestFit="1" customWidth="1"/>
    <col min="58" max="58" width="5.453125" bestFit="1" customWidth="1"/>
  </cols>
  <sheetData>
    <row r="3" spans="1:2">
      <c r="A3" s="62" t="s">
        <v>280</v>
      </c>
      <c r="B3" t="s">
        <v>294</v>
      </c>
    </row>
    <row r="4" spans="1:2">
      <c r="A4" s="63">
        <v>4</v>
      </c>
      <c r="B4" s="50">
        <v>110</v>
      </c>
    </row>
    <row r="5" spans="1:2">
      <c r="A5" s="63">
        <v>19</v>
      </c>
      <c r="B5" s="50">
        <v>111</v>
      </c>
    </row>
    <row r="6" spans="1:2">
      <c r="A6" s="63">
        <v>37</v>
      </c>
      <c r="B6" s="50">
        <v>117</v>
      </c>
    </row>
    <row r="7" spans="1:2">
      <c r="A7" s="63">
        <v>50</v>
      </c>
      <c r="B7" s="50"/>
    </row>
    <row r="8" spans="1:2">
      <c r="A8" s="63">
        <v>94</v>
      </c>
      <c r="B8" s="50">
        <v>120</v>
      </c>
    </row>
    <row r="9" spans="1:2">
      <c r="A9" s="63">
        <v>105</v>
      </c>
      <c r="B9" s="50"/>
    </row>
    <row r="10" spans="1:2">
      <c r="A10" s="63">
        <v>111</v>
      </c>
      <c r="B10" s="50"/>
    </row>
    <row r="11" spans="1:2">
      <c r="A11" s="63">
        <v>112</v>
      </c>
      <c r="B11" s="50">
        <v>40</v>
      </c>
    </row>
    <row r="12" spans="1:2">
      <c r="A12" s="63">
        <v>139</v>
      </c>
      <c r="B12" s="50">
        <v>161</v>
      </c>
    </row>
    <row r="13" spans="1:2">
      <c r="A13" s="63">
        <v>146</v>
      </c>
      <c r="B13" s="50">
        <v>41</v>
      </c>
    </row>
    <row r="14" spans="1:2">
      <c r="A14" s="63">
        <v>170</v>
      </c>
      <c r="B14" s="50">
        <v>82</v>
      </c>
    </row>
    <row r="15" spans="1:2">
      <c r="A15" s="63">
        <v>176</v>
      </c>
      <c r="B15" s="50">
        <v>103</v>
      </c>
    </row>
    <row r="16" spans="1:2">
      <c r="A16" s="63">
        <v>195</v>
      </c>
      <c r="B16" s="50">
        <v>67</v>
      </c>
    </row>
    <row r="17" spans="1:2">
      <c r="A17" s="63">
        <v>199</v>
      </c>
      <c r="B17" s="50"/>
    </row>
    <row r="18" spans="1:2">
      <c r="A18" s="63">
        <v>202</v>
      </c>
      <c r="B18" s="50">
        <v>70</v>
      </c>
    </row>
    <row r="19" spans="1:2">
      <c r="A19" s="63">
        <v>212</v>
      </c>
      <c r="B19" s="50">
        <v>28</v>
      </c>
    </row>
    <row r="20" spans="1:2">
      <c r="A20" s="63">
        <v>224</v>
      </c>
      <c r="B20" s="50">
        <v>141</v>
      </c>
    </row>
    <row r="21" spans="1:2">
      <c r="A21" s="63">
        <v>245</v>
      </c>
      <c r="B21" s="50">
        <v>57</v>
      </c>
    </row>
    <row r="22" spans="1:2">
      <c r="A22" s="63">
        <v>265</v>
      </c>
      <c r="B22" s="50">
        <v>47</v>
      </c>
    </row>
    <row r="23" spans="1:2">
      <c r="A23" s="63">
        <v>284</v>
      </c>
      <c r="B23" s="50">
        <v>145</v>
      </c>
    </row>
    <row r="24" spans="1:2">
      <c r="A24" s="63">
        <v>302</v>
      </c>
      <c r="B24" s="50">
        <v>57</v>
      </c>
    </row>
    <row r="25" spans="1:2">
      <c r="A25" s="63">
        <v>347</v>
      </c>
      <c r="B25" s="50">
        <v>26</v>
      </c>
    </row>
    <row r="26" spans="1:2">
      <c r="A26" s="63">
        <v>352</v>
      </c>
      <c r="B26" s="50"/>
    </row>
    <row r="27" spans="1:2">
      <c r="A27" s="63">
        <v>358</v>
      </c>
      <c r="B27" s="50">
        <v>35</v>
      </c>
    </row>
    <row r="28" spans="1:2">
      <c r="A28" s="63">
        <v>364</v>
      </c>
      <c r="B28" s="50">
        <v>79</v>
      </c>
    </row>
    <row r="29" spans="1:2">
      <c r="A29" s="63">
        <v>409</v>
      </c>
      <c r="B29" s="50"/>
    </row>
    <row r="30" spans="1:2">
      <c r="A30" s="63">
        <v>411</v>
      </c>
      <c r="B30" s="50">
        <v>103</v>
      </c>
    </row>
    <row r="31" spans="1:2">
      <c r="A31" s="63">
        <v>418</v>
      </c>
      <c r="B31" s="50"/>
    </row>
    <row r="32" spans="1:2">
      <c r="A32" s="63">
        <v>423</v>
      </c>
      <c r="B32" s="50">
        <v>120</v>
      </c>
    </row>
    <row r="33" spans="1:2">
      <c r="A33" s="63">
        <v>427</v>
      </c>
      <c r="B33" s="50"/>
    </row>
    <row r="34" spans="1:2">
      <c r="A34" s="63">
        <v>430</v>
      </c>
      <c r="B34" s="50">
        <v>120</v>
      </c>
    </row>
    <row r="35" spans="1:2">
      <c r="A35" s="63">
        <v>435</v>
      </c>
      <c r="B35" s="50">
        <v>47</v>
      </c>
    </row>
    <row r="36" spans="1:2">
      <c r="A36" s="63">
        <v>443</v>
      </c>
      <c r="B36" s="50"/>
    </row>
    <row r="37" spans="1:2">
      <c r="A37" s="63">
        <v>446</v>
      </c>
      <c r="B37" s="50"/>
    </row>
    <row r="38" spans="1:2">
      <c r="A38" s="63">
        <v>453</v>
      </c>
      <c r="B38" s="50">
        <v>66</v>
      </c>
    </row>
    <row r="39" spans="1:2">
      <c r="A39" s="63">
        <v>460</v>
      </c>
      <c r="B39" s="50">
        <v>75</v>
      </c>
    </row>
    <row r="40" spans="1:2">
      <c r="A40" s="63">
        <v>501</v>
      </c>
      <c r="B40" s="50"/>
    </row>
    <row r="41" spans="1:2">
      <c r="A41" s="63">
        <v>507</v>
      </c>
      <c r="B41" s="50">
        <v>44</v>
      </c>
    </row>
    <row r="42" spans="1:2">
      <c r="A42" s="63">
        <v>527</v>
      </c>
      <c r="B42" s="50">
        <v>138</v>
      </c>
    </row>
    <row r="43" spans="1:2">
      <c r="A43" s="63">
        <v>546</v>
      </c>
      <c r="B43" s="50">
        <v>75</v>
      </c>
    </row>
    <row r="44" spans="1:2">
      <c r="A44" s="63">
        <v>562</v>
      </c>
      <c r="B44" s="50">
        <v>86</v>
      </c>
    </row>
    <row r="45" spans="1:2">
      <c r="A45" s="63">
        <v>574</v>
      </c>
      <c r="B45" s="50">
        <v>138</v>
      </c>
    </row>
    <row r="46" spans="1:2">
      <c r="A46" s="63">
        <v>581</v>
      </c>
      <c r="B46" s="50"/>
    </row>
    <row r="47" spans="1:2">
      <c r="A47" s="63">
        <v>608</v>
      </c>
      <c r="B47" s="50">
        <v>133</v>
      </c>
    </row>
    <row r="48" spans="1:2">
      <c r="A48" s="63">
        <v>646</v>
      </c>
      <c r="B48" s="50">
        <v>98</v>
      </c>
    </row>
    <row r="49" spans="1:2">
      <c r="A49" s="63">
        <v>678</v>
      </c>
      <c r="B49" s="50">
        <v>114</v>
      </c>
    </row>
    <row r="50" spans="1:2">
      <c r="A50" s="63">
        <v>696</v>
      </c>
      <c r="B50" s="50">
        <v>152</v>
      </c>
    </row>
    <row r="51" spans="1:2">
      <c r="A51" s="63">
        <v>702</v>
      </c>
      <c r="B51" s="50">
        <v>16</v>
      </c>
    </row>
    <row r="52" spans="1:2">
      <c r="A52" s="63">
        <v>828</v>
      </c>
      <c r="B52" s="50"/>
    </row>
    <row r="53" spans="1:2">
      <c r="A53" s="63">
        <v>4747</v>
      </c>
      <c r="B53" s="50"/>
    </row>
    <row r="54" spans="1:2">
      <c r="A54" s="63">
        <v>4778</v>
      </c>
      <c r="B54" s="50"/>
    </row>
    <row r="55" spans="1:2">
      <c r="A55" s="63" t="s">
        <v>159</v>
      </c>
      <c r="B55" s="50">
        <v>161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729"/>
  <sheetViews>
    <sheetView zoomScaleNormal="100" workbookViewId="0">
      <selection activeCell="A2" sqref="A2"/>
    </sheetView>
  </sheetViews>
  <sheetFormatPr defaultRowHeight="13"/>
  <sheetData>
    <row r="1" spans="1:9">
      <c r="A1" t="s">
        <v>177</v>
      </c>
      <c r="B1" t="s">
        <v>178</v>
      </c>
      <c r="C1" t="s">
        <v>179</v>
      </c>
      <c r="D1" t="s">
        <v>180</v>
      </c>
      <c r="E1" t="s">
        <v>174</v>
      </c>
      <c r="F1" t="s">
        <v>182</v>
      </c>
      <c r="G1" t="s">
        <v>183</v>
      </c>
      <c r="H1" t="s">
        <v>211</v>
      </c>
      <c r="I1" t="s">
        <v>279</v>
      </c>
    </row>
    <row r="2" spans="1:9">
      <c r="A2">
        <f>怪しいデータを手直し!F623</f>
        <v>1</v>
      </c>
      <c r="B2">
        <f>怪しいデータを手直し!C623</f>
        <v>2.9719342653964747</v>
      </c>
      <c r="C2">
        <f>怪しいデータを手直し!D623</f>
        <v>8.7986707237015302</v>
      </c>
      <c r="D2" t="str">
        <f>怪しいデータを手直し!G623</f>
        <v>lc</v>
      </c>
      <c r="E2">
        <f>怪しいデータを手直し!T623</f>
        <v>13.114367310772177</v>
      </c>
      <c r="F2">
        <f>IF(怪しいデータを手直し!U623="dead",0,怪しいデータを手直し!U623)</f>
        <v>0</v>
      </c>
      <c r="G2">
        <f>怪しいデータを手直し!L623</f>
        <v>9</v>
      </c>
      <c r="H2">
        <v>0</v>
      </c>
    </row>
    <row r="3" spans="1:9">
      <c r="A3">
        <f>怪しいデータを手直し!F439</f>
        <v>2</v>
      </c>
      <c r="B3">
        <f>怪しいデータを手直し!C439</f>
        <v>4.5347512748652568</v>
      </c>
      <c r="C3">
        <f>怪しいデータを手直し!D439</f>
        <v>8.6069255682437298</v>
      </c>
      <c r="D3" t="str">
        <f>怪しいデータを手直し!G439</f>
        <v>bp</v>
      </c>
      <c r="E3">
        <f>怪しいデータを手直し!T439</f>
        <v>4.7109863155201026</v>
      </c>
      <c r="F3">
        <f>IF(怪しいデータを手直し!U439="dead",0,怪しいデータを手直し!U439)</f>
        <v>4.9656342244671343</v>
      </c>
      <c r="G3">
        <f>怪しいデータを手直し!L439</f>
        <v>3.8</v>
      </c>
      <c r="H3">
        <v>4</v>
      </c>
      <c r="I3">
        <v>75</v>
      </c>
    </row>
    <row r="4" spans="1:9">
      <c r="A4">
        <f>怪しいデータを手直し!F383</f>
        <v>3</v>
      </c>
      <c r="B4">
        <f>怪しいデータを手直し!C383</f>
        <v>4.6490501176979064</v>
      </c>
      <c r="C4">
        <f>怪しいデータを手直し!D383</f>
        <v>8.685680648742018</v>
      </c>
      <c r="D4" t="str">
        <f>怪しいデータを手直し!G383</f>
        <v>bp</v>
      </c>
      <c r="E4">
        <f>怪しいデータを手直し!T383</f>
        <v>3.5969017138768349</v>
      </c>
      <c r="F4">
        <f>IF(怪しいデータを手直し!U383="dead",0,怪しいデータを手直し!U383)</f>
        <v>3.5332397366400765</v>
      </c>
      <c r="G4">
        <f>怪しいデータを手直し!L383</f>
        <v>3.1</v>
      </c>
      <c r="H4">
        <v>4</v>
      </c>
    </row>
    <row r="5" spans="1:9">
      <c r="A5">
        <f>怪しいデータを手直し!F544</f>
        <v>4</v>
      </c>
      <c r="B5">
        <f>怪しいデータを手直し!C544</f>
        <v>4.5413373125291585</v>
      </c>
      <c r="C5">
        <f>怪しいデータを手直し!D544</f>
        <v>8.7497993503386731</v>
      </c>
      <c r="D5" t="str">
        <f>怪しいデータを手直し!G544</f>
        <v>bp</v>
      </c>
      <c r="E5">
        <f>怪しいデータを手直し!T544</f>
        <v>8.2760570407785572</v>
      </c>
      <c r="F5">
        <f>IF(怪しいデータを手直し!U544="dead",0,怪しいデータを手直し!U544)</f>
        <v>8.91267681314614</v>
      </c>
      <c r="G5">
        <f>怪しいデータを手直し!L544</f>
        <v>8.3000000000000007</v>
      </c>
      <c r="H5">
        <v>4</v>
      </c>
    </row>
    <row r="6" spans="1:9">
      <c r="A6">
        <f>怪しいデータを手直し!F209</f>
        <v>5</v>
      </c>
      <c r="B6">
        <f>怪しいデータを手直し!C209</f>
        <v>4.4428325442296615</v>
      </c>
      <c r="C6">
        <f>怪しいデータを手直し!D209</f>
        <v>8.5628187767275055</v>
      </c>
      <c r="D6" t="str">
        <f>怪しいデータを手直し!G209</f>
        <v>bp</v>
      </c>
      <c r="E6">
        <f>怪しいデータを手直し!T209</f>
        <v>1.69</v>
      </c>
      <c r="F6">
        <f>IF(怪しいデータを手直し!U209="dead",0,怪しいデータを手直し!U209)</f>
        <v>1.92</v>
      </c>
      <c r="G6">
        <f>怪しいデータを手直し!L209</f>
        <v>3.6</v>
      </c>
      <c r="H6">
        <v>4</v>
      </c>
    </row>
    <row r="7" spans="1:9">
      <c r="A7">
        <f>怪しいデータを手直し!F302</f>
        <v>6</v>
      </c>
      <c r="B7">
        <f>怪しいデータを手直し!C302</f>
        <v>4.289145621441091</v>
      </c>
      <c r="C7">
        <f>怪しいデータを手直し!D302</f>
        <v>8.9312426529400941</v>
      </c>
      <c r="D7" t="str">
        <f>怪しいデータを手直し!G302</f>
        <v>bp</v>
      </c>
      <c r="E7">
        <f>怪しいデータを手直し!T302</f>
        <v>2.5099999999999998</v>
      </c>
      <c r="F7">
        <f>IF(怪しいデータを手直し!U302="dead",0,怪しいデータを手直し!U302)</f>
        <v>2.8011269984173581</v>
      </c>
      <c r="G7">
        <f>怪しいデータを手直し!L302</f>
        <v>5.3</v>
      </c>
      <c r="H7">
        <v>4</v>
      </c>
    </row>
    <row r="8" spans="1:9">
      <c r="A8">
        <f>怪しいデータを手直し!F223</f>
        <v>7</v>
      </c>
      <c r="B8">
        <f>怪しいデータを手直し!C223</f>
        <v>4.3074786275277868</v>
      </c>
      <c r="C8">
        <f>怪しいデータを手直し!D223</f>
        <v>9.0576091978658386</v>
      </c>
      <c r="D8" t="str">
        <f>怪しいデータを手直し!G223</f>
        <v>bp</v>
      </c>
      <c r="E8">
        <f>怪しいデータを手直し!T223</f>
        <v>1.83</v>
      </c>
      <c r="F8">
        <f>IF(怪しいデータを手直し!U223="dead",0,怪しいデータを手直し!U223)</f>
        <v>2.3554931577600513</v>
      </c>
      <c r="G8">
        <f>怪しいデータを手直し!L223</f>
        <v>3.5</v>
      </c>
      <c r="H8">
        <v>4</v>
      </c>
    </row>
    <row r="9" spans="1:9">
      <c r="A9">
        <f>怪しいデータを手直し!F323</f>
        <v>8</v>
      </c>
      <c r="B9">
        <f>怪しいデータを手直し!C323</f>
        <v>4.3847909736452664</v>
      </c>
      <c r="C9">
        <f>怪しいデータを手直し!D323</f>
        <v>9.0804742579218729</v>
      </c>
      <c r="D9" t="str">
        <f>怪しいデータを手直し!G323</f>
        <v>bp</v>
      </c>
      <c r="E9">
        <f>怪しいデータを手直し!T323</f>
        <v>2.84</v>
      </c>
      <c r="F9">
        <f>IF(怪しいデータを手直し!U323="dead",0,怪しいデータを手直し!U323)</f>
        <v>3.214929850456286</v>
      </c>
      <c r="G9">
        <f>怪しいデータを手直し!L323</f>
        <v>4</v>
      </c>
      <c r="H9">
        <v>4</v>
      </c>
    </row>
    <row r="10" spans="1:9">
      <c r="A10">
        <f>怪しいデータを手直し!F456</f>
        <v>9</v>
      </c>
      <c r="B10">
        <f>怪しいデータを手直し!C456</f>
        <v>4.4670921285436664</v>
      </c>
      <c r="C10">
        <f>怪しいデータを手直し!D456</f>
        <v>9.0144389993630316</v>
      </c>
      <c r="D10" t="str">
        <f>怪しいデータを手直し!G456</f>
        <v>bp</v>
      </c>
      <c r="E10">
        <f>怪しいデータを手直し!T456</f>
        <v>5.156620156177409</v>
      </c>
      <c r="F10">
        <f>IF(怪しいデータを手直し!U456="dead",0,怪しいデータを手直し!U456)</f>
        <v>5.4112680651244416</v>
      </c>
      <c r="G10">
        <f>怪しいデータを手直し!L456</f>
        <v>6</v>
      </c>
      <c r="H10">
        <v>4</v>
      </c>
      <c r="I10">
        <v>49</v>
      </c>
    </row>
    <row r="11" spans="1:9">
      <c r="A11">
        <f>怪しいデータを手直し!F293</f>
        <v>10</v>
      </c>
      <c r="B11">
        <f>怪しいデータを手直し!C293</f>
        <v>4.5733309832961941</v>
      </c>
      <c r="C11">
        <f>怪しいデータを手直し!D293</f>
        <v>9.2373314067388428</v>
      </c>
      <c r="D11" t="str">
        <f>怪しいデータを手直し!G293</f>
        <v>bp</v>
      </c>
      <c r="E11">
        <f>怪しいデータを手直し!T293</f>
        <v>2.42</v>
      </c>
      <c r="F11">
        <f>IF(怪しいデータを手直し!U293="dead",0,怪しいデータを手直し!U293)</f>
        <v>2.4191551349968092</v>
      </c>
      <c r="G11">
        <f>怪しいデータを手直し!L293</f>
        <v>4.0999999999999996</v>
      </c>
      <c r="H11">
        <v>4</v>
      </c>
    </row>
    <row r="12" spans="1:9">
      <c r="A12">
        <f>怪しいデータを手直し!F539</f>
        <v>11</v>
      </c>
      <c r="B12">
        <f>怪しいデータを手直し!C539</f>
        <v>4.6543320396682057</v>
      </c>
      <c r="C12">
        <f>怪しいデータを手直し!D539</f>
        <v>9.1054419762351273</v>
      </c>
      <c r="D12" t="str">
        <f>怪しいデータを手直し!G539</f>
        <v>bp</v>
      </c>
      <c r="E12">
        <f>怪しいデータを手直し!T539</f>
        <v>7.8940851773580096</v>
      </c>
      <c r="F12">
        <f>IF(怪しいデータを手直し!U539="dead",0,怪しいデータを手直し!U539)</f>
        <v>8.2442260521601778</v>
      </c>
      <c r="G12">
        <f>怪しいデータを手直し!L539</f>
        <v>6.6</v>
      </c>
      <c r="H12">
        <v>4</v>
      </c>
      <c r="I12">
        <v>110</v>
      </c>
    </row>
    <row r="13" spans="1:9">
      <c r="A13">
        <f>怪しいデータを手直し!F78</f>
        <v>12</v>
      </c>
      <c r="B13">
        <f>怪しいデータを手直し!C78</f>
        <v>4.3575671820445905</v>
      </c>
      <c r="C13">
        <f>怪しいデータを手直し!D78</f>
        <v>8.8929986924760307</v>
      </c>
      <c r="D13" t="str">
        <f>怪しいデータを手直し!G78</f>
        <v>bp</v>
      </c>
      <c r="E13">
        <f>怪しいデータを手直し!T78</f>
        <v>0.76</v>
      </c>
      <c r="F13">
        <f>IF(怪しいデータを手直し!U78="dead",0,怪しいデータを手直し!U78)</f>
        <v>0.71</v>
      </c>
      <c r="G13">
        <f>怪しいデータを手直し!L78</f>
        <v>2.1</v>
      </c>
      <c r="H13">
        <v>4</v>
      </c>
    </row>
    <row r="14" spans="1:9">
      <c r="A14">
        <f>怪しいデータを手直し!F41</f>
        <v>13</v>
      </c>
      <c r="B14">
        <f>怪しいデータを手直し!C41</f>
        <v>4.9059474370510188</v>
      </c>
      <c r="C14">
        <f>怪しいデータを手直し!D41</f>
        <v>8.7299100481017451</v>
      </c>
      <c r="D14" t="str">
        <f>怪しいデータを手直し!G41</f>
        <v>bp</v>
      </c>
      <c r="E14">
        <f>怪しいデータを手直し!T41</f>
        <v>0.54</v>
      </c>
      <c r="F14">
        <f>IF(怪しいデータを手直し!U41="dead",0,怪しいデータを手直し!U41)</f>
        <v>0.59000000000000008</v>
      </c>
      <c r="G14">
        <f>怪しいデータを手直し!L41</f>
        <v>1.7</v>
      </c>
      <c r="H14">
        <v>4</v>
      </c>
    </row>
    <row r="15" spans="1:9">
      <c r="A15">
        <f>怪しいデータを手直し!F84</f>
        <v>14</v>
      </c>
      <c r="B15">
        <f>怪しいデータを手直し!C84</f>
        <v>4.9059474370510188</v>
      </c>
      <c r="C15">
        <f>怪しいデータを手直し!D84</f>
        <v>8.7299100481017451</v>
      </c>
      <c r="D15" t="str">
        <f>怪しいデータを手直し!G84</f>
        <v>bp</v>
      </c>
      <c r="E15">
        <f>怪しいデータを手直し!T84</f>
        <v>0.81</v>
      </c>
      <c r="F15">
        <f>IF(怪しいデータを手直し!U84="dead",0,怪しいデータを手直し!U84)</f>
        <v>1.33</v>
      </c>
      <c r="G15">
        <f>怪しいデータを手直し!L84</f>
        <v>2.1</v>
      </c>
      <c r="H15">
        <v>4</v>
      </c>
    </row>
    <row r="16" spans="1:9">
      <c r="A16">
        <f>怪しいデータを手直し!F20</f>
        <v>15</v>
      </c>
      <c r="B16">
        <f>怪しいデータを手直し!C20</f>
        <v>4.9136324761842101</v>
      </c>
      <c r="C16">
        <f>怪しいデータを手直し!D20</f>
        <v>8.9188592077476532</v>
      </c>
      <c r="D16" t="str">
        <f>怪しいデータを手直し!G20</f>
        <v>bp</v>
      </c>
      <c r="E16">
        <f>怪しいデータを手直し!T20</f>
        <v>0.39</v>
      </c>
      <c r="F16">
        <f>IF(怪しいデータを手直し!U20="dead",0,怪しいデータを手直し!U20)</f>
        <v>0.85</v>
      </c>
      <c r="G16">
        <f>怪しいデータを手直し!L20</f>
        <v>1.5</v>
      </c>
      <c r="H16">
        <v>4</v>
      </c>
    </row>
    <row r="17" spans="1:9">
      <c r="A17">
        <f>怪しいデータを手直し!F674</f>
        <v>16</v>
      </c>
      <c r="B17">
        <f>怪しいデータを手直し!C674</f>
        <v>5.1128726289895026</v>
      </c>
      <c r="C17">
        <f>怪しいデータを手直し!D674</f>
        <v>4.974456640370116</v>
      </c>
      <c r="D17" t="str">
        <f>怪しいデータを手直し!G674</f>
        <v>lc</v>
      </c>
      <c r="E17">
        <f>怪しいデータを手直し!T674</f>
        <v>22.981973782469687</v>
      </c>
      <c r="F17">
        <f>IF(怪しいデータを手直し!U674="dead",0,怪しいデータを手直し!U674)</f>
        <v>0</v>
      </c>
      <c r="G17">
        <f>怪しいデータを手直し!L674</f>
        <v>9.8000000000000007</v>
      </c>
      <c r="H17">
        <v>0</v>
      </c>
    </row>
    <row r="18" spans="1:9">
      <c r="A18">
        <f>怪しいデータを手直し!F608</f>
        <v>17</v>
      </c>
      <c r="B18">
        <f>怪しいデータを手直し!C608</f>
        <v>9.4845444850729379</v>
      </c>
      <c r="C18">
        <f>怪しいデータを手直し!D608</f>
        <v>3.8616039870230532</v>
      </c>
      <c r="D18" t="str">
        <f>怪しいデータを手直し!G608</f>
        <v>lc</v>
      </c>
      <c r="E18">
        <f>怪しいデータを手直し!T608</f>
        <v>12.477747538404596</v>
      </c>
      <c r="F18">
        <f>IF(怪しいデータを手直し!U608="dead",0,怪しいデータを手直し!U608)</f>
        <v>0</v>
      </c>
      <c r="G18">
        <f>怪しいデータを手直し!L608</f>
        <v>9.4</v>
      </c>
      <c r="H18">
        <v>0</v>
      </c>
    </row>
    <row r="19" spans="1:9">
      <c r="A19">
        <f>怪しいデータを手直し!F564</f>
        <v>18</v>
      </c>
      <c r="B19">
        <f>怪しいデータを手直し!C564</f>
        <v>9.9838034761087275</v>
      </c>
      <c r="C19">
        <f>怪しいデータを手直し!D564</f>
        <v>12.319943463236516</v>
      </c>
      <c r="D19" t="str">
        <f>怪しいデータを手直し!G564</f>
        <v>lc</v>
      </c>
      <c r="E19">
        <f>怪しいデータを手直し!T564</f>
        <v>9.7084515286056163</v>
      </c>
      <c r="F19">
        <f>IF(怪しいデータを手直し!U564="dead",0,怪しいデータを手直し!U564)</f>
        <v>0</v>
      </c>
      <c r="G19">
        <f>怪しいデータを手直し!L564</f>
        <v>7.6</v>
      </c>
      <c r="H19">
        <v>0</v>
      </c>
    </row>
    <row r="20" spans="1:9">
      <c r="A20">
        <f>怪しいデータを手直し!F584</f>
        <v>19</v>
      </c>
      <c r="B20">
        <f>怪しいデータを手直し!C584</f>
        <v>6.9093167736498451</v>
      </c>
      <c r="C20">
        <f>怪しいデータを手直し!D584</f>
        <v>17.281193390808802</v>
      </c>
      <c r="D20" t="str">
        <f>怪しいデータを手直し!G584</f>
        <v>bp</v>
      </c>
      <c r="E20">
        <f>怪しいデータを手直し!T584</f>
        <v>11.045353050577537</v>
      </c>
      <c r="F20">
        <f>IF(怪しいデータを手直し!U584="dead",0,怪しいデータを手直し!U584)</f>
        <v>0</v>
      </c>
      <c r="G20">
        <f>怪しいデータを手直し!L584</f>
        <v>5</v>
      </c>
      <c r="H20">
        <v>19</v>
      </c>
    </row>
    <row r="21" spans="1:9">
      <c r="A21">
        <f>怪しいデータを手直し!F574</f>
        <v>20</v>
      </c>
      <c r="B21">
        <f>怪しいデータを手直し!C574</f>
        <v>6.8999120717316238</v>
      </c>
      <c r="C21">
        <f>怪しいデータを手直し!D574</f>
        <v>17.634595918383937</v>
      </c>
      <c r="D21" t="str">
        <f>怪しいデータを手直し!G574</f>
        <v>bp</v>
      </c>
      <c r="E21">
        <f>怪しいデータを手直し!T574</f>
        <v>10.408733278209956</v>
      </c>
      <c r="F21">
        <f>IF(怪しいデータを手直し!U574="dead",0,怪しいデータを手直し!U574)</f>
        <v>11.427324913998085</v>
      </c>
      <c r="G21">
        <f>怪しいデータを手直し!L574</f>
        <v>8.1999999999999993</v>
      </c>
      <c r="H21">
        <v>19</v>
      </c>
      <c r="I21">
        <v>68</v>
      </c>
    </row>
    <row r="22" spans="1:9">
      <c r="A22">
        <f>怪しいデータを手直し!F421</f>
        <v>21</v>
      </c>
      <c r="B22">
        <f>怪しいデータを手直し!C421</f>
        <v>6.8907652746479302</v>
      </c>
      <c r="C22">
        <f>怪しいデータを手直し!D421</f>
        <v>17.695625992904336</v>
      </c>
      <c r="D22" t="str">
        <f>怪しいデータを手直し!G421</f>
        <v>bp</v>
      </c>
      <c r="E22">
        <f>怪しいデータを手直し!T421</f>
        <v>4.2971834634811739</v>
      </c>
      <c r="F22">
        <f>IF(怪しいデータを手直し!U421="dead",0,怪しいデータを手直し!U421)</f>
        <v>4.5518313724282073</v>
      </c>
      <c r="G22">
        <f>怪しいデータを手直し!L421</f>
        <v>5.5</v>
      </c>
      <c r="H22">
        <v>19</v>
      </c>
    </row>
    <row r="23" spans="1:9">
      <c r="A23">
        <f>怪しいデータを手直し!F425</f>
        <v>22</v>
      </c>
      <c r="B23">
        <f>怪しいデータを手直し!C425</f>
        <v>6.8333337259313778</v>
      </c>
      <c r="C23">
        <f>怪しいデータを手直し!D425</f>
        <v>17.877329795601831</v>
      </c>
      <c r="D23" t="str">
        <f>怪しいデータを手直し!G425</f>
        <v>bp</v>
      </c>
      <c r="E23">
        <f>怪しいデータを手直し!T425</f>
        <v>4.45633840657307</v>
      </c>
      <c r="F23">
        <f>IF(怪しいデータを手直し!U425="dead",0,怪しいデータを手直し!U425)</f>
        <v>4.6154933496649653</v>
      </c>
      <c r="G23">
        <f>怪しいデータを手直し!L425</f>
        <v>4</v>
      </c>
      <c r="H23">
        <v>19</v>
      </c>
      <c r="I23">
        <v>111</v>
      </c>
    </row>
    <row r="24" spans="1:9">
      <c r="A24">
        <f>怪しいデータを手直し!F326</f>
        <v>23</v>
      </c>
      <c r="B24">
        <f>怪しいデータを手直し!C326</f>
        <v>6.9886929587789961</v>
      </c>
      <c r="C24">
        <f>怪しいデータを手直し!D326</f>
        <v>17.927321735838202</v>
      </c>
      <c r="D24" t="str">
        <f>怪しいデータを手直し!G326</f>
        <v>bp</v>
      </c>
      <c r="E24">
        <f>怪しいデータを手直し!T326</f>
        <v>2.896619964272495</v>
      </c>
      <c r="F24">
        <f>IF(怪しいデータを手直し!U326="dead",0,怪しいデータを手直し!U326)</f>
        <v>2.9602819415092534</v>
      </c>
      <c r="G24">
        <f>怪しいデータを手直し!L326</f>
        <v>2.9</v>
      </c>
      <c r="H24">
        <v>19</v>
      </c>
    </row>
    <row r="25" spans="1:9">
      <c r="A25">
        <f>怪しいデータを手直し!F217</f>
        <v>24</v>
      </c>
      <c r="B25">
        <f>怪しいデータを手直し!C217</f>
        <v>6.59703322326639</v>
      </c>
      <c r="C25">
        <f>怪しいデータを手直し!D217</f>
        <v>17.789083201279034</v>
      </c>
      <c r="D25" t="str">
        <f>怪しいデータを手直し!G217</f>
        <v>bp</v>
      </c>
      <c r="E25">
        <f>怪しいデータを手直し!T217</f>
        <v>1.76</v>
      </c>
      <c r="F25">
        <f>IF(怪しいデータを手直し!U217="dead",0,怪しいデータを手直し!U217)</f>
        <v>1.909859317102744</v>
      </c>
      <c r="G25">
        <f>怪しいデータを手直し!L217</f>
        <v>3.1</v>
      </c>
      <c r="H25">
        <v>19</v>
      </c>
    </row>
    <row r="26" spans="1:9">
      <c r="A26">
        <f>怪しいデータを手直し!F240</f>
        <v>25</v>
      </c>
      <c r="B26">
        <f>怪しいデータを手直し!C240</f>
        <v>6.5904406558154331</v>
      </c>
      <c r="C26">
        <f>怪しいデータを手直し!D240</f>
        <v>17.622165379895907</v>
      </c>
      <c r="D26" t="str">
        <f>怪しいデータを手直し!G240</f>
        <v>bp</v>
      </c>
      <c r="E26">
        <f>怪しいデータを手直し!T240</f>
        <v>1.98</v>
      </c>
      <c r="F26">
        <f>IF(怪しいデータを手直し!U240="dead",0,怪しいデータを手直し!U240)</f>
        <v>2.196338214668156</v>
      </c>
      <c r="G26">
        <f>怪しいデータを手直し!L240</f>
        <v>3.7</v>
      </c>
      <c r="H26">
        <v>19</v>
      </c>
    </row>
    <row r="27" spans="1:9">
      <c r="A27">
        <f>怪しいデータを手直し!F392</f>
        <v>26</v>
      </c>
      <c r="B27">
        <f>怪しいデータを手直し!C392</f>
        <v>1.739478099313315</v>
      </c>
      <c r="C27">
        <f>怪しいデータを手直し!D392</f>
        <v>16.785269186132236</v>
      </c>
      <c r="D27" t="str">
        <f>怪しいデータを手直し!G392</f>
        <v>lc</v>
      </c>
      <c r="E27">
        <f>怪しいデータを手直し!T392</f>
        <v>3.7878876455871091</v>
      </c>
      <c r="F27">
        <f>IF(怪しいデータを手直し!U392="dead",0,怪しいデータを手直し!U392)</f>
        <v>4.9019722472303764</v>
      </c>
      <c r="G27">
        <f>怪しいデータを手直し!L392</f>
        <v>4.0999999999999996</v>
      </c>
      <c r="H27">
        <v>0</v>
      </c>
      <c r="I27">
        <v>15</v>
      </c>
    </row>
    <row r="28" spans="1:9">
      <c r="A28">
        <f>怪しいデータを手直し!F59</f>
        <v>27</v>
      </c>
      <c r="B28">
        <f>怪しいデータを手直し!C59</f>
        <v>1.2251623958207458</v>
      </c>
      <c r="C28">
        <f>怪しいデータを手直し!D59</f>
        <v>21.399491730546046</v>
      </c>
      <c r="D28" t="str">
        <f>怪しいデータを手直し!G59</f>
        <v>lc</v>
      </c>
      <c r="E28">
        <f>怪しいデータを手直し!T59</f>
        <v>0.64</v>
      </c>
      <c r="F28">
        <f>IF(怪しいデータを手直し!U59="dead",0,怪しいデータを手直し!U59)</f>
        <v>0</v>
      </c>
      <c r="G28">
        <f>怪しいデータを手直し!L59</f>
        <v>1.7</v>
      </c>
      <c r="H28">
        <v>0</v>
      </c>
    </row>
    <row r="29" spans="1:9">
      <c r="A29">
        <f>怪しいデータを手直し!F134</f>
        <v>28</v>
      </c>
      <c r="B29">
        <f>怪しいデータを手直し!C134</f>
        <v>0.56912983370203873</v>
      </c>
      <c r="C29">
        <f>怪しいデータを手直し!D134</f>
        <v>24.635190528164973</v>
      </c>
      <c r="D29" t="str">
        <f>怪しいデータを手直し!G134</f>
        <v>lc</v>
      </c>
      <c r="E29">
        <f>怪しいデータを手直し!T134</f>
        <v>1.18</v>
      </c>
      <c r="F29">
        <f>IF(怪しいデータを手直し!U134="dead",0,怪しいデータを手直し!U134)</f>
        <v>0</v>
      </c>
      <c r="G29">
        <f>怪しいデータを手直し!L134</f>
        <v>2.2000000000000002</v>
      </c>
      <c r="H29">
        <v>0</v>
      </c>
    </row>
    <row r="30" spans="1:9">
      <c r="A30">
        <f>怪しいデータを手直し!F185</f>
        <v>29</v>
      </c>
      <c r="B30">
        <f>怪しいデータを手直し!C185</f>
        <v>0.66636346065243546</v>
      </c>
      <c r="C30">
        <f>怪しいデータを手直し!D185</f>
        <v>24.864571896714789</v>
      </c>
      <c r="D30" t="str">
        <f>怪しいデータを手直し!G185</f>
        <v>lc</v>
      </c>
      <c r="E30">
        <f>怪しいデータを手直し!T185</f>
        <v>1.5</v>
      </c>
      <c r="F30">
        <f>IF(怪しいデータを手直し!U185="dead",0,怪しいデータを手直し!U185)</f>
        <v>2.0300000000000002</v>
      </c>
      <c r="G30">
        <f>怪しいデータを手直し!L185</f>
        <v>2</v>
      </c>
      <c r="H30">
        <v>0</v>
      </c>
    </row>
    <row r="31" spans="1:9">
      <c r="A31">
        <f>怪しいデータを手直し!F222</f>
        <v>30</v>
      </c>
      <c r="B31">
        <f>怪しいデータを手直し!C222</f>
        <v>8.3029446827353137</v>
      </c>
      <c r="C31">
        <f>怪しいデータを手直し!D222</f>
        <v>22.162755093725913</v>
      </c>
      <c r="D31" t="str">
        <f>怪しいデータを手直し!G222</f>
        <v>bp</v>
      </c>
      <c r="E31">
        <f>怪しいデータを手直し!T222</f>
        <v>1.82</v>
      </c>
      <c r="F31">
        <f>IF(怪しいデータを手直し!U222="dead",0,怪しいデータを手直し!U222)</f>
        <v>2.7056340325622208</v>
      </c>
      <c r="G31">
        <f>怪しいデータを手直し!L222</f>
        <v>3.8</v>
      </c>
      <c r="H31">
        <v>37</v>
      </c>
    </row>
    <row r="32" spans="1:9">
      <c r="A32">
        <f>怪しいデータを手直し!F422</f>
        <v>31</v>
      </c>
      <c r="B32">
        <f>怪しいデータを手直し!C422</f>
        <v>8.4184890926716029</v>
      </c>
      <c r="C32">
        <f>怪しいデータを手直し!D422</f>
        <v>22.114578302302672</v>
      </c>
      <c r="D32" t="str">
        <f>怪しいデータを手直し!G422</f>
        <v>bp</v>
      </c>
      <c r="E32">
        <f>怪しいデータを手直し!T422</f>
        <v>4.2971834634811739</v>
      </c>
      <c r="F32">
        <f>IF(怪しいデータを手直し!U422="dead",0,怪しいデータを手直し!U422)</f>
        <v>4.6154933496649653</v>
      </c>
      <c r="G32">
        <f>怪しいデータを手直し!L422</f>
        <v>3.7</v>
      </c>
      <c r="H32">
        <v>37</v>
      </c>
      <c r="I32">
        <v>29</v>
      </c>
    </row>
    <row r="33" spans="1:9">
      <c r="A33">
        <f>怪しいデータを手直し!F653</f>
        <v>32</v>
      </c>
      <c r="B33">
        <f>怪しいデータを手直し!C653</f>
        <v>8.640717581892984</v>
      </c>
      <c r="C33">
        <f>怪しいデータを手直し!D653</f>
        <v>22.445076618424352</v>
      </c>
      <c r="D33" t="str">
        <f>怪しいデータを手直し!G653</f>
        <v>bp</v>
      </c>
      <c r="E33">
        <f>怪しいデータを手直し!T653</f>
        <v>18.239156478331207</v>
      </c>
      <c r="F33">
        <f>IF(怪しいデータを手直し!U653="dead",0,怪しいデータを手直し!U653)</f>
        <v>18.52563537589662</v>
      </c>
      <c r="G33">
        <f>怪しいデータを手直し!L653</f>
        <v>11.9</v>
      </c>
      <c r="H33">
        <v>37</v>
      </c>
      <c r="I33">
        <v>117</v>
      </c>
    </row>
    <row r="34" spans="1:9">
      <c r="A34">
        <f>怪しいデータを手直し!F627</f>
        <v>33</v>
      </c>
      <c r="B34">
        <f>怪しいデータを手直し!C627</f>
        <v>8.5072670275945281</v>
      </c>
      <c r="C34">
        <f>怪しいデータを手直し!D627</f>
        <v>22.715015234064623</v>
      </c>
      <c r="D34" t="str">
        <f>怪しいデータを手直し!G627</f>
        <v>bp</v>
      </c>
      <c r="E34">
        <f>怪しいデータを手直し!T627</f>
        <v>13.591832140047863</v>
      </c>
      <c r="F34">
        <f>IF(怪しいデータを手直し!U627="dead",0,怪しいデータを手直し!U627)</f>
        <v>13.687325105903</v>
      </c>
      <c r="G34">
        <f>怪しいデータを手直し!L627</f>
        <v>5.8</v>
      </c>
      <c r="H34">
        <v>37</v>
      </c>
      <c r="I34">
        <v>90</v>
      </c>
    </row>
    <row r="35" spans="1:9">
      <c r="A35">
        <f>怪しいデータを手直し!F485</f>
        <v>34</v>
      </c>
      <c r="B35">
        <f>怪しいデータを手直し!C485</f>
        <v>8.8119505183786533</v>
      </c>
      <c r="C35">
        <f>怪しいデータを手直し!D485</f>
        <v>22.148121984815155</v>
      </c>
      <c r="D35" t="str">
        <f>怪しいデータを手直し!G485</f>
        <v>bp</v>
      </c>
      <c r="E35">
        <f>怪しいデータを手直し!T485</f>
        <v>5.856901905781748</v>
      </c>
      <c r="F35">
        <f>IF(怪しいデータを手直し!U485="dead",0,怪しいデータを手直し!U485)</f>
        <v>6.6845076098596046</v>
      </c>
      <c r="G35">
        <f>怪しいデータを手直し!L485</f>
        <v>4.3</v>
      </c>
      <c r="H35">
        <v>37</v>
      </c>
      <c r="I35">
        <v>107</v>
      </c>
    </row>
    <row r="36" spans="1:9">
      <c r="A36">
        <f>怪しいデータを手直し!F53</f>
        <v>35</v>
      </c>
      <c r="B36">
        <f>怪しいデータを手直し!C53</f>
        <v>8.9461265962646888</v>
      </c>
      <c r="C36">
        <f>怪しいデータを手直し!D53</f>
        <v>22.230519877428932</v>
      </c>
      <c r="D36" t="str">
        <f>怪しいデータを手直し!G53</f>
        <v>bp</v>
      </c>
      <c r="E36">
        <f>怪しいデータを手直し!T53</f>
        <v>0.62</v>
      </c>
      <c r="F36">
        <f>IF(怪しいデータを手直し!U53="dead",0,怪しいデータを手直し!U53)</f>
        <v>1.06</v>
      </c>
      <c r="G36">
        <f>怪しいデータを手直し!L53</f>
        <v>2.1</v>
      </c>
      <c r="H36">
        <v>37</v>
      </c>
    </row>
    <row r="37" spans="1:9">
      <c r="A37">
        <f>怪しいデータを手直し!F339</f>
        <v>36</v>
      </c>
      <c r="B37">
        <f>怪しいデータを手直し!C339</f>
        <v>8.9167524089241592</v>
      </c>
      <c r="C37">
        <f>怪しいデータを手直し!D339</f>
        <v>22.422628010641585</v>
      </c>
      <c r="D37" t="str">
        <f>怪しいデータを手直し!G339</f>
        <v>bp</v>
      </c>
      <c r="E37">
        <f>怪しいデータを手直し!T339</f>
        <v>2.9921129301276324</v>
      </c>
      <c r="F37">
        <f>IF(怪しいデータを手直し!U339="dead",0,怪しいデータを手直し!U339)</f>
        <v>3.9152116000606259</v>
      </c>
      <c r="G37">
        <f>怪しいデータを手直し!L339</f>
        <v>4.5</v>
      </c>
      <c r="H37">
        <v>37</v>
      </c>
    </row>
    <row r="38" spans="1:9">
      <c r="A38">
        <f>怪しいデータを手直し!F639</f>
        <v>37</v>
      </c>
      <c r="B38">
        <f>怪しいデータを手直し!C639</f>
        <v>8.9259555083891282</v>
      </c>
      <c r="C38">
        <f>怪しいデータを手直し!D639</f>
        <v>22.883005074962199</v>
      </c>
      <c r="D38" t="str">
        <f>怪しいデータを手直し!G639</f>
        <v>bp</v>
      </c>
      <c r="E38">
        <f>怪しいデータを手直し!T639</f>
        <v>15.406198491295468</v>
      </c>
      <c r="F38">
        <f>IF(怪しいデータを手直し!U639="dead",0,怪しいデータを手直し!U639)</f>
        <v>16.71126902464901</v>
      </c>
      <c r="G38">
        <f>怪しいデータを手直し!L639</f>
        <v>14.2</v>
      </c>
      <c r="H38">
        <v>37</v>
      </c>
      <c r="I38">
        <v>107</v>
      </c>
    </row>
    <row r="39" spans="1:9">
      <c r="A39">
        <f>怪しいデータを手直し!F436</f>
        <v>38</v>
      </c>
      <c r="B39">
        <f>怪しいデータを手直し!C436</f>
        <v>9.0445474699669113</v>
      </c>
      <c r="C39">
        <f>怪しいデータを手直し!D436</f>
        <v>22.938751616505748</v>
      </c>
      <c r="D39" t="str">
        <f>怪しいデータを手直し!G436</f>
        <v>bp</v>
      </c>
      <c r="E39">
        <f>怪しいデータを手直し!T436</f>
        <v>4.6791553269017232</v>
      </c>
      <c r="F39">
        <f>IF(怪しいデータを手直し!U436="dead",0,怪しいデータを手直し!U436)</f>
        <v>0</v>
      </c>
      <c r="G39">
        <f>怪しいデータを手直し!L436</f>
        <v>1.7</v>
      </c>
      <c r="H39">
        <v>37</v>
      </c>
      <c r="I39">
        <v>27</v>
      </c>
    </row>
    <row r="40" spans="1:9">
      <c r="A40">
        <f>怪しいデータを手直し!F551</f>
        <v>39</v>
      </c>
      <c r="B40">
        <f>怪しいデータを手直し!C551</f>
        <v>7.614100830171675</v>
      </c>
      <c r="C40">
        <f>怪しいデータを手直し!D551</f>
        <v>23.664419264764746</v>
      </c>
      <c r="D40" t="str">
        <f>怪しいデータを手直し!G551</f>
        <v>lc</v>
      </c>
      <c r="E40">
        <f>怪しいデータを手直し!T551</f>
        <v>8.7853528586726242</v>
      </c>
      <c r="F40">
        <f>IF(怪しいデータを手直し!U551="dead",0,怪しいデータを手直し!U551)</f>
        <v>0</v>
      </c>
      <c r="G40">
        <f>怪しいデータを手直し!L551</f>
        <v>5.2</v>
      </c>
      <c r="H40">
        <v>0</v>
      </c>
    </row>
    <row r="41" spans="1:9">
      <c r="A41">
        <f>怪しいデータを手直し!F616</f>
        <v>40</v>
      </c>
      <c r="B41">
        <f>怪しいデータを手直し!C616</f>
        <v>6.420031139275026</v>
      </c>
      <c r="C41">
        <f>怪しいデータを手直し!D616</f>
        <v>24.873068865790739</v>
      </c>
      <c r="D41" t="str">
        <f>怪しいデータを手直し!G616</f>
        <v>lc</v>
      </c>
      <c r="E41">
        <f>怪しいデータを手直し!T616</f>
        <v>12.859719401825144</v>
      </c>
      <c r="F41">
        <f>IF(怪しいデータを手直し!U616="dead",0,怪しいデータを手直し!U616)</f>
        <v>0</v>
      </c>
      <c r="G41">
        <f>怪しいデータを手直し!L616</f>
        <v>8.1999999999999993</v>
      </c>
      <c r="H41">
        <v>0</v>
      </c>
    </row>
    <row r="42" spans="1:9">
      <c r="A42">
        <f>怪しいデータを手直し!F591</f>
        <v>41</v>
      </c>
      <c r="B42">
        <f>怪しいデータを手直し!C591</f>
        <v>6.0918837271439479</v>
      </c>
      <c r="C42">
        <f>怪しいデータを手直し!D591</f>
        <v>26.624873784077607</v>
      </c>
      <c r="D42" t="str">
        <f>怪しいデータを手直し!G591</f>
        <v>lc</v>
      </c>
      <c r="E42">
        <f>怪しいデータを手直し!T591</f>
        <v>11.26816997090619</v>
      </c>
      <c r="F42">
        <f>IF(怪しいデータを手直し!U591="dead",0,怪しいデータを手直し!U591)</f>
        <v>0</v>
      </c>
      <c r="G42">
        <f>怪しいデータを手直し!L591</f>
        <v>4</v>
      </c>
      <c r="H42">
        <v>0</v>
      </c>
    </row>
    <row r="43" spans="1:9">
      <c r="A43">
        <f>怪しいデータを手直し!F34</f>
        <v>42</v>
      </c>
      <c r="B43">
        <f>怪しいデータを手直し!C34</f>
        <v>6.3672798251672251</v>
      </c>
      <c r="C43">
        <f>怪しいデータを手直し!D34</f>
        <v>26.70971293186366</v>
      </c>
      <c r="D43" t="str">
        <f>怪しいデータを手直し!G34</f>
        <v>lc</v>
      </c>
      <c r="E43">
        <f>怪しいデータを手直し!T34</f>
        <v>0.5</v>
      </c>
      <c r="F43">
        <f>IF(怪しいデータを手直し!U34="dead",0,怪しいデータを手直し!U34)</f>
        <v>1.1599999999999999</v>
      </c>
      <c r="G43">
        <f>怪しいデータを手直し!L34</f>
        <v>1.7</v>
      </c>
      <c r="H43">
        <v>0</v>
      </c>
    </row>
    <row r="44" spans="1:9">
      <c r="A44">
        <f>怪しいデータを手直し!F92</f>
        <v>43</v>
      </c>
      <c r="B44">
        <f>怪しいデータを手直し!C92</f>
        <v>6.0533561384906731</v>
      </c>
      <c r="C44">
        <f>怪しいデータを手直し!D92</f>
        <v>26.914693012751709</v>
      </c>
      <c r="D44" t="str">
        <f>怪しいデータを手直し!G92</f>
        <v>lc</v>
      </c>
      <c r="E44">
        <f>怪しいデータを手直し!T92</f>
        <v>0.86</v>
      </c>
      <c r="F44">
        <f>IF(怪しいデータを手直し!U92="dead",0,怪しいデータを手直し!U92)</f>
        <v>1.7399999999999998</v>
      </c>
      <c r="G44">
        <f>怪しいデータを手直し!L92</f>
        <v>1.9</v>
      </c>
      <c r="H44">
        <v>0</v>
      </c>
    </row>
    <row r="45" spans="1:9">
      <c r="A45">
        <f>怪しいデータを手直し!F426</f>
        <v>44</v>
      </c>
      <c r="B45">
        <f>怪しいデータを手直し!C426</f>
        <v>6.7606422029613356</v>
      </c>
      <c r="C45">
        <f>怪しいデータを手直し!D426</f>
        <v>30.023064252190451</v>
      </c>
      <c r="D45" t="str">
        <f>怪しいデータを手直し!G426</f>
        <v>lc</v>
      </c>
      <c r="E45">
        <f>怪しいデータを手直し!T426</f>
        <v>4.45633840657307</v>
      </c>
      <c r="F45">
        <f>IF(怪しいデータを手直し!U426="dead",0,怪しいデータを手直し!U426)</f>
        <v>0</v>
      </c>
      <c r="G45">
        <f>怪しいデータを手直し!L426</f>
        <v>4.2</v>
      </c>
      <c r="H45">
        <v>0</v>
      </c>
      <c r="I45">
        <v>13</v>
      </c>
    </row>
    <row r="46" spans="1:9">
      <c r="A46">
        <f>怪しいデータを手直し!F158</f>
        <v>45</v>
      </c>
      <c r="B46">
        <f>怪しいデータを手直し!C158</f>
        <v>3.8226077947344206</v>
      </c>
      <c r="C46">
        <f>怪しいデータを手直し!D158</f>
        <v>29.704255234052518</v>
      </c>
      <c r="D46" t="str">
        <f>怪しいデータを手直し!G158</f>
        <v>lc</v>
      </c>
      <c r="E46">
        <f>怪しいデータを手直し!T158</f>
        <v>1.32</v>
      </c>
      <c r="F46">
        <f>IF(怪しいデータを手直し!U158="dead",0,怪しいデータを手直し!U158)</f>
        <v>2.6419720553254629</v>
      </c>
      <c r="G46">
        <f>怪しいデータを手直し!L158</f>
        <v>2.1</v>
      </c>
      <c r="H46">
        <v>0</v>
      </c>
    </row>
    <row r="47" spans="1:9">
      <c r="A47">
        <f>怪しいデータを手直し!F215</f>
        <v>46</v>
      </c>
      <c r="B47">
        <f>怪しいデータを手直し!C215</f>
        <v>2.0869868475753837</v>
      </c>
      <c r="C47">
        <f>怪しいデータを手直し!D215</f>
        <v>29.185906917558405</v>
      </c>
      <c r="D47" t="str">
        <f>怪しいデータを手直し!G215</f>
        <v>lc</v>
      </c>
      <c r="E47">
        <f>怪しいデータを手直し!T215</f>
        <v>1.74</v>
      </c>
      <c r="F47">
        <f>IF(怪しいデータを手直し!U215="dead",0,怪しいデータを手直し!U215)</f>
        <v>0</v>
      </c>
      <c r="G47">
        <f>怪しいデータを手直し!L215</f>
        <v>3.8</v>
      </c>
      <c r="H47">
        <v>0</v>
      </c>
    </row>
    <row r="48" spans="1:9">
      <c r="A48">
        <f>怪しいデータを手直し!F246</f>
        <v>47</v>
      </c>
      <c r="B48">
        <f>怪しいデータを手直し!C246</f>
        <v>1.7956392668405727</v>
      </c>
      <c r="C48">
        <f>怪しいデータを手直し!D246</f>
        <v>29.979743464808116</v>
      </c>
      <c r="D48" t="str">
        <f>怪しいデータを手直し!G246</f>
        <v>lc</v>
      </c>
      <c r="E48">
        <f>怪しいデータを手直し!T246</f>
        <v>2.06</v>
      </c>
      <c r="F48">
        <f>IF(怪しいデータを手直し!U246="dead",0,怪しいデータを手直し!U246)</f>
        <v>3.5650707252584555</v>
      </c>
      <c r="G48">
        <f>怪しいデータを手直し!L246</f>
        <v>3.3</v>
      </c>
      <c r="H48">
        <v>0</v>
      </c>
    </row>
    <row r="49" spans="1:9">
      <c r="A49">
        <f>怪しいデータを手直し!F241</f>
        <v>48</v>
      </c>
      <c r="B49">
        <f>怪しいデータを手直し!C241</f>
        <v>0.32706413342566815</v>
      </c>
      <c r="C49">
        <f>怪しいデータを手直し!D241</f>
        <v>28.513720047818492</v>
      </c>
      <c r="D49" t="str">
        <f>怪しいデータを手直し!G241</f>
        <v>lc</v>
      </c>
      <c r="E49">
        <f>怪しいデータを手直し!T241</f>
        <v>1.98</v>
      </c>
      <c r="F49">
        <f>IF(怪しいデータを手直し!U241="dead",0,怪しいデータを手直し!U241)</f>
        <v>0</v>
      </c>
      <c r="G49">
        <f>怪しいデータを手直し!L241</f>
        <v>2.8</v>
      </c>
      <c r="H49">
        <v>0</v>
      </c>
    </row>
    <row r="50" spans="1:9">
      <c r="A50">
        <f>怪しいデータを手直し!F224</f>
        <v>49</v>
      </c>
      <c r="B50">
        <f>怪しいデータを手直し!C224</f>
        <v>7.1383060376698781E-2</v>
      </c>
      <c r="C50">
        <f>怪しいデータを手直し!D224</f>
        <v>28.179688530664919</v>
      </c>
      <c r="D50" t="str">
        <f>怪しいデータを手直し!G224</f>
        <v>lc</v>
      </c>
      <c r="E50">
        <f>怪しいデータを手直し!T224</f>
        <v>1.83</v>
      </c>
      <c r="F50">
        <f>IF(怪しいデータを手直し!U224="dead",0,怪しいデータを手直し!U224)</f>
        <v>0</v>
      </c>
      <c r="G50">
        <f>怪しいデータを手直し!L224</f>
        <v>2.9</v>
      </c>
      <c r="H50">
        <v>0</v>
      </c>
    </row>
    <row r="51" spans="1:9">
      <c r="A51">
        <f>怪しいデータを手直し!F192</f>
        <v>50</v>
      </c>
      <c r="B51">
        <f>怪しいデータを手直し!C192</f>
        <v>1.0700791983558624</v>
      </c>
      <c r="C51">
        <f>怪しいデータを手直し!D192</f>
        <v>30.012983097421369</v>
      </c>
      <c r="D51" t="str">
        <f>怪しいデータを手直し!G192</f>
        <v>bp</v>
      </c>
      <c r="E51">
        <f>怪しいデータを手直し!T192</f>
        <v>1.54</v>
      </c>
      <c r="F51">
        <f>IF(怪しいデータを手直し!U192="dead",0,怪しいデータを手直し!U192)</f>
        <v>1.55</v>
      </c>
      <c r="G51">
        <f>怪しいデータを手直し!L192</f>
        <v>2.2000000000000002</v>
      </c>
      <c r="H51">
        <v>50</v>
      </c>
    </row>
    <row r="52" spans="1:9">
      <c r="A52">
        <f>怪しいデータを手直し!F46</f>
        <v>51</v>
      </c>
      <c r="B52">
        <f>怪しいデータを手直し!C46</f>
        <v>1.087553511959648</v>
      </c>
      <c r="C52">
        <f>怪しいデータを手直し!D46</f>
        <v>30.011100207201217</v>
      </c>
      <c r="D52" t="str">
        <f>怪しいデータを手直し!G46</f>
        <v>bp</v>
      </c>
      <c r="E52">
        <f>怪しいデータを手直し!T46</f>
        <v>0.56999999999999995</v>
      </c>
      <c r="F52">
        <f>IF(怪しいデータを手直し!U46="dead",0,怪しいデータを手直し!U46)</f>
        <v>1.1499999999999999</v>
      </c>
      <c r="G52">
        <f>怪しいデータを手直し!L46</f>
        <v>2</v>
      </c>
      <c r="H52">
        <v>50</v>
      </c>
    </row>
    <row r="53" spans="1:9">
      <c r="A53">
        <f>怪しいデータを手直し!F453</f>
        <v>52</v>
      </c>
      <c r="B53">
        <f>怪しいデータを手直し!C453</f>
        <v>2.3642066204640333</v>
      </c>
      <c r="C53">
        <f>怪しいデータを手直し!D453</f>
        <v>35.450159450819726</v>
      </c>
      <c r="D53" t="str">
        <f>怪しいデータを手直し!G453</f>
        <v>lc</v>
      </c>
      <c r="E53">
        <f>怪しいデータを手直し!T453</f>
        <v>5.0929581789406511</v>
      </c>
      <c r="F53">
        <f>IF(怪しいデータを手直し!U453="dead",0,怪しいデータを手直し!U453)</f>
        <v>0</v>
      </c>
      <c r="G53">
        <f>怪しいデータを手直し!L453</f>
        <v>5.0999999999999996</v>
      </c>
      <c r="H53">
        <v>0</v>
      </c>
      <c r="I53">
        <v>25</v>
      </c>
    </row>
    <row r="54" spans="1:9">
      <c r="A54">
        <f>怪しいデータを手直し!F423</f>
        <v>53</v>
      </c>
      <c r="B54">
        <f>怪しいデータを手直し!C423</f>
        <v>3.3916017940016192</v>
      </c>
      <c r="C54">
        <f>怪しいデータを手直し!D423</f>
        <v>37.779399238189264</v>
      </c>
      <c r="D54" t="str">
        <f>怪しいデータを手直し!G423</f>
        <v>lc</v>
      </c>
      <c r="E54">
        <f>怪しいデータを手直し!T423</f>
        <v>4.3290144520995533</v>
      </c>
      <c r="F54">
        <f>IF(怪しいデータを手直し!U423="dead",0,怪しいデータを手直し!U423)</f>
        <v>0</v>
      </c>
      <c r="G54">
        <f>怪しいデータを手直し!L423</f>
        <v>2.1</v>
      </c>
      <c r="H54">
        <v>0</v>
      </c>
    </row>
    <row r="55" spans="1:9">
      <c r="A55">
        <f>怪しいデータを手直し!F514</f>
        <v>54</v>
      </c>
      <c r="B55">
        <f>怪しいデータを手直し!C514</f>
        <v>3.1837218938327423</v>
      </c>
      <c r="C55">
        <f>怪しいデータを手直し!D514</f>
        <v>39.876639929895845</v>
      </c>
      <c r="D55" t="str">
        <f>怪しいデータを手直し!G514</f>
        <v>lc</v>
      </c>
      <c r="E55">
        <f>怪しいデータを手直し!T514</f>
        <v>6.9391555188066372</v>
      </c>
      <c r="F55">
        <f>IF(怪しいデータを手直し!U514="dead",0,怪しいデータを手直し!U514)</f>
        <v>0</v>
      </c>
      <c r="G55">
        <f>怪しいデータを手直し!L514</f>
        <v>4.8</v>
      </c>
      <c r="H55">
        <v>0</v>
      </c>
    </row>
    <row r="56" spans="1:9">
      <c r="A56">
        <f>怪しいデータを手直し!F635</f>
        <v>55</v>
      </c>
      <c r="B56">
        <f>怪しいデータを手直し!C635</f>
        <v>3.7176452813807801</v>
      </c>
      <c r="C56">
        <f>怪しいデータを手直し!D635</f>
        <v>39.488579054457183</v>
      </c>
      <c r="D56" t="str">
        <f>怪しいデータを手直し!G635</f>
        <v>lc</v>
      </c>
      <c r="E56">
        <f>怪しいデータを手直し!T635</f>
        <v>14.769578718927887</v>
      </c>
      <c r="F56">
        <f>IF(怪しいデータを手直し!U635="dead",0,怪しいデータを手直し!U635)</f>
        <v>0</v>
      </c>
      <c r="G56">
        <f>怪しいデータを手直し!L635</f>
        <v>12</v>
      </c>
      <c r="H56">
        <v>0</v>
      </c>
    </row>
    <row r="57" spans="1:9">
      <c r="A57">
        <f>怪しいデータを手直し!F216</f>
        <v>56</v>
      </c>
      <c r="B57">
        <f>怪しいデータを手直し!C216</f>
        <v>4.2100548133568347</v>
      </c>
      <c r="C57">
        <f>怪しいデータを手直し!D216</f>
        <v>38.681486516563155</v>
      </c>
      <c r="D57" t="str">
        <f>怪しいデータを手直し!G216</f>
        <v>lc</v>
      </c>
      <c r="E57">
        <f>怪しいデータを手直し!T216</f>
        <v>1.74</v>
      </c>
      <c r="F57">
        <f>IF(怪しいデータを手直し!U216="dead",0,怪しいデータを手直し!U216)</f>
        <v>0</v>
      </c>
      <c r="G57">
        <f>怪しいデータを手直し!L216</f>
        <v>2.1</v>
      </c>
      <c r="H57">
        <v>0</v>
      </c>
    </row>
    <row r="58" spans="1:9">
      <c r="A58">
        <f>怪しいデータを手直し!F299</f>
        <v>57</v>
      </c>
      <c r="B58">
        <f>怪しいデータを手直し!C299</f>
        <v>4.3269168424163151</v>
      </c>
      <c r="C58">
        <f>怪しいデータを手直し!D299</f>
        <v>39.67994640843348</v>
      </c>
      <c r="D58" t="str">
        <f>怪しいデータを手直し!G299</f>
        <v>lc</v>
      </c>
      <c r="E58">
        <f>怪しいデータを手直し!T299</f>
        <v>2.5</v>
      </c>
      <c r="F58">
        <f>IF(怪しいデータを手直し!U299="dead",0,怪しいデータを手直し!U299)</f>
        <v>0</v>
      </c>
      <c r="G58">
        <f>怪しいデータを手直し!L299</f>
        <v>3.2</v>
      </c>
      <c r="H58">
        <v>0</v>
      </c>
    </row>
    <row r="59" spans="1:9">
      <c r="A59">
        <f>怪しいデータを手直し!F54</f>
        <v>58</v>
      </c>
      <c r="B59">
        <f>怪しいデータを手直し!C54</f>
        <v>5.6418608251179263</v>
      </c>
      <c r="C59">
        <f>怪しいデータを手直し!D54</f>
        <v>31.120715194177023</v>
      </c>
      <c r="D59" t="str">
        <f>怪しいデータを手直し!G54</f>
        <v>lc</v>
      </c>
      <c r="E59">
        <f>怪しいデータを手直し!T54</f>
        <v>0.62</v>
      </c>
      <c r="F59">
        <f>IF(怪しいデータを手直し!U54="dead",0,怪しいデータを手直し!U54)</f>
        <v>1.3</v>
      </c>
      <c r="G59">
        <f>怪しいデータを手直し!L54</f>
        <v>1.8</v>
      </c>
      <c r="H59">
        <v>0</v>
      </c>
    </row>
    <row r="60" spans="1:9">
      <c r="A60">
        <f>怪しいデータを手直し!F266</f>
        <v>59</v>
      </c>
      <c r="B60">
        <f>怪しいデータを手直し!C266</f>
        <v>9.4615067739142642</v>
      </c>
      <c r="C60">
        <f>怪しいデータを手直し!D266</f>
        <v>30.508067832250347</v>
      </c>
      <c r="D60" t="str">
        <f>怪しいデータを手直し!G266</f>
        <v>lc</v>
      </c>
      <c r="E60">
        <f>怪しいデータを手直し!T266</f>
        <v>2.23</v>
      </c>
      <c r="F60">
        <f>IF(怪しいデータを手直し!U266="dead",0,怪しいデータを手直し!U266)</f>
        <v>0</v>
      </c>
      <c r="G60">
        <f>怪しいデータを手直し!L266</f>
        <v>3.4</v>
      </c>
      <c r="H60">
        <v>0</v>
      </c>
    </row>
    <row r="61" spans="1:9">
      <c r="A61">
        <f>怪しいデータを手直し!F673</f>
        <v>60</v>
      </c>
      <c r="B61">
        <f>怪しいデータを手直し!C673</f>
        <v>8.4116641956156712</v>
      </c>
      <c r="C61">
        <f>怪しいデータを手直し!D673</f>
        <v>38.288269613612911</v>
      </c>
      <c r="D61" t="str">
        <f>怪しいデータを手直し!G673</f>
        <v>lc</v>
      </c>
      <c r="E61">
        <f>怪しいデータを手直し!T673</f>
        <v>22.759156862141033</v>
      </c>
      <c r="F61">
        <f>IF(怪しいデータを手直し!U673="dead",0,怪しいデータを手直し!U673)</f>
        <v>0</v>
      </c>
      <c r="G61">
        <f>怪しいデータを手直し!L673</f>
        <v>13.1</v>
      </c>
      <c r="H61">
        <v>0</v>
      </c>
    </row>
    <row r="62" spans="1:9">
      <c r="A62">
        <f>怪しいデータを手直し!F286</f>
        <v>61</v>
      </c>
      <c r="B62">
        <f>怪しいデータを手直し!C286</f>
        <v>8.5582568356338165</v>
      </c>
      <c r="C62">
        <f>怪しいデータを手直し!D286</f>
        <v>40.55989153510609</v>
      </c>
      <c r="D62" t="str">
        <f>怪しいデータを手直し!G286</f>
        <v>lc</v>
      </c>
      <c r="E62">
        <f>怪しいデータを手直し!T286</f>
        <v>2.35</v>
      </c>
      <c r="F62">
        <f>IF(怪しいデータを手直し!U286="dead",0,怪しいデータを手直し!U286)</f>
        <v>0</v>
      </c>
      <c r="G62">
        <f>怪しいデータを手直し!L286</f>
        <v>3.2</v>
      </c>
      <c r="H62">
        <v>0</v>
      </c>
    </row>
    <row r="63" spans="1:9">
      <c r="A63">
        <f>怪しいデータを手直し!F205</f>
        <v>62</v>
      </c>
      <c r="B63">
        <f>怪しいデータを手直し!C205</f>
        <v>8.1404010585722872</v>
      </c>
      <c r="C63">
        <f>怪しいデータを手直し!D205</f>
        <v>40.771855251893008</v>
      </c>
      <c r="D63" t="str">
        <f>怪しいデータを手直し!G205</f>
        <v>lc</v>
      </c>
      <c r="E63">
        <f>怪しいデータを手直し!T205</f>
        <v>1.64</v>
      </c>
      <c r="F63">
        <f>IF(怪しいデータを手直し!U205="dead",0,怪しいデータを手直し!U205)</f>
        <v>0</v>
      </c>
      <c r="G63">
        <f>怪しいデータを手直し!L205</f>
        <v>2.5</v>
      </c>
      <c r="H63">
        <v>0</v>
      </c>
    </row>
    <row r="64" spans="1:9">
      <c r="A64">
        <f>怪しいデータを手直し!F280</f>
        <v>63</v>
      </c>
      <c r="B64">
        <f>怪しいデータを手直し!C280</f>
        <v>6.9471554421474488</v>
      </c>
      <c r="C64">
        <f>怪しいデータを手直し!D280</f>
        <v>41.768314846644444</v>
      </c>
      <c r="D64" t="str">
        <f>怪しいデータを手直し!G280</f>
        <v>lc</v>
      </c>
      <c r="E64">
        <f>怪しいデータを手直し!T280</f>
        <v>2.3199999999999998</v>
      </c>
      <c r="F64">
        <f>IF(怪しいデータを手直し!U280="dead",0,怪しいデータを手直し!U280)</f>
        <v>2.48</v>
      </c>
      <c r="G64">
        <f>怪しいデータを手直し!L280</f>
        <v>2.9</v>
      </c>
      <c r="H64">
        <v>0</v>
      </c>
    </row>
    <row r="65" spans="1:9">
      <c r="A65">
        <f>怪しいデータを手直し!F171</f>
        <v>64</v>
      </c>
      <c r="B65">
        <f>怪しいデータを手直し!C171</f>
        <v>6.9523180845387946</v>
      </c>
      <c r="C65">
        <f>怪しいデータを手直し!D171</f>
        <v>42.049935901299008</v>
      </c>
      <c r="D65" t="str">
        <f>怪しいデータを手直し!G171</f>
        <v>lc</v>
      </c>
      <c r="E65">
        <f>怪しいデータを手直し!T171</f>
        <v>1.38</v>
      </c>
      <c r="F65">
        <f>IF(怪しいデータを手直し!U171="dead",0,怪しいデータを手直し!U171)</f>
        <v>1.98</v>
      </c>
      <c r="G65">
        <f>怪しいデータを手直し!L171</f>
        <v>3.2</v>
      </c>
      <c r="H65">
        <v>0</v>
      </c>
    </row>
    <row r="66" spans="1:9">
      <c r="A66">
        <f>怪しいデータを手直し!F455</f>
        <v>65</v>
      </c>
      <c r="B66">
        <f>怪しいデータを手直し!C455</f>
        <v>7.3835974736291741</v>
      </c>
      <c r="C66">
        <f>怪しいデータを手直し!D455</f>
        <v>42.457339298042783</v>
      </c>
      <c r="D66" t="str">
        <f>怪しいデータを手直し!G455</f>
        <v>lc</v>
      </c>
      <c r="E66">
        <f>怪しいデータを手直し!T455</f>
        <v>5.1247891675590305</v>
      </c>
      <c r="F66">
        <f>IF(怪しいデータを手直し!U455="dead",0,怪しいデータを手直し!U455)</f>
        <v>0</v>
      </c>
      <c r="G66">
        <f>怪しいデータを手直し!L455</f>
        <v>5.0999999999999996</v>
      </c>
      <c r="H66">
        <v>0</v>
      </c>
      <c r="I66">
        <v>23</v>
      </c>
    </row>
    <row r="67" spans="1:9">
      <c r="A67">
        <f>怪しいデータを手直し!F474</f>
        <v>66</v>
      </c>
      <c r="B67">
        <f>怪しいデータを手直し!C474</f>
        <v>6.7995243082631154</v>
      </c>
      <c r="C67">
        <f>怪しいデータを手直し!D474</f>
        <v>42.379869731107441</v>
      </c>
      <c r="D67" t="str">
        <f>怪しいデータを手直し!G474</f>
        <v>lc</v>
      </c>
      <c r="E67">
        <f>怪しいデータを手直し!T474</f>
        <v>5.6340849854530948</v>
      </c>
      <c r="F67">
        <f>IF(怪しいデータを手直し!U474="dead",0,怪しいデータを手直し!U474)</f>
        <v>0</v>
      </c>
      <c r="G67">
        <f>怪しいデータを手直し!L474</f>
        <v>5.5</v>
      </c>
      <c r="H67">
        <v>0</v>
      </c>
      <c r="I67">
        <v>27</v>
      </c>
    </row>
    <row r="68" spans="1:9">
      <c r="A68">
        <f>怪しいデータを手直し!F345</f>
        <v>67</v>
      </c>
      <c r="B68">
        <f>怪しいデータを手直し!C345</f>
        <v>3.8092987432644398</v>
      </c>
      <c r="C68">
        <f>怪しいデータを手直し!D345</f>
        <v>42.763471683479295</v>
      </c>
      <c r="D68" t="str">
        <f>怪しいデータを手直し!G345</f>
        <v>lc</v>
      </c>
      <c r="E68">
        <f>怪しいデータを手直し!T345</f>
        <v>3.0876058959827692</v>
      </c>
      <c r="F68">
        <f>IF(怪しいデータを手直し!U345="dead",0,怪しいデータを手直し!U345)</f>
        <v>0</v>
      </c>
      <c r="G68">
        <f>怪しいデータを手直し!L345</f>
        <v>3.7</v>
      </c>
      <c r="H68">
        <v>0</v>
      </c>
    </row>
    <row r="69" spans="1:9">
      <c r="A69">
        <f>怪しいデータを手直し!F581</f>
        <v>68</v>
      </c>
      <c r="B69">
        <f>怪しいデータを手直し!C581</f>
        <v>2.0941290288313348</v>
      </c>
      <c r="C69">
        <f>怪しいデータを手直し!D581</f>
        <v>41.357580003610096</v>
      </c>
      <c r="D69" t="str">
        <f>怪しいデータを手直し!G581</f>
        <v>lc</v>
      </c>
      <c r="E69">
        <f>怪しいデータを手直し!T581</f>
        <v>10.663381187156988</v>
      </c>
      <c r="F69">
        <f>IF(怪しいデータを手直し!U581="dead",0,怪しいデータを手直し!U581)</f>
        <v>0</v>
      </c>
      <c r="G69">
        <f>怪しいデータを手直し!L581</f>
        <v>2.2000000000000002</v>
      </c>
      <c r="H69">
        <v>0</v>
      </c>
    </row>
    <row r="70" spans="1:9">
      <c r="A70">
        <f>怪しいデータを手直し!F458</f>
        <v>69</v>
      </c>
      <c r="B70">
        <f>怪しいデータを手直し!C458</f>
        <v>3.513090536807443</v>
      </c>
      <c r="C70">
        <f>怪しいデータを手直し!D458</f>
        <v>47.808975077844821</v>
      </c>
      <c r="D70" t="str">
        <f>怪しいデータを手直し!G458</f>
        <v>lc</v>
      </c>
      <c r="E70">
        <f>怪しいデータを手直し!T458</f>
        <v>5.1884511447957884</v>
      </c>
      <c r="F70">
        <f>IF(怪しいデータを手直し!U458="dead",0,怪しいデータを手直し!U458)</f>
        <v>6.2388737692022982</v>
      </c>
      <c r="G70">
        <f>怪しいデータを手直し!L458</f>
        <v>5.4</v>
      </c>
      <c r="H70">
        <v>0</v>
      </c>
      <c r="I70">
        <v>24</v>
      </c>
    </row>
    <row r="71" spans="1:9">
      <c r="A71">
        <f>怪しいデータを手直し!F624</f>
        <v>70</v>
      </c>
      <c r="B71">
        <f>怪しいデータを手直し!C624</f>
        <v>4.8306923269049742</v>
      </c>
      <c r="C71">
        <f>怪しいデータを手直し!D624</f>
        <v>46.320372558966213</v>
      </c>
      <c r="D71" t="str">
        <f>怪しいデータを手直し!G624</f>
        <v>lc</v>
      </c>
      <c r="E71">
        <f>怪しいデータを手直し!T624</f>
        <v>13.146198299390555</v>
      </c>
      <c r="F71">
        <f>IF(怪しいデータを手直し!U624="dead",0,怪しいデータを手直し!U624)</f>
        <v>14.164789935178685</v>
      </c>
      <c r="G71">
        <f>怪しいデータを手直し!L624</f>
        <v>9.6999999999999993</v>
      </c>
      <c r="H71">
        <v>0</v>
      </c>
      <c r="I71">
        <v>23</v>
      </c>
    </row>
    <row r="72" spans="1:9">
      <c r="A72">
        <f>怪しいデータを手直し!F49</f>
        <v>71</v>
      </c>
      <c r="B72">
        <f>怪しいデータを手直し!C49</f>
        <v>9.9747237977389585</v>
      </c>
      <c r="C72">
        <f>怪しいデータを手直し!D49</f>
        <v>48.323144662228238</v>
      </c>
      <c r="D72" t="str">
        <f>怪しいデータを手直し!G49</f>
        <v>lc</v>
      </c>
      <c r="E72">
        <f>怪しいデータを手直し!T49</f>
        <v>0.6</v>
      </c>
      <c r="F72">
        <f>IF(怪しいデータを手直し!U49="dead",0,怪しいデータを手直し!U49)</f>
        <v>0.82</v>
      </c>
      <c r="G72">
        <f>怪しいデータを手直し!L49</f>
        <v>1.7</v>
      </c>
      <c r="H72">
        <v>0</v>
      </c>
    </row>
    <row r="73" spans="1:9">
      <c r="A73">
        <f>怪しいデータを手直し!F82</f>
        <v>72</v>
      </c>
      <c r="B73">
        <f>怪しいデータを手直し!C82</f>
        <v>10.977000017227384</v>
      </c>
      <c r="C73">
        <f>怪しいデータを手直し!D82</f>
        <v>48.181556777954015</v>
      </c>
      <c r="D73" t="str">
        <f>怪しいデータを手直し!G82</f>
        <v>lc</v>
      </c>
      <c r="E73">
        <f>怪しいデータを手直し!T82</f>
        <v>0.8</v>
      </c>
      <c r="F73">
        <f>IF(怪しいデータを手直し!U82="dead",0,怪しいデータを手直し!U82)</f>
        <v>1.23</v>
      </c>
      <c r="G73">
        <f>怪しいデータを手直し!L82</f>
        <v>1.8</v>
      </c>
      <c r="H73">
        <v>0</v>
      </c>
    </row>
    <row r="74" spans="1:9">
      <c r="A74">
        <f>怪しいデータを手直し!F500</f>
        <v>73</v>
      </c>
      <c r="B74">
        <f>怪しいデータを手直し!C500</f>
        <v>10.849723576956984</v>
      </c>
      <c r="C74">
        <f>怪しいデータを手直し!D500</f>
        <v>47.732583098932928</v>
      </c>
      <c r="D74" t="str">
        <f>怪しいデータを手直し!G500</f>
        <v>lc</v>
      </c>
      <c r="E74">
        <f>怪しいデータを手直し!T500</f>
        <v>6.3343667350574338</v>
      </c>
      <c r="F74">
        <f>IF(怪しいデータを手直し!U500="dead",0,怪しいデータを手直し!U500)</f>
        <v>0</v>
      </c>
      <c r="G74">
        <f>怪しいデータを手直し!L500</f>
        <v>5.4</v>
      </c>
      <c r="H74">
        <v>0</v>
      </c>
    </row>
    <row r="75" spans="1:9">
      <c r="A75">
        <f>怪しいデータを手直し!F654</f>
        <v>74</v>
      </c>
      <c r="B75">
        <f>怪しいデータを手直し!C654</f>
        <v>11.407461215204988</v>
      </c>
      <c r="C75">
        <f>怪しいデータを手直し!D654</f>
        <v>46.883921646256113</v>
      </c>
      <c r="D75" t="str">
        <f>怪しいデータを手直し!G654</f>
        <v>lc</v>
      </c>
      <c r="E75">
        <f>怪しいデータを手直し!T654</f>
        <v>18.366480432804725</v>
      </c>
      <c r="F75">
        <f>IF(怪しいデータを手直し!U654="dead",0,怪しいデータを手直し!U654)</f>
        <v>18.716621307606893</v>
      </c>
      <c r="G75">
        <f>怪しいデータを手直し!L654</f>
        <v>11.3</v>
      </c>
      <c r="H75">
        <v>0</v>
      </c>
      <c r="I75">
        <v>36</v>
      </c>
    </row>
    <row r="76" spans="1:9">
      <c r="A76">
        <f>怪しいデータを手直し!F432</f>
        <v>75</v>
      </c>
      <c r="B76">
        <f>怪しいデータを手直し!C432</f>
        <v>12.358481639250277</v>
      </c>
      <c r="C76">
        <f>怪しいデータを手直し!D432</f>
        <v>45.370549054084215</v>
      </c>
      <c r="D76" t="str">
        <f>怪しいデータを手直し!G432</f>
        <v>lc</v>
      </c>
      <c r="E76">
        <f>怪しいデータを手直し!T432</f>
        <v>4.5836623610465859</v>
      </c>
      <c r="F76">
        <f>IF(怪しいデータを手直し!U432="dead",0,怪しいデータを手直し!U432)</f>
        <v>5.5385920195979574</v>
      </c>
      <c r="G76">
        <f>怪しいデータを手直し!L432</f>
        <v>3.7</v>
      </c>
      <c r="H76">
        <v>0</v>
      </c>
    </row>
    <row r="77" spans="1:9">
      <c r="A77">
        <f>怪しいデータを手直し!F267</f>
        <v>76</v>
      </c>
      <c r="B77">
        <f>怪しいデータを手直し!C267</f>
        <v>14.7505595735526</v>
      </c>
      <c r="C77">
        <f>怪しいデータを手直し!D267</f>
        <v>45.809670834839075</v>
      </c>
      <c r="D77" t="str">
        <f>怪しいデータを手直し!G267</f>
        <v>lc</v>
      </c>
      <c r="E77">
        <f>怪しいデータを手直し!T267</f>
        <v>2.2400000000000002</v>
      </c>
      <c r="F77">
        <f>IF(怪しいデータを手直し!U267="dead",0,怪しいデータを手直し!U267)</f>
        <v>0</v>
      </c>
      <c r="G77">
        <f>怪しいデータを手直し!L267</f>
        <v>3.3</v>
      </c>
      <c r="H77">
        <v>0</v>
      </c>
    </row>
    <row r="78" spans="1:9">
      <c r="A78">
        <f>怪しいデータを手直し!F505</f>
        <v>77</v>
      </c>
      <c r="B78">
        <f>怪しいデータを手直し!C505</f>
        <v>14.923433426844973</v>
      </c>
      <c r="C78">
        <f>怪しいデータを手直し!D505</f>
        <v>45.147948312514899</v>
      </c>
      <c r="D78" t="str">
        <f>怪しいデータを手直し!G505</f>
        <v>lc</v>
      </c>
      <c r="E78">
        <f>怪しいデータを手直し!T505</f>
        <v>6.5253526667677093</v>
      </c>
      <c r="F78">
        <f>IF(怪しいデータを手直し!U505="dead",0,怪しいデータを手直し!U505)</f>
        <v>0</v>
      </c>
      <c r="G78">
        <f>怪しいデータを手直し!L505</f>
        <v>5.0999999999999996</v>
      </c>
      <c r="H78">
        <v>0</v>
      </c>
    </row>
    <row r="79" spans="1:9">
      <c r="A79">
        <f>怪しいデータを手直し!F229</f>
        <v>78</v>
      </c>
      <c r="B79">
        <f>怪しいデータを手直し!C229</f>
        <v>17.19336699698033</v>
      </c>
      <c r="C79">
        <f>怪しいデータを手直し!D229</f>
        <v>46.911903586303907</v>
      </c>
      <c r="D79" t="str">
        <f>怪しいデータを手直し!G229</f>
        <v>lc</v>
      </c>
      <c r="E79">
        <f>怪しいデータを手直し!T229</f>
        <v>1.86</v>
      </c>
      <c r="F79">
        <f>IF(怪しいデータを手直し!U229="dead",0,怪しいデータを手直し!U229)</f>
        <v>0</v>
      </c>
      <c r="G79">
        <f>怪しいデータを手直し!L229</f>
        <v>2.5</v>
      </c>
      <c r="H79">
        <v>0</v>
      </c>
    </row>
    <row r="80" spans="1:9">
      <c r="A80">
        <f>怪しいデータを手直し!F327</f>
        <v>79</v>
      </c>
      <c r="B80">
        <f>怪しいデータを手直し!C327</f>
        <v>18.446376209973945</v>
      </c>
      <c r="C80">
        <f>怪しいデータを手直し!D327</f>
        <v>46.095108950549211</v>
      </c>
      <c r="D80" t="str">
        <f>怪しいデータを手直し!G327</f>
        <v>lc</v>
      </c>
      <c r="E80">
        <f>怪しいデータを手直し!T327</f>
        <v>2.896619964272495</v>
      </c>
      <c r="F80">
        <f>IF(怪しいデータを手直し!U327="dead",0,怪しいデータを手直し!U327)</f>
        <v>3.8197186342054881</v>
      </c>
      <c r="G80">
        <f>怪しいデータを手直し!L327</f>
        <v>3</v>
      </c>
      <c r="H80">
        <v>0</v>
      </c>
      <c r="I80">
        <v>27</v>
      </c>
    </row>
    <row r="81" spans="1:9">
      <c r="A81">
        <f>怪しいデータを手直し!F317</f>
        <v>80</v>
      </c>
      <c r="B81">
        <f>怪しいデータを手直し!C317</f>
        <v>17.956442225570612</v>
      </c>
      <c r="C81">
        <f>怪しいデータを手直し!D317</f>
        <v>43.611976138150581</v>
      </c>
      <c r="D81" t="str">
        <f>怪しいデータを手直し!G317</f>
        <v>lc</v>
      </c>
      <c r="E81">
        <f>怪しいデータを手直し!T317</f>
        <v>2.74</v>
      </c>
      <c r="F81">
        <f>IF(怪しいデータを手直し!U317="dead",0,怪しいデータを手直し!U317)</f>
        <v>0</v>
      </c>
      <c r="G81">
        <f>怪しいデータを手直し!L317</f>
        <v>3.8</v>
      </c>
      <c r="H81">
        <v>0</v>
      </c>
    </row>
    <row r="82" spans="1:9">
      <c r="A82">
        <f>怪しいデータを手直し!F643</f>
        <v>81</v>
      </c>
      <c r="B82">
        <f>怪しいデータを手直し!C643</f>
        <v>19.23738470341846</v>
      </c>
      <c r="C82">
        <f>怪しいデータを手直し!D643</f>
        <v>42.642142673933385</v>
      </c>
      <c r="D82" t="str">
        <f>怪しいデータを手直し!G643</f>
        <v>lc</v>
      </c>
      <c r="E82">
        <f>怪しいデータを手直し!T643</f>
        <v>15.979156286426294</v>
      </c>
      <c r="F82">
        <f>IF(怪しいデータを手直し!U643="dead",0,怪しいデータを手直し!U643)</f>
        <v>0</v>
      </c>
      <c r="G82">
        <f>怪しいデータを手直し!L643</f>
        <v>12.1</v>
      </c>
      <c r="H82">
        <v>0</v>
      </c>
    </row>
    <row r="83" spans="1:9">
      <c r="A83">
        <f>怪しいデータを手直し!F609</f>
        <v>82</v>
      </c>
      <c r="B83">
        <f>怪しいデータを手直し!C609</f>
        <v>12.792044209999499</v>
      </c>
      <c r="C83">
        <f>怪しいデータを手直し!D609</f>
        <v>41.998943053065361</v>
      </c>
      <c r="D83" t="str">
        <f>怪しいデータを手直し!G609</f>
        <v>lc</v>
      </c>
      <c r="E83">
        <f>怪しいデータを手直し!T609</f>
        <v>12.509578527022972</v>
      </c>
      <c r="F83">
        <f>IF(怪しいデータを手直し!U609="dead",0,怪しいデータを手直し!U609)</f>
        <v>0</v>
      </c>
      <c r="G83">
        <f>怪しいデータを手直し!L609</f>
        <v>8.4</v>
      </c>
      <c r="H83">
        <v>0</v>
      </c>
    </row>
    <row r="84" spans="1:9">
      <c r="A84">
        <f>怪しいデータを手直し!F201</f>
        <v>83</v>
      </c>
      <c r="B84">
        <f>怪しいデータを手直し!C201</f>
        <v>12.785030728212849</v>
      </c>
      <c r="C84">
        <f>怪しいデータを手直し!D201</f>
        <v>39.991395380979618</v>
      </c>
      <c r="D84" t="str">
        <f>怪しいデータを手直し!G201</f>
        <v>lc</v>
      </c>
      <c r="E84">
        <f>怪しいデータを手直し!T201</f>
        <v>1.61</v>
      </c>
      <c r="F84">
        <f>IF(怪しいデータを手直し!U201="dead",0,怪しいデータを手直し!U201)</f>
        <v>2.7692960097989787</v>
      </c>
      <c r="G84">
        <f>怪しいデータを手直し!L201</f>
        <v>2.9</v>
      </c>
      <c r="H84">
        <v>0</v>
      </c>
    </row>
    <row r="85" spans="1:9">
      <c r="A85">
        <f>怪しいデータを手直し!F475</f>
        <v>84</v>
      </c>
      <c r="B85">
        <f>怪しいデータを手直し!C475</f>
        <v>8.9931143600748431</v>
      </c>
      <c r="C85">
        <f>怪しいデータを手直し!D475</f>
        <v>32.377960013936693</v>
      </c>
      <c r="D85" t="str">
        <f>怪しいデータを手直し!G475</f>
        <v>lc</v>
      </c>
      <c r="E85">
        <f>怪しいデータを手直し!T475</f>
        <v>5.6340849854530948</v>
      </c>
      <c r="F85">
        <f>IF(怪しいデータを手直し!U475="dead",0,怪しいデータを手直し!U475)</f>
        <v>0</v>
      </c>
      <c r="G85">
        <f>怪しいデータを手直し!L475</f>
        <v>5.0999999999999996</v>
      </c>
      <c r="H85">
        <v>0</v>
      </c>
      <c r="I85">
        <v>23</v>
      </c>
    </row>
    <row r="86" spans="1:9">
      <c r="A86">
        <f>怪しいデータを手直し!F430</f>
        <v>85</v>
      </c>
      <c r="B86">
        <f>怪しいデータを手直し!C430</f>
        <v>13.816394323818171</v>
      </c>
      <c r="C86">
        <f>怪しいデータを手直し!D430</f>
        <v>30.41139990053043</v>
      </c>
      <c r="D86" t="str">
        <f>怪しいデータを手直し!G430</f>
        <v>lc</v>
      </c>
      <c r="E86">
        <f>怪しいデータを手直し!T430</f>
        <v>4.520000383809827</v>
      </c>
      <c r="F86">
        <f>IF(怪しいデータを手直し!U430="dead",0,怪しいデータを手直し!U430)</f>
        <v>0</v>
      </c>
      <c r="G86">
        <f>怪しいデータを手直し!L430</f>
        <v>5</v>
      </c>
      <c r="H86">
        <v>0</v>
      </c>
    </row>
    <row r="87" spans="1:9">
      <c r="A87">
        <f>怪しいデータを手直し!F86</f>
        <v>86</v>
      </c>
      <c r="B87">
        <f>怪しいデータを手直し!C86</f>
        <v>17.134050908049542</v>
      </c>
      <c r="C87">
        <f>怪しいデータを手直し!D86</f>
        <v>31.254967768961702</v>
      </c>
      <c r="D87" t="str">
        <f>怪しいデータを手直し!G86</f>
        <v>lc</v>
      </c>
      <c r="E87">
        <f>怪しいデータを手直し!T86</f>
        <v>0.82</v>
      </c>
      <c r="F87">
        <f>IF(怪しいデータを手直し!U86="dead",0,怪しいデータを手直し!U86)</f>
        <v>1.58</v>
      </c>
      <c r="G87">
        <f>怪しいデータを手直し!L86</f>
        <v>1.8</v>
      </c>
      <c r="H87">
        <v>0</v>
      </c>
    </row>
    <row r="88" spans="1:9">
      <c r="A88">
        <f>怪しいデータを手直し!F207</f>
        <v>87</v>
      </c>
      <c r="B88">
        <f>怪しいデータを手直し!C207</f>
        <v>17.517240329533635</v>
      </c>
      <c r="C88">
        <f>怪しいデータを手直し!D207</f>
        <v>31.159712865363531</v>
      </c>
      <c r="D88" t="str">
        <f>怪しいデータを手直し!G207</f>
        <v>lc</v>
      </c>
      <c r="E88">
        <f>怪しいデータを手直し!T207</f>
        <v>1.67</v>
      </c>
      <c r="F88">
        <f>IF(怪しいデータを手直し!U207="dead",0,怪しいデータを手直し!U207)</f>
        <v>3.1194368846011491</v>
      </c>
      <c r="G88">
        <f>怪しいデータを手直し!L207</f>
        <v>2.5</v>
      </c>
      <c r="H88">
        <v>0</v>
      </c>
    </row>
    <row r="89" spans="1:9">
      <c r="A89">
        <f>怪しいデータを手直し!F303</f>
        <v>88</v>
      </c>
      <c r="B89">
        <f>怪しいデータを手直し!C303</f>
        <v>19.494916087232173</v>
      </c>
      <c r="C89">
        <f>怪しいデータを手直し!D303</f>
        <v>28.802292130563277</v>
      </c>
      <c r="D89" t="str">
        <f>怪しいデータを手直し!G303</f>
        <v>bp</v>
      </c>
      <c r="E89">
        <f>怪しいデータを手直し!T303</f>
        <v>2.5299999999999998</v>
      </c>
      <c r="F89">
        <f>IF(怪しいデータを手直し!U303="dead",0,怪しいデータを手直し!U303)</f>
        <v>2.6419720553254629</v>
      </c>
      <c r="G89">
        <f>怪しいデータを手直し!L303</f>
        <v>2.9</v>
      </c>
      <c r="H89">
        <v>94</v>
      </c>
    </row>
    <row r="90" spans="1:9">
      <c r="A90">
        <f>怪しいデータを手直し!F231</f>
        <v>89</v>
      </c>
      <c r="B90">
        <f>怪しいデータを手直し!C231</f>
        <v>19.166810907643413</v>
      </c>
      <c r="C90">
        <f>怪しいデータを手直し!D231</f>
        <v>28.65414696146544</v>
      </c>
      <c r="D90" t="str">
        <f>怪しいデータを手直し!G231</f>
        <v>bp</v>
      </c>
      <c r="E90">
        <f>怪しいデータを手直し!T231</f>
        <v>1.87</v>
      </c>
      <c r="F90">
        <f>IF(怪しいデータを手直し!U231="dead",0,怪しいデータを手直し!U231)</f>
        <v>2.21</v>
      </c>
      <c r="G90">
        <f>怪しいデータを手直し!L231</f>
        <v>2.8</v>
      </c>
      <c r="H90">
        <v>94</v>
      </c>
    </row>
    <row r="91" spans="1:9">
      <c r="A91">
        <f>怪しいデータを手直し!F230</f>
        <v>90</v>
      </c>
      <c r="B91">
        <f>怪しいデータを手直し!C230</f>
        <v>19.014335911764277</v>
      </c>
      <c r="C91">
        <f>怪しいデータを手直し!D230</f>
        <v>28.505523489744252</v>
      </c>
      <c r="D91" t="str">
        <f>怪しいデータを手直し!G230</f>
        <v>bp</v>
      </c>
      <c r="E91">
        <f>怪しいデータを手直し!T230</f>
        <v>1.86</v>
      </c>
      <c r="F91">
        <f>IF(怪しいデータを手直し!U230="dead",0,怪しいデータを手直し!U230)</f>
        <v>2.0699999999999998</v>
      </c>
      <c r="G91">
        <f>怪しいデータを手直し!L230</f>
        <v>2.6</v>
      </c>
      <c r="H91">
        <v>94</v>
      </c>
    </row>
    <row r="92" spans="1:9">
      <c r="A92">
        <f>怪しいデータを手直し!F605</f>
        <v>91</v>
      </c>
      <c r="B92">
        <f>怪しいデータを手直し!C605</f>
        <v>19.288186164934192</v>
      </c>
      <c r="C92">
        <f>怪しいデータを手直し!D605</f>
        <v>28.62802262785867</v>
      </c>
      <c r="D92" t="str">
        <f>怪しいデータを手直し!G605</f>
        <v>bp</v>
      </c>
      <c r="E92">
        <f>怪しいデータを手直し!T605</f>
        <v>12.159437652220806</v>
      </c>
      <c r="F92">
        <f>IF(怪しいデータを手直し!U605="dead",0,怪しいデータを手直し!U605)</f>
        <v>12.318592595312701</v>
      </c>
      <c r="G92">
        <f>怪しいデータを手直し!L605</f>
        <v>7.4</v>
      </c>
      <c r="H92">
        <v>94</v>
      </c>
      <c r="I92">
        <v>107</v>
      </c>
    </row>
    <row r="93" spans="1:9">
      <c r="A93">
        <f>怪しいデータを手直し!F350</f>
        <v>92</v>
      </c>
      <c r="B93">
        <f>怪しいデータを手直し!C350</f>
        <v>19.562907922607756</v>
      </c>
      <c r="C93">
        <f>怪しいデータを手直し!D350</f>
        <v>28.425119204591159</v>
      </c>
      <c r="D93" t="str">
        <f>怪しいデータを手直し!G350</f>
        <v>bp</v>
      </c>
      <c r="E93">
        <f>怪しいデータを手直し!T350</f>
        <v>3.16</v>
      </c>
      <c r="F93">
        <f>IF(怪しいデータを手直し!U350="dead",0,怪しいデータを手直し!U350)</f>
        <v>3.6605636911135928</v>
      </c>
      <c r="G93">
        <f>怪しいデータを手直し!L350</f>
        <v>3.7</v>
      </c>
      <c r="H93">
        <v>94</v>
      </c>
    </row>
    <row r="94" spans="1:9">
      <c r="A94">
        <f>怪しいデータを手直し!F66</f>
        <v>93</v>
      </c>
      <c r="B94">
        <f>怪しいデータを手直し!C66</f>
        <v>19.555892102460898</v>
      </c>
      <c r="C94">
        <f>怪しいデータを手直し!D66</f>
        <v>28.665978541221271</v>
      </c>
      <c r="D94" t="str">
        <f>怪しいデータを手直し!G66</f>
        <v>bp</v>
      </c>
      <c r="E94">
        <f>怪しいデータを手直し!T66</f>
        <v>0.69</v>
      </c>
      <c r="F94">
        <f>IF(怪しいデータを手直し!U66="dead",0,怪しいデータを手直し!U66)</f>
        <v>0.72</v>
      </c>
      <c r="G94">
        <f>怪しいデータを手直し!L66</f>
        <v>1.6</v>
      </c>
      <c r="H94">
        <v>94</v>
      </c>
    </row>
    <row r="95" spans="1:9">
      <c r="A95">
        <f>怪しいデータを手直し!F619</f>
        <v>94</v>
      </c>
      <c r="B95">
        <f>怪しいデータを手直し!C619</f>
        <v>19.074849547210579</v>
      </c>
      <c r="C95">
        <f>怪しいデータを手直し!D619</f>
        <v>28.29398063364512</v>
      </c>
      <c r="D95" t="str">
        <f>怪しいデータを手直し!G619</f>
        <v>bp</v>
      </c>
      <c r="E95">
        <f>怪しいデータを手直し!T619</f>
        <v>12.923381379061903</v>
      </c>
      <c r="F95">
        <f>IF(怪しいデータを手直し!U619="dead",0,怪しいデータを手直し!U619)</f>
        <v>13.623663128666241</v>
      </c>
      <c r="G95">
        <f>怪しいデータを手直し!L619</f>
        <v>6.4</v>
      </c>
      <c r="H95">
        <v>94</v>
      </c>
      <c r="I95">
        <v>120</v>
      </c>
    </row>
    <row r="96" spans="1:9">
      <c r="A96">
        <f>怪しいデータを手直し!F243</f>
        <v>95</v>
      </c>
      <c r="B96">
        <f>怪しいデータを手直し!C243</f>
        <v>19.312191825432201</v>
      </c>
      <c r="C96">
        <f>怪しいデータを手直し!D243</f>
        <v>28.19753907570496</v>
      </c>
      <c r="D96" t="str">
        <f>怪しいデータを手直し!G243</f>
        <v>bp</v>
      </c>
      <c r="E96">
        <f>怪しいデータを手直し!T243</f>
        <v>2.02</v>
      </c>
      <c r="F96">
        <f>IF(怪しいデータを手直し!U243="dead",0,怪しいデータを手直し!U243)</f>
        <v>2.7399999999999998</v>
      </c>
      <c r="G96">
        <f>怪しいデータを手直し!L243</f>
        <v>3.4</v>
      </c>
      <c r="H96">
        <v>94</v>
      </c>
      <c r="I96">
        <v>12</v>
      </c>
    </row>
    <row r="97" spans="1:9">
      <c r="A97">
        <f>怪しいデータを手直し!F143</f>
        <v>96</v>
      </c>
      <c r="B97">
        <f>怪しいデータを手直し!C143</f>
        <v>19.395037262242923</v>
      </c>
      <c r="C97">
        <f>怪しいデータを手直し!D143</f>
        <v>28.232704877268993</v>
      </c>
      <c r="D97" t="str">
        <f>怪しいデータを手直し!G143</f>
        <v>bp</v>
      </c>
      <c r="E97">
        <f>怪しいデータを手直し!T143</f>
        <v>1.24</v>
      </c>
      <c r="F97">
        <f>IF(怪しいデータを手直し!U143="dead",0,怪しいデータを手直し!U143)</f>
        <v>1.9300000000000002</v>
      </c>
      <c r="G97">
        <f>怪しいデータを手直し!L143</f>
        <v>3.3</v>
      </c>
      <c r="H97">
        <v>94</v>
      </c>
    </row>
    <row r="98" spans="1:9">
      <c r="A98">
        <f>怪しいデータを手直し!F531</f>
        <v>97</v>
      </c>
      <c r="B98">
        <f>怪しいデータを手直し!C531</f>
        <v>12.124794924736131</v>
      </c>
      <c r="C98">
        <f>怪しいデータを手直し!D531</f>
        <v>29.575586041234914</v>
      </c>
      <c r="D98" t="str">
        <f>怪しいデータを手直し!G531</f>
        <v>lc</v>
      </c>
      <c r="E98">
        <f>怪しいデータを手直し!T531</f>
        <v>7.4802823253190809</v>
      </c>
      <c r="F98">
        <f>IF(怪しいデータを手直し!U531="dead",0,怪しいデータを手直し!U531)</f>
        <v>0</v>
      </c>
      <c r="G98">
        <f>怪しいデータを手直し!L531</f>
        <v>4.7</v>
      </c>
      <c r="H98">
        <v>0</v>
      </c>
      <c r="I98">
        <v>31</v>
      </c>
    </row>
    <row r="99" spans="1:9">
      <c r="A99">
        <f>怪しいデータを手直し!F547</f>
        <v>98</v>
      </c>
      <c r="B99">
        <f>怪しいデータを手直し!C547</f>
        <v>10.313090442493955</v>
      </c>
      <c r="C99">
        <f>怪しいデータを手直し!D547</f>
        <v>24.787177197988377</v>
      </c>
      <c r="D99" t="str">
        <f>怪しいデータを手直し!G547</f>
        <v>lc</v>
      </c>
      <c r="E99">
        <f>怪しいデータを手直し!T547</f>
        <v>8.5307049497255907</v>
      </c>
      <c r="F99">
        <f>IF(怪しいデータを手直し!U547="dead",0,怪しいデータを手直し!U547)</f>
        <v>0</v>
      </c>
      <c r="G99">
        <f>怪しいデータを手直し!L547</f>
        <v>3.9</v>
      </c>
      <c r="H99">
        <v>0</v>
      </c>
    </row>
    <row r="100" spans="1:9">
      <c r="A100">
        <f>怪しいデータを手直し!F329</f>
        <v>99</v>
      </c>
      <c r="B100">
        <f>怪しいデータを手直し!C329</f>
        <v>10.120495513001957</v>
      </c>
      <c r="C100">
        <f>怪しいデータを手直し!D329</f>
        <v>24.04790940749756</v>
      </c>
      <c r="D100" t="str">
        <f>怪しいデータを手直し!G329</f>
        <v>lc</v>
      </c>
      <c r="E100">
        <f>怪しいデータを手直し!T329</f>
        <v>2.928450952890874</v>
      </c>
      <c r="F100">
        <f>IF(怪しいデータを手直し!U329="dead",0,怪しいデータを手直し!U329)</f>
        <v>4.169859509007658</v>
      </c>
      <c r="G100">
        <f>怪しいデータを手直し!L329</f>
        <v>3.6</v>
      </c>
      <c r="H100">
        <v>0</v>
      </c>
    </row>
    <row r="101" spans="1:9">
      <c r="A101">
        <f>怪しいデータを手直し!F279</f>
        <v>100</v>
      </c>
      <c r="B101">
        <f>怪しいデータを手直し!C279</f>
        <v>17.684763959829091</v>
      </c>
      <c r="C101">
        <f>怪しいデータを手直し!D279</f>
        <v>23.662338554138607</v>
      </c>
      <c r="D101" t="str">
        <f>怪しいデータを手直し!G279</f>
        <v>lc</v>
      </c>
      <c r="E101">
        <f>怪しいデータを手直し!T279</f>
        <v>2.31</v>
      </c>
      <c r="F101">
        <f>IF(怪しいデータを手直し!U279="dead",0,怪しいデータを手直し!U279)</f>
        <v>0</v>
      </c>
      <c r="G101">
        <f>怪しいデータを手直し!L279</f>
        <v>2.9</v>
      </c>
      <c r="H101">
        <v>0</v>
      </c>
    </row>
    <row r="102" spans="1:9">
      <c r="A102">
        <f>怪しいデータを手直し!F136</f>
        <v>101</v>
      </c>
      <c r="B102">
        <f>怪しいデータを手直し!C136</f>
        <v>18.750671087244616</v>
      </c>
      <c r="C102">
        <f>怪しいデータを手直し!D136</f>
        <v>23.475231471135253</v>
      </c>
      <c r="D102" t="str">
        <f>怪しいデータを手直し!G136</f>
        <v>lc</v>
      </c>
      <c r="E102">
        <f>怪しいデータを手直し!T136</f>
        <v>1.19</v>
      </c>
      <c r="F102">
        <f>IF(怪しいデータを手直し!U136="dead",0,怪しいデータを手直し!U136)</f>
        <v>0</v>
      </c>
      <c r="G102">
        <f>怪しいデータを手直し!L136</f>
        <v>2.1</v>
      </c>
      <c r="H102">
        <v>0</v>
      </c>
    </row>
    <row r="103" spans="1:9">
      <c r="A103">
        <f>怪しいデータを手直し!F190</f>
        <v>102</v>
      </c>
      <c r="B103">
        <f>怪しいデータを手直し!C190</f>
        <v>18.888959746745883</v>
      </c>
      <c r="C103">
        <f>怪しいデータを手直し!D190</f>
        <v>21.51976961603188</v>
      </c>
      <c r="D103" t="str">
        <f>怪しいデータを手直し!G190</f>
        <v>lc</v>
      </c>
      <c r="E103">
        <f>怪しいデータを手直し!T190</f>
        <v>1.53</v>
      </c>
      <c r="F103">
        <f>IF(怪しいデータを手直し!U190="dead",0,怪しいデータを手直し!U190)</f>
        <v>0</v>
      </c>
      <c r="G103">
        <f>怪しいデータを手直し!L190</f>
        <v>2.6</v>
      </c>
      <c r="H103">
        <v>0</v>
      </c>
    </row>
    <row r="104" spans="1:9">
      <c r="A104">
        <f>怪しいデータを手直し!F162</f>
        <v>104</v>
      </c>
      <c r="B104">
        <f>怪しいデータを手直し!C162</f>
        <v>18.480876301162375</v>
      </c>
      <c r="C104">
        <f>怪しいデータを手直し!D162</f>
        <v>20.580784935354586</v>
      </c>
      <c r="D104" t="str">
        <f>怪しいデータを手直し!G162</f>
        <v>lc</v>
      </c>
      <c r="E104">
        <f>怪しいデータを手直し!T162</f>
        <v>1.34</v>
      </c>
      <c r="F104">
        <f>IF(怪しいデータを手直し!U162="dead",0,怪しいデータを手直し!U162)</f>
        <v>0</v>
      </c>
      <c r="G104">
        <f>怪しいデータを手直し!L162</f>
        <v>2.1</v>
      </c>
      <c r="H104">
        <v>0</v>
      </c>
    </row>
    <row r="105" spans="1:9">
      <c r="A105">
        <f>怪しいデータを手直し!F387</f>
        <v>105</v>
      </c>
      <c r="B105">
        <f>怪しいデータを手直し!C387</f>
        <v>19.699163756212034</v>
      </c>
      <c r="C105">
        <f>怪しいデータを手直し!D387</f>
        <v>20.653488566037861</v>
      </c>
      <c r="D105" t="str">
        <f>怪しいデータを手直し!G387</f>
        <v>bp</v>
      </c>
      <c r="E105">
        <f>怪しいデータを手直し!T387</f>
        <v>3.6287327024952138</v>
      </c>
      <c r="F105">
        <f>IF(怪しいデータを手直し!U387="dead",0,怪しいデータを手直し!U387)</f>
        <v>3.7560566569687301</v>
      </c>
      <c r="G105">
        <f>怪しいデータを手直し!L387</f>
        <v>3.5</v>
      </c>
      <c r="H105">
        <v>105</v>
      </c>
    </row>
    <row r="106" spans="1:9">
      <c r="A106">
        <f>怪しいデータを手直し!F213</f>
        <v>106</v>
      </c>
      <c r="B106">
        <f>怪しいデータを手直し!C213</f>
        <v>17.062022304305565</v>
      </c>
      <c r="C106">
        <f>怪しいデータを手直し!D213</f>
        <v>15.739149847624711</v>
      </c>
      <c r="D106" t="str">
        <f>怪しいデータを手直し!G213</f>
        <v>pt</v>
      </c>
      <c r="E106">
        <f>怪しいデータを手直し!T213</f>
        <v>1.7</v>
      </c>
      <c r="F106">
        <f>IF(怪しいデータを手直し!U213="dead",0,怪しいデータを手直し!U213)</f>
        <v>2.35</v>
      </c>
      <c r="G106">
        <f>怪しいデータを手直し!L213</f>
        <v>2.8</v>
      </c>
      <c r="H106">
        <v>0</v>
      </c>
    </row>
    <row r="107" spans="1:9">
      <c r="A107">
        <f>怪しいデータを手直し!F51</f>
        <v>107</v>
      </c>
      <c r="B107">
        <f>怪しいデータを手直し!C51</f>
        <v>18.06974470609142</v>
      </c>
      <c r="C107">
        <f>怪しいデータを手直し!D51</f>
        <v>14.418056176477329</v>
      </c>
      <c r="D107" t="str">
        <f>怪しいデータを手直し!G51</f>
        <v>pt</v>
      </c>
      <c r="E107">
        <f>怪しいデータを手直し!T51</f>
        <v>0.61</v>
      </c>
      <c r="F107">
        <f>IF(怪しいデータを手直し!U51="dead",0,怪しいデータを手直し!U51)</f>
        <v>0.85</v>
      </c>
      <c r="G107">
        <f>怪しいデータを手直し!L51</f>
        <v>2</v>
      </c>
      <c r="H107">
        <v>0</v>
      </c>
    </row>
    <row r="108" spans="1:9">
      <c r="A108">
        <f>怪しいデータを手直し!F27</f>
        <v>108</v>
      </c>
      <c r="B108">
        <f>怪しいデータを手直し!C27</f>
        <v>19.674728156140318</v>
      </c>
      <c r="C108">
        <f>怪しいデータを手直し!D27</f>
        <v>13.733166900204932</v>
      </c>
      <c r="D108" t="str">
        <f>怪しいデータを手直し!G27</f>
        <v>bp</v>
      </c>
      <c r="E108">
        <f>怪しいデータを手直し!T27</f>
        <v>0.44</v>
      </c>
      <c r="F108">
        <f>IF(怪しいデータを手直し!U27="dead",0,怪しいデータを手直し!U27)</f>
        <v>0.8</v>
      </c>
      <c r="G108">
        <f>怪しいデータを手直し!L27</f>
        <v>1.6</v>
      </c>
      <c r="H108">
        <v>111</v>
      </c>
    </row>
    <row r="109" spans="1:9">
      <c r="A109">
        <f>怪しいデータを手直し!F7</f>
        <v>109</v>
      </c>
      <c r="B109">
        <f>怪しいデータを手直し!C7</f>
        <v>19.512906347855239</v>
      </c>
      <c r="C109">
        <f>怪しいデータを手直し!D7</f>
        <v>13.843463648447257</v>
      </c>
      <c r="D109" t="str">
        <f>怪しいデータを手直し!G7</f>
        <v>bp</v>
      </c>
      <c r="E109">
        <f>怪しいデータを手直し!T7</f>
        <v>0.19</v>
      </c>
      <c r="F109">
        <f>IF(怪しいデータを手直し!U7="dead",0,怪しいデータを手直し!U7)</f>
        <v>0.38</v>
      </c>
      <c r="G109">
        <f>怪しいデータを手直し!L7</f>
        <v>1.4</v>
      </c>
      <c r="H109">
        <v>111</v>
      </c>
    </row>
    <row r="110" spans="1:9">
      <c r="A110">
        <f>怪しいデータを手直し!F110</f>
        <v>110</v>
      </c>
      <c r="B110">
        <f>怪しいデータを手直し!C110</f>
        <v>19.669675453237815</v>
      </c>
      <c r="C110">
        <f>怪しいデータを手直し!D110</f>
        <v>13.828495347920654</v>
      </c>
      <c r="D110" t="str">
        <f>怪しいデータを手直し!G110</f>
        <v>bp</v>
      </c>
      <c r="E110">
        <f>怪しいデータを手直し!T110</f>
        <v>1</v>
      </c>
      <c r="F110">
        <f>IF(怪しいデータを手直し!U110="dead",0,怪しいデータを手直し!U110)</f>
        <v>1.28</v>
      </c>
      <c r="G110">
        <f>怪しいデータを手直し!L110</f>
        <v>2.4</v>
      </c>
      <c r="H110">
        <v>111</v>
      </c>
    </row>
    <row r="111" spans="1:9">
      <c r="A111">
        <f>怪しいデータを手直し!F420</f>
        <v>111</v>
      </c>
      <c r="B111">
        <f>怪しいデータを手直し!C420</f>
        <v>19.450592034892743</v>
      </c>
      <c r="C111">
        <f>怪しいデータを手直し!D420</f>
        <v>13.837487484021526</v>
      </c>
      <c r="D111" t="str">
        <f>怪しいデータを手直し!G420</f>
        <v>bp</v>
      </c>
      <c r="E111">
        <f>怪しいデータを手直し!T420</f>
        <v>4.2653524748627953</v>
      </c>
      <c r="F111">
        <f>IF(怪しいデータを手直し!U420="dead",0,怪しいデータを手直し!U420)</f>
        <v>4.4881693951914485</v>
      </c>
      <c r="G111">
        <f>怪しいデータを手直し!L420</f>
        <v>4.9000000000000004</v>
      </c>
      <c r="H111">
        <v>111</v>
      </c>
    </row>
    <row r="112" spans="1:9">
      <c r="A112">
        <f>怪しいデータを手直し!F552</f>
        <v>112</v>
      </c>
      <c r="B112">
        <f>怪しいデータを手直し!C552</f>
        <v>16.471613120300947</v>
      </c>
      <c r="C112">
        <f>怪しいデータを手直し!D552</f>
        <v>13.888537465570909</v>
      </c>
      <c r="D112" t="str">
        <f>怪しいデータを手直し!G552</f>
        <v>bp</v>
      </c>
      <c r="E112">
        <f>怪しいデータを手直し!T552</f>
        <v>8.7853528586726242</v>
      </c>
      <c r="F112">
        <f>IF(怪しいデータを手直し!U552="dead",0,怪しいデータを手直し!U552)</f>
        <v>9.5492965855137211</v>
      </c>
      <c r="G112">
        <f>怪しいデータを手直し!L552</f>
        <v>6.3</v>
      </c>
      <c r="H112">
        <v>112</v>
      </c>
      <c r="I112">
        <v>40</v>
      </c>
    </row>
    <row r="113" spans="1:9">
      <c r="A113">
        <f>怪しいデータを手直し!F181</f>
        <v>113</v>
      </c>
      <c r="B113">
        <f>怪しいデータを手直し!C181</f>
        <v>13.695974146610109</v>
      </c>
      <c r="C113">
        <f>怪しいデータを手直し!D181</f>
        <v>10.572167027702303</v>
      </c>
      <c r="D113" t="str">
        <f>怪しいデータを手直し!G181</f>
        <v>lc</v>
      </c>
      <c r="E113">
        <f>怪しいデータを手直し!T181</f>
        <v>1.47</v>
      </c>
      <c r="F113">
        <f>IF(怪しいデータを手直し!U181="dead",0,怪しいデータを手直し!U181)</f>
        <v>0</v>
      </c>
      <c r="G113">
        <f>怪しいデータを手直し!L181</f>
        <v>2.2000000000000002</v>
      </c>
      <c r="H113">
        <v>0</v>
      </c>
    </row>
    <row r="114" spans="1:9">
      <c r="A114">
        <f>怪しいデータを手直し!F4</f>
        <v>114</v>
      </c>
      <c r="B114">
        <f>怪しいデータを手直し!C4</f>
        <v>14.368205115985283</v>
      </c>
      <c r="C114">
        <f>怪しいデータを手直し!D4</f>
        <v>6.4331474710584446</v>
      </c>
      <c r="D114" t="str">
        <f>怪しいデータを手直し!G4</f>
        <v>lc</v>
      </c>
      <c r="E114">
        <f>怪しいデータを手直し!T4</f>
        <v>0.14000000000000001</v>
      </c>
      <c r="F114">
        <f>IF(怪しいデータを手直し!U4="dead",0,怪しいデータを手直し!U4)</f>
        <v>1.02</v>
      </c>
      <c r="G114">
        <f>怪しいデータを手直し!L4</f>
        <v>1.4</v>
      </c>
      <c r="H114">
        <v>0</v>
      </c>
    </row>
    <row r="115" spans="1:9">
      <c r="A115">
        <f>怪しいデータを手直し!F62</f>
        <v>115</v>
      </c>
      <c r="B115">
        <f>怪しいデータを手直し!C62</f>
        <v>16.93600320004315</v>
      </c>
      <c r="C115">
        <f>怪しいデータを手直し!D62</f>
        <v>5.5275965491209815</v>
      </c>
      <c r="D115" t="str">
        <f>怪しいデータを手直し!G62</f>
        <v>lc</v>
      </c>
      <c r="E115">
        <f>怪しいデータを手直し!T62</f>
        <v>0.65</v>
      </c>
      <c r="F115">
        <f>IF(怪しいデータを手直し!U62="dead",0,怪しいデータを手直し!U62)</f>
        <v>1.25</v>
      </c>
      <c r="G115">
        <f>怪しいデータを手直し!L62</f>
        <v>1.8</v>
      </c>
      <c r="H115">
        <v>0</v>
      </c>
    </row>
    <row r="116" spans="1:9">
      <c r="A116">
        <f>怪しいデータを手直し!F682</f>
        <v>116</v>
      </c>
      <c r="B116">
        <f>怪しいデータを手直し!C682</f>
        <v>26.439860963064383</v>
      </c>
      <c r="C116">
        <f>怪しいデータを手直し!D682</f>
        <v>0.88215122082297992</v>
      </c>
      <c r="D116" t="str">
        <f>怪しいデータを手直し!G682</f>
        <v>pt</v>
      </c>
      <c r="E116">
        <f>怪しいデータを手直し!T682</f>
        <v>25.464790894703256</v>
      </c>
      <c r="F116">
        <f>IF(怪しいデータを手直し!U682="dead",0,怪しいデータを手直し!U682)</f>
        <v>0</v>
      </c>
      <c r="G116">
        <f>怪しいデータを手直し!L682</f>
        <v>1.8</v>
      </c>
      <c r="H116">
        <v>0</v>
      </c>
    </row>
    <row r="117" spans="1:9">
      <c r="A117">
        <f>怪しいデータを手直し!F661</f>
        <v>117</v>
      </c>
      <c r="B117">
        <f>怪しいデータを手直し!C661</f>
        <v>27.834202182826417</v>
      </c>
      <c r="C117">
        <f>怪しいデータを手直し!D661</f>
        <v>1.0174852129627514</v>
      </c>
      <c r="D117" t="str">
        <f>怪しいデータを手直し!G661</f>
        <v>pt</v>
      </c>
      <c r="E117">
        <f>怪しいデータを手直し!T661</f>
        <v>19.576058000303128</v>
      </c>
      <c r="F117">
        <f>IF(怪しいデータを手直し!U661="dead",0,怪しいデータを手直し!U661)</f>
        <v>19.862536897868537</v>
      </c>
      <c r="G117">
        <f>怪しいデータを手直し!L661</f>
        <v>10.5</v>
      </c>
      <c r="H117">
        <v>0</v>
      </c>
      <c r="I117">
        <v>50</v>
      </c>
    </row>
    <row r="118" spans="1:9">
      <c r="A118">
        <f>怪しいデータを手直し!F364</f>
        <v>118</v>
      </c>
      <c r="B118">
        <f>怪しいデータを手直し!C364</f>
        <v>29.998157121216444</v>
      </c>
      <c r="C118">
        <f>怪しいデータを手直し!D364</f>
        <v>0.19197442399690065</v>
      </c>
      <c r="D118" t="str">
        <f>怪しいデータを手直し!G364</f>
        <v>lc</v>
      </c>
      <c r="E118">
        <f>怪しいデータを手直し!T364</f>
        <v>3.3422538049298023</v>
      </c>
      <c r="F118">
        <f>IF(怪しいデータを手直し!U364="dead",0,怪しいデータを手直し!U364)</f>
        <v>4.5836623610465859</v>
      </c>
      <c r="G118">
        <f>怪しいデータを手直し!L364</f>
        <v>3.4</v>
      </c>
      <c r="H118">
        <v>0</v>
      </c>
    </row>
    <row r="119" spans="1:9">
      <c r="A119">
        <f>怪しいデータを手直し!F367</f>
        <v>119</v>
      </c>
      <c r="B119">
        <f>怪しいデータを手直し!C367</f>
        <v>29.939609554551797</v>
      </c>
      <c r="C119">
        <f>怪しいデータを手直し!D367</f>
        <v>1.0973431109104534</v>
      </c>
      <c r="D119" t="str">
        <f>怪しいデータを手直し!G367</f>
        <v>lc</v>
      </c>
      <c r="E119">
        <f>怪しいデータを手直し!T367</f>
        <v>3.3740847935481812</v>
      </c>
      <c r="F119">
        <f>IF(怪しいデータを手直し!U367="dead",0,怪しいデータを手直し!U367)</f>
        <v>4.45633840657307</v>
      </c>
      <c r="G119">
        <f>怪しいデータを手直し!L367</f>
        <v>4.5</v>
      </c>
      <c r="H119">
        <v>0</v>
      </c>
    </row>
    <row r="120" spans="1:9">
      <c r="A120">
        <f>怪しいデータを手直し!F91</f>
        <v>120</v>
      </c>
      <c r="B120">
        <f>怪しいデータを手直し!C91</f>
        <v>26.528558261896087</v>
      </c>
      <c r="C120">
        <f>怪しいデータを手直し!D91</f>
        <v>4.760706567415002</v>
      </c>
      <c r="D120" t="str">
        <f>怪しいデータを手直し!G91</f>
        <v>pt</v>
      </c>
      <c r="E120">
        <f>怪しいデータを手直し!T91</f>
        <v>0.85</v>
      </c>
      <c r="F120">
        <f>IF(怪しいデータを手直し!U91="dead",0,怪しいデータを手直し!U91)</f>
        <v>1.27</v>
      </c>
      <c r="G120">
        <f>怪しいデータを手直し!L91</f>
        <v>2.2000000000000002</v>
      </c>
      <c r="H120">
        <v>0</v>
      </c>
    </row>
    <row r="121" spans="1:9">
      <c r="A121">
        <f>怪しいデータを手直し!F572</f>
        <v>121</v>
      </c>
      <c r="B121">
        <f>怪しいデータを手直し!C572</f>
        <v>23.975649436810265</v>
      </c>
      <c r="C121">
        <f>怪しいデータを手直し!D572</f>
        <v>3.1623743541191063</v>
      </c>
      <c r="D121" t="str">
        <f>怪しいデータを手直し!G572</f>
        <v>pt</v>
      </c>
      <c r="E121">
        <f>怪しいデータを手直し!T572</f>
        <v>10.345071300973197</v>
      </c>
      <c r="F121">
        <f>IF(怪しいデータを手直し!U572="dead",0,怪しいデータを手直し!U572)</f>
        <v>10.536057232683472</v>
      </c>
      <c r="G121">
        <f>怪しいデータを手直し!L572</f>
        <v>9.9</v>
      </c>
      <c r="H121">
        <v>0</v>
      </c>
      <c r="I121">
        <v>40</v>
      </c>
    </row>
    <row r="122" spans="1:9">
      <c r="A122">
        <f>怪しいデータを手直し!F600</f>
        <v>122</v>
      </c>
      <c r="B122">
        <f>怪しいデータを手直し!C600</f>
        <v>22.479514615325314</v>
      </c>
      <c r="C122">
        <f>怪しいデータを手直し!D600</f>
        <v>3.6348324957813607</v>
      </c>
      <c r="D122" t="str">
        <f>怪しいデータを手直し!G600</f>
        <v>pt</v>
      </c>
      <c r="E122">
        <f>怪しいデータを手直し!T600</f>
        <v>11.968451720510529</v>
      </c>
      <c r="F122">
        <f>IF(怪しいデータを手直し!U600="dead",0,怪しいデータを手直し!U600)</f>
        <v>12.254930618075941</v>
      </c>
      <c r="G122">
        <f>怪しいデータを手直し!L600</f>
        <v>10.5</v>
      </c>
      <c r="H122">
        <v>0</v>
      </c>
      <c r="I122">
        <v>41</v>
      </c>
    </row>
    <row r="123" spans="1:9">
      <c r="A123">
        <f>怪しいデータを手直し!F163</f>
        <v>123</v>
      </c>
      <c r="B123">
        <f>怪しいデータを手直し!C163</f>
        <v>27.161315759394988</v>
      </c>
      <c r="C123">
        <f>怪しいデータを手直し!D163</f>
        <v>7.1363615795614637</v>
      </c>
      <c r="D123" t="str">
        <f>怪しいデータを手直し!G163</f>
        <v>lc</v>
      </c>
      <c r="E123">
        <f>怪しいデータを手直し!T163</f>
        <v>1.34</v>
      </c>
      <c r="F123">
        <f>IF(怪しいデータを手直し!U163="dead",0,怪しいデータを手直し!U163)</f>
        <v>0</v>
      </c>
      <c r="G123">
        <f>怪しいデータを手直し!L163</f>
        <v>2.4</v>
      </c>
      <c r="H123">
        <v>0</v>
      </c>
    </row>
    <row r="124" spans="1:9">
      <c r="A124">
        <f>怪しいデータを手直し!F313</f>
        <v>124</v>
      </c>
      <c r="B124">
        <f>怪しいデータを手直し!C313</f>
        <v>29.525739770440893</v>
      </c>
      <c r="C124">
        <f>怪しいデータを手直し!D313</f>
        <v>6.8449384092072521</v>
      </c>
      <c r="D124" t="str">
        <f>怪しいデータを手直し!G313</f>
        <v>lc</v>
      </c>
      <c r="E124">
        <f>怪しいデータを手直し!T313</f>
        <v>2.67</v>
      </c>
      <c r="F124">
        <f>IF(怪しいデータを手直し!U313="dead",0,怪しいデータを手直し!U313)</f>
        <v>3.883380611442246</v>
      </c>
      <c r="G124">
        <f>怪しいデータを手直し!L313</f>
        <v>3.2</v>
      </c>
      <c r="H124">
        <v>0</v>
      </c>
    </row>
    <row r="125" spans="1:9">
      <c r="A125">
        <f>怪しいデータを手直し!F257</f>
        <v>125</v>
      </c>
      <c r="B125">
        <f>怪しいデータを手直し!C257</f>
        <v>29.141634328646191</v>
      </c>
      <c r="C125">
        <f>怪しいデータを手直し!D257</f>
        <v>7.350062707305125</v>
      </c>
      <c r="D125" t="str">
        <f>怪しいデータを手直し!G257</f>
        <v>lc</v>
      </c>
      <c r="E125">
        <f>怪しいデータを手直し!T257</f>
        <v>2.14</v>
      </c>
      <c r="F125">
        <f>IF(怪しいデータを手直し!U257="dead",0,怪しいデータを手直し!U257)</f>
        <v>0</v>
      </c>
      <c r="G125">
        <f>怪しいデータを手直し!L257</f>
        <v>2.9</v>
      </c>
      <c r="H125">
        <v>0</v>
      </c>
    </row>
    <row r="126" spans="1:9">
      <c r="A126">
        <f>怪しいデータを手直し!F114</f>
        <v>126</v>
      </c>
      <c r="B126">
        <f>怪しいデータを手直し!C114</f>
        <v>21.836540619572311</v>
      </c>
      <c r="C126">
        <f>怪しいデータを手直し!D114</f>
        <v>11.595461118586918</v>
      </c>
      <c r="D126" t="str">
        <f>怪しいデータを手直し!G114</f>
        <v>bp</v>
      </c>
      <c r="E126">
        <f>怪しいデータを手直し!T114</f>
        <v>1.01</v>
      </c>
      <c r="F126">
        <f>IF(怪しいデータを手直し!U114="dead",0,怪しいデータを手直し!U114)</f>
        <v>1.0900000000000001</v>
      </c>
      <c r="G126">
        <f>怪しいデータを手直し!L114</f>
        <v>0</v>
      </c>
      <c r="H126">
        <v>146</v>
      </c>
    </row>
    <row r="127" spans="1:9">
      <c r="A127">
        <f>怪しいデータを手直し!F542</f>
        <v>127</v>
      </c>
      <c r="B127">
        <f>怪しいデータを手直し!C542</f>
        <v>30.928387507289877</v>
      </c>
      <c r="C127">
        <f>怪しいデータを手直し!D542</f>
        <v>8.0276987045174106</v>
      </c>
      <c r="D127" t="str">
        <f>怪しいデータを手直し!G542</f>
        <v>pt</v>
      </c>
      <c r="E127">
        <f>怪しいデータを手直し!T542</f>
        <v>8.1169020976866619</v>
      </c>
      <c r="F127">
        <f>IF(怪しいデータを手直し!U542="dead",0,怪しいデータを手直し!U542)</f>
        <v>0</v>
      </c>
      <c r="G127">
        <f>怪しいデータを手直し!L542</f>
        <v>8.1</v>
      </c>
      <c r="H127">
        <v>0</v>
      </c>
    </row>
    <row r="128" spans="1:9">
      <c r="A128">
        <f>怪しいデータを手直し!F589</f>
        <v>128</v>
      </c>
      <c r="B128">
        <f>怪しいデータを手直し!C589</f>
        <v>31.285787071530518</v>
      </c>
      <c r="C128">
        <f>怪しいデータを手直し!D589</f>
        <v>8.1996042694799964</v>
      </c>
      <c r="D128" t="str">
        <f>怪しいデータを手直し!G589</f>
        <v>pt</v>
      </c>
      <c r="E128">
        <f>怪しいデータを手直し!T589</f>
        <v>11.172677005051053</v>
      </c>
      <c r="F128">
        <f>IF(怪しいデータを手直し!U589="dead",0,怪しいデータを手直し!U589)</f>
        <v>12.095775674984045</v>
      </c>
      <c r="G128">
        <f>怪しいデータを手直し!L589</f>
        <v>11</v>
      </c>
      <c r="H128">
        <v>0</v>
      </c>
    </row>
    <row r="129" spans="1:9">
      <c r="A129">
        <f>怪しいデータを手直し!F151</f>
        <v>129</v>
      </c>
      <c r="B129">
        <f>怪しいデータを手直し!C151</f>
        <v>24.676352046017037</v>
      </c>
      <c r="C129">
        <f>怪しいデータを手直し!D151</f>
        <v>39.225834938974714</v>
      </c>
      <c r="D129" t="str">
        <f>怪しいデータを手直し!G151</f>
        <v>lc</v>
      </c>
      <c r="E129">
        <f>怪しいデータを手直し!T151</f>
        <v>1.28</v>
      </c>
      <c r="F129">
        <f>IF(怪しいデータを手直し!U151="dead",0,怪しいデータを手直し!U151)</f>
        <v>2.228169203286535</v>
      </c>
      <c r="G129">
        <f>怪しいデータを手直し!L151</f>
        <v>2.5</v>
      </c>
      <c r="H129">
        <v>0</v>
      </c>
    </row>
    <row r="130" spans="1:9">
      <c r="A130">
        <f>怪しいデータを手直し!F437</f>
        <v>132</v>
      </c>
      <c r="B130">
        <f>怪しいデータを手直し!C437</f>
        <v>27.062223874983264</v>
      </c>
      <c r="C130">
        <f>怪しいデータを手直し!D437</f>
        <v>8.9744857200630914</v>
      </c>
      <c r="D130" t="str">
        <f>怪しいデータを手直し!G437</f>
        <v>pt</v>
      </c>
      <c r="E130">
        <f>怪しいデータを手直し!T437</f>
        <v>4.6791553269017232</v>
      </c>
      <c r="F130">
        <f>IF(怪しいデータを手直し!U437="dead",0,怪しいデータを手直し!U437)</f>
        <v>4.9019722472303764</v>
      </c>
      <c r="G130">
        <f>怪しいデータを手直し!L437</f>
        <v>6</v>
      </c>
      <c r="H130">
        <v>0</v>
      </c>
      <c r="I130">
        <v>38</v>
      </c>
    </row>
    <row r="131" spans="1:9">
      <c r="A131">
        <f>怪しいデータを手直し!F427</f>
        <v>133</v>
      </c>
      <c r="B131">
        <f>怪しいデータを手直し!C427</f>
        <v>24.481330698158807</v>
      </c>
      <c r="C131">
        <f>怪しいデータを手直し!D427</f>
        <v>11.261086766992761</v>
      </c>
      <c r="D131" t="str">
        <f>怪しいデータを手直し!G427</f>
        <v>bp</v>
      </c>
      <c r="E131">
        <f>怪しいデータを手直し!T427</f>
        <v>4.45633840657307</v>
      </c>
      <c r="F131">
        <f>IF(怪しいデータを手直し!U427="dead",0,怪しいデータを手直し!U427)</f>
        <v>4.7428173041384811</v>
      </c>
      <c r="G131">
        <f>怪しいデータを手直し!L427</f>
        <v>8.5</v>
      </c>
      <c r="H131">
        <v>139</v>
      </c>
      <c r="I131">
        <v>51</v>
      </c>
    </row>
    <row r="132" spans="1:9">
      <c r="A132">
        <f>怪しいデータを手直し!F393</f>
        <v>134</v>
      </c>
      <c r="B132">
        <f>怪しいデータを手直し!C393</f>
        <v>24.483757051699371</v>
      </c>
      <c r="C132">
        <f>怪しいデータを手直し!D393</f>
        <v>11.324677598118903</v>
      </c>
      <c r="D132" t="str">
        <f>怪しいデータを手直し!G393</f>
        <v>bp</v>
      </c>
      <c r="E132">
        <f>怪しいデータを手直し!T393</f>
        <v>3.7878876455871091</v>
      </c>
      <c r="F132">
        <f>IF(怪しいデータを手直し!U393="dead",0,怪しいデータを手直し!U393)</f>
        <v>4.1061975317709001</v>
      </c>
      <c r="G132">
        <f>怪しいデータを手直し!L393</f>
        <v>4.0999999999999996</v>
      </c>
      <c r="H132">
        <v>139</v>
      </c>
    </row>
    <row r="133" spans="1:9">
      <c r="A133">
        <f>怪しいデータを手直し!F546</f>
        <v>135</v>
      </c>
      <c r="B133">
        <f>怪しいデータを手直し!C546</f>
        <v>24.431560707957821</v>
      </c>
      <c r="C133">
        <f>怪しいデータを手直し!D546</f>
        <v>11.484658013701774</v>
      </c>
      <c r="D133" t="str">
        <f>怪しいデータを手直し!G546</f>
        <v>bp</v>
      </c>
      <c r="E133">
        <f>怪しいデータを手直し!T546</f>
        <v>8.4670429724888319</v>
      </c>
      <c r="F133">
        <f>IF(怪しいデータを手直し!U546="dead",0,怪しいデータを手直し!U546)</f>
        <v>8.6261979155807271</v>
      </c>
      <c r="G133">
        <f>怪しいデータを手直し!L546</f>
        <v>7.1</v>
      </c>
      <c r="H133">
        <v>139</v>
      </c>
      <c r="I133">
        <v>161</v>
      </c>
    </row>
    <row r="134" spans="1:9">
      <c r="A134">
        <f>怪しいデータを手直し!F487</f>
        <v>136</v>
      </c>
      <c r="B134">
        <f>怪しいデータを手直し!C487</f>
        <v>24.256321189866224</v>
      </c>
      <c r="C134">
        <f>怪しいデータを手直し!D487</f>
        <v>10.97345114030658</v>
      </c>
      <c r="D134" t="str">
        <f>怪しいデータを手直し!G487</f>
        <v>bp</v>
      </c>
      <c r="E134">
        <f>怪しいデータを手直し!T487</f>
        <v>5.8887328944001274</v>
      </c>
      <c r="F134">
        <f>IF(怪しいデータを手直し!U487="dead",0,怪しいデータを手直し!U487)</f>
        <v>5.7614089399266115</v>
      </c>
      <c r="G134">
        <f>怪しいデータを手直し!L487</f>
        <v>6.6</v>
      </c>
      <c r="H134">
        <v>139</v>
      </c>
    </row>
    <row r="135" spans="1:9">
      <c r="A135">
        <f>怪しいデータを手直し!F55</f>
        <v>137</v>
      </c>
      <c r="B135">
        <f>怪しいデータを手直し!C55</f>
        <v>24.042660540170019</v>
      </c>
      <c r="C135">
        <f>怪しいデータを手直し!D55</f>
        <v>10.755324065640806</v>
      </c>
      <c r="D135" t="str">
        <f>怪しいデータを手直し!G55</f>
        <v>bp</v>
      </c>
      <c r="E135">
        <f>怪しいデータを手直し!T55</f>
        <v>0.63</v>
      </c>
      <c r="F135">
        <f>IF(怪しいデータを手直し!U55="dead",0,怪しいデータを手直し!U55)</f>
        <v>1.27</v>
      </c>
      <c r="G135">
        <f>怪しいデータを手直し!L55</f>
        <v>2.2999999999999998</v>
      </c>
      <c r="H135">
        <v>139</v>
      </c>
    </row>
    <row r="136" spans="1:9">
      <c r="A136">
        <f>怪しいデータを手直し!F97</f>
        <v>138</v>
      </c>
      <c r="B136">
        <f>怪しいデータを手直し!C97</f>
        <v>23.975810626973125</v>
      </c>
      <c r="C136">
        <f>怪しいデータを手直し!D97</f>
        <v>10.577472753850401</v>
      </c>
      <c r="D136" t="str">
        <f>怪しいデータを手直し!G97</f>
        <v>bp</v>
      </c>
      <c r="E136">
        <f>怪しいデータを手直し!T97</f>
        <v>0.9</v>
      </c>
      <c r="F136">
        <f>IF(怪しいデータを手直し!U97="dead",0,怪しいデータを手直し!U97)</f>
        <v>1.47</v>
      </c>
      <c r="G136">
        <f>怪しいデータを手直し!L97</f>
        <v>1.9</v>
      </c>
      <c r="H136">
        <v>139</v>
      </c>
    </row>
    <row r="137" spans="1:9">
      <c r="A137">
        <f>怪しいデータを手直し!F587</f>
        <v>139</v>
      </c>
      <c r="B137">
        <f>怪しいデータを手直し!C587</f>
        <v>23.904153440943681</v>
      </c>
      <c r="C137">
        <f>怪しいデータを手直し!D587</f>
        <v>10.785104816809508</v>
      </c>
      <c r="D137" t="str">
        <f>怪しいデータを手直し!G587</f>
        <v>bp</v>
      </c>
      <c r="E137">
        <f>怪しいデータを手直し!T587</f>
        <v>11.140846016432674</v>
      </c>
      <c r="F137">
        <f>IF(怪しいデータを手直し!U587="dead",0,怪しいデータを手直し!U587)</f>
        <v>11.554648868471601</v>
      </c>
      <c r="G137">
        <f>怪しいデータを手直し!L587</f>
        <v>1.6</v>
      </c>
      <c r="H137">
        <v>139</v>
      </c>
      <c r="I137">
        <v>101</v>
      </c>
    </row>
    <row r="138" spans="1:9">
      <c r="A138">
        <f>怪しいデータを手直し!F273</f>
        <v>140</v>
      </c>
      <c r="B138">
        <f>怪しいデータを手直し!C273</f>
        <v>23.814136091910594</v>
      </c>
      <c r="C138">
        <f>怪しいデータを手直し!D273</f>
        <v>10.891462981270466</v>
      </c>
      <c r="D138" t="str">
        <f>怪しいデータを手直し!G273</f>
        <v>bp</v>
      </c>
      <c r="E138">
        <f>怪しいデータを手直し!T273</f>
        <v>2.27</v>
      </c>
      <c r="F138">
        <f>IF(怪しいデータを手直し!U273="dead",0,怪しいデータを手直し!U273)</f>
        <v>2.7056340325622208</v>
      </c>
      <c r="G138">
        <f>怪しいデータを手直し!L273</f>
        <v>2.8</v>
      </c>
      <c r="H138">
        <v>139</v>
      </c>
    </row>
    <row r="139" spans="1:9">
      <c r="A139">
        <f>怪しいデータを手直し!F42</f>
        <v>141</v>
      </c>
      <c r="B139">
        <f>怪しいデータを手直し!C42</f>
        <v>23.803244960068398</v>
      </c>
      <c r="C139">
        <f>怪しいデータを手直し!D42</f>
        <v>10.799899433500032</v>
      </c>
      <c r="D139" t="str">
        <f>怪しいデータを手直し!G42</f>
        <v>bp</v>
      </c>
      <c r="E139">
        <f>怪しいデータを手直し!T42</f>
        <v>0.55000000000000004</v>
      </c>
      <c r="F139">
        <f>IF(怪しいデータを手直し!U42="dead",0,怪しいデータを手直し!U42)</f>
        <v>0.57999999999999996</v>
      </c>
      <c r="G139">
        <f>怪しいデータを手直し!L42</f>
        <v>1.5</v>
      </c>
      <c r="H139">
        <v>139</v>
      </c>
    </row>
    <row r="140" spans="1:9">
      <c r="A140">
        <f>怪しいデータを手直し!F403</f>
        <v>142</v>
      </c>
      <c r="B140">
        <f>怪しいデータを手直し!C403</f>
        <v>23.776821029099263</v>
      </c>
      <c r="C140">
        <f>怪しいデータを手直し!D403</f>
        <v>11.15813707184822</v>
      </c>
      <c r="D140" t="str">
        <f>怪しいデータを手直し!G403</f>
        <v>bp</v>
      </c>
      <c r="E140">
        <f>怪しいデータを手直し!T403</f>
        <v>3.9788735772973833</v>
      </c>
      <c r="F140">
        <f>IF(怪しいデータを手直し!U403="dead",0,怪しいデータを手直し!U403)</f>
        <v>4.1380285203892786</v>
      </c>
      <c r="G140">
        <f>怪しいデータを手直し!L403</f>
        <v>4.8</v>
      </c>
      <c r="H140">
        <v>139</v>
      </c>
      <c r="I140">
        <v>35</v>
      </c>
    </row>
    <row r="141" spans="1:9">
      <c r="A141">
        <f>怪しいデータを手直し!F450</f>
        <v>143</v>
      </c>
      <c r="B141">
        <f>怪しいデータを手直し!C450</f>
        <v>23.822225534738159</v>
      </c>
      <c r="C141">
        <f>怪しいデータを手直し!D450</f>
        <v>11.163807234165036</v>
      </c>
      <c r="D141" t="str">
        <f>怪しいデータを手直し!G450</f>
        <v>bp</v>
      </c>
      <c r="E141">
        <f>怪しいデータを手直し!T450</f>
        <v>5.0292962017038931</v>
      </c>
      <c r="F141">
        <f>IF(怪しいデータを手直し!U450="dead",0,怪しいデータを手直し!U450)</f>
        <v>5.4112680651244416</v>
      </c>
      <c r="G141">
        <f>怪しいデータを手直し!L450</f>
        <v>5.5</v>
      </c>
      <c r="H141">
        <v>139</v>
      </c>
    </row>
    <row r="142" spans="1:9">
      <c r="A142">
        <f>怪しいデータを手直し!F444</f>
        <v>144</v>
      </c>
      <c r="B142">
        <f>怪しいデータを手直し!C444</f>
        <v>24.319680469471667</v>
      </c>
      <c r="C142">
        <f>怪しいデータを手直し!D444</f>
        <v>11.740547714722046</v>
      </c>
      <c r="D142" t="str">
        <f>怪しいデータを手直し!G444</f>
        <v>bp</v>
      </c>
      <c r="E142">
        <f>怪しいデータを手直し!T444</f>
        <v>4.9019722472303764</v>
      </c>
      <c r="F142">
        <f>IF(怪しいデータを手直し!U444="dead",0,怪しいデータを手直し!U444)</f>
        <v>5.3476060878876837</v>
      </c>
      <c r="G142">
        <f>怪しいデータを手直し!L444</f>
        <v>3.3</v>
      </c>
      <c r="H142">
        <v>139</v>
      </c>
      <c r="I142">
        <v>62</v>
      </c>
    </row>
    <row r="143" spans="1:9">
      <c r="A143">
        <f>怪しいデータを手直し!F160</f>
        <v>145</v>
      </c>
      <c r="B143">
        <f>怪しいデータを手直し!C160</f>
        <v>21.971325740910526</v>
      </c>
      <c r="C143">
        <f>怪しいデータを手直し!D160</f>
        <v>11.532730588339588</v>
      </c>
      <c r="D143" t="str">
        <f>怪しいデータを手直し!G160</f>
        <v>bp</v>
      </c>
      <c r="E143">
        <f>怪しいデータを手直し!T160</f>
        <v>1.33</v>
      </c>
      <c r="F143">
        <f>IF(怪しいデータを手直し!U160="dead",0,怪しいデータを手直し!U160)</f>
        <v>0</v>
      </c>
      <c r="G143">
        <f>怪しいデータを手直し!L160</f>
        <v>1.3</v>
      </c>
      <c r="H143">
        <v>146</v>
      </c>
    </row>
    <row r="144" spans="1:9">
      <c r="A144">
        <f>怪しいデータを手直し!F659</f>
        <v>146</v>
      </c>
      <c r="B144">
        <f>怪しいデータを手直し!C659</f>
        <v>21.782757902395126</v>
      </c>
      <c r="C144">
        <f>怪しいデータを手直し!D659</f>
        <v>10.540297636283698</v>
      </c>
      <c r="D144" t="str">
        <f>怪しいデータを手直し!G659</f>
        <v>bp</v>
      </c>
      <c r="E144">
        <f>怪しいデータを手直し!T659</f>
        <v>19.098593171027442</v>
      </c>
      <c r="F144">
        <f>IF(怪しいデータを手直し!U659="dead",0,怪しいデータを手直し!U659)</f>
        <v>0</v>
      </c>
      <c r="G144">
        <f>怪しいデータを手直し!L659</f>
        <v>7.5</v>
      </c>
      <c r="H144">
        <v>146</v>
      </c>
    </row>
    <row r="145" spans="1:9">
      <c r="A145">
        <f>怪しいデータを手直し!F276</f>
        <v>147</v>
      </c>
      <c r="B145">
        <f>怪しいデータを手直し!C276</f>
        <v>21.713553925037083</v>
      </c>
      <c r="C145">
        <f>怪しいデータを手直し!D276</f>
        <v>11.604164465655854</v>
      </c>
      <c r="D145" t="str">
        <f>怪しいデータを手直し!G276</f>
        <v>bp</v>
      </c>
      <c r="E145">
        <f>怪しいデータを手直し!T276</f>
        <v>2.29</v>
      </c>
      <c r="F145">
        <f>IF(怪しいデータを手直し!U276="dead",0,怪しいデータを手直し!U276)</f>
        <v>2.4509861236151882</v>
      </c>
      <c r="G145">
        <f>怪しいデータを手直し!L276</f>
        <v>2</v>
      </c>
      <c r="H145">
        <v>146</v>
      </c>
    </row>
    <row r="146" spans="1:9">
      <c r="A146">
        <f>怪しいデータを手直し!F375</f>
        <v>148</v>
      </c>
      <c r="B146">
        <f>怪しいデータを手直し!C375</f>
        <v>21.785537686445696</v>
      </c>
      <c r="C146">
        <f>怪しいデータを手直し!D375</f>
        <v>11.947311629411955</v>
      </c>
      <c r="D146" t="str">
        <f>怪しいデータを手直し!G375</f>
        <v>bp</v>
      </c>
      <c r="E146">
        <f>怪しいデータを手直し!T375</f>
        <v>3.4695777594033186</v>
      </c>
      <c r="F146">
        <f>IF(怪しいデータを手直し!U375="dead",0,怪しいデータを手直し!U375)</f>
        <v>3.5014087480216975</v>
      </c>
      <c r="G146">
        <f>怪しいデータを手直し!L375</f>
        <v>4.5999999999999996</v>
      </c>
      <c r="H146">
        <v>146</v>
      </c>
    </row>
    <row r="147" spans="1:9">
      <c r="A147">
        <f>怪しいデータを手直し!F489</f>
        <v>149</v>
      </c>
      <c r="B147">
        <f>怪しいデータを手直し!C489</f>
        <v>21.951670549920319</v>
      </c>
      <c r="C147">
        <f>怪しいデータを手直し!D489</f>
        <v>12.184686375306248</v>
      </c>
      <c r="D147" t="str">
        <f>怪しいデータを手直し!G489</f>
        <v>bp</v>
      </c>
      <c r="E147">
        <f>怪しいデータを手直し!T489</f>
        <v>5.9842258602552647</v>
      </c>
      <c r="F147">
        <f>IF(怪しいデータを手直し!U489="dead",0,怪しいデータを手直し!U489)</f>
        <v>5.856901905781748</v>
      </c>
      <c r="G147">
        <f>怪しいデータを手直し!L489</f>
        <v>5.6</v>
      </c>
      <c r="H147">
        <v>146</v>
      </c>
      <c r="I147">
        <v>41</v>
      </c>
    </row>
    <row r="148" spans="1:9">
      <c r="A148">
        <f>怪しいデータを手直し!F70</f>
        <v>150</v>
      </c>
      <c r="B148">
        <f>怪しいデータを手直し!C70</f>
        <v>22.0218331717933</v>
      </c>
      <c r="C148">
        <f>怪しいデータを手直し!D70</f>
        <v>12.081998618831085</v>
      </c>
      <c r="D148" t="str">
        <f>怪しいデータを手直し!G70</f>
        <v>bp</v>
      </c>
      <c r="E148">
        <f>怪しいデータを手直し!T70</f>
        <v>0.7</v>
      </c>
      <c r="F148">
        <f>IF(怪しいデータを手直し!U70="dead",0,怪しいデータを手直し!U70)</f>
        <v>1.1099999999999999</v>
      </c>
      <c r="G148">
        <f>怪しいデータを手直し!L70</f>
        <v>2</v>
      </c>
      <c r="H148">
        <v>146</v>
      </c>
    </row>
    <row r="149" spans="1:9">
      <c r="A149">
        <f>怪しいデータを手直し!F377</f>
        <v>151</v>
      </c>
      <c r="B149">
        <f>怪しいデータを手直し!C377</f>
        <v>22.185225695543657</v>
      </c>
      <c r="C149">
        <f>怪しいデータを手直し!D377</f>
        <v>12.144973802340447</v>
      </c>
      <c r="D149" t="str">
        <f>怪しいデータを手直し!G377</f>
        <v>bp</v>
      </c>
      <c r="E149">
        <f>怪しいデータを手直し!T377</f>
        <v>3.5014087480216975</v>
      </c>
      <c r="F149">
        <f>IF(怪しいデータを手直し!U377="dead",0,怪しいデータを手直し!U377)</f>
        <v>3.6923946797319718</v>
      </c>
      <c r="G149">
        <f>怪しいデータを手直し!L377</f>
        <v>4.9000000000000004</v>
      </c>
      <c r="H149">
        <v>146</v>
      </c>
      <c r="I149">
        <v>40</v>
      </c>
    </row>
    <row r="150" spans="1:9">
      <c r="A150">
        <f>怪しいデータを手直し!F506</f>
        <v>152</v>
      </c>
      <c r="B150">
        <f>怪しいデータを手直し!C506</f>
        <v>21.916912528638999</v>
      </c>
      <c r="C150">
        <f>怪しいデータを手直し!D506</f>
        <v>12.382501619525305</v>
      </c>
      <c r="D150" t="str">
        <f>怪しいデータを手直し!G506</f>
        <v>bp</v>
      </c>
      <c r="E150">
        <f>怪しいデータを手直し!T506</f>
        <v>6.5253526667677093</v>
      </c>
      <c r="F150">
        <f>IF(怪しいデータを手直し!U506="dead",0,怪しいデータを手直し!U506)</f>
        <v>6.7481695870963625</v>
      </c>
      <c r="G150">
        <f>怪しいデータを手直し!L506</f>
        <v>6.4</v>
      </c>
      <c r="H150">
        <v>146</v>
      </c>
      <c r="I150">
        <v>39</v>
      </c>
    </row>
    <row r="151" spans="1:9">
      <c r="A151">
        <f>怪しいデータを手直し!F63</f>
        <v>153</v>
      </c>
      <c r="B151">
        <f>怪しいデータを手直し!C63</f>
        <v>22.275538913106644</v>
      </c>
      <c r="C151">
        <f>怪しいデータを手直し!D63</f>
        <v>12.646913562404759</v>
      </c>
      <c r="D151" t="str">
        <f>怪しいデータを手直し!G63</f>
        <v>bp</v>
      </c>
      <c r="E151">
        <f>怪しいデータを手直し!T63</f>
        <v>0.65</v>
      </c>
      <c r="F151">
        <f>IF(怪しいデータを手直し!U63="dead",0,怪しいデータを手直し!U63)</f>
        <v>0</v>
      </c>
      <c r="G151">
        <f>怪しいデータを手直し!L63</f>
        <v>1.3</v>
      </c>
      <c r="H151">
        <v>146</v>
      </c>
    </row>
    <row r="152" spans="1:9">
      <c r="A152">
        <f>怪しいデータを手直し!F296</f>
        <v>154</v>
      </c>
      <c r="B152">
        <f>怪しいデータを手直し!C296</f>
        <v>20.236305583160817</v>
      </c>
      <c r="C152">
        <f>怪しいデータを手直し!D296</f>
        <v>13.537937792417537</v>
      </c>
      <c r="D152" t="str">
        <f>怪しいデータを手直し!G296</f>
        <v>lc</v>
      </c>
      <c r="E152">
        <f>怪しいデータを手直し!T296</f>
        <v>2.4700000000000002</v>
      </c>
      <c r="F152">
        <f>IF(怪しいデータを手直し!U296="dead",0,怪しいデータを手直し!U296)</f>
        <v>3.5332397366400765</v>
      </c>
      <c r="G152">
        <f>怪しいデータを手直し!L296</f>
        <v>3</v>
      </c>
      <c r="H152">
        <v>0</v>
      </c>
    </row>
    <row r="153" spans="1:9">
      <c r="A153">
        <f>怪しいデータを手直し!F189</f>
        <v>155</v>
      </c>
      <c r="B153">
        <f>怪しいデータを手直し!C189</f>
        <v>20.025377074440154</v>
      </c>
      <c r="C153">
        <f>怪しいデータを手直し!D189</f>
        <v>14.539977854319202</v>
      </c>
      <c r="D153" t="str">
        <f>怪しいデータを手直し!G189</f>
        <v>lc</v>
      </c>
      <c r="E153">
        <f>怪しいデータを手直し!T189</f>
        <v>1.52</v>
      </c>
      <c r="F153">
        <f>IF(怪しいデータを手直し!U189="dead",0,怪しいデータを手直し!U189)</f>
        <v>2.1100000000000003</v>
      </c>
      <c r="G153">
        <f>怪しいデータを手直し!L189</f>
        <v>2.4</v>
      </c>
      <c r="H153">
        <v>0</v>
      </c>
    </row>
    <row r="154" spans="1:9">
      <c r="A154">
        <f>怪しいデータを手直し!F692</f>
        <v>156</v>
      </c>
      <c r="B154">
        <f>怪しいデータを手直し!C692</f>
        <v>23.07038032055581</v>
      </c>
      <c r="C154">
        <f>怪しいデータを手直し!D692</f>
        <v>14.569998788165483</v>
      </c>
      <c r="D154" t="str">
        <f>怪しいデータを手直し!G692</f>
        <v>lc</v>
      </c>
      <c r="E154">
        <f>怪しいデータを手直し!T692</f>
        <v>30.971551925682832</v>
      </c>
      <c r="F154">
        <f>IF(怪しいデータを手直し!U692="dead",0,怪しいデータを手直し!U692)</f>
        <v>0</v>
      </c>
      <c r="G154">
        <f>怪しいデータを手直し!L692</f>
        <v>16.899999999999999</v>
      </c>
      <c r="H154">
        <v>0</v>
      </c>
    </row>
    <row r="155" spans="1:9">
      <c r="A155">
        <f>怪しいデータを手直し!F131</f>
        <v>157</v>
      </c>
      <c r="B155">
        <f>怪しいデータを手直し!C131</f>
        <v>22.650337940557488</v>
      </c>
      <c r="C155">
        <f>怪しいデータを手直し!D131</f>
        <v>15.505115568767668</v>
      </c>
      <c r="D155" t="str">
        <f>怪しいデータを手直し!G131</f>
        <v>lc</v>
      </c>
      <c r="E155">
        <f>怪しいデータを手直し!T131</f>
        <v>1.1499999999999999</v>
      </c>
      <c r="F155">
        <f>IF(怪しいデータを手直し!U131="dead",0,怪しいデータを手直し!U131)</f>
        <v>2.1800000000000002</v>
      </c>
      <c r="G155">
        <f>怪しいデータを手直し!L131</f>
        <v>1.4</v>
      </c>
      <c r="H155">
        <v>0</v>
      </c>
    </row>
    <row r="156" spans="1:9">
      <c r="A156">
        <f>怪しいデータを手直し!F669</f>
        <v>158</v>
      </c>
      <c r="B156">
        <f>怪しいデータを手直し!C669</f>
        <v>24.081992358517237</v>
      </c>
      <c r="C156">
        <f>怪しいデータを手直し!D669</f>
        <v>14.329945512283251</v>
      </c>
      <c r="D156" t="str">
        <f>怪しいデータを手直し!G669</f>
        <v>lc</v>
      </c>
      <c r="E156">
        <f>怪しいデータを手直し!T669</f>
        <v>21.326762374313976</v>
      </c>
      <c r="F156">
        <f>IF(怪しいデータを手直し!U669="dead",0,怪しいデータを手直し!U669)</f>
        <v>0</v>
      </c>
      <c r="G156">
        <f>怪しいデータを手直し!L669</f>
        <v>11.4</v>
      </c>
      <c r="H156">
        <v>0</v>
      </c>
    </row>
    <row r="157" spans="1:9">
      <c r="A157">
        <f>怪しいデータを手直し!F253</f>
        <v>159</v>
      </c>
      <c r="B157">
        <f>怪しいデータを手直し!C253</f>
        <v>26.909703103773136</v>
      </c>
      <c r="C157">
        <f>怪しいデータを手直し!D253</f>
        <v>14.486493813815263</v>
      </c>
      <c r="D157" t="str">
        <f>怪しいデータを手直し!G253</f>
        <v>pt</v>
      </c>
      <c r="E157">
        <f>怪しいデータを手直し!T253</f>
        <v>2.12</v>
      </c>
      <c r="F157">
        <f>IF(怪しいデータを手直し!U253="dead",0,怪しいデータを手直し!U253)</f>
        <v>3.0239439187460113</v>
      </c>
      <c r="G157">
        <f>怪しいデータを手直し!L253</f>
        <v>3.5</v>
      </c>
      <c r="H157">
        <v>0</v>
      </c>
    </row>
    <row r="158" spans="1:9">
      <c r="A158">
        <f>怪しいデータを手直し!F596</f>
        <v>160</v>
      </c>
      <c r="B158">
        <f>怪しいデータを手直し!C596</f>
        <v>27.91934640397676</v>
      </c>
      <c r="C158">
        <f>怪しいデータを手直し!D596</f>
        <v>12.973972118584976</v>
      </c>
      <c r="D158" t="str">
        <f>怪しいデータを手直し!G596</f>
        <v>pt</v>
      </c>
      <c r="E158">
        <f>怪しいデータを手直し!T596</f>
        <v>11.650141834326739</v>
      </c>
      <c r="F158">
        <f>IF(怪しいデータを手直し!U596="dead",0,怪しいデータを手直し!U596)</f>
        <v>12.509578527022972</v>
      </c>
      <c r="G158">
        <f>怪しいデータを手直し!L596</f>
        <v>11.5</v>
      </c>
      <c r="H158">
        <v>0</v>
      </c>
      <c r="I158">
        <v>42</v>
      </c>
    </row>
    <row r="159" spans="1:9">
      <c r="A159">
        <f>怪しいデータを手直し!F295</f>
        <v>161</v>
      </c>
      <c r="B159">
        <f>怪しいデータを手直し!C295</f>
        <v>29.693552363066686</v>
      </c>
      <c r="C159">
        <f>怪しいデータを手直し!D295</f>
        <v>12.817173736221424</v>
      </c>
      <c r="D159" t="str">
        <f>怪しいデータを手直し!G295</f>
        <v>lc</v>
      </c>
      <c r="E159">
        <f>怪しいデータを手直し!T295</f>
        <v>2.4500000000000002</v>
      </c>
      <c r="F159">
        <f>IF(怪しいデータを手直し!U295="dead",0,怪しいデータを手直し!U295)</f>
        <v>0</v>
      </c>
      <c r="G159">
        <f>怪しいデータを手直し!L295</f>
        <v>3.6</v>
      </c>
      <c r="H159">
        <v>0</v>
      </c>
    </row>
    <row r="160" spans="1:9">
      <c r="A160">
        <f>怪しいデータを手直し!F164</f>
        <v>162</v>
      </c>
      <c r="B160">
        <f>怪しいデータを手直し!C164</f>
        <v>29.620093591599371</v>
      </c>
      <c r="C160">
        <f>怪しいデータを手直し!D164</f>
        <v>21.086119526062333</v>
      </c>
      <c r="D160" t="str">
        <f>怪しいデータを手直し!G164</f>
        <v>pt</v>
      </c>
      <c r="E160">
        <f>怪しいデータを手直し!T164</f>
        <v>1.34</v>
      </c>
      <c r="F160">
        <f>IF(怪しいデータを手直し!U164="dead",0,怪しいデータを手直し!U164)</f>
        <v>2.12</v>
      </c>
      <c r="G160">
        <f>怪しいデータを手直し!L164</f>
        <v>1.6</v>
      </c>
      <c r="H160">
        <v>0</v>
      </c>
    </row>
    <row r="161" spans="1:9">
      <c r="A161">
        <f>怪しいデータを手直し!F56</f>
        <v>163</v>
      </c>
      <c r="B161">
        <f>怪しいデータを手直し!C56</f>
        <v>26.373923925033939</v>
      </c>
      <c r="C161">
        <f>怪しいデータを手直し!D56</f>
        <v>20.920997717978985</v>
      </c>
      <c r="D161" t="str">
        <f>怪しいデータを手直し!G56</f>
        <v>pt</v>
      </c>
      <c r="E161">
        <f>怪しいデータを手直し!T56</f>
        <v>0.63</v>
      </c>
      <c r="F161">
        <f>IF(怪しいデータを手直し!U56="dead",0,怪しいデータを手直し!U56)</f>
        <v>0.95</v>
      </c>
      <c r="G161">
        <f>怪しいデータを手直し!L56</f>
        <v>2</v>
      </c>
      <c r="H161">
        <v>0</v>
      </c>
    </row>
    <row r="162" spans="1:9">
      <c r="A162">
        <f>怪しいデータを手直し!F122</f>
        <v>164</v>
      </c>
      <c r="B162">
        <f>怪しいデータを手直し!C122</f>
        <v>25.677496816558932</v>
      </c>
      <c r="C162">
        <f>怪しいデータを手直し!D122</f>
        <v>20.358548791109246</v>
      </c>
      <c r="D162" t="str">
        <f>怪しいデータを手直し!G122</f>
        <v>pt</v>
      </c>
      <c r="E162">
        <f>怪しいデータを手直し!T122</f>
        <v>1.08</v>
      </c>
      <c r="F162">
        <f>IF(怪しいデータを手直し!U122="dead",0,怪しいデータを手直し!U122)</f>
        <v>2.02</v>
      </c>
      <c r="G162">
        <f>怪しいデータを手直し!L122</f>
        <v>2.5</v>
      </c>
      <c r="H162">
        <v>0</v>
      </c>
    </row>
    <row r="163" spans="1:9">
      <c r="A163">
        <f>怪しいデータを手直し!F380</f>
        <v>165</v>
      </c>
      <c r="B163">
        <f>怪しいデータを手直し!C380</f>
        <v>26.105063208120857</v>
      </c>
      <c r="C163">
        <f>怪しいデータを手直し!D380</f>
        <v>23.112840326777921</v>
      </c>
      <c r="D163" t="str">
        <f>怪しいデータを手直し!G380</f>
        <v>lc</v>
      </c>
      <c r="E163">
        <f>怪しいデータを手直し!T380</f>
        <v>3.5332397366400765</v>
      </c>
      <c r="F163">
        <f>IF(怪しいデータを手直し!U380="dead",0,怪しいデータを手直し!U380)</f>
        <v>0</v>
      </c>
      <c r="G163">
        <f>怪しいデータを手直し!L380</f>
        <v>3.7</v>
      </c>
      <c r="H163">
        <v>0</v>
      </c>
    </row>
    <row r="164" spans="1:9">
      <c r="A164">
        <f>怪しいデータを手直し!F67</f>
        <v>166</v>
      </c>
      <c r="B164">
        <f>怪しいデータを手直し!C67</f>
        <v>25.099509798458744</v>
      </c>
      <c r="C164">
        <f>怪しいデータを手直し!D67</f>
        <v>23.482844796581301</v>
      </c>
      <c r="D164" t="str">
        <f>怪しいデータを手直し!G67</f>
        <v>lc</v>
      </c>
      <c r="E164">
        <f>怪しいデータを手直し!T67</f>
        <v>0.69</v>
      </c>
      <c r="F164">
        <f>IF(怪しいデータを手直し!U67="dead",0,怪しいデータを手直し!U67)</f>
        <v>0</v>
      </c>
      <c r="G164">
        <f>怪しいデータを手直し!L67</f>
        <v>1.8</v>
      </c>
      <c r="H164">
        <v>0</v>
      </c>
    </row>
    <row r="165" spans="1:9">
      <c r="A165">
        <f>怪しいデータを手直し!F22</f>
        <v>167</v>
      </c>
      <c r="B165">
        <f>怪しいデータを手直し!C22</f>
        <v>24.174543443410826</v>
      </c>
      <c r="C165">
        <f>怪しいデータを手直し!D22</f>
        <v>27.529531811649555</v>
      </c>
      <c r="D165" t="str">
        <f>怪しいデータを手直し!G22</f>
        <v>pt</v>
      </c>
      <c r="E165">
        <f>怪しいデータを手直し!T22</f>
        <v>0.4</v>
      </c>
      <c r="F165">
        <f>IF(怪しいデータを手直し!U22="dead",0,怪しいデータを手直し!U22)</f>
        <v>0.54</v>
      </c>
      <c r="G165">
        <f>怪しいデータを手直し!L22</f>
        <v>1.8</v>
      </c>
      <c r="H165">
        <v>0</v>
      </c>
    </row>
    <row r="166" spans="1:9">
      <c r="A166">
        <f>怪しいデータを手直し!F468</f>
        <v>168</v>
      </c>
      <c r="B166">
        <f>怪しいデータを手直し!C468</f>
        <v>26.023388160580492</v>
      </c>
      <c r="C166">
        <f>怪しいデータを手直し!D468</f>
        <v>28.859083961886746</v>
      </c>
      <c r="D166" t="str">
        <f>怪しいデータを手直し!G468</f>
        <v>lc</v>
      </c>
      <c r="E166">
        <f>怪しいデータを手直し!T468</f>
        <v>5.5067610309795789</v>
      </c>
      <c r="F166">
        <f>IF(怪しいデータを手直し!U468="dead",0,怪しいデータを手直し!U468)</f>
        <v>0</v>
      </c>
      <c r="G166">
        <f>怪しいデータを手直し!L468</f>
        <v>3.7</v>
      </c>
      <c r="H166">
        <v>0</v>
      </c>
    </row>
    <row r="167" spans="1:9">
      <c r="A167">
        <f>怪しいデータを手直し!F621</f>
        <v>169</v>
      </c>
      <c r="B167">
        <f>怪しいデータを手直し!C621</f>
        <v>30.004333579254549</v>
      </c>
      <c r="C167">
        <f>怪しいデータを手直し!D621</f>
        <v>27.592263592948925</v>
      </c>
      <c r="D167" t="str">
        <f>怪しいデータを手直し!G621</f>
        <v>lc</v>
      </c>
      <c r="E167">
        <f>怪しいデータを手直し!T621</f>
        <v>13.050705333535419</v>
      </c>
      <c r="F167">
        <f>IF(怪しいデータを手直し!U621="dead",0,怪しいデータを手直し!U621)</f>
        <v>0</v>
      </c>
      <c r="G167">
        <f>怪しいデータを手直し!L621</f>
        <v>9.9</v>
      </c>
      <c r="H167">
        <v>0</v>
      </c>
    </row>
    <row r="168" spans="1:9">
      <c r="A168">
        <f>怪しいデータを手直し!F640</f>
        <v>170</v>
      </c>
      <c r="B168">
        <f>怪しいデータを手直し!C640</f>
        <v>25.097578655256243</v>
      </c>
      <c r="C168">
        <f>怪しいデータを手直し!D640</f>
        <v>34.13590656166906</v>
      </c>
      <c r="D168" t="str">
        <f>怪しいデータを手直し!G640</f>
        <v>bp</v>
      </c>
      <c r="E168">
        <f>怪しいデータを手直し!T640</f>
        <v>15.597184423005743</v>
      </c>
      <c r="F168">
        <f>IF(怪しいデータを手直し!U640="dead",0,怪しいデータを手直し!U640)</f>
        <v>0</v>
      </c>
      <c r="G168">
        <f>怪しいデータを手直し!L640</f>
        <v>6.1</v>
      </c>
      <c r="H168">
        <v>170</v>
      </c>
      <c r="I168">
        <v>82</v>
      </c>
    </row>
    <row r="169" spans="1:9">
      <c r="A169">
        <f>怪しいデータを手直し!F418</f>
        <v>171</v>
      </c>
      <c r="B169">
        <f>怪しいデータを手直し!C418</f>
        <v>25.433323914882696</v>
      </c>
      <c r="C169">
        <f>怪しいデータを手直し!D418</f>
        <v>34.334182209427858</v>
      </c>
      <c r="D169" t="str">
        <f>怪しいデータを手直し!G418</f>
        <v>bp</v>
      </c>
      <c r="E169">
        <f>怪しいデータを手直し!T418</f>
        <v>4.2335214862444159</v>
      </c>
      <c r="F169">
        <f>IF(怪しいデータを手直し!U418="dead",0,怪しいデータを手直し!U418)</f>
        <v>4.3926764293363121</v>
      </c>
      <c r="G169">
        <f>怪しいデータを手直し!L418</f>
        <v>3.7</v>
      </c>
      <c r="H169">
        <v>170</v>
      </c>
      <c r="I169">
        <v>22</v>
      </c>
    </row>
    <row r="170" spans="1:9">
      <c r="A170">
        <f>怪しいデータを手直し!F264</f>
        <v>172</v>
      </c>
      <c r="B170">
        <f>怪しいデータを手直し!C264</f>
        <v>24.907350780199291</v>
      </c>
      <c r="C170">
        <f>怪しいデータを手直し!D264</f>
        <v>34.663296118381929</v>
      </c>
      <c r="D170" t="str">
        <f>怪しいデータを手直し!G264</f>
        <v>bp</v>
      </c>
      <c r="E170">
        <f>怪しいデータを手直し!T264</f>
        <v>2.2200000000000002</v>
      </c>
      <c r="F170">
        <f>IF(怪しいデータを手直し!U264="dead",0,怪しいデータを手直し!U264)</f>
        <v>2.4509861236151882</v>
      </c>
      <c r="G170">
        <f>怪しいデータを手直し!L264</f>
        <v>3.6</v>
      </c>
      <c r="H170">
        <v>170</v>
      </c>
    </row>
    <row r="171" spans="1:9">
      <c r="A171">
        <f>怪しいデータを手直し!F534</f>
        <v>173</v>
      </c>
      <c r="B171">
        <f>怪しいデータを手直し!C534</f>
        <v>20.557772508087009</v>
      </c>
      <c r="C171">
        <f>怪しいデータを手直し!D534</f>
        <v>33.493865215873384</v>
      </c>
      <c r="D171" t="str">
        <f>怪しいデータを手直し!G534</f>
        <v>bp</v>
      </c>
      <c r="E171">
        <f>怪しいデータを手直し!T534</f>
        <v>7.5121133139374603</v>
      </c>
      <c r="F171">
        <f>IF(怪しいデータを手直し!U534="dead",0,怪しいデータを手直し!U534)</f>
        <v>7.6712682570293556</v>
      </c>
      <c r="G171">
        <f>怪しいデータを手直し!L534</f>
        <v>7.7</v>
      </c>
      <c r="H171">
        <v>176</v>
      </c>
    </row>
    <row r="172" spans="1:9">
      <c r="A172">
        <f>怪しいデータを手直し!F346</f>
        <v>174</v>
      </c>
      <c r="B172">
        <f>怪しいデータを手直し!C346</f>
        <v>20.869370276898547</v>
      </c>
      <c r="C172">
        <f>怪しいデータを手直し!D346</f>
        <v>33.306219653914141</v>
      </c>
      <c r="D172" t="str">
        <f>怪しいデータを手直し!G346</f>
        <v>bp</v>
      </c>
      <c r="E172">
        <f>怪しいデータを手直し!T346</f>
        <v>3.1194368846011491</v>
      </c>
      <c r="F172">
        <f>IF(怪しいデータを手直し!U346="dead",0,怪しいデータを手直し!U346)</f>
        <v>3.9470425886790048</v>
      </c>
      <c r="G172">
        <f>怪しいデータを手直し!L346</f>
        <v>4.5999999999999996</v>
      </c>
      <c r="H172">
        <v>176</v>
      </c>
      <c r="I172">
        <v>39</v>
      </c>
    </row>
    <row r="173" spans="1:9">
      <c r="A173">
        <f>怪しいデータを手直し!F148</f>
        <v>175</v>
      </c>
      <c r="B173">
        <f>怪しいデータを手直し!C148</f>
        <v>20.548209621882769</v>
      </c>
      <c r="C173">
        <f>怪しいデータを手直し!D148</f>
        <v>33.73393534900292</v>
      </c>
      <c r="D173" t="str">
        <f>怪しいデータを手直し!G148</f>
        <v>bp</v>
      </c>
      <c r="E173">
        <f>怪しいデータを手直し!T148</f>
        <v>1.27</v>
      </c>
      <c r="F173">
        <f>IF(怪しいデータを手直し!U148="dead",0,怪しいデータを手直し!U148)</f>
        <v>2.0053522829578814</v>
      </c>
      <c r="G173">
        <f>怪しいデータを手直し!L148</f>
        <v>2.8</v>
      </c>
      <c r="H173">
        <v>176</v>
      </c>
    </row>
    <row r="174" spans="1:9">
      <c r="A174">
        <f>怪しいデータを手直し!F575</f>
        <v>176</v>
      </c>
      <c r="B174">
        <f>怪しいデータを手直し!C575</f>
        <v>20.652257610790159</v>
      </c>
      <c r="C174">
        <f>怪しいデータを手直し!D575</f>
        <v>33.794183372901976</v>
      </c>
      <c r="D174" t="str">
        <f>怪しいデータを手直し!G575</f>
        <v>bp</v>
      </c>
      <c r="E174">
        <f>怪しいデータを手直し!T575</f>
        <v>10.440564266828334</v>
      </c>
      <c r="F174">
        <f>IF(怪しいデータを手直し!U575="dead",0,怪しいデータを手直し!U575)</f>
        <v>11.23633898228781</v>
      </c>
      <c r="G174">
        <f>怪しいデータを手直し!L575</f>
        <v>9.9</v>
      </c>
      <c r="H174">
        <v>176</v>
      </c>
      <c r="I174">
        <v>70</v>
      </c>
    </row>
    <row r="175" spans="1:9">
      <c r="A175">
        <f>怪しいデータを手直し!F493</f>
        <v>177</v>
      </c>
      <c r="B175">
        <f>怪しいデータを手直し!C493</f>
        <v>20.851731153255873</v>
      </c>
      <c r="C175">
        <f>怪しいデータを手直し!D493</f>
        <v>33.616571920780075</v>
      </c>
      <c r="D175" t="str">
        <f>怪しいデータを手直し!G493</f>
        <v>bp</v>
      </c>
      <c r="E175">
        <f>怪しいデータを手直し!T493</f>
        <v>6.1115498147287806</v>
      </c>
      <c r="F175">
        <f>IF(怪しいデータを手直し!U493="dead",0,怪しいデータを手直し!U493)</f>
        <v>6.8754935415698792</v>
      </c>
      <c r="G175">
        <f>怪しいデータを手直し!L493</f>
        <v>5.6</v>
      </c>
      <c r="H175">
        <v>176</v>
      </c>
      <c r="I175">
        <v>94</v>
      </c>
    </row>
    <row r="176" spans="1:9">
      <c r="A176">
        <f>怪しいデータを手直し!F535</f>
        <v>178</v>
      </c>
      <c r="B176">
        <f>怪しいデータを手直し!C535</f>
        <v>21.000976199357556</v>
      </c>
      <c r="C176">
        <f>怪しいデータを手直し!D535</f>
        <v>33.607899668472051</v>
      </c>
      <c r="D176" t="str">
        <f>怪しいデータを手直し!G535</f>
        <v>bp</v>
      </c>
      <c r="E176">
        <f>怪しいデータを手直し!T535</f>
        <v>7.6712682570293556</v>
      </c>
      <c r="F176">
        <f>IF(怪しいデータを手直し!U535="dead",0,怪しいデータを手直し!U535)</f>
        <v>8.1169020976866619</v>
      </c>
      <c r="G176">
        <f>怪しいデータを手直し!L535</f>
        <v>9.1999999999999993</v>
      </c>
      <c r="H176">
        <v>176</v>
      </c>
      <c r="I176">
        <v>47</v>
      </c>
    </row>
    <row r="177" spans="1:9">
      <c r="A177">
        <f>怪しいデータを手直し!F582</f>
        <v>179</v>
      </c>
      <c r="B177">
        <f>怪しいデータを手直し!C582</f>
        <v>20.978472868674029</v>
      </c>
      <c r="C177">
        <f>怪しいデータを手直し!D582</f>
        <v>33.95872605775331</v>
      </c>
      <c r="D177" t="str">
        <f>怪しいデータを手直し!G582</f>
        <v>bp</v>
      </c>
      <c r="E177">
        <f>怪しいデータを手直し!T582</f>
        <v>10.663381187156988</v>
      </c>
      <c r="F177">
        <f>IF(怪しいデータを手直し!U582="dead",0,怪しいデータを手直し!U582)</f>
        <v>0</v>
      </c>
      <c r="G177">
        <f>怪しいデータを手直し!L582</f>
        <v>6.8</v>
      </c>
      <c r="H177">
        <v>176</v>
      </c>
      <c r="I177">
        <v>103</v>
      </c>
    </row>
    <row r="178" spans="1:9">
      <c r="A178">
        <f>怪しいデータを手直し!F210</f>
        <v>180</v>
      </c>
      <c r="B178">
        <f>怪しいデータを手直し!C210</f>
        <v>20.605733397222572</v>
      </c>
      <c r="C178">
        <f>怪しいデータを手直し!D210</f>
        <v>34.513335525887406</v>
      </c>
      <c r="D178" t="str">
        <f>怪しいデータを手直し!G210</f>
        <v>bp</v>
      </c>
      <c r="E178">
        <f>怪しいデータを手直し!T210</f>
        <v>1.69</v>
      </c>
      <c r="F178">
        <f>IF(怪しいデータを手直し!U210="dead",0,怪しいデータを手直し!U210)</f>
        <v>2.1326762374313977</v>
      </c>
      <c r="G178">
        <f>怪しいデータを手直し!L210</f>
        <v>2.7</v>
      </c>
      <c r="H178">
        <v>176</v>
      </c>
    </row>
    <row r="179" spans="1:9">
      <c r="A179">
        <f>怪しいデータを手直し!F419</f>
        <v>181</v>
      </c>
      <c r="B179">
        <f>怪しいデータを手直し!C419</f>
        <v>21.776802246029185</v>
      </c>
      <c r="C179">
        <f>怪しいデータを手直し!D419</f>
        <v>38.060960604189376</v>
      </c>
      <c r="D179" t="str">
        <f>怪しいデータを手直し!G419</f>
        <v>lc</v>
      </c>
      <c r="E179">
        <f>怪しいデータを手直し!T419</f>
        <v>4.2335214862444159</v>
      </c>
      <c r="F179">
        <f>IF(怪しいデータを手直し!U419="dead",0,怪しいデータを手直し!U419)</f>
        <v>0</v>
      </c>
      <c r="G179">
        <f>怪しいデータを手直し!L419</f>
        <v>4.3</v>
      </c>
      <c r="H179">
        <v>0</v>
      </c>
    </row>
    <row r="180" spans="1:9">
      <c r="A180">
        <f>怪しいデータを手直し!F434</f>
        <v>182</v>
      </c>
      <c r="B180">
        <f>怪しいデータを手直し!C434</f>
        <v>21.331866296913631</v>
      </c>
      <c r="C180">
        <f>怪しいデータを手直し!D434</f>
        <v>38.494599001214105</v>
      </c>
      <c r="D180" t="str">
        <f>怪しいデータを手直し!G434</f>
        <v>lc</v>
      </c>
      <c r="E180">
        <f>怪しいデータを手直し!T434</f>
        <v>4.6473243382833438</v>
      </c>
      <c r="F180">
        <f>IF(怪しいデータを手直し!U434="dead",0,怪しいデータを手直し!U434)</f>
        <v>5.856901905781748</v>
      </c>
      <c r="G180">
        <f>怪しいデータを手直し!L434</f>
        <v>5.2</v>
      </c>
      <c r="H180">
        <v>0</v>
      </c>
    </row>
    <row r="181" spans="1:9">
      <c r="A181">
        <f>怪しいデータを手直し!F390</f>
        <v>183</v>
      </c>
      <c r="B181">
        <f>怪しいデータを手直し!C390</f>
        <v>22.110566473137055</v>
      </c>
      <c r="C181">
        <f>怪しいデータを手直し!D390</f>
        <v>42.311365216159018</v>
      </c>
      <c r="D181" t="str">
        <f>怪しいデータを手直し!G390</f>
        <v>lc</v>
      </c>
      <c r="E181">
        <f>怪しいデータを手直し!T390</f>
        <v>3.7560566569687301</v>
      </c>
      <c r="F181">
        <f>IF(怪しいデータを手直し!U390="dead",0,怪しいデータを手直し!U390)</f>
        <v>0</v>
      </c>
      <c r="G181">
        <f>怪しいデータを手直し!L390</f>
        <v>4.2</v>
      </c>
      <c r="H181">
        <v>0</v>
      </c>
    </row>
    <row r="182" spans="1:9">
      <c r="A182">
        <f>怪しいデータを手直し!F362</f>
        <v>184</v>
      </c>
      <c r="B182">
        <f>怪しいデータを手直し!C362</f>
        <v>23.615371315622383</v>
      </c>
      <c r="C182">
        <f>怪しいデータを手直し!D362</f>
        <v>41.380576057366952</v>
      </c>
      <c r="D182" t="str">
        <f>怪しいデータを手直し!G362</f>
        <v>lc</v>
      </c>
      <c r="E182">
        <f>怪しいデータを手直し!T362</f>
        <v>3.3104228163114233</v>
      </c>
      <c r="F182">
        <f>IF(怪しいデータを手直し!U362="dead",0,怪しいデータを手直し!U362)</f>
        <v>4.6154933496649653</v>
      </c>
      <c r="G182">
        <f>怪しいデータを手直し!L362</f>
        <v>4</v>
      </c>
      <c r="H182">
        <v>0</v>
      </c>
    </row>
    <row r="183" spans="1:9">
      <c r="A183">
        <f>怪しいデータを手直し!F394</f>
        <v>185</v>
      </c>
      <c r="B183">
        <f>怪しいデータを手直し!C394</f>
        <v>27.401715058725056</v>
      </c>
      <c r="C183">
        <f>怪しいデータを手直し!D394</f>
        <v>42.122407639790886</v>
      </c>
      <c r="D183" t="str">
        <f>怪しいデータを手直し!G394</f>
        <v>lc</v>
      </c>
      <c r="E183">
        <f>怪しいデータを手直し!T394</f>
        <v>3.7878876455871091</v>
      </c>
      <c r="F183">
        <f>IF(怪しいデータを手直し!U394="dead",0,怪しいデータを手直し!U394)</f>
        <v>0</v>
      </c>
      <c r="G183">
        <f>怪しいデータを手直し!L394</f>
        <v>4.4000000000000004</v>
      </c>
      <c r="H183">
        <v>0</v>
      </c>
      <c r="I183">
        <v>27</v>
      </c>
    </row>
    <row r="184" spans="1:9">
      <c r="A184">
        <f>怪しいデータを手直し!F431</f>
        <v>186</v>
      </c>
      <c r="B184">
        <f>怪しいデータを手直し!C431</f>
        <v>26.088068052261637</v>
      </c>
      <c r="C184">
        <f>怪しいデータを手直し!D431</f>
        <v>46.326438760553302</v>
      </c>
      <c r="D184" t="str">
        <f>怪しいデータを手直し!G431</f>
        <v>bp</v>
      </c>
      <c r="E184">
        <f>怪しいデータを手直し!T431</f>
        <v>4.5518313724282073</v>
      </c>
      <c r="F184">
        <f>IF(怪しいデータを手直し!U431="dead",0,怪しいデータを手直し!U431)</f>
        <v>4.8383102699936185</v>
      </c>
      <c r="G184">
        <f>怪しいデータを手直し!L431</f>
        <v>5</v>
      </c>
      <c r="H184">
        <v>195</v>
      </c>
    </row>
    <row r="185" spans="1:9">
      <c r="A185">
        <f>怪しいデータを手直し!F503</f>
        <v>187</v>
      </c>
      <c r="B185">
        <f>怪しいデータを手直し!C503</f>
        <v>26.363027006017866</v>
      </c>
      <c r="C185">
        <f>怪しいデータを手直し!D503</f>
        <v>46.658527413827123</v>
      </c>
      <c r="D185" t="str">
        <f>怪しいデータを手直し!G503</f>
        <v>bp</v>
      </c>
      <c r="E185">
        <f>怪しいデータを手直し!T503</f>
        <v>6.4616906895309514</v>
      </c>
      <c r="F185">
        <f>IF(怪しいデータを手直し!U503="dead",0,怪しいデータを手直し!U503)</f>
        <v>7.0028174960433951</v>
      </c>
      <c r="G185">
        <f>怪しいデータを手直し!L503</f>
        <v>6.6</v>
      </c>
      <c r="H185">
        <v>195</v>
      </c>
      <c r="I185">
        <v>56</v>
      </c>
    </row>
    <row r="186" spans="1:9">
      <c r="A186">
        <f>怪しいデータを手直し!F481</f>
        <v>188</v>
      </c>
      <c r="B186">
        <f>怪しいデータを手直し!C481</f>
        <v>26.109179631508535</v>
      </c>
      <c r="C186">
        <f>怪しいデータを手直し!D481</f>
        <v>46.690405386070509</v>
      </c>
      <c r="D186" t="str">
        <f>怪しいデータを手直し!G481</f>
        <v>bp</v>
      </c>
      <c r="E186">
        <f>怪しいデータを手直し!T481</f>
        <v>5.7295779513082321</v>
      </c>
      <c r="F186">
        <f>IF(怪しいデータを手直し!U481="dead",0,怪しいデータを手直し!U481)</f>
        <v>6.0478878374920226</v>
      </c>
      <c r="G186">
        <f>怪しいデータを手直し!L481</f>
        <v>6.7</v>
      </c>
      <c r="H186">
        <v>195</v>
      </c>
    </row>
    <row r="187" spans="1:9">
      <c r="A187">
        <f>怪しいデータを手直し!F399</f>
        <v>189</v>
      </c>
      <c r="B187">
        <f>怪しいデータを手直し!C399</f>
        <v>26.356224715782488</v>
      </c>
      <c r="C187">
        <f>怪しいデータを手直し!D399</f>
        <v>46.816216499090665</v>
      </c>
      <c r="D187" t="str">
        <f>怪しいデータを手直し!G399</f>
        <v>bp</v>
      </c>
      <c r="E187">
        <f>怪しいデータを手直し!T399</f>
        <v>3.9152116000606259</v>
      </c>
      <c r="F187">
        <f>IF(怪しいデータを手直し!U399="dead",0,怪しいデータを手直し!U399)</f>
        <v>4.0107045659157627</v>
      </c>
      <c r="G187">
        <f>怪しいデータを手直し!L399</f>
        <v>4.5999999999999996</v>
      </c>
      <c r="H187">
        <v>195</v>
      </c>
    </row>
    <row r="188" spans="1:9">
      <c r="A188">
        <f>怪しいデータを手直し!F156</f>
        <v>190</v>
      </c>
      <c r="B188">
        <f>怪しいデータを手直し!C156</f>
        <v>25.933414994968828</v>
      </c>
      <c r="C188">
        <f>怪しいデータを手直し!D156</f>
        <v>46.753864560196561</v>
      </c>
      <c r="D188" t="str">
        <f>怪しいデータを手直し!G156</f>
        <v>bp</v>
      </c>
      <c r="E188">
        <f>怪しいデータを手直し!T156</f>
        <v>1.31</v>
      </c>
      <c r="F188">
        <f>IF(怪しいデータを手直し!U156="dead",0,怪しいデータを手直し!U156)</f>
        <v>1.4300000000000002</v>
      </c>
      <c r="G188">
        <f>怪しいデータを手直し!L156</f>
        <v>1.8</v>
      </c>
      <c r="H188">
        <v>195</v>
      </c>
    </row>
    <row r="189" spans="1:9">
      <c r="A189">
        <f>怪しいデータを手直し!F579</f>
        <v>191</v>
      </c>
      <c r="B189">
        <f>怪しいデータを手直し!C579</f>
        <v>26.645579839866279</v>
      </c>
      <c r="C189">
        <f>怪しいデータを手直し!D579</f>
        <v>47.052118021698369</v>
      </c>
      <c r="D189" t="str">
        <f>怪しいデータを手直し!G579</f>
        <v>bp</v>
      </c>
      <c r="E189">
        <f>怪しいデータを手直し!T579</f>
        <v>10.567888221301851</v>
      </c>
      <c r="F189">
        <f>IF(怪しいデータを手直し!U579="dead",0,怪しいデータを手直し!U579)</f>
        <v>10.758874153012124</v>
      </c>
      <c r="G189">
        <f>怪しいデータを手直し!L579</f>
        <v>9.5</v>
      </c>
      <c r="H189">
        <v>195</v>
      </c>
      <c r="I189">
        <v>63</v>
      </c>
    </row>
    <row r="190" spans="1:9">
      <c r="A190">
        <f>怪しいデータを手直し!F376</f>
        <v>192</v>
      </c>
      <c r="B190">
        <f>怪しいデータを手直し!C376</f>
        <v>26.924600108357865</v>
      </c>
      <c r="C190">
        <f>怪しいデータを手直し!D376</f>
        <v>46.948813808077624</v>
      </c>
      <c r="D190" t="str">
        <f>怪しいデータを手直し!G376</f>
        <v>bp</v>
      </c>
      <c r="E190">
        <f>怪しいデータを手直し!T376</f>
        <v>3.4695777594033186</v>
      </c>
      <c r="F190">
        <f>IF(怪しいデータを手直し!U376="dead",0,怪しいデータを手直し!U376)</f>
        <v>0</v>
      </c>
      <c r="G190">
        <f>怪しいデータを手直し!L376</f>
        <v>3.5</v>
      </c>
      <c r="H190">
        <v>195</v>
      </c>
    </row>
    <row r="191" spans="1:9">
      <c r="A191">
        <f>怪しいデータを手直し!F443</f>
        <v>193</v>
      </c>
      <c r="B191">
        <f>怪しいデータを手直し!C443</f>
        <v>26.58482899694452</v>
      </c>
      <c r="C191">
        <f>怪しいデータを手直し!D443</f>
        <v>47.338911845839178</v>
      </c>
      <c r="D191" t="str">
        <f>怪しいデータを手直し!G443</f>
        <v>bp</v>
      </c>
      <c r="E191">
        <f>怪しいデータを手直し!T443</f>
        <v>4.8701412586119979</v>
      </c>
      <c r="F191">
        <f>IF(怪しいデータを手直し!U443="dead",0,怪しいデータを手直し!U443)</f>
        <v>4.3926764293363121</v>
      </c>
      <c r="G191">
        <f>怪しいデータを手直し!L443</f>
        <v>4.4000000000000004</v>
      </c>
      <c r="H191">
        <v>195</v>
      </c>
      <c r="I191">
        <v>45</v>
      </c>
    </row>
    <row r="192" spans="1:9">
      <c r="A192">
        <f>怪しいデータを手直し!F166</f>
        <v>194</v>
      </c>
      <c r="B192">
        <f>怪しいデータを手直し!C166</f>
        <v>26.382700868550014</v>
      </c>
      <c r="C192">
        <f>怪しいデータを手直し!D166</f>
        <v>47.29090046719957</v>
      </c>
      <c r="D192" t="str">
        <f>怪しいデータを手直し!G166</f>
        <v>bp</v>
      </c>
      <c r="E192">
        <f>怪しいデータを手直し!T166</f>
        <v>1.35</v>
      </c>
      <c r="F192">
        <f>IF(怪しいデータを手直し!U166="dead",0,怪しいデータを手直し!U166)</f>
        <v>1.48</v>
      </c>
      <c r="G192">
        <f>怪しいデータを手直し!L166</f>
        <v>2.7</v>
      </c>
      <c r="H192">
        <v>195</v>
      </c>
    </row>
    <row r="193" spans="1:9">
      <c r="A193">
        <f>怪しいデータを手直し!F610</f>
        <v>195</v>
      </c>
      <c r="B193">
        <f>怪しいデータを手直し!C610</f>
        <v>26.125615719030783</v>
      </c>
      <c r="C193">
        <f>怪しいデータを手直し!D610</f>
        <v>47.274402522734292</v>
      </c>
      <c r="D193" t="str">
        <f>怪しいデータを手直し!G610</f>
        <v>bp</v>
      </c>
      <c r="E193">
        <f>怪しいデータを手直し!T610</f>
        <v>12.541409515641352</v>
      </c>
      <c r="F193">
        <f>IF(怪しいデータを手直し!U610="dead",0,怪しいデータを手直し!U610)</f>
        <v>12.159437652220806</v>
      </c>
      <c r="G193">
        <f>怪しいデータを手直し!L610</f>
        <v>9.6999999999999993</v>
      </c>
      <c r="H193">
        <v>195</v>
      </c>
      <c r="I193">
        <v>67</v>
      </c>
    </row>
    <row r="194" spans="1:9">
      <c r="A194">
        <f>怪しいデータを手直し!F289</f>
        <v>196</v>
      </c>
      <c r="B194">
        <f>怪しいデータを手直し!C289</f>
        <v>26.402940262221591</v>
      </c>
      <c r="C194">
        <f>怪しいデータを手直し!D289</f>
        <v>47.576856604055649</v>
      </c>
      <c r="D194" t="str">
        <f>怪しいデータを手直し!G289</f>
        <v>bp</v>
      </c>
      <c r="E194">
        <f>怪しいデータを手直し!T289</f>
        <v>2.38</v>
      </c>
      <c r="F194">
        <f>IF(怪しいデータを手直し!U289="dead",0,怪しいデータを手直し!U289)</f>
        <v>0</v>
      </c>
      <c r="G194">
        <f>怪しいデータを手直し!L289</f>
        <v>3.2</v>
      </c>
      <c r="H194">
        <v>195</v>
      </c>
    </row>
    <row r="195" spans="1:9">
      <c r="A195">
        <f>怪しいデータを手直し!F556</f>
        <v>197</v>
      </c>
      <c r="B195">
        <f>怪しいデータを手直し!C556</f>
        <v>25.842201321935772</v>
      </c>
      <c r="C195">
        <f>怪しいデータを手直し!D556</f>
        <v>46.937837106330178</v>
      </c>
      <c r="D195" t="str">
        <f>怪しいデータを手直し!G556</f>
        <v>bp</v>
      </c>
      <c r="E195">
        <f>怪しいデータを手直し!T556</f>
        <v>9.0400007676196541</v>
      </c>
      <c r="F195">
        <f>IF(怪しいデータを手直し!U556="dead",0,怪しいデータを手直し!U556)</f>
        <v>9.0081697790012765</v>
      </c>
      <c r="G195">
        <f>怪しいデータを手直し!L556</f>
        <v>10.8</v>
      </c>
      <c r="H195">
        <v>195</v>
      </c>
      <c r="I195">
        <v>43</v>
      </c>
    </row>
    <row r="196" spans="1:9">
      <c r="A196">
        <f>怪しいデータを手直し!F330</f>
        <v>198</v>
      </c>
      <c r="B196">
        <f>怪しいデータを手直し!C330</f>
        <v>25.791475915445979</v>
      </c>
      <c r="C196">
        <f>怪しいデータを手直し!D330</f>
        <v>46.638893486177437</v>
      </c>
      <c r="D196" t="str">
        <f>怪しいデータを手直し!G330</f>
        <v>bp</v>
      </c>
      <c r="E196">
        <f>怪しいデータを手直し!T330</f>
        <v>2.928450952890874</v>
      </c>
      <c r="F196">
        <f>IF(怪しいデータを手直し!U330="dead",0,怪しいデータを手直し!U330)</f>
        <v>0</v>
      </c>
      <c r="G196">
        <f>怪しいデータを手直し!L330</f>
        <v>2.8</v>
      </c>
      <c r="H196">
        <v>195</v>
      </c>
    </row>
    <row r="197" spans="1:9">
      <c r="A197">
        <f>怪しいデータを手直し!F490</f>
        <v>199</v>
      </c>
      <c r="B197">
        <f>怪しいデータを手直し!C490</f>
        <v>30.571213760692721</v>
      </c>
      <c r="C197">
        <f>怪しいデータを手直し!D490</f>
        <v>48.901788563302368</v>
      </c>
      <c r="D197" t="str">
        <f>怪しいデータを手直し!G490</f>
        <v>bp</v>
      </c>
      <c r="E197">
        <f>怪しいデータを手直し!T490</f>
        <v>5.9842258602552647</v>
      </c>
      <c r="F197">
        <f>IF(怪しいデータを手直し!U490="dead",0,怪しいデータを手直し!U490)</f>
        <v>5.9842258602552647</v>
      </c>
      <c r="G197">
        <f>怪しいデータを手直し!L490</f>
        <v>6.9</v>
      </c>
      <c r="H197">
        <v>199</v>
      </c>
    </row>
    <row r="198" spans="1:9">
      <c r="A198">
        <f>怪しいデータを手直し!F613</f>
        <v>200</v>
      </c>
      <c r="B198">
        <f>怪しいデータを手直し!C613</f>
        <v>37.972624291761235</v>
      </c>
      <c r="C198">
        <f>怪しいデータを手直し!D613</f>
        <v>45.943877191462981</v>
      </c>
      <c r="D198" t="str">
        <f>怪しいデータを手直し!G613</f>
        <v>bp</v>
      </c>
      <c r="E198">
        <f>怪しいデータを手直し!T613</f>
        <v>12.636902481496492</v>
      </c>
      <c r="F198">
        <f>IF(怪しいデータを手直し!U613="dead",0,怪しいデータを手直し!U613)</f>
        <v>12.923381379061903</v>
      </c>
      <c r="G198">
        <f>怪しいデータを手直し!L613</f>
        <v>10.7</v>
      </c>
      <c r="H198">
        <v>202</v>
      </c>
    </row>
    <row r="199" spans="1:9">
      <c r="A199">
        <f>怪しいデータを手直し!F125</f>
        <v>201</v>
      </c>
      <c r="B199">
        <f>怪しいデータを手直し!C125</f>
        <v>37.586645506147292</v>
      </c>
      <c r="C199">
        <f>怪しいデータを手直し!D125</f>
        <v>46.055567672903109</v>
      </c>
      <c r="D199" t="str">
        <f>怪しいデータを手直し!G125</f>
        <v>bp</v>
      </c>
      <c r="E199">
        <f>怪しいデータを手直し!T125</f>
        <v>1.0900000000000001</v>
      </c>
      <c r="F199">
        <f>IF(怪しいデータを手直し!U125="dead",0,怪しいデータを手直し!U125)</f>
        <v>1.17</v>
      </c>
      <c r="G199">
        <f>怪しいデータを手直し!L125</f>
        <v>1.9</v>
      </c>
      <c r="H199">
        <v>202</v>
      </c>
    </row>
    <row r="200" spans="1:9">
      <c r="A200">
        <f>怪しいデータを手直し!F655</f>
        <v>202</v>
      </c>
      <c r="B200">
        <f>怪しいデータを手直し!C655</f>
        <v>37.478923043387454</v>
      </c>
      <c r="C200">
        <f>怪しいデータを手直し!D655</f>
        <v>45.780601114359932</v>
      </c>
      <c r="D200" t="str">
        <f>怪しいデータを手直し!G655</f>
        <v>bp</v>
      </c>
      <c r="E200">
        <f>怪しいデータを手直し!T655</f>
        <v>18.366480432804725</v>
      </c>
      <c r="F200">
        <f>IF(怪しいデータを手直し!U655="dead",0,怪しいデータを手直し!U655)</f>
        <v>0</v>
      </c>
      <c r="G200">
        <f>怪しいデータを手直し!L655</f>
        <v>5.9</v>
      </c>
      <c r="H200">
        <v>202</v>
      </c>
    </row>
    <row r="201" spans="1:9">
      <c r="A201">
        <f>怪しいデータを手直し!F617</f>
        <v>203</v>
      </c>
      <c r="B201">
        <f>怪しいデータを手直し!C617</f>
        <v>37.195101814616379</v>
      </c>
      <c r="C201">
        <f>怪しいデータを手直し!D617</f>
        <v>45.587027258299045</v>
      </c>
      <c r="D201" t="str">
        <f>怪しいデータを手直し!G617</f>
        <v>bp</v>
      </c>
      <c r="E201">
        <f>怪しいデータを手直し!T617</f>
        <v>12.859719401825144</v>
      </c>
      <c r="F201">
        <f>IF(怪しいデータを手直し!U617="dead",0,怪しいデータを手直し!U617)</f>
        <v>13.432677196955968</v>
      </c>
      <c r="G201">
        <f>怪しいデータを手直し!L617</f>
        <v>8.3000000000000007</v>
      </c>
      <c r="H201">
        <v>202</v>
      </c>
      <c r="I201">
        <v>70</v>
      </c>
    </row>
    <row r="202" spans="1:9">
      <c r="A202">
        <f>怪しいデータを手直し!F254</f>
        <v>204</v>
      </c>
      <c r="B202">
        <f>怪しいデータを手直し!C254</f>
        <v>34.511392259886222</v>
      </c>
      <c r="C202">
        <f>怪しいデータを手直し!D254</f>
        <v>39.264884580685361</v>
      </c>
      <c r="D202" t="str">
        <f>怪しいデータを手直し!G254</f>
        <v>lc</v>
      </c>
      <c r="E202">
        <f>怪しいデータを手直し!T254</f>
        <v>2.12</v>
      </c>
      <c r="F202">
        <f>IF(怪しいデータを手直し!U254="dead",0,怪しいデータを手直し!U254)</f>
        <v>3.5969017138768349</v>
      </c>
      <c r="G202">
        <f>怪しいデータを手直し!L254</f>
        <v>3.3</v>
      </c>
      <c r="H202">
        <v>0</v>
      </c>
    </row>
    <row r="203" spans="1:9">
      <c r="A203">
        <f>怪しいデータを手直し!F291</f>
        <v>205</v>
      </c>
      <c r="B203">
        <f>怪しいデータを手直し!C291</f>
        <v>38.369831897088261</v>
      </c>
      <c r="C203">
        <f>怪しいデータを手直し!D291</f>
        <v>35.037619958440359</v>
      </c>
      <c r="D203" t="str">
        <f>怪しいデータを手直し!G291</f>
        <v>lc</v>
      </c>
      <c r="E203">
        <f>怪しいデータを手直し!T291</f>
        <v>2.41</v>
      </c>
      <c r="F203">
        <f>IF(怪しいデータを手直し!U291="dead",0,怪しいデータを手直し!U291)</f>
        <v>3.7560566569687301</v>
      </c>
      <c r="G203">
        <f>怪しいデータを手直し!L291</f>
        <v>2.8</v>
      </c>
      <c r="H203">
        <v>0</v>
      </c>
    </row>
    <row r="204" spans="1:9">
      <c r="A204">
        <f>怪しいデータを手直し!F233</f>
        <v>206</v>
      </c>
      <c r="B204">
        <f>怪しいデータを手直し!C233</f>
        <v>39.177377799053929</v>
      </c>
      <c r="C204">
        <f>怪しいデータを手直し!D233</f>
        <v>30.783382434720195</v>
      </c>
      <c r="D204" t="str">
        <f>怪しいデータを手直し!G233</f>
        <v>lc</v>
      </c>
      <c r="E204">
        <f>怪しいデータを手直し!T233</f>
        <v>1.89</v>
      </c>
      <c r="F204">
        <f>IF(怪しいデータを手直し!U233="dead",0,怪しいデータを手直し!U233)</f>
        <v>0</v>
      </c>
      <c r="G204">
        <f>怪しいデータを手直し!L233</f>
        <v>2.9</v>
      </c>
      <c r="H204">
        <v>0</v>
      </c>
    </row>
    <row r="205" spans="1:9">
      <c r="A205">
        <f>怪しいデータを手直し!F491</f>
        <v>207</v>
      </c>
      <c r="B205">
        <f>怪しいデータを手直し!C491</f>
        <v>30.124602273945477</v>
      </c>
      <c r="C205">
        <f>怪しいデータを手直し!D491</f>
        <v>24.75836886688365</v>
      </c>
      <c r="D205" t="str">
        <f>怪しいデータを手直し!G491</f>
        <v>lc</v>
      </c>
      <c r="E205">
        <f>怪しいデータを手直し!T491</f>
        <v>6.0160568488736432</v>
      </c>
      <c r="F205">
        <f>IF(怪しいデータを手直し!U491="dead",0,怪しいデータを手直し!U491)</f>
        <v>0</v>
      </c>
      <c r="G205">
        <f>怪しいデータを手直し!L491</f>
        <v>6.3</v>
      </c>
      <c r="H205">
        <v>0</v>
      </c>
    </row>
    <row r="206" spans="1:9">
      <c r="A206">
        <f>怪しいデータを手直し!F598</f>
        <v>208</v>
      </c>
      <c r="B206">
        <f>怪しいデータを手直し!C598</f>
        <v>35.139414580817089</v>
      </c>
      <c r="C206">
        <f>怪しいデータを手直し!D598</f>
        <v>25.434778538862901</v>
      </c>
      <c r="D206" t="str">
        <f>怪しいデータを手直し!G598</f>
        <v>lc</v>
      </c>
      <c r="E206">
        <f>怪しいデータを手直し!T598</f>
        <v>11.777465788800255</v>
      </c>
      <c r="F206">
        <f>IF(怪しいデータを手直し!U598="dead",0,怪しいデータを手直し!U598)</f>
        <v>0</v>
      </c>
      <c r="G206">
        <f>怪しいデータを手直し!L598</f>
        <v>4.3</v>
      </c>
      <c r="H206">
        <v>0</v>
      </c>
    </row>
    <row r="207" spans="1:9">
      <c r="A207">
        <f>怪しいデータを手直し!F170</f>
        <v>209</v>
      </c>
      <c r="B207">
        <f>怪しいデータを手直し!C170</f>
        <v>33.939110065365163</v>
      </c>
      <c r="C207">
        <f>怪しいデータを手直し!D170</f>
        <v>24.008467524246502</v>
      </c>
      <c r="D207" t="str">
        <f>怪しいデータを手直し!G170</f>
        <v>pt</v>
      </c>
      <c r="E207">
        <f>怪しいデータを手直し!T170</f>
        <v>1.36</v>
      </c>
      <c r="F207">
        <f>IF(怪しいデータを手直し!U170="dead",0,怪しいデータを手直し!U170)</f>
        <v>2.1399999999999997</v>
      </c>
      <c r="G207">
        <f>怪しいデータを手直し!L170</f>
        <v>2.7</v>
      </c>
      <c r="H207">
        <v>0</v>
      </c>
    </row>
    <row r="208" spans="1:9">
      <c r="A208">
        <f>怪しいデータを手直し!F30</f>
        <v>210</v>
      </c>
      <c r="B208">
        <f>怪しいデータを手直し!C30</f>
        <v>34.094149764448233</v>
      </c>
      <c r="C208">
        <f>怪しいデータを手直し!D30</f>
        <v>24.037380054722185</v>
      </c>
      <c r="D208" t="str">
        <f>怪しいデータを手直し!G30</f>
        <v>pt</v>
      </c>
      <c r="E208">
        <f>怪しいデータを手直し!T30</f>
        <v>0.46</v>
      </c>
      <c r="F208">
        <f>IF(怪しいデータを手直し!U30="dead",0,怪しいデータを手直し!U30)</f>
        <v>0</v>
      </c>
      <c r="G208">
        <f>怪しいデータを手直し!L30</f>
        <v>1.8</v>
      </c>
      <c r="H208">
        <v>0</v>
      </c>
    </row>
    <row r="209" spans="1:9">
      <c r="A209">
        <f>怪しいデータを手直し!F167</f>
        <v>211</v>
      </c>
      <c r="B209">
        <f>怪しいデータを手直し!C167</f>
        <v>35.208951740241446</v>
      </c>
      <c r="C209">
        <f>怪しいデータを手直し!D167</f>
        <v>23.344087583756682</v>
      </c>
      <c r="D209" t="str">
        <f>怪しいデータを手直し!G167</f>
        <v>bp</v>
      </c>
      <c r="E209">
        <f>怪しいデータを手直し!T167</f>
        <v>1.35</v>
      </c>
      <c r="F209">
        <f>IF(怪しいデータを手直し!U167="dead",0,怪しいデータを手直し!U167)</f>
        <v>2.3873241463784303</v>
      </c>
      <c r="G209">
        <f>怪しいデータを手直し!L167</f>
        <v>2.6</v>
      </c>
      <c r="H209">
        <v>212</v>
      </c>
    </row>
    <row r="210" spans="1:9">
      <c r="A210">
        <f>怪しいデータを手直し!F510</f>
        <v>212</v>
      </c>
      <c r="B210">
        <f>怪しいデータを手直し!C510</f>
        <v>35.189947767486714</v>
      </c>
      <c r="C210">
        <f>怪しいデータを手直し!D510</f>
        <v>23.205377071540834</v>
      </c>
      <c r="D210" t="str">
        <f>怪しいデータを手直し!G510</f>
        <v>bp</v>
      </c>
      <c r="E210">
        <f>怪しいデータを手直し!T510</f>
        <v>6.7800005757147419</v>
      </c>
      <c r="F210">
        <f>IF(怪しいデータを手直し!U510="dead",0,怪しいデータを手直し!U510)</f>
        <v>7.7030992456477341</v>
      </c>
      <c r="G210">
        <f>怪しいデータを手直し!L510</f>
        <v>6</v>
      </c>
      <c r="H210">
        <v>212</v>
      </c>
      <c r="I210">
        <v>28</v>
      </c>
    </row>
    <row r="211" spans="1:9">
      <c r="A211">
        <f>怪しいデータを手直し!F440</f>
        <v>213</v>
      </c>
      <c r="B211">
        <f>怪しいデータを手直し!C440</f>
        <v>37.160972634049095</v>
      </c>
      <c r="C211">
        <f>怪しいデータを手直し!D440</f>
        <v>18.582089236094202</v>
      </c>
      <c r="D211" t="str">
        <f>怪しいデータを手直し!G440</f>
        <v>lc</v>
      </c>
      <c r="E211">
        <f>怪しいデータを手直し!T440</f>
        <v>4.7109863155201026</v>
      </c>
      <c r="F211">
        <f>IF(怪しいデータを手直し!U440="dead",0,怪しいデータを手直し!U440)</f>
        <v>5.79323992854499</v>
      </c>
      <c r="G211">
        <f>怪しいデータを手直し!L440</f>
        <v>5.0999999999999996</v>
      </c>
      <c r="H211">
        <v>0</v>
      </c>
      <c r="I211">
        <v>17</v>
      </c>
    </row>
    <row r="212" spans="1:9">
      <c r="A212">
        <f>怪しいデータを手直し!F252</f>
        <v>214</v>
      </c>
      <c r="B212">
        <f>怪しいデータを手直し!C252</f>
        <v>37.037694491441883</v>
      </c>
      <c r="C212">
        <f>怪しいデータを手直し!D252</f>
        <v>18.258346692039844</v>
      </c>
      <c r="D212" t="str">
        <f>怪しいデータを手直し!G252</f>
        <v>lc</v>
      </c>
      <c r="E212">
        <f>怪しいデータを手直し!T252</f>
        <v>2.1</v>
      </c>
      <c r="F212">
        <f>IF(怪しいデータを手直し!U252="dead",0,怪しいデータを手直し!U252)</f>
        <v>3.0239439187460113</v>
      </c>
      <c r="G212">
        <f>怪しいデータを手直し!L252</f>
        <v>2.5</v>
      </c>
      <c r="H212">
        <v>0</v>
      </c>
    </row>
    <row r="213" spans="1:9">
      <c r="A213">
        <f>怪しいデータを手直し!F277</f>
        <v>215</v>
      </c>
      <c r="B213">
        <f>怪しいデータを手直し!C277</f>
        <v>36.716514801527289</v>
      </c>
      <c r="C213">
        <f>怪しいデータを手直し!D277</f>
        <v>18.175163316659585</v>
      </c>
      <c r="D213" t="str">
        <f>怪しいデータを手直し!G277</f>
        <v>lc</v>
      </c>
      <c r="E213">
        <f>怪しいデータを手直し!T277</f>
        <v>2.2999999999999998</v>
      </c>
      <c r="F213">
        <f>IF(怪しいデータを手直し!U277="dead",0,怪しいデータを手直し!U277)</f>
        <v>2.896619964272495</v>
      </c>
      <c r="G213">
        <f>怪しいデータを手直し!L277</f>
        <v>3</v>
      </c>
      <c r="H213">
        <v>0</v>
      </c>
    </row>
    <row r="214" spans="1:9">
      <c r="A214">
        <f>怪しいデータを手直し!F238</f>
        <v>216</v>
      </c>
      <c r="B214">
        <f>怪しいデータを手直し!C238</f>
        <v>36.223984999037157</v>
      </c>
      <c r="C214">
        <f>怪しいデータを手直し!D238</f>
        <v>18.902543517144998</v>
      </c>
      <c r="D214" t="str">
        <f>怪しいデータを手直し!G238</f>
        <v>lc</v>
      </c>
      <c r="E214">
        <f>怪しいデータを手直し!T238</f>
        <v>1.97</v>
      </c>
      <c r="F214">
        <f>IF(怪しいデータを手直し!U238="dead",0,怪しいデータを手直し!U238)</f>
        <v>2.896619964272495</v>
      </c>
      <c r="G214">
        <f>怪しいデータを手直し!L238</f>
        <v>2.8</v>
      </c>
      <c r="H214">
        <v>0</v>
      </c>
    </row>
    <row r="215" spans="1:9">
      <c r="A215">
        <f>怪しいデータを手直し!F371</f>
        <v>217</v>
      </c>
      <c r="B215">
        <f>怪しいデータを手直し!C371</f>
        <v>34.412191184356885</v>
      </c>
      <c r="C215">
        <f>怪しいデータを手直し!D371</f>
        <v>18.734824536799977</v>
      </c>
      <c r="D215" t="str">
        <f>怪しいデータを手直し!G371</f>
        <v>lc</v>
      </c>
      <c r="E215">
        <f>怪しいデータを手直し!T371</f>
        <v>3.4377467707849396</v>
      </c>
      <c r="F215">
        <f>IF(怪しいデータを手直し!U371="dead",0,怪しいデータを手直し!U371)</f>
        <v>0</v>
      </c>
      <c r="G215">
        <f>怪しいデータを手直し!L371</f>
        <v>2.7</v>
      </c>
      <c r="H215">
        <v>0</v>
      </c>
    </row>
    <row r="216" spans="1:9">
      <c r="A216">
        <f>怪しいデータを手直し!F247</f>
        <v>218</v>
      </c>
      <c r="B216">
        <f>怪しいデータを手直し!C247</f>
        <v>32.1725155843124</v>
      </c>
      <c r="C216">
        <f>怪しいデータを手直し!D247</f>
        <v>17.931141368792993</v>
      </c>
      <c r="D216" t="str">
        <f>怪しいデータを手直し!G247</f>
        <v>bp</v>
      </c>
      <c r="E216">
        <f>怪しいデータを手直し!T247</f>
        <v>2.06</v>
      </c>
      <c r="F216">
        <f>IF(怪しいデータを手直し!U247="dead",0,怪しいデータを手直し!U247)</f>
        <v>2.15</v>
      </c>
      <c r="G216">
        <f>怪しいデータを手直し!L247</f>
        <v>2.4</v>
      </c>
      <c r="H216">
        <v>224</v>
      </c>
    </row>
    <row r="217" spans="1:9">
      <c r="A217">
        <f>怪しいデータを手直し!F332</f>
        <v>219</v>
      </c>
      <c r="B217">
        <f>怪しいデータを手直し!C332</f>
        <v>32.324126605413987</v>
      </c>
      <c r="C217">
        <f>怪しいデータを手直し!D332</f>
        <v>17.643193787769803</v>
      </c>
      <c r="D217" t="str">
        <f>怪しいデータを手直し!G332</f>
        <v>bp</v>
      </c>
      <c r="E217">
        <f>怪しいデータを手直し!T332</f>
        <v>2.93</v>
      </c>
      <c r="F217">
        <f>IF(怪しいデータを手直し!U332="dead",0,怪しいデータを手直し!U332)</f>
        <v>3.1512678732195281</v>
      </c>
      <c r="G217">
        <f>怪しいデータを手直し!L332</f>
        <v>4.2</v>
      </c>
      <c r="H217">
        <v>224</v>
      </c>
    </row>
    <row r="218" spans="1:9">
      <c r="A218">
        <f>怪しいデータを手直し!F469</f>
        <v>220</v>
      </c>
      <c r="B218">
        <f>怪しいデータを手直し!C469</f>
        <v>32.410464545492722</v>
      </c>
      <c r="C218">
        <f>怪しいデータを手直し!D469</f>
        <v>17.503890892824881</v>
      </c>
      <c r="D218" t="str">
        <f>怪しいデータを手直し!G469</f>
        <v>bp</v>
      </c>
      <c r="E218">
        <f>怪しいデータを手直し!T469</f>
        <v>5.5067610309795789</v>
      </c>
      <c r="F218">
        <f>IF(怪しいデータを手直し!U469="dead",0,怪しいデータを手直し!U469)</f>
        <v>5.9523948716368853</v>
      </c>
      <c r="G218">
        <f>怪しいデータを手直し!L469</f>
        <v>5.6</v>
      </c>
      <c r="H218">
        <v>224</v>
      </c>
      <c r="I218">
        <v>68</v>
      </c>
    </row>
    <row r="219" spans="1:9">
      <c r="A219">
        <f>怪しいデータを手直し!F557</f>
        <v>221</v>
      </c>
      <c r="B219">
        <f>怪しいデータを手直し!C557</f>
        <v>31.863786000705463</v>
      </c>
      <c r="C219">
        <f>怪しいデータを手直し!D557</f>
        <v>17.937307162087787</v>
      </c>
      <c r="D219" t="str">
        <f>怪しいデータを手直し!G557</f>
        <v>bp</v>
      </c>
      <c r="E219">
        <f>怪しいデータを手直し!T557</f>
        <v>9.1354937334747923</v>
      </c>
      <c r="F219">
        <f>IF(怪しいデータを手直し!U557="dead",0,怪しいデータを手直し!U557)</f>
        <v>7.9577471545947667</v>
      </c>
      <c r="G219">
        <f>怪しいデータを手直し!L557</f>
        <v>7.4</v>
      </c>
      <c r="H219">
        <v>224</v>
      </c>
      <c r="I219">
        <v>97</v>
      </c>
    </row>
    <row r="220" spans="1:9">
      <c r="A220">
        <f>怪しいデータを手直し!F537</f>
        <v>222</v>
      </c>
      <c r="B220">
        <f>怪しいデータを手直し!C537</f>
        <v>31.685505222718554</v>
      </c>
      <c r="C220">
        <f>怪しいデータを手直し!D537</f>
        <v>18.033487314002659</v>
      </c>
      <c r="D220" t="str">
        <f>怪しいデータを手直し!G537</f>
        <v>bp</v>
      </c>
      <c r="E220">
        <f>怪しいデータを手直し!T537</f>
        <v>7.766761222884492</v>
      </c>
      <c r="F220">
        <f>IF(怪しいデータを手直し!U537="dead",0,怪しいデータを手直し!U537)</f>
        <v>8.1805640749234207</v>
      </c>
      <c r="G220">
        <f>怪しいデータを手直し!L537</f>
        <v>7.2</v>
      </c>
      <c r="H220">
        <v>224</v>
      </c>
    </row>
    <row r="221" spans="1:9">
      <c r="A221">
        <f>怪しいデータを手直し!F509</f>
        <v>223</v>
      </c>
      <c r="B221">
        <f>怪しいデータを手直し!C509</f>
        <v>31.641290490894413</v>
      </c>
      <c r="C221">
        <f>怪しいデータを手直し!D509</f>
        <v>17.868740859374537</v>
      </c>
      <c r="D221" t="str">
        <f>怪しいデータを手直し!G509</f>
        <v>bp</v>
      </c>
      <c r="E221">
        <f>怪しいデータを手直し!T509</f>
        <v>6.5890146440044672</v>
      </c>
      <c r="F221">
        <f>IF(怪しいデータを手直し!U509="dead",0,怪しいデータを手直し!U509)</f>
        <v>6.8436625529514998</v>
      </c>
      <c r="G221">
        <f>怪しいデータを手直し!L509</f>
        <v>5.8</v>
      </c>
      <c r="H221">
        <v>224</v>
      </c>
      <c r="I221">
        <v>45</v>
      </c>
    </row>
    <row r="222" spans="1:9">
      <c r="A222">
        <f>怪しいデータを手直し!F670</f>
        <v>224</v>
      </c>
      <c r="B222">
        <f>怪しいデータを手直し!C670</f>
        <v>31.896743692831674</v>
      </c>
      <c r="C222">
        <f>怪しいデータを手直し!D670</f>
        <v>17.510168004924175</v>
      </c>
      <c r="D222" t="str">
        <f>怪しいデータを手直し!G670</f>
        <v>bp</v>
      </c>
      <c r="E222">
        <f>怪しいデータを手直し!T670</f>
        <v>21.899720169444798</v>
      </c>
      <c r="F222">
        <f>IF(怪しいデータを手直し!U670="dead",0,怪しいデータを手直し!U670)</f>
        <v>21.804227203589662</v>
      </c>
      <c r="G222">
        <f>怪しいデータを手直し!L670</f>
        <v>7.3</v>
      </c>
      <c r="H222">
        <v>224</v>
      </c>
      <c r="I222">
        <v>141</v>
      </c>
    </row>
    <row r="223" spans="1:9">
      <c r="A223">
        <f>怪しいデータを手直し!F445</f>
        <v>225</v>
      </c>
      <c r="B223">
        <f>怪しいデータを手直し!C445</f>
        <v>31.891796831328939</v>
      </c>
      <c r="C223">
        <f>怪しいデータを手直し!D445</f>
        <v>17.247418530002466</v>
      </c>
      <c r="D223" t="str">
        <f>怪しいデータを手直し!G445</f>
        <v>bp</v>
      </c>
      <c r="E223">
        <f>怪しいデータを手直し!T445</f>
        <v>4.9019722472303764</v>
      </c>
      <c r="F223">
        <f>IF(怪しいデータを手直し!U445="dead",0,怪しいデータを手直し!U445)</f>
        <v>5.1884511447957884</v>
      </c>
      <c r="G223">
        <f>怪しいデータを手直し!L445</f>
        <v>4.3</v>
      </c>
      <c r="H223">
        <v>224</v>
      </c>
    </row>
    <row r="224" spans="1:9">
      <c r="A224">
        <f>怪しいデータを手直し!F256</f>
        <v>226</v>
      </c>
      <c r="B224">
        <f>怪しいデータを手直し!C256</f>
        <v>32.119407180101206</v>
      </c>
      <c r="C224">
        <f>怪しいデータを手直し!D256</f>
        <v>17.114776749550312</v>
      </c>
      <c r="D224" t="str">
        <f>怪しいデータを手直し!G256</f>
        <v>bp</v>
      </c>
      <c r="E224">
        <f>怪しいデータを手直し!T256</f>
        <v>2.13</v>
      </c>
      <c r="F224">
        <f>IF(怪しいデータを手直し!U256="dead",0,怪しいデータを手直し!U256)</f>
        <v>2.5146481008519466</v>
      </c>
      <c r="G224">
        <f>怪しいデータを手直し!L256</f>
        <v>1.9</v>
      </c>
      <c r="H224">
        <v>224</v>
      </c>
    </row>
    <row r="225" spans="1:9">
      <c r="A225">
        <f>怪しいデータを手直し!F321</f>
        <v>227</v>
      </c>
      <c r="B225">
        <f>怪しいデータを手直し!C321</f>
        <v>31.999387380366926</v>
      </c>
      <c r="C225">
        <f>怪しいデータを手直し!D321</f>
        <v>17.176163938322645</v>
      </c>
      <c r="D225" t="str">
        <f>怪しいデータを手直し!G321</f>
        <v>bp</v>
      </c>
      <c r="E225">
        <f>怪しいデータを手直し!T321</f>
        <v>2.8329579870357371</v>
      </c>
      <c r="F225">
        <f>IF(怪しいデータを手直し!U321="dead",0,怪しいデータを手直し!U321)</f>
        <v>2.9602819415092534</v>
      </c>
      <c r="G225">
        <f>怪しいデータを手直し!L321</f>
        <v>3.1</v>
      </c>
      <c r="H225">
        <v>224</v>
      </c>
    </row>
    <row r="226" spans="1:9">
      <c r="A226">
        <f>怪しいデータを手直し!F523</f>
        <v>228</v>
      </c>
      <c r="B226">
        <f>怪しいデータを手直し!C523</f>
        <v>32.261169715280353</v>
      </c>
      <c r="C226">
        <f>怪しいデータを手直し!D523</f>
        <v>17.237390451276372</v>
      </c>
      <c r="D226" t="str">
        <f>怪しいデータを手直し!G523</f>
        <v>bp</v>
      </c>
      <c r="E226">
        <f>怪しいデータを手直し!T523</f>
        <v>7.2892963936088062</v>
      </c>
      <c r="F226">
        <f>IF(怪しいデータを手直し!U523="dead",0,怪しいデータを手直し!U523)</f>
        <v>7.352958370845565</v>
      </c>
      <c r="G226">
        <f>怪しいデータを手直し!L523</f>
        <v>4.3</v>
      </c>
      <c r="H226">
        <v>224</v>
      </c>
      <c r="I226">
        <v>107</v>
      </c>
    </row>
    <row r="227" spans="1:9">
      <c r="A227">
        <f>怪しいデータを手直し!F486</f>
        <v>229</v>
      </c>
      <c r="B227">
        <f>怪しいデータを手直し!C486</f>
        <v>32.249368886906424</v>
      </c>
      <c r="C227">
        <f>怪しいデータを手直し!D486</f>
        <v>17.100131104581216</v>
      </c>
      <c r="D227" t="str">
        <f>怪しいデータを手直し!G486</f>
        <v>bp</v>
      </c>
      <c r="E227">
        <f>怪しいデータを手直し!T486</f>
        <v>5.856901905781748</v>
      </c>
      <c r="F227">
        <f>IF(怪しいデータを手直し!U486="dead",0,怪しいデータを手直し!U486)</f>
        <v>6.429859700912572</v>
      </c>
      <c r="G227">
        <f>怪しいデータを手直し!L486</f>
        <v>5.6</v>
      </c>
      <c r="H227">
        <v>224</v>
      </c>
    </row>
    <row r="228" spans="1:9">
      <c r="A228">
        <f>怪しいデータを手直し!F79</f>
        <v>230</v>
      </c>
      <c r="B228">
        <f>怪しいデータを手直し!C79</f>
        <v>31.992592005271483</v>
      </c>
      <c r="C228">
        <f>怪しいデータを手直し!D79</f>
        <v>17.257432389068928</v>
      </c>
      <c r="D228" t="str">
        <f>怪しいデータを手直し!G79</f>
        <v>bp</v>
      </c>
      <c r="E228">
        <f>怪しいデータを手直し!T79</f>
        <v>0.76</v>
      </c>
      <c r="F228">
        <f>IF(怪しいデータを手直し!U79="dead",0,怪しいデータを手直し!U79)</f>
        <v>1.23</v>
      </c>
      <c r="G228">
        <f>怪しいデータを手直し!L79</f>
        <v>2.1</v>
      </c>
      <c r="H228">
        <v>224</v>
      </c>
    </row>
    <row r="229" spans="1:9">
      <c r="A229">
        <f>怪しいデータを手直し!F35</f>
        <v>231</v>
      </c>
      <c r="B229">
        <f>怪しいデータを手直し!C35</f>
        <v>33.598797543972296</v>
      </c>
      <c r="C229">
        <f>怪しいデータを手直し!D35</f>
        <v>14.841244700753974</v>
      </c>
      <c r="D229" t="str">
        <f>怪しいデータを手直し!G35</f>
        <v>pt</v>
      </c>
      <c r="E229">
        <f>怪しいデータを手直し!T35</f>
        <v>0.5</v>
      </c>
      <c r="F229">
        <f>IF(怪しいデータを手直し!U35="dead",0,怪しいデータを手直し!U35)</f>
        <v>1.19</v>
      </c>
      <c r="G229">
        <f>怪しいデータを手直し!L35</f>
        <v>1.8</v>
      </c>
      <c r="H229">
        <v>0</v>
      </c>
    </row>
    <row r="230" spans="1:9">
      <c r="A230">
        <f>怪しいデータを手直し!F576</f>
        <v>232</v>
      </c>
      <c r="B230">
        <f>怪しいデータを手直し!C576</f>
        <v>34.695315057578405</v>
      </c>
      <c r="C230">
        <f>怪しいデータを手直し!D576</f>
        <v>13.584665518456774</v>
      </c>
      <c r="D230" t="str">
        <f>怪しいデータを手直し!G576</f>
        <v>lc</v>
      </c>
      <c r="E230">
        <f>怪しいデータを手直し!T576</f>
        <v>10.440564266828334</v>
      </c>
      <c r="F230">
        <f>IF(怪しいデータを手直し!U576="dead",0,怪しいデータを手直し!U576)</f>
        <v>0</v>
      </c>
      <c r="G230">
        <f>怪しいデータを手直し!L576</f>
        <v>8.3000000000000007</v>
      </c>
      <c r="H230">
        <v>0</v>
      </c>
    </row>
    <row r="231" spans="1:9">
      <c r="A231">
        <f>怪しいデータを手直し!F414</f>
        <v>233</v>
      </c>
      <c r="B231">
        <f>怪しいデータを手直し!C414</f>
        <v>35.175231914701541</v>
      </c>
      <c r="C231">
        <f>怪しいデータを手直し!D414</f>
        <v>13.031544315341126</v>
      </c>
      <c r="D231" t="str">
        <f>怪しいデータを手直し!G414</f>
        <v>lc</v>
      </c>
      <c r="E231">
        <f>怪しいデータを手直し!T414</f>
        <v>4.1380285203892786</v>
      </c>
      <c r="F231">
        <f>IF(怪しいデータを手直し!U414="dead",0,怪しいデータを手直し!U414)</f>
        <v>5.4112680651244416</v>
      </c>
      <c r="G231">
        <f>怪しいデータを手直し!L414</f>
        <v>4.5</v>
      </c>
      <c r="H231">
        <v>0</v>
      </c>
      <c r="I231">
        <v>27</v>
      </c>
    </row>
    <row r="232" spans="1:9">
      <c r="A232">
        <f>怪しいデータを手直し!F17</f>
        <v>234</v>
      </c>
      <c r="B232">
        <f>怪しいデータを手直し!C17</f>
        <v>33.495831695602774</v>
      </c>
      <c r="C232">
        <f>怪しいデータを手直し!D17</f>
        <v>12.926722064274653</v>
      </c>
      <c r="D232" t="str">
        <f>怪しいデータを手直し!G17</f>
        <v>lc</v>
      </c>
      <c r="E232">
        <f>怪しいデータを手直し!T17</f>
        <v>0.36</v>
      </c>
      <c r="F232">
        <f>IF(怪しいデータを手直し!U17="dead",0,怪しいデータを手直し!U17)</f>
        <v>1.05</v>
      </c>
      <c r="G232">
        <f>怪しいデータを手直し!L17</f>
        <v>1.5</v>
      </c>
      <c r="H232">
        <v>0</v>
      </c>
    </row>
    <row r="233" spans="1:9">
      <c r="A233">
        <f>怪しいデータを手直し!F633</f>
        <v>235</v>
      </c>
      <c r="B233">
        <f>怪しいデータを手直し!C633</f>
        <v>32.689872970198586</v>
      </c>
      <c r="C233">
        <f>怪しいデータを手直し!D633</f>
        <v>12.689139352703059</v>
      </c>
      <c r="D233" t="str">
        <f>怪しいデータを手直し!G633</f>
        <v>lc</v>
      </c>
      <c r="E233">
        <f>怪しいデータを手直し!T633</f>
        <v>14.38760685550734</v>
      </c>
      <c r="F233">
        <f>IF(怪しいデータを手直し!U633="dead",0,怪しいデータを手直し!U633)</f>
        <v>0</v>
      </c>
      <c r="G233">
        <f>怪しいデータを手直し!L633</f>
        <v>7.6</v>
      </c>
      <c r="H233">
        <v>0</v>
      </c>
    </row>
    <row r="234" spans="1:9">
      <c r="A234">
        <f>怪しいデータを手直し!F567</f>
        <v>236</v>
      </c>
      <c r="B234">
        <f>怪しいデータを手直し!C567</f>
        <v>33.173371849837416</v>
      </c>
      <c r="C234">
        <f>怪しいデータを手直し!D567</f>
        <v>11.088136496632174</v>
      </c>
      <c r="D234" t="str">
        <f>怪しいデータを手直し!G567</f>
        <v>lc</v>
      </c>
      <c r="E234">
        <f>怪しいデータを手直し!T567</f>
        <v>9.9949304261710274</v>
      </c>
      <c r="F234">
        <f>IF(怪しいデータを手直し!U567="dead",0,怪しいデータを手直し!U567)</f>
        <v>0</v>
      </c>
      <c r="G234">
        <f>怪しいデータを手直し!L567</f>
        <v>1.6</v>
      </c>
      <c r="H234">
        <v>0</v>
      </c>
    </row>
    <row r="235" spans="1:9">
      <c r="A235">
        <f>怪しいデータを手直し!F630</f>
        <v>237</v>
      </c>
      <c r="B235">
        <f>怪しいデータを手直し!C630</f>
        <v>33.238191204915331</v>
      </c>
      <c r="C235">
        <f>怪しいデータを手直し!D630</f>
        <v>10.433176194765108</v>
      </c>
      <c r="D235" t="str">
        <f>怪しいデータを手直し!G630</f>
        <v>lc</v>
      </c>
      <c r="E235">
        <f>怪しいデータを手直し!T630</f>
        <v>13.910142026231654</v>
      </c>
      <c r="F235">
        <f>IF(怪しいデータを手直し!U630="dead",0,怪しいデータを手直し!U630)</f>
        <v>0</v>
      </c>
      <c r="G235">
        <f>怪しいデータを手直し!L630</f>
        <v>10.3</v>
      </c>
      <c r="H235">
        <v>0</v>
      </c>
      <c r="I235">
        <v>47</v>
      </c>
    </row>
    <row r="236" spans="1:9">
      <c r="A236">
        <f>怪しいデータを手直し!F622</f>
        <v>238</v>
      </c>
      <c r="B236">
        <f>怪しいデータを手直し!C622</f>
        <v>34.753410149350231</v>
      </c>
      <c r="C236">
        <f>怪しいデータを手直し!D622</f>
        <v>11.281629054000154</v>
      </c>
      <c r="D236" t="str">
        <f>怪しいデータを手直し!G622</f>
        <v>lc</v>
      </c>
      <c r="E236">
        <f>怪しいデータを手直し!T622</f>
        <v>13.050705333535419</v>
      </c>
      <c r="F236">
        <f>IF(怪しいデータを手直し!U622="dead",0,怪しいデータを手直し!U622)</f>
        <v>0</v>
      </c>
      <c r="G236">
        <f>怪しいデータを手直し!L622</f>
        <v>8.1</v>
      </c>
      <c r="H236">
        <v>0</v>
      </c>
    </row>
    <row r="237" spans="1:9">
      <c r="A237">
        <f>怪しいデータを手直し!F16</f>
        <v>239</v>
      </c>
      <c r="B237">
        <f>怪しいデータを手直し!C16</f>
        <v>39.475523248039664</v>
      </c>
      <c r="C237">
        <f>怪しいデータを手直し!D16</f>
        <v>13.752043600035297</v>
      </c>
      <c r="D237" t="str">
        <f>怪しいデータを手直し!G16</f>
        <v>pt</v>
      </c>
      <c r="E237">
        <f>怪しいデータを手直し!T16</f>
        <v>0.34</v>
      </c>
      <c r="F237">
        <f>IF(怪しいデータを手直し!U16="dead",0,怪しいデータを手直し!U16)</f>
        <v>0.7</v>
      </c>
      <c r="G237">
        <f>怪しいデータを手直し!L16</f>
        <v>1.8</v>
      </c>
      <c r="H237">
        <v>0</v>
      </c>
    </row>
    <row r="238" spans="1:9">
      <c r="A238">
        <f>怪しいデータを手直し!F470</f>
        <v>240</v>
      </c>
      <c r="B238">
        <f>怪しいデータを手直し!C470</f>
        <v>39.735868630954577</v>
      </c>
      <c r="C238">
        <f>怪しいデータを手直し!D470</f>
        <v>10.432588542307032</v>
      </c>
      <c r="D238" t="str">
        <f>怪しいデータを手直し!G470</f>
        <v>lc</v>
      </c>
      <c r="E238">
        <f>怪しいデータを手直し!T470</f>
        <v>5.5385920195979574</v>
      </c>
      <c r="F238">
        <f>IF(怪しいデータを手直し!U470="dead",0,怪しいデータを手直し!U470)</f>
        <v>0</v>
      </c>
      <c r="G238">
        <f>怪しいデータを手直し!L470</f>
        <v>5.0999999999999996</v>
      </c>
      <c r="H238">
        <v>0</v>
      </c>
    </row>
    <row r="239" spans="1:9">
      <c r="A239">
        <f>怪しいデータを手直し!F83</f>
        <v>241</v>
      </c>
      <c r="B239">
        <f>怪しいデータを手直し!C83</f>
        <v>39.175844745901799</v>
      </c>
      <c r="C239">
        <f>怪しいデータを手直し!D83</f>
        <v>9.4772927717291982</v>
      </c>
      <c r="D239" t="str">
        <f>怪しいデータを手直し!G83</f>
        <v>lc</v>
      </c>
      <c r="E239">
        <f>怪しいデータを手直し!T83</f>
        <v>0.8</v>
      </c>
      <c r="F239">
        <f>IF(怪しいデータを手直し!U83="dead",0,怪しいデータを手直し!U83)</f>
        <v>1.4300000000000002</v>
      </c>
      <c r="G239">
        <f>怪しいデータを手直し!L83</f>
        <v>1.8</v>
      </c>
      <c r="H239">
        <v>0</v>
      </c>
    </row>
    <row r="240" spans="1:9">
      <c r="A240">
        <f>怪しいデータを手直し!F43</f>
        <v>242</v>
      </c>
      <c r="B240">
        <f>怪しいデータを手直し!C43</f>
        <v>37.787935082170875</v>
      </c>
      <c r="C240">
        <f>怪しいデータを手直し!D43</f>
        <v>9.6982970418767067</v>
      </c>
      <c r="D240" t="str">
        <f>怪しいデータを手直し!G43</f>
        <v>lc</v>
      </c>
      <c r="E240">
        <f>怪しいデータを手直し!T43</f>
        <v>0.55000000000000004</v>
      </c>
      <c r="F240">
        <f>IF(怪しいデータを手直し!U43="dead",0,怪しいデータを手直し!U43)</f>
        <v>1.1599999999999999</v>
      </c>
      <c r="G240">
        <f>怪しいデータを手直し!L43</f>
        <v>1.6</v>
      </c>
      <c r="H240">
        <v>0</v>
      </c>
    </row>
    <row r="241" spans="1:9">
      <c r="A241">
        <f>怪しいデータを手直し!F559</f>
        <v>243</v>
      </c>
      <c r="B241">
        <f>怪しいデータを手直し!C559</f>
        <v>35.804963619066001</v>
      </c>
      <c r="C241">
        <f>怪しいデータを手直し!D559</f>
        <v>9.125</v>
      </c>
      <c r="D241" t="str">
        <f>怪しいデータを手直し!G559</f>
        <v>lc</v>
      </c>
      <c r="E241">
        <f>怪しいデータを手直し!T559</f>
        <v>9.3583106538034464</v>
      </c>
      <c r="F241">
        <f>IF(怪しいデータを手直し!U559="dead",0,怪しいデータを手直し!U559)</f>
        <v>0</v>
      </c>
      <c r="G241">
        <f>怪しいデータを手直し!L559</f>
        <v>6.5</v>
      </c>
      <c r="H241">
        <v>0</v>
      </c>
    </row>
    <row r="242" spans="1:9">
      <c r="A242">
        <f>怪しいデータを手直し!F602</f>
        <v>244</v>
      </c>
      <c r="B242">
        <f>怪しいデータを手直し!C602</f>
        <v>35.396556682889127</v>
      </c>
      <c r="C242">
        <f>怪しいデータを手直し!D602</f>
        <v>9.324486168716339</v>
      </c>
      <c r="D242" t="str">
        <f>怪しいデータを手直し!G602</f>
        <v>lc</v>
      </c>
      <c r="E242">
        <f>怪しいデータを手直し!T602</f>
        <v>12.063944686365666</v>
      </c>
      <c r="F242">
        <f>IF(怪しいデータを手直し!U602="dead",0,怪しいデータを手直し!U602)</f>
        <v>0</v>
      </c>
      <c r="G242">
        <f>怪しいデータを手直し!L602</f>
        <v>9</v>
      </c>
      <c r="H242">
        <v>0</v>
      </c>
    </row>
    <row r="243" spans="1:9">
      <c r="A243">
        <f>怪しいデータを手直し!F528</f>
        <v>245</v>
      </c>
      <c r="B243">
        <f>怪しいデータを手直し!C528</f>
        <v>34.025777339984387</v>
      </c>
      <c r="C243">
        <f>怪しいデータを手直し!D528</f>
        <v>9.7119086697301942</v>
      </c>
      <c r="D243" t="str">
        <f>怪しいデータを手直し!G528</f>
        <v>bp</v>
      </c>
      <c r="E243">
        <f>怪しいデータを手直し!T528</f>
        <v>7.4484513367007015</v>
      </c>
      <c r="F243">
        <f>IF(怪しいデータを手直し!U528="dead",0,怪しいデータを手直し!U528)</f>
        <v>7.7030992456477341</v>
      </c>
      <c r="G243">
        <f>怪しいデータを手直し!L528</f>
        <v>6.6</v>
      </c>
      <c r="H243">
        <v>245</v>
      </c>
      <c r="I243">
        <v>57</v>
      </c>
    </row>
    <row r="244" spans="1:9">
      <c r="A244">
        <f>怪しいデータを手直し!F18</f>
        <v>246</v>
      </c>
      <c r="B244">
        <f>怪しいデータを手直し!C18</f>
        <v>34.050937810882921</v>
      </c>
      <c r="C244">
        <f>怪しいデータを手直し!D18</f>
        <v>9.6930927280564454</v>
      </c>
      <c r="D244" t="str">
        <f>怪しいデータを手直し!G18</f>
        <v>bp</v>
      </c>
      <c r="E244">
        <f>怪しいデータを手直し!T18</f>
        <v>0.36</v>
      </c>
      <c r="F244">
        <f>IF(怪しいデータを手直し!U18="dead",0,怪しいデータを手直し!U18)</f>
        <v>1.03</v>
      </c>
      <c r="G244">
        <f>怪しいデータを手直し!L18</f>
        <v>1.6</v>
      </c>
      <c r="H244">
        <v>245</v>
      </c>
    </row>
    <row r="245" spans="1:9">
      <c r="A245">
        <f>怪しいデータを手直し!F249</f>
        <v>247</v>
      </c>
      <c r="B245">
        <f>怪しいデータを手直し!C249</f>
        <v>33.894852414965456</v>
      </c>
      <c r="C245">
        <f>怪しいデータを手直し!D249</f>
        <v>9.4075223287711989</v>
      </c>
      <c r="D245" t="str">
        <f>怪しいデータを手直し!G249</f>
        <v>bp</v>
      </c>
      <c r="E245">
        <f>怪しいデータを手直し!T249</f>
        <v>2.08</v>
      </c>
      <c r="F245">
        <f>IF(怪しいデータを手直し!U249="dead",0,怪しいデータを手直し!U249)</f>
        <v>2.2199999999999998</v>
      </c>
      <c r="G245">
        <f>怪しいデータを手直し!L249</f>
        <v>3</v>
      </c>
      <c r="H245">
        <v>245</v>
      </c>
    </row>
    <row r="246" spans="1:9">
      <c r="A246">
        <f>怪しいデータを手直し!F105</f>
        <v>248</v>
      </c>
      <c r="B246">
        <f>怪しいデータを手直し!C105</f>
        <v>34.068567064814381</v>
      </c>
      <c r="C246">
        <f>怪しいデータを手直し!D105</f>
        <v>9.4180847704201529</v>
      </c>
      <c r="D246" t="str">
        <f>怪しいデータを手直し!G105</f>
        <v>bp</v>
      </c>
      <c r="E246">
        <f>怪しいデータを手直し!T105</f>
        <v>0.96</v>
      </c>
      <c r="F246">
        <f>IF(怪しいデータを手直し!U105="dead",0,怪しいデータを手直し!U105)</f>
        <v>1.03</v>
      </c>
      <c r="G246">
        <f>怪しいデータを手直し!L105</f>
        <v>1.5</v>
      </c>
      <c r="H246">
        <v>245</v>
      </c>
    </row>
    <row r="247" spans="1:9">
      <c r="A247">
        <f>怪しいデータを手直し!F333</f>
        <v>249</v>
      </c>
      <c r="B247">
        <f>怪しいデータを手直し!C333</f>
        <v>33.861205161092634</v>
      </c>
      <c r="C247">
        <f>怪しいデータを手直し!D333</f>
        <v>9.3143433199608303</v>
      </c>
      <c r="D247" t="str">
        <f>怪しいデータを手直し!G333</f>
        <v>bp</v>
      </c>
      <c r="E247">
        <f>怪しいデータを手直し!T333</f>
        <v>2.93</v>
      </c>
      <c r="F247">
        <f>IF(怪しいデータを手直し!U333="dead",0,怪しいデータを手直し!U333)</f>
        <v>3.1512678732195281</v>
      </c>
      <c r="G247">
        <f>怪しいデータを手直し!L333</f>
        <v>3.8</v>
      </c>
      <c r="H247">
        <v>245</v>
      </c>
    </row>
    <row r="248" spans="1:9">
      <c r="A248">
        <f>怪しいデータを手直し!F283</f>
        <v>250</v>
      </c>
      <c r="B248">
        <f>怪しいデータを手直し!C283</f>
        <v>33.713362604392707</v>
      </c>
      <c r="C248">
        <f>怪しいデータを手直し!D283</f>
        <v>9.4955824508264737</v>
      </c>
      <c r="D248" t="str">
        <f>怪しいデータを手直し!G283</f>
        <v>bp</v>
      </c>
      <c r="E248">
        <f>怪しいデータを手直し!T283</f>
        <v>2.34</v>
      </c>
      <c r="F248">
        <f>IF(怪しいデータを手直し!U283="dead",0,怪しいデータを手直し!U283)</f>
        <v>0</v>
      </c>
      <c r="G248">
        <f>怪しいデータを手直し!L283</f>
        <v>2.4</v>
      </c>
      <c r="H248">
        <v>245</v>
      </c>
    </row>
    <row r="249" spans="1:9">
      <c r="A249">
        <f>怪しいデータを手直し!F328</f>
        <v>251</v>
      </c>
      <c r="B249">
        <f>怪しいデータを手直し!C328</f>
        <v>33.495999755650672</v>
      </c>
      <c r="C249">
        <f>怪しいデータを手直し!D328</f>
        <v>9.0689354720097679</v>
      </c>
      <c r="D249" t="str">
        <f>怪しいデータを手直し!G328</f>
        <v>bp</v>
      </c>
      <c r="E249">
        <f>怪しいデータを手直し!T328</f>
        <v>2.9</v>
      </c>
      <c r="F249">
        <f>IF(怪しいデータを手直し!U328="dead",0,怪しいデータを手直し!U328)</f>
        <v>0</v>
      </c>
      <c r="G249">
        <f>怪しいデータを手直し!L328</f>
        <v>1.4</v>
      </c>
      <c r="H249">
        <v>245</v>
      </c>
    </row>
    <row r="250" spans="1:9">
      <c r="A250">
        <f>怪しいデータを手直し!F72</f>
        <v>252</v>
      </c>
      <c r="B250">
        <f>怪しいデータを手直し!C72</f>
        <v>33.817488071652981</v>
      </c>
      <c r="C250">
        <f>怪しいデータを手直し!D72</f>
        <v>9.145595846620802</v>
      </c>
      <c r="D250" t="str">
        <f>怪しいデータを手直し!G72</f>
        <v>bp</v>
      </c>
      <c r="E250">
        <f>怪しいデータを手直し!T72</f>
        <v>0.73</v>
      </c>
      <c r="F250">
        <f>IF(怪しいデータを手直し!U72="dead",0,怪しいデータを手直し!U72)</f>
        <v>1.08</v>
      </c>
      <c r="G250">
        <f>怪しいデータを手直し!L72</f>
        <v>2.5</v>
      </c>
      <c r="H250">
        <v>245</v>
      </c>
    </row>
    <row r="251" spans="1:9">
      <c r="A251">
        <f>怪しいデータを手直し!F428</f>
        <v>253</v>
      </c>
      <c r="B251">
        <f>怪しいデータを手直し!C428</f>
        <v>33.991864086035775</v>
      </c>
      <c r="C251">
        <f>怪しいデータを手直し!D428</f>
        <v>8.9138005024738085</v>
      </c>
      <c r="D251" t="str">
        <f>怪しいデータを手直し!G428</f>
        <v>bp</v>
      </c>
      <c r="E251">
        <f>怪しいデータを手直し!T428</f>
        <v>4.45633840657307</v>
      </c>
      <c r="F251">
        <f>IF(怪しいデータを手直し!U428="dead",0,怪しいデータを手直し!U428)</f>
        <v>4.6154933496649653</v>
      </c>
      <c r="G251">
        <f>怪しいデータを手直し!L428</f>
        <v>4</v>
      </c>
      <c r="H251">
        <v>245</v>
      </c>
      <c r="I251">
        <v>36</v>
      </c>
    </row>
    <row r="252" spans="1:9">
      <c r="A252">
        <f>怪しいデータを手直し!F75</f>
        <v>254</v>
      </c>
      <c r="B252">
        <f>怪しいデータを手直し!C75</f>
        <v>32.51296487374573</v>
      </c>
      <c r="C252">
        <f>怪しいデータを手直し!D75</f>
        <v>8.1260144024241967</v>
      </c>
      <c r="D252" t="str">
        <f>怪しいデータを手直し!G75</f>
        <v>pt</v>
      </c>
      <c r="E252">
        <f>怪しいデータを手直し!T75</f>
        <v>0.75</v>
      </c>
      <c r="F252">
        <f>IF(怪しいデータを手直し!U75="dead",0,怪しいデータを手直し!U75)</f>
        <v>1.31</v>
      </c>
      <c r="G252">
        <f>怪しいデータを手直し!L75</f>
        <v>2</v>
      </c>
      <c r="H252">
        <v>0</v>
      </c>
    </row>
    <row r="253" spans="1:9">
      <c r="A253">
        <f>怪しいデータを手直し!F569</f>
        <v>255</v>
      </c>
      <c r="B253">
        <f>怪しいデータを手直し!C569</f>
        <v>32.364956775153857</v>
      </c>
      <c r="C253">
        <f>怪しいデータを手直し!D569</f>
        <v>6.71362375685269</v>
      </c>
      <c r="D253" t="str">
        <f>怪しいデータを手直し!G569</f>
        <v>pt</v>
      </c>
      <c r="E253">
        <f>怪しいデータを手直し!T569</f>
        <v>10.122254380644543</v>
      </c>
      <c r="F253">
        <f>IF(怪しいデータを手直し!U569="dead",0,怪しいデータを手直し!U569)</f>
        <v>10.631550198538608</v>
      </c>
      <c r="G253">
        <f>怪しいデータを手直し!L569</f>
        <v>10.199999999999999</v>
      </c>
      <c r="H253">
        <v>0</v>
      </c>
      <c r="I253">
        <v>39</v>
      </c>
    </row>
    <row r="254" spans="1:9">
      <c r="A254">
        <f>怪しいデータを手直し!F320</f>
        <v>256</v>
      </c>
      <c r="B254">
        <f>怪しいデータを手直し!C320</f>
        <v>34.144984640554</v>
      </c>
      <c r="C254">
        <f>怪しいデータを手直し!D320</f>
        <v>6.625994983282995</v>
      </c>
      <c r="D254" t="str">
        <f>怪しいデータを手直し!G320</f>
        <v>pt</v>
      </c>
      <c r="E254">
        <f>怪しいデータを手直し!T320</f>
        <v>2.8011269984173581</v>
      </c>
      <c r="F254">
        <f>IF(怪しいデータを手直し!U320="dead",0,怪しいデータを手直し!U320)</f>
        <v>3.4059157821665602</v>
      </c>
      <c r="G254">
        <f>怪しいデータを手直し!L320</f>
        <v>4.0999999999999996</v>
      </c>
      <c r="H254">
        <v>0</v>
      </c>
    </row>
    <row r="255" spans="1:9">
      <c r="A255">
        <f>怪しいデータを手直し!F560</f>
        <v>257</v>
      </c>
      <c r="B255">
        <f>怪しいデータを手直し!C560</f>
        <v>33.450797670107235</v>
      </c>
      <c r="C255">
        <f>怪しいデータを手直し!D560</f>
        <v>6.101552428508481</v>
      </c>
      <c r="D255" t="str">
        <f>怪しいデータを手直し!G560</f>
        <v>pt</v>
      </c>
      <c r="E255">
        <f>怪しいデータを手直し!T560</f>
        <v>9.3901416424218258</v>
      </c>
      <c r="F255">
        <f>IF(怪しいデータを手直し!U560="dead",0,怪しいデータを手直し!U560)</f>
        <v>9.963099437552648</v>
      </c>
      <c r="G255">
        <f>怪しいデータを手直し!L560</f>
        <v>10</v>
      </c>
      <c r="H255">
        <v>0</v>
      </c>
    </row>
    <row r="256" spans="1:9">
      <c r="A256">
        <f>怪しいデータを手直し!F511</f>
        <v>258</v>
      </c>
      <c r="B256">
        <f>怪しいデータを手直し!C511</f>
        <v>34.51042732397022</v>
      </c>
      <c r="C256">
        <f>怪しいデータを手直し!D511</f>
        <v>5.862593186959022</v>
      </c>
      <c r="D256" t="str">
        <f>怪しいデータを手直し!G511</f>
        <v>pt</v>
      </c>
      <c r="E256">
        <f>怪しいデータを手直し!T511</f>
        <v>6.7800005757147419</v>
      </c>
      <c r="F256">
        <f>IF(怪しいデータを手直し!U511="dead",0,怪しいデータを手直し!U511)</f>
        <v>7.1619724391352904</v>
      </c>
      <c r="G256">
        <f>怪しいデータを手直し!L511</f>
        <v>8.3000000000000007</v>
      </c>
      <c r="H256">
        <v>0</v>
      </c>
      <c r="I256">
        <v>31</v>
      </c>
    </row>
    <row r="257" spans="1:9">
      <c r="A257">
        <f>怪しいデータを手直し!F39</f>
        <v>259</v>
      </c>
      <c r="B257">
        <f>怪しいデータを手直し!C39</f>
        <v>38.619257460528999</v>
      </c>
      <c r="C257">
        <f>怪しいデータを手直し!D39</f>
        <v>7.5983782229193677</v>
      </c>
      <c r="D257" t="str">
        <f>怪しいデータを手直し!G39</f>
        <v>lc</v>
      </c>
      <c r="E257">
        <f>怪しいデータを手直し!T39</f>
        <v>0.51</v>
      </c>
      <c r="F257">
        <f>IF(怪しいデータを手直し!U39="dead",0,怪しいデータを手直し!U39)</f>
        <v>1.35</v>
      </c>
      <c r="G257">
        <f>怪しいデータを手直し!L39</f>
        <v>1.8</v>
      </c>
      <c r="H257">
        <v>0</v>
      </c>
    </row>
    <row r="258" spans="1:9">
      <c r="A258">
        <f>怪しいデータを手直し!F128</f>
        <v>260</v>
      </c>
      <c r="B258">
        <f>怪しいデータを手直し!C128</f>
        <v>30.958879013021043</v>
      </c>
      <c r="C258">
        <f>怪しいデータを手直し!D128</f>
        <v>1.4622266506827504</v>
      </c>
      <c r="D258" t="str">
        <f>怪しいデータを手直し!G128</f>
        <v>lc</v>
      </c>
      <c r="E258">
        <f>怪しいデータを手直し!T128</f>
        <v>1.1000000000000001</v>
      </c>
      <c r="F258">
        <f>IF(怪しいデータを手直し!U128="dead",0,怪しいデータを手直し!U128)</f>
        <v>0</v>
      </c>
      <c r="G258">
        <f>怪しいデータを手直し!L128</f>
        <v>2.1</v>
      </c>
      <c r="H258">
        <v>0</v>
      </c>
    </row>
    <row r="259" spans="1:9">
      <c r="A259">
        <f>怪しいデータを手直し!F225</f>
        <v>261</v>
      </c>
      <c r="B259">
        <f>怪しいデータを手直し!C225</f>
        <v>40.795535078290051</v>
      </c>
      <c r="C259">
        <f>怪しいデータを手直し!D225</f>
        <v>5.0333085520429153</v>
      </c>
      <c r="D259" t="str">
        <f>怪しいデータを手直し!G225</f>
        <v>bp</v>
      </c>
      <c r="E259">
        <f>怪しいデータを手直し!T225</f>
        <v>1.84</v>
      </c>
      <c r="F259">
        <f>IF(怪しいデータを手直し!U225="dead",0,怪しいデータを手直し!U225)</f>
        <v>1.95</v>
      </c>
      <c r="G259">
        <f>怪しいデータを手直し!L225</f>
        <v>2</v>
      </c>
      <c r="H259">
        <v>265</v>
      </c>
    </row>
    <row r="260" spans="1:9">
      <c r="A260">
        <f>怪しいデータを手直し!F107</f>
        <v>262</v>
      </c>
      <c r="B260">
        <f>怪しいデータを手直し!C107</f>
        <v>40.675863550722838</v>
      </c>
      <c r="C260">
        <f>怪しいデータを手直し!D107</f>
        <v>5.0660757544522106</v>
      </c>
      <c r="D260" t="str">
        <f>怪しいデータを手直し!G107</f>
        <v>bp</v>
      </c>
      <c r="E260">
        <f>怪しいデータを手直し!T107</f>
        <v>0.97</v>
      </c>
      <c r="F260">
        <f>IF(怪しいデータを手直し!U107="dead",0,怪しいデータを手直し!U107)</f>
        <v>2.31</v>
      </c>
      <c r="G260">
        <f>怪しいデータを手直し!L107</f>
        <v>2.1</v>
      </c>
      <c r="H260">
        <v>265</v>
      </c>
    </row>
    <row r="261" spans="1:9">
      <c r="A261">
        <f>怪しいデータを手直し!F146</f>
        <v>263</v>
      </c>
      <c r="B261">
        <f>怪しいデータを手直し!C146</f>
        <v>40.044069004266788</v>
      </c>
      <c r="C261">
        <f>怪しいデータを手直し!D146</f>
        <v>4.9501922885259351</v>
      </c>
      <c r="D261" t="str">
        <f>怪しいデータを手直し!G146</f>
        <v>bp</v>
      </c>
      <c r="E261">
        <f>怪しいデータを手直し!T146</f>
        <v>1.26</v>
      </c>
      <c r="F261">
        <f>IF(怪しいデータを手直し!U146="dead",0,怪しいデータを手直し!U146)</f>
        <v>0</v>
      </c>
      <c r="G261">
        <f>怪しいデータを手直し!L146</f>
        <v>2.5</v>
      </c>
      <c r="H261">
        <v>265</v>
      </c>
    </row>
    <row r="262" spans="1:9">
      <c r="A262">
        <f>怪しいデータを手直し!F529</f>
        <v>264</v>
      </c>
      <c r="B262">
        <f>怪しいデータを手直し!C529</f>
        <v>40.620282470305909</v>
      </c>
      <c r="C262">
        <f>怪しいデータを手直し!D529</f>
        <v>5.3511991162202692</v>
      </c>
      <c r="D262" t="str">
        <f>怪しいデータを手直し!G529</f>
        <v>bp</v>
      </c>
      <c r="E262">
        <f>怪しいデータを手直し!T529</f>
        <v>7.4484513367007015</v>
      </c>
      <c r="F262">
        <f>IF(怪しいデータを手直し!U529="dead",0,怪しいデータを手直し!U529)</f>
        <v>7.989578143213147</v>
      </c>
      <c r="G262">
        <f>怪しいデータを手直し!L529</f>
        <v>8.1</v>
      </c>
      <c r="H262">
        <v>265</v>
      </c>
      <c r="I262">
        <v>45</v>
      </c>
    </row>
    <row r="263" spans="1:9">
      <c r="A263">
        <f>怪しいデータを手直し!F636</f>
        <v>265</v>
      </c>
      <c r="B263">
        <f>怪しいデータを手直し!C636</f>
        <v>40.876130854070112</v>
      </c>
      <c r="C263">
        <f>怪しいデータを手直し!D636</f>
        <v>5.1789633141256459</v>
      </c>
      <c r="D263" t="str">
        <f>怪しいデータを手直し!G636</f>
        <v>bp</v>
      </c>
      <c r="E263">
        <f>怪しいデータを手直し!T636</f>
        <v>14.928733662019782</v>
      </c>
      <c r="F263">
        <f>IF(怪しいデータを手直し!U636="dead",0,怪しいデータを手直し!U636)</f>
        <v>0</v>
      </c>
      <c r="G263">
        <f>怪しいデータを手直し!L636</f>
        <v>6.6</v>
      </c>
      <c r="H263">
        <v>265</v>
      </c>
      <c r="I263">
        <v>47</v>
      </c>
    </row>
    <row r="264" spans="1:9">
      <c r="A264">
        <f>怪しいデータを手直し!F483</f>
        <v>266</v>
      </c>
      <c r="B264">
        <f>怪しいデータを手直し!C483</f>
        <v>41.045795804813331</v>
      </c>
      <c r="C264">
        <f>怪しいデータを手直し!D483</f>
        <v>5.0799175683089572</v>
      </c>
      <c r="D264" t="str">
        <f>怪しいデータを手直し!G483</f>
        <v>bp</v>
      </c>
      <c r="E264">
        <f>怪しいデータを手直し!T483</f>
        <v>5.7614089399266115</v>
      </c>
      <c r="F264">
        <f>IF(怪しいデータを手直し!U483="dead",0,怪しいデータを手直し!U483)</f>
        <v>6.2707047578206758</v>
      </c>
      <c r="G264">
        <f>怪しいデータを手直し!L483</f>
        <v>4.3</v>
      </c>
      <c r="H264">
        <v>265</v>
      </c>
    </row>
    <row r="265" spans="1:9">
      <c r="A265">
        <f>怪しいデータを手直し!F477</f>
        <v>267</v>
      </c>
      <c r="B265">
        <f>怪しいデータを手直し!C477</f>
        <v>41.100623071933988</v>
      </c>
      <c r="C265">
        <f>怪しいデータを手直し!D477</f>
        <v>5.1944273126372771</v>
      </c>
      <c r="D265" t="str">
        <f>怪しいデータを手直し!G477</f>
        <v>bp</v>
      </c>
      <c r="E265">
        <f>怪しいデータを手直し!T477</f>
        <v>5.6659159740714742</v>
      </c>
      <c r="F265">
        <f>IF(怪しいデータを手直し!U477="dead",0,怪しいデータを手直し!U477)</f>
        <v>6.366197723675814</v>
      </c>
      <c r="G265">
        <f>怪しいデータを手直し!L477</f>
        <v>5.0999999999999996</v>
      </c>
      <c r="H265">
        <v>265</v>
      </c>
      <c r="I265">
        <v>35</v>
      </c>
    </row>
    <row r="266" spans="1:9">
      <c r="A266">
        <f>怪しいデータを手直し!F446</f>
        <v>268</v>
      </c>
      <c r="B266">
        <f>怪しいデータを手直し!C446</f>
        <v>40.677648474707539</v>
      </c>
      <c r="C266">
        <f>怪しいデータを手直し!D446</f>
        <v>5.5715473870970973</v>
      </c>
      <c r="D266" t="str">
        <f>怪しいデータを手直し!G446</f>
        <v>bp</v>
      </c>
      <c r="E266">
        <f>怪しいデータを手直し!T446</f>
        <v>4.9019722472303764</v>
      </c>
      <c r="F266">
        <f>IF(怪しいデータを手直し!U446="dead",0,怪しいデータを手直し!U446)</f>
        <v>5.0611271903222717</v>
      </c>
      <c r="G266">
        <f>怪しいデータを手直し!L446</f>
        <v>4.9000000000000004</v>
      </c>
      <c r="H266">
        <v>265</v>
      </c>
    </row>
    <row r="267" spans="1:9">
      <c r="A267">
        <f>怪しいデータを手直し!F463</f>
        <v>269</v>
      </c>
      <c r="B267">
        <f>怪しいデータを手直し!C463</f>
        <v>40.777857411188769</v>
      </c>
      <c r="C267">
        <f>怪しいデータを手直し!D463</f>
        <v>5.4966859039304499</v>
      </c>
      <c r="D267" t="str">
        <f>怪しいデータを手直し!G463</f>
        <v>bp</v>
      </c>
      <c r="E267">
        <f>怪しいデータを手直し!T463</f>
        <v>5.3157750992693042</v>
      </c>
      <c r="F267">
        <f>IF(怪しいデータを手直し!U463="dead",0,怪しいデータを手直し!U463)</f>
        <v>5.5385920195979574</v>
      </c>
      <c r="G267">
        <f>怪しいデータを手直し!L463</f>
        <v>5.0999999999999996</v>
      </c>
      <c r="H267">
        <v>265</v>
      </c>
    </row>
    <row r="268" spans="1:9">
      <c r="A268">
        <f>怪しいデータを手直し!F513</f>
        <v>270</v>
      </c>
      <c r="B268">
        <f>怪しいデータを手直し!C513</f>
        <v>40.901352263515584</v>
      </c>
      <c r="C268">
        <f>怪しいデータを手直し!D513</f>
        <v>5.4891725706855805</v>
      </c>
      <c r="D268" t="str">
        <f>怪しいデータを手直し!G513</f>
        <v>bp</v>
      </c>
      <c r="E268">
        <f>怪しいデータを手直し!T513</f>
        <v>6.8754935415698792</v>
      </c>
      <c r="F268">
        <f>IF(怪しいデータを手直し!U513="dead",0,怪しいデータを手直し!U513)</f>
        <v>7.3847893594639435</v>
      </c>
      <c r="G268">
        <f>怪しいデータを手直し!L513</f>
        <v>5.8</v>
      </c>
      <c r="H268">
        <v>265</v>
      </c>
    </row>
    <row r="269" spans="1:9">
      <c r="A269">
        <f>怪しいデータを手直し!F268</f>
        <v>271</v>
      </c>
      <c r="B269">
        <f>怪しいデータを手直し!C268</f>
        <v>41.114237411154114</v>
      </c>
      <c r="C269">
        <f>怪しいデータを手直し!D268</f>
        <v>7.3877069476062651</v>
      </c>
      <c r="D269" t="str">
        <f>怪しいデータを手直し!G268</f>
        <v>lc</v>
      </c>
      <c r="E269">
        <f>怪しいデータを手直し!T268</f>
        <v>2.2400000000000002</v>
      </c>
      <c r="F269">
        <f>IF(怪しいデータを手直し!U268="dead",0,怪しいデータを手直し!U268)</f>
        <v>0</v>
      </c>
      <c r="G269">
        <f>怪しいデータを手直し!L268</f>
        <v>2.8</v>
      </c>
      <c r="H269">
        <v>0</v>
      </c>
    </row>
    <row r="270" spans="1:9">
      <c r="A270">
        <f>怪しいデータを手直し!F315</f>
        <v>272</v>
      </c>
      <c r="B270">
        <f>怪しいデータを手直し!C315</f>
        <v>40.363569407803752</v>
      </c>
      <c r="C270">
        <f>怪しいデータを手直し!D315</f>
        <v>7.678294315441935</v>
      </c>
      <c r="D270" t="str">
        <f>怪しいデータを手直し!G315</f>
        <v>lc</v>
      </c>
      <c r="E270">
        <f>怪しいデータを手直し!T315</f>
        <v>2.7</v>
      </c>
      <c r="F270">
        <f>IF(怪しいデータを手直し!U315="dead",0,怪しいデータを手直し!U315)</f>
        <v>3.9152116000606259</v>
      </c>
      <c r="G270">
        <f>怪しいデータを手直し!L315</f>
        <v>3.5</v>
      </c>
      <c r="H270">
        <v>0</v>
      </c>
    </row>
    <row r="271" spans="1:9">
      <c r="A271">
        <f>怪しいデータを手直し!F108</f>
        <v>273</v>
      </c>
      <c r="B271">
        <f>怪しいデータを手直し!C108</f>
        <v>40.628453171262755</v>
      </c>
      <c r="C271">
        <f>怪しいデータを手直し!D108</f>
        <v>7.808323333260633</v>
      </c>
      <c r="D271" t="str">
        <f>怪しいデータを手直し!G108</f>
        <v>lc</v>
      </c>
      <c r="E271">
        <f>怪しいデータを手直し!T108</f>
        <v>0.97</v>
      </c>
      <c r="F271">
        <f>IF(怪しいデータを手直し!U108="dead",0,怪しいデータを手直し!U108)</f>
        <v>0</v>
      </c>
      <c r="G271">
        <f>怪しいデータを手直し!L108</f>
        <v>2</v>
      </c>
      <c r="H271">
        <v>0</v>
      </c>
    </row>
    <row r="272" spans="1:9">
      <c r="A272">
        <f>怪しいデータを手直し!F218</f>
        <v>274</v>
      </c>
      <c r="B272">
        <f>怪しいデータを手直し!C218</f>
        <v>48.235042680231857</v>
      </c>
      <c r="C272">
        <f>怪しいデータを手直し!D218</f>
        <v>2.3206984656962657</v>
      </c>
      <c r="D272" t="str">
        <f>怪しいデータを手直し!G218</f>
        <v>lc</v>
      </c>
      <c r="E272">
        <f>怪しいデータを手直し!T218</f>
        <v>1.79</v>
      </c>
      <c r="F272">
        <f>IF(怪しいデータを手直し!U218="dead",0,怪しいデータを手直し!U218)</f>
        <v>3.0876058959827692</v>
      </c>
      <c r="G272">
        <f>怪しいデータを手直し!L218</f>
        <v>2.9</v>
      </c>
      <c r="H272">
        <v>0</v>
      </c>
    </row>
    <row r="273" spans="1:9">
      <c r="A273">
        <f>怪しいデータを手直し!F123</f>
        <v>275</v>
      </c>
      <c r="B273">
        <f>怪しいデータを手直し!C123</f>
        <v>49.221325124819906</v>
      </c>
      <c r="C273">
        <f>怪しいデータを手直し!D123</f>
        <v>2.2897754285387277</v>
      </c>
      <c r="D273" t="str">
        <f>怪しいデータを手直し!G123</f>
        <v>pt</v>
      </c>
      <c r="E273">
        <f>怪しいデータを手直し!T123</f>
        <v>1.08</v>
      </c>
      <c r="F273">
        <f>IF(怪しいデータを手直し!U123="dead",0,怪しいデータを手直し!U123)</f>
        <v>2.0371832715762603</v>
      </c>
      <c r="G273">
        <f>怪しいデータを手直し!L123</f>
        <v>2.8</v>
      </c>
      <c r="H273">
        <v>0</v>
      </c>
    </row>
    <row r="274" spans="1:9">
      <c r="A274">
        <f>怪しいデータを手直し!F194</f>
        <v>276</v>
      </c>
      <c r="B274">
        <f>怪しいデータを手直し!C194</f>
        <v>49.012604403629609</v>
      </c>
      <c r="C274">
        <f>怪しいデータを手直し!D194</f>
        <v>2.6494992100077894</v>
      </c>
      <c r="D274" t="str">
        <f>怪しいデータを手直し!G194</f>
        <v>pt</v>
      </c>
      <c r="E274">
        <f>怪しいデータを手直し!T194</f>
        <v>1.55</v>
      </c>
      <c r="F274">
        <f>IF(怪しいデータを手直し!U194="dead",0,怪しいデータを手直し!U194)</f>
        <v>2.6738030439438418</v>
      </c>
      <c r="G274">
        <f>怪しいデータを手直し!L194</f>
        <v>3.2</v>
      </c>
      <c r="H274">
        <v>0</v>
      </c>
    </row>
    <row r="275" spans="1:9">
      <c r="A275">
        <f>怪しいデータを手直し!F644</f>
        <v>277</v>
      </c>
      <c r="B275">
        <f>怪しいデータを手直し!C644</f>
        <v>48.467731741905403</v>
      </c>
      <c r="C275">
        <f>怪しいデータを手直し!D644</f>
        <v>4.3313476780518956</v>
      </c>
      <c r="D275" t="str">
        <f>怪しいデータを手直し!G644</f>
        <v>lc</v>
      </c>
      <c r="E275">
        <f>怪しいデータを手直し!T644</f>
        <v>16.01098727504467</v>
      </c>
      <c r="F275">
        <f>IF(怪しいデータを手直し!U644="dead",0,怪しいデータを手直し!U644)</f>
        <v>0</v>
      </c>
      <c r="G275">
        <f>怪しいデータを手直し!L644</f>
        <v>4.0999999999999996</v>
      </c>
      <c r="H275">
        <v>0</v>
      </c>
    </row>
    <row r="276" spans="1:9">
      <c r="A276">
        <f>怪しいデータを手直し!F592</f>
        <v>278</v>
      </c>
      <c r="B276">
        <f>怪しいデータを手直し!C592</f>
        <v>49.011636361915841</v>
      </c>
      <c r="C276">
        <f>怪しいデータを手直し!D592</f>
        <v>7.869739433638161</v>
      </c>
      <c r="D276" t="str">
        <f>怪しいデータを手直し!G592</f>
        <v>lc</v>
      </c>
      <c r="E276">
        <f>怪しいデータを手直し!T592</f>
        <v>11.459155902616464</v>
      </c>
      <c r="F276">
        <f>IF(怪しいデータを手直し!U592="dead",0,怪しいデータを手直し!U592)</f>
        <v>0</v>
      </c>
      <c r="G276">
        <f>怪しいデータを手直し!L592</f>
        <v>10</v>
      </c>
      <c r="H276">
        <v>0</v>
      </c>
    </row>
    <row r="277" spans="1:9">
      <c r="A277">
        <f>怪しいデータを手直し!F203</f>
        <v>279</v>
      </c>
      <c r="B277">
        <f>怪しいデータを手直し!C203</f>
        <v>42.95207783888543</v>
      </c>
      <c r="C277">
        <f>怪しいデータを手直し!D203</f>
        <v>10.555182391625927</v>
      </c>
      <c r="D277" t="str">
        <f>怪しいデータを手直し!G203</f>
        <v>pt</v>
      </c>
      <c r="E277">
        <f>怪しいデータを手直し!T203</f>
        <v>1.63</v>
      </c>
      <c r="F277">
        <f>IF(怪しいデータを手直し!U203="dead",0,怪しいデータを手直し!U203)</f>
        <v>2.6419720553254629</v>
      </c>
      <c r="G277">
        <f>怪しいデータを手直し!L203</f>
        <v>3.2</v>
      </c>
      <c r="H277">
        <v>0</v>
      </c>
    </row>
    <row r="278" spans="1:9">
      <c r="A278">
        <f>怪しいデータを手直し!F269</f>
        <v>280</v>
      </c>
      <c r="B278">
        <f>怪しいデータを手直し!C269</f>
        <v>44.448175780776694</v>
      </c>
      <c r="C278">
        <f>怪しいデータを手直し!D269</f>
        <v>11.04175147655649</v>
      </c>
      <c r="D278" t="str">
        <f>怪しいデータを手直し!G269</f>
        <v>pt</v>
      </c>
      <c r="E278">
        <f>怪しいデータを手直し!T269</f>
        <v>2.25</v>
      </c>
      <c r="F278">
        <f>IF(怪しいデータを手直し!U269="dead",0,怪しいデータを手直し!U269)</f>
        <v>2.46</v>
      </c>
      <c r="G278">
        <f>怪しいデータを手直し!L269</f>
        <v>1.7</v>
      </c>
      <c r="H278">
        <v>0</v>
      </c>
    </row>
    <row r="279" spans="1:9">
      <c r="A279">
        <f>怪しいデータを手直し!F176</f>
        <v>281</v>
      </c>
      <c r="B279">
        <f>怪しいデータを手直し!C176</f>
        <v>41.378009384887001</v>
      </c>
      <c r="C279">
        <f>怪しいデータを手直し!D176</f>
        <v>14.425970717925551</v>
      </c>
      <c r="D279" t="str">
        <f>怪しいデータを手直し!G176</f>
        <v>lc</v>
      </c>
      <c r="E279">
        <f>怪しいデータを手直し!T176</f>
        <v>1.41</v>
      </c>
      <c r="F279">
        <f>IF(怪しいデータを手直し!U176="dead",0,怪しいデータを手直し!U176)</f>
        <v>2.4509861236151882</v>
      </c>
      <c r="G279">
        <f>怪しいデータを手直し!L176</f>
        <v>2.2000000000000002</v>
      </c>
      <c r="H279">
        <v>0</v>
      </c>
    </row>
    <row r="280" spans="1:9">
      <c r="A280">
        <f>怪しいデータを手直し!F191</f>
        <v>282</v>
      </c>
      <c r="B280">
        <f>怪しいデータを手直し!C191</f>
        <v>42.941695206502793</v>
      </c>
      <c r="C280">
        <f>怪しいデータを手直し!D191</f>
        <v>16.264571620016966</v>
      </c>
      <c r="D280" t="str">
        <f>怪しいデータを手直し!G191</f>
        <v>lc</v>
      </c>
      <c r="E280">
        <f>怪しいデータを手直し!T191</f>
        <v>1.53</v>
      </c>
      <c r="F280">
        <f>IF(怪しいデータを手直し!U191="dead",0,怪しいデータを手直し!U191)</f>
        <v>2.6419720553254629</v>
      </c>
      <c r="G280">
        <f>怪しいデータを手直し!L191</f>
        <v>3.1</v>
      </c>
      <c r="H280">
        <v>0</v>
      </c>
    </row>
    <row r="281" spans="1:9">
      <c r="A281">
        <f>怪しいデータを手直し!F677</f>
        <v>283</v>
      </c>
      <c r="B281">
        <f>怪しいデータを手直し!C677</f>
        <v>44.877625007161186</v>
      </c>
      <c r="C281">
        <f>怪しいデータを手直し!D677</f>
        <v>16.837663182661874</v>
      </c>
      <c r="D281" t="str">
        <f>怪しいデータを手直し!G677</f>
        <v>lc</v>
      </c>
      <c r="E281">
        <f>怪しいデータを手直し!T677</f>
        <v>23.363945645890237</v>
      </c>
      <c r="F281">
        <f>IF(怪しいデータを手直し!U677="dead",0,怪しいデータを手直し!U677)</f>
        <v>0</v>
      </c>
      <c r="G281">
        <f>怪しいデータを手直し!L677</f>
        <v>15.9</v>
      </c>
      <c r="H281">
        <v>0</v>
      </c>
    </row>
    <row r="282" spans="1:9">
      <c r="A282">
        <f>怪しいデータを手直し!F642</f>
        <v>284</v>
      </c>
      <c r="B282">
        <f>怪しいデータを手直し!C642</f>
        <v>42.304581878069619</v>
      </c>
      <c r="C282">
        <f>怪しいデータを手直し!D642</f>
        <v>19.634808535312285</v>
      </c>
      <c r="D282" t="str">
        <f>怪しいデータを手直し!G642</f>
        <v>bp</v>
      </c>
      <c r="E282">
        <f>怪しいデータを手直し!T642</f>
        <v>15.820001343334399</v>
      </c>
      <c r="F282">
        <f>IF(怪しいデータを手直し!U642="dead",0,怪しいデータを手直し!U642)</f>
        <v>16.01098727504467</v>
      </c>
      <c r="G282">
        <f>怪しいデータを手直し!L642</f>
        <v>10.7</v>
      </c>
      <c r="H282">
        <v>284</v>
      </c>
      <c r="I282">
        <v>145</v>
      </c>
    </row>
    <row r="283" spans="1:9">
      <c r="A283">
        <f>怪しいデータを手直し!F585</f>
        <v>285</v>
      </c>
      <c r="B283">
        <f>怪しいデータを手直し!C585</f>
        <v>49.999878153155805</v>
      </c>
      <c r="C283">
        <f>怪しいデータを手直し!D585</f>
        <v>19.930186971695527</v>
      </c>
      <c r="D283" t="str">
        <f>怪しいデータを手直し!G585</f>
        <v>lc</v>
      </c>
      <c r="E283">
        <f>怪しいデータを手直し!T585</f>
        <v>11.045353050577537</v>
      </c>
      <c r="F283">
        <f>IF(怪しいデータを手直し!U585="dead",0,怪しいデータを手直し!U585)</f>
        <v>0</v>
      </c>
      <c r="G283">
        <f>怪しいデータを手直し!L585</f>
        <v>7.4</v>
      </c>
      <c r="H283">
        <v>0</v>
      </c>
      <c r="I283">
        <v>151</v>
      </c>
    </row>
    <row r="284" spans="1:9">
      <c r="A284">
        <f>怪しいデータを手直し!F667</f>
        <v>286</v>
      </c>
      <c r="B284">
        <f>怪しいデータを手直し!C667</f>
        <v>43.349094919314922</v>
      </c>
      <c r="C284">
        <f>怪しいデータを手直し!D667</f>
        <v>23.576879203316832</v>
      </c>
      <c r="D284" t="str">
        <f>怪しいデータを手直し!G667</f>
        <v>lc</v>
      </c>
      <c r="E284">
        <f>怪しいデータを手直し!T667</f>
        <v>20.881128533656668</v>
      </c>
      <c r="F284">
        <f>IF(怪しいデータを手直し!U667="dead",0,怪しいデータを手直し!U667)</f>
        <v>0</v>
      </c>
      <c r="G284">
        <f>怪しいデータを手直し!L667</f>
        <v>12.2</v>
      </c>
      <c r="H284">
        <v>0</v>
      </c>
    </row>
    <row r="285" spans="1:9">
      <c r="A285">
        <f>怪しいデータを手直し!F683</f>
        <v>287</v>
      </c>
      <c r="B285">
        <f>怪しいデータを手直し!C683</f>
        <v>48.156732809019061</v>
      </c>
      <c r="C285">
        <f>怪しいデータを手直し!D683</f>
        <v>26.181056034521198</v>
      </c>
      <c r="D285" t="str">
        <f>怪しいデータを手直し!G683</f>
        <v>lc</v>
      </c>
      <c r="E285">
        <f>怪しいデータを手直し!T683</f>
        <v>25.592114849176774</v>
      </c>
      <c r="F285">
        <f>IF(怪しいデータを手直し!U683="dead",0,怪しいデータを手直し!U683)</f>
        <v>0</v>
      </c>
      <c r="G285">
        <f>怪しいデータを手直し!L683</f>
        <v>18.5</v>
      </c>
      <c r="H285">
        <v>0</v>
      </c>
    </row>
    <row r="286" spans="1:9">
      <c r="A286">
        <f>怪しいデータを手直し!F588</f>
        <v>288</v>
      </c>
      <c r="B286">
        <f>怪しいデータを手直し!C588</f>
        <v>48.295744434881712</v>
      </c>
      <c r="C286">
        <f>怪しいデータを手直し!D588</f>
        <v>26.804126363721846</v>
      </c>
      <c r="D286" t="str">
        <f>怪しいデータを手直し!G588</f>
        <v>lc</v>
      </c>
      <c r="E286">
        <f>怪しいデータを手直し!T588</f>
        <v>11.140846016432674</v>
      </c>
      <c r="F286">
        <f>IF(怪しいデータを手直し!U588="dead",0,怪しいデータを手直し!U588)</f>
        <v>0</v>
      </c>
      <c r="G286">
        <f>怪しいデータを手直し!L588</f>
        <v>9.8000000000000007</v>
      </c>
      <c r="H286">
        <v>0</v>
      </c>
    </row>
    <row r="287" spans="1:9">
      <c r="A287">
        <f>怪しいデータを手直し!F447</f>
        <v>289</v>
      </c>
      <c r="B287">
        <f>怪しいデータを手直し!C447</f>
        <v>48.806686210966056</v>
      </c>
      <c r="C287">
        <f>怪しいデータを手直し!D447</f>
        <v>30.211197469555618</v>
      </c>
      <c r="D287" t="str">
        <f>怪しいデータを手直し!G447</f>
        <v>af</v>
      </c>
      <c r="E287">
        <f>怪しいデータを手直し!T447</f>
        <v>4.9019722472303764</v>
      </c>
      <c r="F287">
        <f>IF(怪しいデータを手直し!U447="dead",0,怪しいデータを手直し!U447)</f>
        <v>0</v>
      </c>
      <c r="G287">
        <f>怪しいデータを手直し!L447</f>
        <v>3</v>
      </c>
      <c r="H287">
        <v>0</v>
      </c>
    </row>
    <row r="288" spans="1:9">
      <c r="A288">
        <f>怪しいデータを手直し!F297</f>
        <v>290</v>
      </c>
      <c r="B288">
        <f>怪しいデータを手直し!C297</f>
        <v>42.291153200946574</v>
      </c>
      <c r="C288">
        <f>怪しいデータを手直し!D297</f>
        <v>29.228458863258844</v>
      </c>
      <c r="D288" t="str">
        <f>怪しいデータを手直し!G297</f>
        <v>bp</v>
      </c>
      <c r="E288">
        <f>怪しいデータを手直し!T297</f>
        <v>2.4900000000000002</v>
      </c>
      <c r="F288">
        <f>IF(怪しいデータを手直し!U297="dead",0,怪しいデータを手直し!U297)</f>
        <v>2.7692960097989787</v>
      </c>
      <c r="G288">
        <f>怪しいデータを手直し!L297</f>
        <v>3</v>
      </c>
      <c r="H288">
        <v>302</v>
      </c>
    </row>
    <row r="289" spans="1:9">
      <c r="A289">
        <f>怪しいデータを手直し!F144</f>
        <v>291</v>
      </c>
      <c r="B289">
        <f>怪しいデータを手直し!C144</f>
        <v>42.314959564929261</v>
      </c>
      <c r="C289">
        <f>怪しいデータを手直し!D144</f>
        <v>29.279987657004579</v>
      </c>
      <c r="D289" t="str">
        <f>怪しいデータを手直し!G144</f>
        <v>bp</v>
      </c>
      <c r="E289">
        <f>怪しいデータを手直し!T144</f>
        <v>1.24</v>
      </c>
      <c r="F289">
        <f>IF(怪しいデータを手直し!U144="dead",0,怪しいデータを手直し!U144)</f>
        <v>0.55000000000000004</v>
      </c>
      <c r="G289">
        <f>怪しいデータを手直し!L144</f>
        <v>3.4</v>
      </c>
      <c r="H289">
        <v>302</v>
      </c>
    </row>
    <row r="290" spans="1:9">
      <c r="A290">
        <f>怪しいデータを手直し!F382</f>
        <v>292</v>
      </c>
      <c r="B290">
        <f>怪しいデータを手直し!C382</f>
        <v>42.394823115933988</v>
      </c>
      <c r="C290">
        <f>怪しいデータを手直し!D382</f>
        <v>29.340169159319785</v>
      </c>
      <c r="D290" t="str">
        <f>怪しいデータを手直し!G382</f>
        <v>bp</v>
      </c>
      <c r="E290">
        <f>怪しいデータを手直し!T382</f>
        <v>3.59</v>
      </c>
      <c r="F290">
        <f>IF(怪しいデータを手直し!U382="dead",0,怪しいデータを手直し!U382)</f>
        <v>3.6287327024952138</v>
      </c>
      <c r="G290">
        <f>怪しいデータを手直し!L382</f>
        <v>5.0999999999999996</v>
      </c>
      <c r="H290">
        <v>302</v>
      </c>
    </row>
    <row r="291" spans="1:9">
      <c r="A291">
        <f>怪しいデータを手直し!F311</f>
        <v>293</v>
      </c>
      <c r="B291">
        <f>怪しいデータを手直し!C311</f>
        <v>42.218768942491181</v>
      </c>
      <c r="C291">
        <f>怪しいデータを手直し!D311</f>
        <v>29.27455042198882</v>
      </c>
      <c r="D291" t="str">
        <f>怪しいデータを手直し!G311</f>
        <v>bp</v>
      </c>
      <c r="E291">
        <f>怪しいデータを手直し!T311</f>
        <v>2.65</v>
      </c>
      <c r="F291">
        <f>IF(怪しいデータを手直し!U311="dead",0,怪しいデータを手直し!U311)</f>
        <v>0</v>
      </c>
      <c r="G291">
        <f>怪しいデータを手直し!L311</f>
        <v>2.9</v>
      </c>
      <c r="H291">
        <v>302</v>
      </c>
    </row>
    <row r="292" spans="1:9">
      <c r="A292">
        <f>怪しいデータを手直し!F219</f>
        <v>294</v>
      </c>
      <c r="B292">
        <f>怪しいデータを手直し!C219</f>
        <v>42.210517931122659</v>
      </c>
      <c r="C292">
        <f>怪しいデータを手直し!D219</f>
        <v>29.301921944078657</v>
      </c>
      <c r="D292" t="str">
        <f>怪しいデータを手直し!G219</f>
        <v>bp</v>
      </c>
      <c r="E292">
        <f>怪しいデータを手直し!T219</f>
        <v>1.8</v>
      </c>
      <c r="F292">
        <f>IF(怪しいデータを手直し!U219="dead",0,怪しいデータを手直し!U219)</f>
        <v>1.83</v>
      </c>
      <c r="G292">
        <f>怪しいデータを手直し!L219</f>
        <v>3.5</v>
      </c>
      <c r="H292">
        <v>302</v>
      </c>
    </row>
    <row r="293" spans="1:9">
      <c r="A293">
        <f>怪しいデータを手直し!F137</f>
        <v>295</v>
      </c>
      <c r="B293">
        <f>怪しいデータを手直し!C137</f>
        <v>42.296976774514143</v>
      </c>
      <c r="C293">
        <f>怪しいデータを手直し!D137</f>
        <v>29.435802149635169</v>
      </c>
      <c r="D293" t="str">
        <f>怪しいデータを手直し!G137</f>
        <v>bp</v>
      </c>
      <c r="E293">
        <f>怪しいデータを手直し!T137</f>
        <v>1.22</v>
      </c>
      <c r="F293">
        <f>IF(怪しいデータを手直し!U137="dead",0,怪しいデータを手直し!U137)</f>
        <v>1.3599999999999999</v>
      </c>
      <c r="G293">
        <f>怪しいデータを手直し!L137</f>
        <v>2.1</v>
      </c>
      <c r="H293">
        <v>302</v>
      </c>
    </row>
    <row r="294" spans="1:9">
      <c r="A294">
        <f>怪しいデータを手直し!F245</f>
        <v>296</v>
      </c>
      <c r="B294">
        <f>怪しいデータを手直し!C245</f>
        <v>42.367641332774518</v>
      </c>
      <c r="C294">
        <f>怪しいデータを手直し!D245</f>
        <v>29.524366008498795</v>
      </c>
      <c r="D294" t="str">
        <f>怪しいデータを手直し!G245</f>
        <v>bp</v>
      </c>
      <c r="E294">
        <f>怪しいデータを手直し!T245</f>
        <v>2.0499999999999998</v>
      </c>
      <c r="F294">
        <f>IF(怪しいデータを手直し!U245="dead",0,怪しいデータを手直し!U245)</f>
        <v>2.2918311805232929</v>
      </c>
      <c r="G294">
        <f>怪しいデータを手直し!L245</f>
        <v>3</v>
      </c>
      <c r="H294">
        <v>302</v>
      </c>
    </row>
    <row r="295" spans="1:9">
      <c r="A295">
        <f>怪しいデータを手直し!F111</f>
        <v>297</v>
      </c>
      <c r="B295">
        <f>怪しいデータを手直し!C111</f>
        <v>42.470638986410691</v>
      </c>
      <c r="C295">
        <f>怪しいデータを手直し!D111</f>
        <v>29.603684879805961</v>
      </c>
      <c r="D295" t="str">
        <f>怪しいデータを手直し!G111</f>
        <v>bp</v>
      </c>
      <c r="E295">
        <f>怪しいデータを手直し!T111</f>
        <v>1</v>
      </c>
      <c r="F295">
        <f>IF(怪しいデータを手直し!U111="dead",0,怪しいデータを手直し!U111)</f>
        <v>1.21</v>
      </c>
      <c r="G295">
        <f>怪しいデータを手直し!L111</f>
        <v>2.7</v>
      </c>
      <c r="H295">
        <v>302</v>
      </c>
    </row>
    <row r="296" spans="1:9">
      <c r="A296">
        <f>怪しいデータを手直し!F271</f>
        <v>298</v>
      </c>
      <c r="B296">
        <f>怪しいデータを手直し!C271</f>
        <v>42.430857709244037</v>
      </c>
      <c r="C296">
        <f>怪しいデータを手直し!D271</f>
        <v>29.817299863635021</v>
      </c>
      <c r="D296" t="str">
        <f>怪しいデータを手直し!G271</f>
        <v>bp</v>
      </c>
      <c r="E296">
        <f>怪しいデータを手直し!T271</f>
        <v>2.2599999999999998</v>
      </c>
      <c r="F296">
        <f>IF(怪しいデータを手直し!U271="dead",0,怪しいデータを手直し!U271)</f>
        <v>2.4509861236151882</v>
      </c>
      <c r="G296">
        <f>怪しいデータを手直し!L271</f>
        <v>4.3</v>
      </c>
      <c r="H296">
        <v>302</v>
      </c>
    </row>
    <row r="297" spans="1:9">
      <c r="A297">
        <f>怪しいデータを手直し!F548</f>
        <v>299</v>
      </c>
      <c r="B297">
        <f>怪しいデータを手直し!C548</f>
        <v>42.499091903781498</v>
      </c>
      <c r="C297">
        <f>怪しいデータを手直し!D548</f>
        <v>29.730277569567264</v>
      </c>
      <c r="D297" t="str">
        <f>怪しいデータを手直し!G548</f>
        <v>bp</v>
      </c>
      <c r="E297">
        <f>怪しいデータを手直し!T548</f>
        <v>8.5307049497255907</v>
      </c>
      <c r="F297">
        <f>IF(怪しいデータを手直し!U548="dead",0,怪しいデータを手直し!U548)</f>
        <v>8.9445078017645194</v>
      </c>
      <c r="G297">
        <f>怪しいデータを手直し!L548</f>
        <v>7.3</v>
      </c>
      <c r="H297">
        <v>302</v>
      </c>
      <c r="I297">
        <v>39</v>
      </c>
    </row>
    <row r="298" spans="1:9">
      <c r="A298">
        <f>怪しいデータを手直し!F415</f>
        <v>300</v>
      </c>
      <c r="B298">
        <f>怪しいデータを手直し!C415</f>
        <v>42.576651627563287</v>
      </c>
      <c r="C298">
        <f>怪しいデータを手直し!D415</f>
        <v>29.825957146197499</v>
      </c>
      <c r="D298" t="str">
        <f>怪しいデータを手直し!G415</f>
        <v>bp</v>
      </c>
      <c r="E298">
        <f>怪しいデータを手直し!T415</f>
        <v>4.169859509007658</v>
      </c>
      <c r="F298">
        <f>IF(怪しいデータを手直し!U415="dead",0,怪しいデータを手直し!U415)</f>
        <v>4.2653524748627953</v>
      </c>
      <c r="G298">
        <f>怪しいデータを手直し!L415</f>
        <v>5.5</v>
      </c>
      <c r="H298">
        <v>302</v>
      </c>
    </row>
    <row r="299" spans="1:9">
      <c r="A299">
        <f>怪しいデータを手直し!F157</f>
        <v>301</v>
      </c>
      <c r="B299">
        <f>怪しいデータを手直し!C157</f>
        <v>42.537382672775671</v>
      </c>
      <c r="C299">
        <f>怪しいデータを手直し!D157</f>
        <v>29.97268447893466</v>
      </c>
      <c r="D299" t="str">
        <f>怪しいデータを手直し!G157</f>
        <v>bp</v>
      </c>
      <c r="E299">
        <f>怪しいデータを手直し!T157</f>
        <v>1.31</v>
      </c>
      <c r="F299">
        <f>IF(怪しいデータを手直し!U157="dead",0,怪しいデータを手直し!U157)</f>
        <v>1.909859317102744</v>
      </c>
      <c r="G299">
        <f>怪しいデータを手直し!L157</f>
        <v>3.1</v>
      </c>
      <c r="H299">
        <v>302</v>
      </c>
    </row>
    <row r="300" spans="1:9">
      <c r="A300">
        <f>怪しいデータを手直し!F620</f>
        <v>302</v>
      </c>
      <c r="B300">
        <f>怪しいデータを手直し!C620</f>
        <v>42.20210713056332</v>
      </c>
      <c r="C300">
        <f>怪しいデータを手直し!D620</f>
        <v>29.671270938933304</v>
      </c>
      <c r="D300" t="str">
        <f>怪しいデータを手直し!G620</f>
        <v>bp</v>
      </c>
      <c r="E300">
        <f>怪しいデータを手直し!T620</f>
        <v>12.923381379061903</v>
      </c>
      <c r="F300">
        <f>IF(怪しいデータを手直し!U620="dead",0,怪しいデータを手直し!U620)</f>
        <v>13.018874344917039</v>
      </c>
      <c r="G300">
        <f>怪しいデータを手直し!L620</f>
        <v>8</v>
      </c>
      <c r="H300">
        <v>302</v>
      </c>
      <c r="I300">
        <v>57</v>
      </c>
    </row>
    <row r="301" spans="1:9">
      <c r="A301">
        <f>怪しいデータを手直し!F634</f>
        <v>303</v>
      </c>
      <c r="B301">
        <f>怪しいデータを手直し!C634</f>
        <v>41.081628906778029</v>
      </c>
      <c r="C301">
        <f>怪しいデータを手直し!D634</f>
        <v>27.390527773607346</v>
      </c>
      <c r="D301" t="str">
        <f>怪しいデータを手直し!G634</f>
        <v>lc</v>
      </c>
      <c r="E301">
        <f>怪しいデータを手直し!T634</f>
        <v>14.451268832744097</v>
      </c>
      <c r="F301">
        <f>IF(怪しいデータを手直し!U634="dead",0,怪しいデータを手直し!U634)</f>
        <v>0</v>
      </c>
      <c r="G301">
        <f>怪しいデータを手直し!L634</f>
        <v>7.5</v>
      </c>
      <c r="H301">
        <v>0</v>
      </c>
    </row>
    <row r="302" spans="1:9">
      <c r="A302">
        <f>怪しいデータを手直し!F459</f>
        <v>304</v>
      </c>
      <c r="B302">
        <f>怪しいデータを手直し!C459</f>
        <v>41.946733044397213</v>
      </c>
      <c r="C302">
        <f>怪しいデータを手直し!D459</f>
        <v>29.300277929498005</v>
      </c>
      <c r="D302" t="str">
        <f>怪しいデータを手直し!G459</f>
        <v>bp</v>
      </c>
      <c r="E302">
        <f>怪しいデータを手直し!T459</f>
        <v>5.1884511447957884</v>
      </c>
      <c r="F302">
        <f>IF(怪しいデータを手直し!U459="dead",0,怪しいデータを手直し!U459)</f>
        <v>5.5704230082163368</v>
      </c>
      <c r="G302">
        <f>怪しいデータを手直し!L459</f>
        <v>6.6</v>
      </c>
      <c r="H302">
        <v>302</v>
      </c>
    </row>
    <row r="303" spans="1:9">
      <c r="A303">
        <f>怪しいデータを手直し!F355</f>
        <v>305</v>
      </c>
      <c r="B303">
        <f>怪しいデータを手直し!C355</f>
        <v>41.897873362675597</v>
      </c>
      <c r="C303">
        <f>怪しいデータを手直し!D355</f>
        <v>29.362703105713361</v>
      </c>
      <c r="D303" t="str">
        <f>怪しいデータを手直し!G355</f>
        <v>bp</v>
      </c>
      <c r="E303">
        <f>怪しいデータを手直し!T355</f>
        <v>3.21</v>
      </c>
      <c r="F303">
        <f>IF(怪しいデータを手直し!U355="dead",0,怪しいデータを手直し!U355)</f>
        <v>3.4377467707849396</v>
      </c>
      <c r="G303">
        <f>怪しいデータを手直し!L355</f>
        <v>4.2</v>
      </c>
      <c r="H303">
        <v>302</v>
      </c>
    </row>
    <row r="304" spans="1:9">
      <c r="A304">
        <f>怪しいデータを手直し!F270</f>
        <v>306</v>
      </c>
      <c r="B304">
        <f>怪しいデータを手直し!C270</f>
        <v>41.880792813059728</v>
      </c>
      <c r="C304">
        <f>怪しいデータを手直し!D270</f>
        <v>29.416600349019195</v>
      </c>
      <c r="D304" t="str">
        <f>怪しいデータを手直し!G270</f>
        <v>bp</v>
      </c>
      <c r="E304">
        <f>怪しいデータを手直し!T270</f>
        <v>2.25</v>
      </c>
      <c r="F304">
        <f>IF(怪しいデータを手直し!U270="dead",0,怪しいデータを手直し!U270)</f>
        <v>2.5464790894703255</v>
      </c>
      <c r="G304">
        <f>怪しいデータを手直し!L270</f>
        <v>3.6</v>
      </c>
      <c r="H304">
        <v>302</v>
      </c>
    </row>
    <row r="305" spans="1:8">
      <c r="A305">
        <f>怪しいデータを手直し!F195</f>
        <v>307</v>
      </c>
      <c r="B305">
        <f>怪しいデータを手直し!C195</f>
        <v>41.793904923765879</v>
      </c>
      <c r="C305">
        <f>怪しいデータを手直し!D195</f>
        <v>29.381295574128924</v>
      </c>
      <c r="D305" t="str">
        <f>怪しいデータを手直し!G195</f>
        <v>bp</v>
      </c>
      <c r="E305">
        <f>怪しいデータを手直し!T195</f>
        <v>1.56</v>
      </c>
      <c r="F305">
        <f>IF(怪しいデータを手直し!U195="dead",0,怪しいデータを手直し!U195)</f>
        <v>1.941690305721123</v>
      </c>
      <c r="G305">
        <f>怪しいデータを手直し!L195</f>
        <v>3.9</v>
      </c>
      <c r="H305">
        <v>302</v>
      </c>
    </row>
    <row r="306" spans="1:8">
      <c r="A306">
        <f>怪しいデータを手直し!F88</f>
        <v>308</v>
      </c>
      <c r="B306">
        <f>怪しいデータを手直し!C88</f>
        <v>41.818732140228228</v>
      </c>
      <c r="C306">
        <f>怪しいデータを手直し!D88</f>
        <v>29.333872218834813</v>
      </c>
      <c r="D306" t="str">
        <f>怪しいデータを手直し!G88</f>
        <v>bp</v>
      </c>
      <c r="E306">
        <f>怪しいデータを手直し!T88</f>
        <v>0.84</v>
      </c>
      <c r="F306">
        <f>IF(怪しいデータを手直し!U88="dead",0,怪しいデータを手直し!U88)</f>
        <v>1.1300000000000001</v>
      </c>
      <c r="G306">
        <f>怪しいデータを手直し!L88</f>
        <v>1.6</v>
      </c>
      <c r="H306">
        <v>302</v>
      </c>
    </row>
    <row r="307" spans="1:8">
      <c r="A307">
        <f>怪しいデータを手直し!F342</f>
        <v>309</v>
      </c>
      <c r="B307">
        <f>怪しいデータを手直し!C342</f>
        <v>41.842468171835485</v>
      </c>
      <c r="C307">
        <f>怪しいデータを手直し!D342</f>
        <v>29.62411282140144</v>
      </c>
      <c r="D307" t="str">
        <f>怪しいデータを手直し!G342</f>
        <v>bp</v>
      </c>
      <c r="E307">
        <f>怪しいデータを手直し!T342</f>
        <v>3.04</v>
      </c>
      <c r="F307">
        <f>IF(怪しいデータを手直し!U342="dead",0,怪しいデータを手直し!U342)</f>
        <v>3.214929850456286</v>
      </c>
      <c r="G307">
        <f>怪しいデータを手直し!L342</f>
        <v>5.0999999999999996</v>
      </c>
      <c r="H307">
        <v>302</v>
      </c>
    </row>
    <row r="308" spans="1:8">
      <c r="A308">
        <f>怪しいデータを手直し!F501</f>
        <v>310</v>
      </c>
      <c r="B308">
        <f>怪しいデータを手直し!C501</f>
        <v>42.049845489303813</v>
      </c>
      <c r="C308">
        <f>怪しいデータを手直し!D501</f>
        <v>29.65374661382328</v>
      </c>
      <c r="D308" t="str">
        <f>怪しいデータを手直し!G501</f>
        <v>bp</v>
      </c>
      <c r="E308">
        <f>怪しいデータを手直し!T501</f>
        <v>6.35</v>
      </c>
      <c r="F308">
        <f>IF(怪しいデータを手直し!U501="dead",0,怪しいデータを手直し!U501)</f>
        <v>7.416620348082323</v>
      </c>
      <c r="G308">
        <f>怪しいデータを手直し!L501</f>
        <v>5.9</v>
      </c>
      <c r="H308">
        <v>302</v>
      </c>
    </row>
    <row r="309" spans="1:8">
      <c r="A309">
        <f>怪しいデータを手直し!F126</f>
        <v>311</v>
      </c>
      <c r="B309">
        <f>怪しいデータを手直し!C126</f>
        <v>41.934145126044378</v>
      </c>
      <c r="C309">
        <f>怪しいデータを手直し!D126</f>
        <v>29.733251261038692</v>
      </c>
      <c r="D309" t="str">
        <f>怪しいデータを手直し!G126</f>
        <v>bp</v>
      </c>
      <c r="E309">
        <f>怪しいデータを手直し!T126</f>
        <v>1.0900000000000001</v>
      </c>
      <c r="F309">
        <f>IF(怪しいデータを手直し!U126="dead",0,怪しいデータを手直し!U126)</f>
        <v>1.1800000000000002</v>
      </c>
      <c r="G309">
        <f>怪しいデータを手直し!L126</f>
        <v>2</v>
      </c>
      <c r="H309">
        <v>302</v>
      </c>
    </row>
    <row r="310" spans="1:8">
      <c r="A310">
        <f>怪しいデータを手直し!F226</f>
        <v>312</v>
      </c>
      <c r="B310">
        <f>怪しいデータを手直し!C226</f>
        <v>41.955044382048811</v>
      </c>
      <c r="C310">
        <f>怪しいデータを手直し!D226</f>
        <v>29.612102466330828</v>
      </c>
      <c r="D310" t="str">
        <f>怪しいデータを手直し!G226</f>
        <v>bp</v>
      </c>
      <c r="E310">
        <f>怪しいデータを手直し!T226</f>
        <v>1.84</v>
      </c>
      <c r="F310">
        <f>IF(怪しいデータを手直し!U226="dead",0,怪しいデータを手直し!U226)</f>
        <v>1.86</v>
      </c>
      <c r="G310">
        <f>怪しいデータを手直し!L226</f>
        <v>3</v>
      </c>
      <c r="H310">
        <v>302</v>
      </c>
    </row>
    <row r="311" spans="1:8">
      <c r="A311">
        <f>怪しいデータを手直し!F153</f>
        <v>313</v>
      </c>
      <c r="B311">
        <f>怪しいデータを手直し!C153</f>
        <v>41.994523250760842</v>
      </c>
      <c r="C311">
        <f>怪しいデータを手直し!D153</f>
        <v>29.817403525727038</v>
      </c>
      <c r="D311" t="str">
        <f>怪しいデータを手直し!G153</f>
        <v>bp</v>
      </c>
      <c r="E311">
        <f>怪しいデータを手直し!T153</f>
        <v>1.3</v>
      </c>
      <c r="F311">
        <f>IF(怪しいデータを手直し!U153="dead",0,怪しいデータを手直し!U153)</f>
        <v>1.909859317102744</v>
      </c>
      <c r="G311">
        <f>怪しいデータを手直し!L153</f>
        <v>3.1</v>
      </c>
      <c r="H311">
        <v>302</v>
      </c>
    </row>
    <row r="312" spans="1:8">
      <c r="A312">
        <f>怪しいデータを手直し!F93</f>
        <v>314</v>
      </c>
      <c r="B312">
        <f>怪しいデータを手直し!C93</f>
        <v>42.095122478025289</v>
      </c>
      <c r="C312">
        <f>怪しいデータを手直し!D93</f>
        <v>29.899743039168619</v>
      </c>
      <c r="D312" t="str">
        <f>怪しいデータを手直し!G93</f>
        <v>bp</v>
      </c>
      <c r="E312">
        <f>怪しいデータを手直し!T93</f>
        <v>0.86</v>
      </c>
      <c r="F312">
        <f>IF(怪しいデータを手直し!U93="dead",0,怪しいデータを手直し!U93)</f>
        <v>1.05</v>
      </c>
      <c r="G312">
        <f>怪しいデータを手直し!L93</f>
        <v>2.5</v>
      </c>
      <c r="H312">
        <v>302</v>
      </c>
    </row>
    <row r="313" spans="1:8">
      <c r="A313">
        <f>怪しいデータを手直し!F142</f>
        <v>315</v>
      </c>
      <c r="B313">
        <f>怪しいデータを手直し!C142</f>
        <v>42.033215261247165</v>
      </c>
      <c r="C313">
        <f>怪しいデータを手直し!D142</f>
        <v>29.849072569358412</v>
      </c>
      <c r="D313" t="str">
        <f>怪しいデータを手直し!G142</f>
        <v>bp</v>
      </c>
      <c r="E313">
        <f>怪しいデータを手直し!T142</f>
        <v>1.23</v>
      </c>
      <c r="F313">
        <f>IF(怪しいデータを手直し!U142="dead",0,怪しいデータを手直し!U142)</f>
        <v>0</v>
      </c>
      <c r="G313">
        <f>怪しいデータを手直し!L142</f>
        <v>1.5</v>
      </c>
      <c r="H313">
        <v>302</v>
      </c>
    </row>
    <row r="314" spans="1:8">
      <c r="A314">
        <f>怪しいデータを手直し!F411</f>
        <v>316</v>
      </c>
      <c r="B314">
        <f>怪しいデータを手直し!C411</f>
        <v>42.033215261247165</v>
      </c>
      <c r="C314">
        <f>怪しいデータを手直し!D411</f>
        <v>29.849072569358412</v>
      </c>
      <c r="D314" t="str">
        <f>怪しいデータを手直し!G411</f>
        <v>bp</v>
      </c>
      <c r="E314">
        <f>怪しいデータを手直し!T411</f>
        <v>4.1061975317709001</v>
      </c>
      <c r="F314">
        <f>IF(怪しいデータを手直し!U411="dead",0,怪しいデータを手直し!U411)</f>
        <v>4.3290144520995533</v>
      </c>
      <c r="G314">
        <f>怪しいデータを手直し!L411</f>
        <v>5.2</v>
      </c>
      <c r="H314">
        <v>302</v>
      </c>
    </row>
    <row r="315" spans="1:8">
      <c r="A315">
        <f>怪しいデータを手直し!F95</f>
        <v>317</v>
      </c>
      <c r="B315">
        <f>怪しいデータを手直し!C95</f>
        <v>42.255591812176434</v>
      </c>
      <c r="C315">
        <f>怪しいデータを手直し!D95</f>
        <v>29.924382566855925</v>
      </c>
      <c r="D315" t="str">
        <f>怪しいデータを手直し!G95</f>
        <v>bp</v>
      </c>
      <c r="E315">
        <f>怪しいデータを手直し!T95</f>
        <v>0.87</v>
      </c>
      <c r="F315">
        <f>IF(怪しいデータを手直し!U95="dead",0,怪しいデータを手直し!U95)</f>
        <v>0.99</v>
      </c>
      <c r="G315">
        <f>怪しいデータを手直し!L95</f>
        <v>2</v>
      </c>
      <c r="H315">
        <v>302</v>
      </c>
    </row>
    <row r="316" spans="1:8">
      <c r="A316">
        <f>怪しいデータを手直し!F50</f>
        <v>318</v>
      </c>
      <c r="B316">
        <f>怪しいデータを手直し!C50</f>
        <v>48.783013822605028</v>
      </c>
      <c r="C316">
        <f>怪しいデータを手直し!D50</f>
        <v>29.943368126254718</v>
      </c>
      <c r="D316" t="str">
        <f>怪しいデータを手直し!G50</f>
        <v>af</v>
      </c>
      <c r="E316">
        <f>怪しいデータを手直し!T50</f>
        <v>0.6</v>
      </c>
      <c r="F316">
        <f>IF(怪しいデータを手直し!U50="dead",0,怪しいデータを手直し!U50)</f>
        <v>0.69000000000000006</v>
      </c>
      <c r="G316">
        <f>怪しいデータを手直し!L50</f>
        <v>1.1000000000000001</v>
      </c>
      <c r="H316">
        <v>0</v>
      </c>
    </row>
    <row r="317" spans="1:8">
      <c r="A317">
        <f>怪しいデータを手直し!F80</f>
        <v>319</v>
      </c>
      <c r="B317">
        <f>怪しいデータを手直し!C80</f>
        <v>49.026122660403686</v>
      </c>
      <c r="C317">
        <f>怪しいデータを手直し!D80</f>
        <v>30.067630548181324</v>
      </c>
      <c r="D317" t="str">
        <f>怪しいデータを手直し!G80</f>
        <v>af</v>
      </c>
      <c r="E317">
        <f>怪しいデータを手直し!T80</f>
        <v>0.78</v>
      </c>
      <c r="F317">
        <f>IF(怪しいデータを手直し!U80="dead",0,怪しいデータを手直し!U80)</f>
        <v>0.9</v>
      </c>
      <c r="G317">
        <f>怪しいデータを手直し!L80</f>
        <v>1.6</v>
      </c>
      <c r="H317">
        <v>0</v>
      </c>
    </row>
    <row r="318" spans="1:8">
      <c r="A318">
        <f>怪しいデータを手直し!F378</f>
        <v>320</v>
      </c>
      <c r="B318">
        <f>怪しいデータを手直し!C378</f>
        <v>49.095619109009078</v>
      </c>
      <c r="C318">
        <f>怪しいデータを手直し!D378</f>
        <v>30.432649520164404</v>
      </c>
      <c r="D318" t="str">
        <f>怪しいデータを手直し!G378</f>
        <v>af</v>
      </c>
      <c r="E318">
        <f>怪しいデータを手直し!T378</f>
        <v>3.5014087480216975</v>
      </c>
      <c r="F318">
        <f>IF(怪しいデータを手直し!U378="dead",0,怪しいデータを手直し!U378)</f>
        <v>3.6605636911135928</v>
      </c>
      <c r="G318">
        <f>怪しいデータを手直し!L378</f>
        <v>3.8</v>
      </c>
      <c r="H318">
        <v>0</v>
      </c>
    </row>
    <row r="319" spans="1:8">
      <c r="A319">
        <f>怪しいデータを手直し!F250</f>
        <v>321</v>
      </c>
      <c r="B319">
        <f>怪しいデータを手直し!C250</f>
        <v>48.923210114886899</v>
      </c>
      <c r="C319">
        <f>怪しいデータを手直し!D250</f>
        <v>30.400201900908641</v>
      </c>
      <c r="D319" t="str">
        <f>怪しいデータを手直し!G250</f>
        <v>af</v>
      </c>
      <c r="E319">
        <f>怪しいデータを手直し!T250</f>
        <v>2.08</v>
      </c>
      <c r="F319">
        <f>IF(怪しいデータを手直し!U250="dead",0,怪しいデータを手直し!U250)</f>
        <v>2.7056340325622208</v>
      </c>
      <c r="G319">
        <f>怪しいデータを手直し!L250</f>
        <v>3.3</v>
      </c>
      <c r="H319">
        <v>0</v>
      </c>
    </row>
    <row r="320" spans="1:8">
      <c r="A320">
        <f>怪しいデータを手直し!F274</f>
        <v>322</v>
      </c>
      <c r="B320">
        <f>怪しいデータを手直し!C274</f>
        <v>49.057455574932867</v>
      </c>
      <c r="C320">
        <f>怪しいデータを手直し!D274</f>
        <v>30.556922641067963</v>
      </c>
      <c r="D320" t="str">
        <f>怪しいデータを手直し!G274</f>
        <v>af</v>
      </c>
      <c r="E320">
        <f>怪しいデータを手直し!T274</f>
        <v>2.27</v>
      </c>
      <c r="F320">
        <f>IF(怪しいデータを手直し!U274="dead",0,怪しいデータを手直し!U274)</f>
        <v>2.8647889756541161</v>
      </c>
      <c r="G320">
        <f>怪しいデータを手直し!L274</f>
        <v>2.8</v>
      </c>
      <c r="H320">
        <v>0</v>
      </c>
    </row>
    <row r="321" spans="1:8">
      <c r="A321">
        <f>怪しいデータを手直し!F103</f>
        <v>323</v>
      </c>
      <c r="B321">
        <f>怪しいデータを手直し!C103</f>
        <v>48.923878928480136</v>
      </c>
      <c r="C321">
        <f>怪しいデータを手直し!D103</f>
        <v>30.406164508423601</v>
      </c>
      <c r="D321" t="str">
        <f>怪しいデータを手直し!G103</f>
        <v>af</v>
      </c>
      <c r="E321">
        <f>怪しいデータを手直し!T103</f>
        <v>0.94</v>
      </c>
      <c r="F321">
        <f>IF(怪しいデータを手直し!U103="dead",0,怪しいデータを手直し!U103)</f>
        <v>1.22</v>
      </c>
      <c r="G321">
        <f>怪しいデータを手直し!L103</f>
        <v>2.1</v>
      </c>
      <c r="H321">
        <v>0</v>
      </c>
    </row>
    <row r="322" spans="1:8">
      <c r="A322">
        <f>怪しいデータを手直し!F182</f>
        <v>324</v>
      </c>
      <c r="B322">
        <f>怪しいデータを手直し!C182</f>
        <v>48.780725712693545</v>
      </c>
      <c r="C322">
        <f>怪しいデータを手直し!D182</f>
        <v>30.982052882594992</v>
      </c>
      <c r="D322" t="str">
        <f>怪しいデータを手直し!G182</f>
        <v>af</v>
      </c>
      <c r="E322">
        <f>怪しいデータを手直し!T182</f>
        <v>1.47</v>
      </c>
      <c r="F322">
        <f>IF(怪しいデータを手直し!U182="dead",0,怪しいデータを手直し!U182)</f>
        <v>0</v>
      </c>
      <c r="G322">
        <f>怪しいデータを手直し!L182</f>
        <v>1</v>
      </c>
      <c r="H322">
        <v>0</v>
      </c>
    </row>
    <row r="323" spans="1:8">
      <c r="A323">
        <f>怪しいデータを手直し!F168</f>
        <v>325</v>
      </c>
      <c r="B323">
        <f>怪しいデータを手直し!C168</f>
        <v>48.85269318912912</v>
      </c>
      <c r="C323">
        <f>怪しいデータを手直し!D168</f>
        <v>30.519167384573795</v>
      </c>
      <c r="D323" t="str">
        <f>怪しいデータを手直し!G168</f>
        <v>af</v>
      </c>
      <c r="E323">
        <f>怪しいデータを手直し!T168</f>
        <v>1.35</v>
      </c>
      <c r="F323">
        <f>IF(怪しいデータを手直し!U168="dead",0,怪しいデータを手直し!U168)</f>
        <v>1.83</v>
      </c>
      <c r="G323">
        <f>怪しいデータを手直し!L168</f>
        <v>1.4</v>
      </c>
      <c r="H323">
        <v>0</v>
      </c>
    </row>
    <row r="324" spans="1:8">
      <c r="A324">
        <f>怪しいデータを手直し!F15</f>
        <v>326</v>
      </c>
      <c r="B324">
        <f>怪しいデータを手直し!C15</f>
        <v>48.896603355268482</v>
      </c>
      <c r="C324">
        <f>怪しいデータを手直し!D15</f>
        <v>30.463621450236197</v>
      </c>
      <c r="D324" t="str">
        <f>怪しいデータを手直し!G15</f>
        <v>af</v>
      </c>
      <c r="E324">
        <f>怪しいデータを手直し!T15</f>
        <v>0.3</v>
      </c>
      <c r="F324">
        <f>IF(怪しいデータを手直し!U15="dead",0,怪しいデータを手直し!U15)</f>
        <v>0</v>
      </c>
      <c r="G324">
        <f>怪しいデータを手直し!L15</f>
        <v>1.3</v>
      </c>
      <c r="H324">
        <v>0</v>
      </c>
    </row>
    <row r="325" spans="1:8">
      <c r="A325">
        <f>怪しいデータを手直し!F44</f>
        <v>327</v>
      </c>
      <c r="B325">
        <f>怪しいデータを手直し!C44</f>
        <v>48.923210114886899</v>
      </c>
      <c r="C325">
        <f>怪しいデータを手直し!D44</f>
        <v>30.400201900908641</v>
      </c>
      <c r="D325" t="str">
        <f>怪しいデータを手直し!G44</f>
        <v>af</v>
      </c>
      <c r="E325">
        <f>怪しいデータを手直し!T44</f>
        <v>0.56000000000000005</v>
      </c>
      <c r="F325">
        <f>IF(怪しいデータを手直し!U44="dead",0,怪しいデータを手直し!U44)</f>
        <v>0.90999999999999992</v>
      </c>
      <c r="G325">
        <f>怪しいデータを手直し!L44</f>
        <v>1.7</v>
      </c>
      <c r="H325">
        <v>0</v>
      </c>
    </row>
    <row r="326" spans="1:8">
      <c r="A326">
        <f>怪しいデータを手直し!F316</f>
        <v>328</v>
      </c>
      <c r="B326">
        <f>怪しいデータを手直し!C316</f>
        <v>49.773513708524909</v>
      </c>
      <c r="C326">
        <f>怪しいデータを手直し!D316</f>
        <v>30.732767189728435</v>
      </c>
      <c r="D326" t="str">
        <f>怪しいデータを手直し!G316</f>
        <v>af</v>
      </c>
      <c r="E326">
        <f>怪しいデータを手直し!T316</f>
        <v>2.71</v>
      </c>
      <c r="F326">
        <f>IF(怪しいデータを手直し!U316="dead",0,怪しいデータを手直し!U316)</f>
        <v>1</v>
      </c>
      <c r="G326">
        <f>怪しいデータを手直し!L316</f>
        <v>3.5</v>
      </c>
      <c r="H326">
        <v>0</v>
      </c>
    </row>
    <row r="327" spans="1:8">
      <c r="A327">
        <f>怪しいデータを手直し!F221</f>
        <v>329</v>
      </c>
      <c r="B327">
        <f>怪しいデータを手直し!C221</f>
        <v>49.643761131667816</v>
      </c>
      <c r="C327">
        <f>怪しいデータを手直し!D221</f>
        <v>30.726840135709438</v>
      </c>
      <c r="D327" t="str">
        <f>怪しいデータを手直し!G221</f>
        <v>af</v>
      </c>
      <c r="E327">
        <f>怪しいデータを手直し!T221</f>
        <v>1.81</v>
      </c>
      <c r="F327">
        <f>IF(怪しいデータを手直し!U221="dead",0,怪しいデータを手直し!U221)</f>
        <v>2.4191551349968092</v>
      </c>
      <c r="G327">
        <f>怪しいデータを手直し!L221</f>
        <v>3.3</v>
      </c>
      <c r="H327">
        <v>0</v>
      </c>
    </row>
    <row r="328" spans="1:8">
      <c r="A328">
        <f>怪しいデータを手直し!F287</f>
        <v>330</v>
      </c>
      <c r="B328">
        <f>怪しいデータを手直し!C287</f>
        <v>49.01626407235689</v>
      </c>
      <c r="C328">
        <f>怪しいデータを手直し!D287</f>
        <v>31.365860574170455</v>
      </c>
      <c r="D328" t="str">
        <f>怪しいデータを手直し!G287</f>
        <v>af</v>
      </c>
      <c r="E328">
        <f>怪しいデータを手直し!T287</f>
        <v>2.35</v>
      </c>
      <c r="F328">
        <f>IF(怪しいデータを手直し!U287="dead",0,怪しいデータを手直し!U287)</f>
        <v>2.7374650211805998</v>
      </c>
      <c r="G328">
        <f>怪しいデータを手直し!L287</f>
        <v>3.4</v>
      </c>
      <c r="H328">
        <v>0</v>
      </c>
    </row>
    <row r="329" spans="1:8">
      <c r="A329">
        <f>怪しいデータを手直し!F234</f>
        <v>331</v>
      </c>
      <c r="B329">
        <f>怪しいデータを手直し!C234</f>
        <v>48.75869591198731</v>
      </c>
      <c r="C329">
        <f>怪しいデータを手直し!D234</f>
        <v>30.571359368335063</v>
      </c>
      <c r="D329" t="str">
        <f>怪しいデータを手直し!G234</f>
        <v>af</v>
      </c>
      <c r="E329">
        <f>怪しいデータを手直し!T234</f>
        <v>1.93</v>
      </c>
      <c r="F329">
        <f>IF(怪しいデータを手直し!U234="dead",0,怪しいデータを手直し!U234)</f>
        <v>2.228169203286535</v>
      </c>
      <c r="G329">
        <f>怪しいデータを手直し!L234</f>
        <v>3.2</v>
      </c>
      <c r="H329">
        <v>0</v>
      </c>
    </row>
    <row r="330" spans="1:8">
      <c r="A330">
        <f>怪しいデータを手直し!F248</f>
        <v>332</v>
      </c>
      <c r="B330">
        <f>怪しいデータを手直し!C248</f>
        <v>48.684961231235185</v>
      </c>
      <c r="C330">
        <f>怪しいデータを手直し!D248</f>
        <v>30.874263151030185</v>
      </c>
      <c r="D330" t="str">
        <f>怪しいデータを手直し!G248</f>
        <v>af</v>
      </c>
      <c r="E330">
        <f>怪しいデータを手直し!T248</f>
        <v>2.0699999999999998</v>
      </c>
      <c r="F330">
        <f>IF(怪しいデータを手直し!U248="dead",0,怪しいデータを手直し!U248)</f>
        <v>2.8647889756541161</v>
      </c>
      <c r="G330">
        <f>怪しいデータを手直し!L248</f>
        <v>3.6</v>
      </c>
      <c r="H330">
        <v>0</v>
      </c>
    </row>
    <row r="331" spans="1:8">
      <c r="A331">
        <f>怪しいデータを手直し!F294</f>
        <v>333</v>
      </c>
      <c r="B331">
        <f>怪しいデータを手直し!C294</f>
        <v>48.775305826219046</v>
      </c>
      <c r="C331">
        <f>怪しいデータを手直し!D294</f>
        <v>30.821344097270725</v>
      </c>
      <c r="D331" t="str">
        <f>怪しいデータを手直し!G294</f>
        <v>af</v>
      </c>
      <c r="E331">
        <f>怪しいデータを手直し!T294</f>
        <v>2.4300000000000002</v>
      </c>
      <c r="F331">
        <f>IF(怪しいデータを手直し!U294="dead",0,怪しいデータを手直し!U294)</f>
        <v>2.6419720553254629</v>
      </c>
      <c r="G331">
        <f>怪しいデータを手直し!L294</f>
        <v>3.5</v>
      </c>
      <c r="H331">
        <v>0</v>
      </c>
    </row>
    <row r="332" spans="1:8">
      <c r="A332">
        <f>怪しいデータを手直し!F258</f>
        <v>334</v>
      </c>
      <c r="B332">
        <f>怪しいデータを手直し!C258</f>
        <v>48.911560240158103</v>
      </c>
      <c r="C332">
        <f>怪しいデータを手直し!D258</f>
        <v>31.005618482119225</v>
      </c>
      <c r="D332" t="str">
        <f>怪しいデータを手直し!G258</f>
        <v>af</v>
      </c>
      <c r="E332">
        <f>怪しいデータを手直し!T258</f>
        <v>2.14</v>
      </c>
      <c r="F332">
        <f>IF(怪しいデータを手直し!U258="dead",0,怪しいデータを手直し!U258)</f>
        <v>3.9788735772973833</v>
      </c>
      <c r="G332">
        <f>怪しいデータを手直し!L258</f>
        <v>1.7</v>
      </c>
      <c r="H332">
        <v>0</v>
      </c>
    </row>
    <row r="333" spans="1:8">
      <c r="A333">
        <f>怪しいデータを手直し!F112</f>
        <v>335</v>
      </c>
      <c r="B333">
        <f>怪しいデータを手直し!C112</f>
        <v>49.098880675068742</v>
      </c>
      <c r="C333">
        <f>怪しいデータを手直し!D112</f>
        <v>31.568014233750425</v>
      </c>
      <c r="D333" t="str">
        <f>怪しいデータを手直し!G112</f>
        <v>af</v>
      </c>
      <c r="E333">
        <f>怪しいデータを手直し!T112</f>
        <v>1</v>
      </c>
      <c r="F333">
        <f>IF(怪しいデータを手直し!U112="dead",0,怪しいデータを手直し!U112)</f>
        <v>1.21</v>
      </c>
      <c r="G333">
        <f>怪しいデータを手直し!L112</f>
        <v>1.7</v>
      </c>
      <c r="H333">
        <v>0</v>
      </c>
    </row>
    <row r="334" spans="1:8">
      <c r="A334">
        <f>怪しいデータを手直し!F152</f>
        <v>336</v>
      </c>
      <c r="B334">
        <f>怪しいデータを手直し!C152</f>
        <v>48.785431380698043</v>
      </c>
      <c r="C334">
        <f>怪しいデータを手直し!D152</f>
        <v>31.465996070483271</v>
      </c>
      <c r="D334" t="str">
        <f>怪しいデータを手直し!G152</f>
        <v>af</v>
      </c>
      <c r="E334">
        <f>怪しいデータを手直し!T152</f>
        <v>1.28</v>
      </c>
      <c r="F334">
        <f>IF(怪しいデータを手直し!U152="dead",0,怪しいデータを手直し!U152)</f>
        <v>1.7100000000000002</v>
      </c>
      <c r="G334">
        <f>怪しいデータを手直し!L152</f>
        <v>2.1</v>
      </c>
      <c r="H334">
        <v>0</v>
      </c>
    </row>
    <row r="335" spans="1:8">
      <c r="A335">
        <f>怪しいデータを手直し!F19</f>
        <v>337</v>
      </c>
      <c r="B335">
        <f>怪しいデータを手直し!C19</f>
        <v>48.673566100653304</v>
      </c>
      <c r="C335">
        <f>怪しいデータを手直し!D19</f>
        <v>31.017407216696064</v>
      </c>
      <c r="D335" t="str">
        <f>怪しいデータを手直し!G19</f>
        <v>af</v>
      </c>
      <c r="E335">
        <f>怪しいデータを手直し!T19</f>
        <v>0.37</v>
      </c>
      <c r="F335">
        <f>IF(怪しいデータを手直し!U19="dead",0,怪しいデータを手直し!U19)</f>
        <v>0</v>
      </c>
      <c r="G335">
        <f>怪しいデータを手直し!L19</f>
        <v>1.3</v>
      </c>
      <c r="H335">
        <v>0</v>
      </c>
    </row>
    <row r="336" spans="1:8">
      <c r="A336">
        <f>怪しいデータを手直し!F465</f>
        <v>338</v>
      </c>
      <c r="B336">
        <f>怪しいデータを手直し!C465</f>
        <v>48.274236971404648</v>
      </c>
      <c r="C336">
        <f>怪しいデータを手直し!D465</f>
        <v>30.59705673902403</v>
      </c>
      <c r="D336" t="str">
        <f>怪しいデータを手直し!G465</f>
        <v>af</v>
      </c>
      <c r="E336">
        <f>怪しいデータを手直し!T465</f>
        <v>5.4749300423611995</v>
      </c>
      <c r="F336">
        <f>IF(怪しいデータを手直し!U465="dead",0,怪しいデータを手直し!U465)</f>
        <v>0</v>
      </c>
      <c r="G336">
        <f>怪しいデータを手直し!L465</f>
        <v>3.4</v>
      </c>
      <c r="H336">
        <v>0</v>
      </c>
    </row>
    <row r="337" spans="1:9">
      <c r="A337">
        <f>怪しいデータを手直し!F87</f>
        <v>339</v>
      </c>
      <c r="B337">
        <f>怪しいデータを手直し!C87</f>
        <v>49.93570259265578</v>
      </c>
      <c r="C337">
        <f>怪しいデータを手直し!D87</f>
        <v>30.790224441203314</v>
      </c>
      <c r="D337" t="str">
        <f>怪しいデータを手直し!G87</f>
        <v>af</v>
      </c>
      <c r="E337">
        <f>怪しいデータを手直し!T87</f>
        <v>0.83</v>
      </c>
      <c r="F337">
        <f>IF(怪しいデータを手直し!U87="dead",0,怪しいデータを手直し!U87)</f>
        <v>0</v>
      </c>
      <c r="G337">
        <f>怪しいデータを手直し!L87</f>
        <v>1.5</v>
      </c>
      <c r="H337">
        <v>0</v>
      </c>
    </row>
    <row r="338" spans="1:9">
      <c r="A338">
        <f>怪しいデータを手直し!F174</f>
        <v>340</v>
      </c>
      <c r="B338">
        <f>怪しいデータを手直し!C174</f>
        <v>49.824853784818124</v>
      </c>
      <c r="C338">
        <f>怪しいデータを手直し!D174</f>
        <v>32.281987056028768</v>
      </c>
      <c r="D338" t="str">
        <f>怪しいデータを手直し!G174</f>
        <v>af</v>
      </c>
      <c r="E338">
        <f>怪しいデータを手直し!T174</f>
        <v>1.4</v>
      </c>
      <c r="F338">
        <f>IF(怪しいデータを手直し!U174="dead",0,怪しいデータを手直し!U174)</f>
        <v>0</v>
      </c>
      <c r="G338">
        <f>怪しいデータを手直し!L174</f>
        <v>1.4</v>
      </c>
      <c r="H338">
        <v>0</v>
      </c>
    </row>
    <row r="339" spans="1:9">
      <c r="A339">
        <f>怪しいデータを手直し!F57</f>
        <v>341</v>
      </c>
      <c r="B339">
        <f>怪しいデータを手直し!C57</f>
        <v>44.901832820608057</v>
      </c>
      <c r="C339">
        <f>怪しいデータを手直し!D57</f>
        <v>34.030813170039757</v>
      </c>
      <c r="D339" t="str">
        <f>怪しいデータを手直し!G57</f>
        <v>lc</v>
      </c>
      <c r="E339">
        <f>怪しいデータを手直し!T57</f>
        <v>0.63</v>
      </c>
      <c r="F339">
        <f>IF(怪しいデータを手直し!U57="dead",0,怪しいデータを手直し!U57)</f>
        <v>1.3900000000000001</v>
      </c>
      <c r="G339">
        <f>怪しいデータを手直し!L57</f>
        <v>1.4</v>
      </c>
      <c r="H339">
        <v>0</v>
      </c>
    </row>
    <row r="340" spans="1:9">
      <c r="A340">
        <f>怪しいデータを手直し!F666</f>
        <v>342</v>
      </c>
      <c r="B340">
        <f>怪しいデータを手直し!C666</f>
        <v>43.199272330210086</v>
      </c>
      <c r="C340">
        <f>怪しいデータを手直し!D666</f>
        <v>33.055325553969148</v>
      </c>
      <c r="D340" t="str">
        <f>怪しいデータを手直し!G666</f>
        <v>lc</v>
      </c>
      <c r="E340">
        <f>怪しいデータを手直し!T666</f>
        <v>20.84929754503829</v>
      </c>
      <c r="F340">
        <f>IF(怪しいデータを手直し!U666="dead",0,怪しいデータを手直し!U666)</f>
        <v>0</v>
      </c>
      <c r="G340">
        <f>怪しいデータを手直し!L666</f>
        <v>7.9</v>
      </c>
      <c r="H340">
        <v>0</v>
      </c>
    </row>
    <row r="341" spans="1:9">
      <c r="A341">
        <f>怪しいデータを手直し!F404</f>
        <v>343</v>
      </c>
      <c r="B341">
        <f>怪しいデータを手直し!C404</f>
        <v>41.87688214569787</v>
      </c>
      <c r="C341">
        <f>怪しいデータを手直し!D404</f>
        <v>35.680861622369804</v>
      </c>
      <c r="D341" t="str">
        <f>怪しいデータを手直し!G404</f>
        <v>lc</v>
      </c>
      <c r="E341">
        <f>怪しいデータを手直し!T404</f>
        <v>4.0425355545341413</v>
      </c>
      <c r="F341">
        <f>IF(怪しいデータを手直し!U404="dead",0,怪しいデータを手直し!U404)</f>
        <v>0</v>
      </c>
      <c r="G341">
        <f>怪しいデータを手直し!L404</f>
        <v>4.5</v>
      </c>
      <c r="H341">
        <v>0</v>
      </c>
    </row>
    <row r="342" spans="1:9">
      <c r="A342">
        <f>怪しいデータを手直し!F159</f>
        <v>344</v>
      </c>
      <c r="B342">
        <f>怪しいデータを手直し!C159</f>
        <v>43.446618132143705</v>
      </c>
      <c r="C342">
        <f>怪しいデータを手直し!D159</f>
        <v>36.456599642426447</v>
      </c>
      <c r="D342" t="str">
        <f>怪しいデータを手直し!G159</f>
        <v>lc</v>
      </c>
      <c r="E342">
        <f>怪しいデータを手直し!T159</f>
        <v>1.32</v>
      </c>
      <c r="F342">
        <f>IF(怪しいデータを手直し!U159="dead",0,怪しいデータを手直し!U159)</f>
        <v>2.3554931577600513</v>
      </c>
      <c r="G342">
        <f>怪しいデータを手直し!L159</f>
        <v>2.6</v>
      </c>
      <c r="H342">
        <v>0</v>
      </c>
    </row>
    <row r="343" spans="1:9">
      <c r="A343">
        <f>怪しいデータを手直し!F100</f>
        <v>345</v>
      </c>
      <c r="B343">
        <f>怪しいデータを手直し!C100</f>
        <v>41.809840918419845</v>
      </c>
      <c r="C343">
        <f>怪しいデータを手直し!D100</f>
        <v>38.003454428666828</v>
      </c>
      <c r="D343" t="str">
        <f>怪しいデータを手直し!G100</f>
        <v>lc</v>
      </c>
      <c r="E343">
        <f>怪しいデータを手直し!T100</f>
        <v>0.91</v>
      </c>
      <c r="F343">
        <f>IF(怪しいデータを手直し!U100="dead",0,怪しいデータを手直し!U100)</f>
        <v>1.9899999999999998</v>
      </c>
      <c r="G343">
        <f>怪しいデータを手直し!L100</f>
        <v>2.4</v>
      </c>
      <c r="H343">
        <v>0</v>
      </c>
    </row>
    <row r="344" spans="1:9">
      <c r="A344">
        <f>怪しいデータを手直し!F365</f>
        <v>346</v>
      </c>
      <c r="B344">
        <f>怪しいデータを手直し!C365</f>
        <v>48.602251723417794</v>
      </c>
      <c r="C344">
        <f>怪しいデータを手直し!D365</f>
        <v>41.659879439992999</v>
      </c>
      <c r="D344" t="str">
        <f>怪しいデータを手直し!G365</f>
        <v>bp</v>
      </c>
      <c r="E344">
        <f>怪しいデータを手直し!T365</f>
        <v>3.3422538049298023</v>
      </c>
      <c r="F344">
        <f>IF(怪しいデータを手直し!U365="dead",0,怪しいデータを手直し!U365)</f>
        <v>3.2785918276930444</v>
      </c>
      <c r="G344">
        <f>怪しいデータを手直し!L365</f>
        <v>3.3</v>
      </c>
      <c r="H344">
        <v>347</v>
      </c>
    </row>
    <row r="345" spans="1:9">
      <c r="A345">
        <f>怪しいデータを手直し!F549</f>
        <v>347</v>
      </c>
      <c r="B345">
        <f>怪しいデータを手直し!C549</f>
        <v>49.006355480452719</v>
      </c>
      <c r="C345">
        <f>怪しいデータを手直し!D549</f>
        <v>42.140623873727854</v>
      </c>
      <c r="D345" t="str">
        <f>怪しいデータを手直し!G549</f>
        <v>bp</v>
      </c>
      <c r="E345">
        <f>怪しいデータを手直し!T549</f>
        <v>8.5625359383439683</v>
      </c>
      <c r="F345">
        <f>IF(怪しいデータを手直し!U549="dead",0,怪しいデータを手直し!U549)</f>
        <v>9.2946486765666876</v>
      </c>
      <c r="G345">
        <f>怪しいデータを手直し!L549</f>
        <v>8.6</v>
      </c>
      <c r="H345">
        <v>347</v>
      </c>
      <c r="I345">
        <v>26</v>
      </c>
    </row>
    <row r="346" spans="1:9">
      <c r="A346">
        <f>怪しいデータを手直し!F395</f>
        <v>348</v>
      </c>
      <c r="B346">
        <f>怪しいデータを手直し!C395</f>
        <v>49.32416780950124</v>
      </c>
      <c r="C346">
        <f>怪しいデータを手直し!D395</f>
        <v>42.156583142446785</v>
      </c>
      <c r="D346" t="str">
        <f>怪しいデータを手直し!G395</f>
        <v>bp</v>
      </c>
      <c r="E346">
        <f>怪しいデータを手直し!T395</f>
        <v>3.7878876455871091</v>
      </c>
      <c r="F346">
        <f>IF(怪しいデータを手直し!U395="dead",0,怪しいデータを手直し!U395)</f>
        <v>3.9152116000606259</v>
      </c>
      <c r="G346">
        <f>怪しいデータを手直し!L395</f>
        <v>5.4</v>
      </c>
      <c r="H346">
        <v>347</v>
      </c>
    </row>
    <row r="347" spans="1:9">
      <c r="A347">
        <f>怪しいデータを手直し!F482</f>
        <v>349</v>
      </c>
      <c r="B347">
        <f>怪しいデータを手直し!C482</f>
        <v>49.59543713340743</v>
      </c>
      <c r="C347">
        <f>怪しいデータを手直し!D482</f>
        <v>42.182825894791982</v>
      </c>
      <c r="D347" t="str">
        <f>怪しいデータを手直し!G482</f>
        <v>bp</v>
      </c>
      <c r="E347">
        <f>怪しいデータを手直し!T482</f>
        <v>5.7295779513082321</v>
      </c>
      <c r="F347">
        <f>IF(怪しいデータを手直し!U482="dead",0,怪しいデータを手直し!U482)</f>
        <v>6.0478878374920226</v>
      </c>
      <c r="G347">
        <f>怪しいデータを手直し!L482</f>
        <v>6.8</v>
      </c>
      <c r="H347">
        <v>347</v>
      </c>
    </row>
    <row r="348" spans="1:9">
      <c r="A348">
        <f>怪しいデータを手直し!F204</f>
        <v>350</v>
      </c>
      <c r="B348">
        <f>怪しいデータを手直し!C204</f>
        <v>49.266331268088543</v>
      </c>
      <c r="C348">
        <f>怪しいデータを手直し!D204</f>
        <v>42.28511054258113</v>
      </c>
      <c r="D348" t="str">
        <f>怪しいデータを手直し!G204</f>
        <v>bp</v>
      </c>
      <c r="E348">
        <f>怪しいデータを手直し!T204</f>
        <v>1.63</v>
      </c>
      <c r="F348">
        <f>IF(怪しいデータを手直し!U204="dead",0,怪しいデータを手直し!U204)</f>
        <v>1.6800000000000002</v>
      </c>
      <c r="G348">
        <f>怪しいデータを手直し!L204</f>
        <v>3.4</v>
      </c>
      <c r="H348">
        <v>347</v>
      </c>
    </row>
    <row r="349" spans="1:9">
      <c r="A349">
        <f>怪しいデータを手直し!F119</f>
        <v>351</v>
      </c>
      <c r="B349">
        <f>怪しいデータを手直し!C119</f>
        <v>49.237615308286394</v>
      </c>
      <c r="C349">
        <f>怪しいデータを手直し!D119</f>
        <v>42.694210381882002</v>
      </c>
      <c r="D349" t="str">
        <f>怪しいデータを手直し!G119</f>
        <v>bp</v>
      </c>
      <c r="E349">
        <f>怪しいデータを手直し!T119</f>
        <v>1.05</v>
      </c>
      <c r="F349">
        <f>IF(怪しいデータを手直し!U119="dead",0,怪しいデータを手直し!U119)</f>
        <v>1.1300000000000001</v>
      </c>
      <c r="G349">
        <f>怪しいデータを手直し!L119</f>
        <v>2.2000000000000002</v>
      </c>
      <c r="H349">
        <v>347</v>
      </c>
    </row>
    <row r="350" spans="1:9">
      <c r="A350">
        <f>怪しいデータを手直し!F356</f>
        <v>352</v>
      </c>
      <c r="B350">
        <f>怪しいデータを手直し!C356</f>
        <v>49.818309622430874</v>
      </c>
      <c r="C350">
        <f>怪しいデータを手直し!D356</f>
        <v>45.476987183360826</v>
      </c>
      <c r="D350" t="str">
        <f>怪しいデータを手直し!G356</f>
        <v>bp</v>
      </c>
      <c r="E350">
        <f>怪しいデータを手直し!T356</f>
        <v>3.214929850456286</v>
      </c>
      <c r="F350">
        <f>IF(怪しいデータを手直し!U356="dead",0,怪しいデータを手直し!U356)</f>
        <v>3.5969017138768349</v>
      </c>
      <c r="G350">
        <f>怪しいデータを手直し!L356</f>
        <v>4.7</v>
      </c>
      <c r="H350">
        <v>352</v>
      </c>
    </row>
    <row r="351" spans="1:9">
      <c r="A351">
        <f>怪しいデータを手直し!F478</f>
        <v>353</v>
      </c>
      <c r="B351">
        <f>怪しいデータを手直し!C478</f>
        <v>46.208042528020819</v>
      </c>
      <c r="C351">
        <f>怪しいデータを手直し!D478</f>
        <v>45.883966224469788</v>
      </c>
      <c r="D351" t="str">
        <f>怪しいデータを手直し!G478</f>
        <v>lc</v>
      </c>
      <c r="E351">
        <f>怪しいデータを手直し!T478</f>
        <v>5.6977469626898527</v>
      </c>
      <c r="F351">
        <f>IF(怪しいデータを手直し!U478="dead",0,怪しいデータを手直し!U478)</f>
        <v>7.0983104618985324</v>
      </c>
      <c r="G351">
        <f>怪しいデータを手直し!L478</f>
        <v>6.8</v>
      </c>
      <c r="H351">
        <v>0</v>
      </c>
    </row>
    <row r="352" spans="1:9">
      <c r="A352">
        <f>怪しいデータを手直し!F530</f>
        <v>354</v>
      </c>
      <c r="B352">
        <f>怪しいデータを手直し!C530</f>
        <v>45.361908717962699</v>
      </c>
      <c r="C352">
        <f>怪しいデータを手直し!D530</f>
        <v>45.727565735937873</v>
      </c>
      <c r="D352" t="str">
        <f>怪しいデータを手直し!G530</f>
        <v>lc</v>
      </c>
      <c r="E352">
        <f>怪しいデータを手直し!T530</f>
        <v>7.4484513367007015</v>
      </c>
      <c r="F352">
        <f>IF(怪しいデータを手直し!U530="dead",0,怪しいデータを手直し!U530)</f>
        <v>8.753521870054243</v>
      </c>
      <c r="G352">
        <f>怪しいデータを手直し!L530</f>
        <v>7.9</v>
      </c>
      <c r="H352">
        <v>0</v>
      </c>
      <c r="I352">
        <v>24</v>
      </c>
    </row>
    <row r="353" spans="1:9">
      <c r="A353">
        <f>怪しいデータを手直し!F76</f>
        <v>355</v>
      </c>
      <c r="B353">
        <f>怪しいデータを手直し!C76</f>
        <v>41.788521062382372</v>
      </c>
      <c r="C353">
        <f>怪しいデータを手直し!D76</f>
        <v>44.856255106258537</v>
      </c>
      <c r="D353" t="str">
        <f>怪しいデータを手直し!G76</f>
        <v>lc</v>
      </c>
      <c r="E353">
        <f>怪しいデータを手直し!T76</f>
        <v>0.75</v>
      </c>
      <c r="F353">
        <f>IF(怪しいデータを手直し!U76="dead",0,怪しいデータを手直し!U76)</f>
        <v>0</v>
      </c>
      <c r="G353">
        <f>怪しいデータを手直し!L76</f>
        <v>1.8</v>
      </c>
      <c r="H353">
        <v>0</v>
      </c>
    </row>
    <row r="354" spans="1:9">
      <c r="A354">
        <f>怪しいデータを手直し!F186</f>
        <v>356</v>
      </c>
      <c r="B354">
        <f>怪しいデータを手直し!C186</f>
        <v>41.55964685708858</v>
      </c>
      <c r="C354">
        <f>怪しいデータを手直し!D186</f>
        <v>45.418610414390876</v>
      </c>
      <c r="D354" t="str">
        <f>怪しいデータを手直し!G186</f>
        <v>bp</v>
      </c>
      <c r="E354">
        <f>怪しいデータを手直し!T186</f>
        <v>1.51</v>
      </c>
      <c r="F354">
        <f>IF(怪しいデータを手直し!U186="dead",0,怪しいデータを手直し!U186)</f>
        <v>1.5699999999999998</v>
      </c>
      <c r="G354">
        <f>怪しいデータを手直し!L186</f>
        <v>2.9</v>
      </c>
      <c r="H354">
        <v>358</v>
      </c>
    </row>
    <row r="355" spans="1:9">
      <c r="A355">
        <f>怪しいデータを手直し!F368</f>
        <v>357</v>
      </c>
      <c r="B355">
        <f>怪しいデータを手直し!C368</f>
        <v>41.65028445993098</v>
      </c>
      <c r="C355">
        <f>怪しいデータを手直し!D368</f>
        <v>45.484737951801335</v>
      </c>
      <c r="D355" t="str">
        <f>怪しいデータを手直し!G368</f>
        <v>bp</v>
      </c>
      <c r="E355">
        <f>怪しいデータを手直し!T368</f>
        <v>3.4059157821665602</v>
      </c>
      <c r="F355">
        <f>IF(怪しいデータを手直し!U368="dead",0,怪しいデータを手直し!U368)</f>
        <v>3.8197186342054881</v>
      </c>
      <c r="G355">
        <f>怪しいデータを手直し!L368</f>
        <v>4.4000000000000004</v>
      </c>
      <c r="H355">
        <v>358</v>
      </c>
    </row>
    <row r="356" spans="1:9">
      <c r="A356">
        <f>怪しいデータを手直し!F412</f>
        <v>358</v>
      </c>
      <c r="B356">
        <f>怪しいデータを手直し!C412</f>
        <v>41.490106932122359</v>
      </c>
      <c r="C356">
        <f>怪しいデータを手直し!D412</f>
        <v>45.568717982919232</v>
      </c>
      <c r="D356" t="str">
        <f>怪しいデータを手直し!G412</f>
        <v>bp</v>
      </c>
      <c r="E356">
        <f>怪しいデータを手直し!T412</f>
        <v>4.1061975317709001</v>
      </c>
      <c r="F356">
        <f>IF(怪しいデータを手直し!U412="dead",0,怪しいデータを手直し!U412)</f>
        <v>0</v>
      </c>
      <c r="G356">
        <f>怪しいデータを手直し!L412</f>
        <v>1.6</v>
      </c>
      <c r="H356">
        <v>358</v>
      </c>
    </row>
    <row r="357" spans="1:9">
      <c r="A357">
        <f>怪しいデータを手直し!F369</f>
        <v>359</v>
      </c>
      <c r="B357">
        <f>怪しいデータを手直し!C369</f>
        <v>41.480789789383856</v>
      </c>
      <c r="C357">
        <f>怪しいデータを手直し!D369</f>
        <v>45.681606937067514</v>
      </c>
      <c r="D357" t="str">
        <f>怪しいデータを手直し!G369</f>
        <v>bp</v>
      </c>
      <c r="E357">
        <f>怪しいデータを手直し!T369</f>
        <v>3.4059157821665602</v>
      </c>
      <c r="F357">
        <f>IF(怪しいデータを手直し!U369="dead",0,怪しいデータを手直し!U369)</f>
        <v>3.5969017138768349</v>
      </c>
      <c r="G357">
        <f>怪しいデータを手直し!L369</f>
        <v>4.7</v>
      </c>
      <c r="H357">
        <v>358</v>
      </c>
      <c r="I357">
        <v>35</v>
      </c>
    </row>
    <row r="358" spans="1:9">
      <c r="A358">
        <f>怪しいデータを手直し!F138</f>
        <v>360</v>
      </c>
      <c r="B358">
        <f>怪しいデータを手直し!C138</f>
        <v>41.347856998834331</v>
      </c>
      <c r="C358">
        <f>怪しいデータを手直し!D138</f>
        <v>45.661803730912965</v>
      </c>
      <c r="D358" t="str">
        <f>怪しいデータを手直し!G138</f>
        <v>bp</v>
      </c>
      <c r="E358">
        <f>怪しいデータを手直し!T138</f>
        <v>1.22</v>
      </c>
      <c r="F358">
        <f>IF(怪しいデータを手直し!U138="dead",0,怪しいデータを手直し!U138)</f>
        <v>1.6870423967740906</v>
      </c>
      <c r="G358">
        <f>怪しいデータを手直し!L138</f>
        <v>2.8</v>
      </c>
      <c r="H358">
        <v>358</v>
      </c>
    </row>
    <row r="359" spans="1:9">
      <c r="A359">
        <f>怪しいデータを手直し!F124</f>
        <v>361</v>
      </c>
      <c r="B359">
        <f>怪しいデータを手直し!C124</f>
        <v>40.403688025885337</v>
      </c>
      <c r="C359">
        <f>怪しいデータを手直し!D124</f>
        <v>48.917443383361821</v>
      </c>
      <c r="D359" t="str">
        <f>怪しいデータを手直し!G124</f>
        <v>lc</v>
      </c>
      <c r="E359">
        <f>怪しいデータを手直し!T124</f>
        <v>1.08</v>
      </c>
      <c r="F359">
        <f>IF(怪しいデータを手直し!U124="dead",0,怪しいデータを手直し!U124)</f>
        <v>1.7507043740108488</v>
      </c>
      <c r="G359">
        <f>怪しいデータを手直し!L124</f>
        <v>2.4</v>
      </c>
      <c r="H359">
        <v>0</v>
      </c>
    </row>
    <row r="360" spans="1:9">
      <c r="A360">
        <f>怪しいデータを手直し!F359</f>
        <v>362</v>
      </c>
      <c r="B360">
        <f>怪しいデータを手直し!C359</f>
        <v>41.820429060124383</v>
      </c>
      <c r="C360">
        <f>怪しいデータを手直し!D359</f>
        <v>49.212872474941911</v>
      </c>
      <c r="D360" t="str">
        <f>怪しいデータを手直し!G359</f>
        <v>bp</v>
      </c>
      <c r="E360">
        <f>怪しいデータを手直し!T359</f>
        <v>3.2785918276930444</v>
      </c>
      <c r="F360">
        <f>IF(怪しいデータを手直し!U359="dead",0,怪しいデータを手直し!U359)</f>
        <v>0</v>
      </c>
      <c r="G360">
        <f>怪しいデータを手直し!L359</f>
        <v>3.8</v>
      </c>
      <c r="H360">
        <v>364</v>
      </c>
    </row>
    <row r="361" spans="1:9">
      <c r="A361">
        <f>怪しいデータを手直し!F405</f>
        <v>363</v>
      </c>
      <c r="B361">
        <f>怪しいデータを手直し!C405</f>
        <v>41.6247498349016</v>
      </c>
      <c r="C361">
        <f>怪しいデータを手直し!D405</f>
        <v>49.400174714973076</v>
      </c>
      <c r="D361" t="str">
        <f>怪しいデータを手直し!G405</f>
        <v>bp</v>
      </c>
      <c r="E361">
        <f>怪しいデータを手直し!T405</f>
        <v>4.0425355545341413</v>
      </c>
      <c r="F361">
        <f>IF(怪しいデータを手直し!U405="dead",0,怪しいデータを手直し!U405)</f>
        <v>4.2016904976260365</v>
      </c>
      <c r="G361">
        <f>怪しいデータを手直し!L405</f>
        <v>4.7</v>
      </c>
      <c r="H361">
        <v>364</v>
      </c>
    </row>
    <row r="362" spans="1:9">
      <c r="A362">
        <f>怪しいデータを手直し!F515</f>
        <v>364</v>
      </c>
      <c r="B362">
        <f>怪しいデータを手直し!C515</f>
        <v>41.733447275510564</v>
      </c>
      <c r="C362">
        <f>怪しいデータを手直し!D515</f>
        <v>49.442807106641339</v>
      </c>
      <c r="D362" t="str">
        <f>怪しいデータを手直し!G515</f>
        <v>bp</v>
      </c>
      <c r="E362">
        <f>怪しいデータを手直し!T515</f>
        <v>6.9391555188066372</v>
      </c>
      <c r="F362">
        <f>IF(怪しいデータを手直し!U515="dead",0,怪しいデータを手直し!U515)</f>
        <v>7.1619724391352904</v>
      </c>
      <c r="G362">
        <f>怪しいデータを手直し!L515</f>
        <v>6.9</v>
      </c>
      <c r="H362">
        <v>364</v>
      </c>
      <c r="I362">
        <v>79</v>
      </c>
    </row>
    <row r="363" spans="1:9">
      <c r="A363">
        <f>怪しいデータを手直し!F340</f>
        <v>365</v>
      </c>
      <c r="B363">
        <f>怪しいデータを手直し!C340</f>
        <v>41.85837927428328</v>
      </c>
      <c r="C363">
        <f>怪しいデータを手直し!D340</f>
        <v>49.432158393420885</v>
      </c>
      <c r="D363" t="str">
        <f>怪しいデータを手直し!G340</f>
        <v>bp</v>
      </c>
      <c r="E363">
        <f>怪しいデータを手直し!T340</f>
        <v>2.9921129301276324</v>
      </c>
      <c r="F363">
        <f>IF(怪しいデータを手直し!U340="dead",0,怪しいデータを手直し!U340)</f>
        <v>3.1194368846011491</v>
      </c>
      <c r="G363">
        <f>怪しいデータを手直し!L340</f>
        <v>4.2</v>
      </c>
      <c r="H363">
        <v>364</v>
      </c>
    </row>
    <row r="364" spans="1:9">
      <c r="A364">
        <f>怪しいデータを手直し!F372</f>
        <v>366</v>
      </c>
      <c r="B364">
        <f>怪しいデータを手直し!C372</f>
        <v>41.910792172547048</v>
      </c>
      <c r="C364">
        <f>怪しいデータを手直し!D372</f>
        <v>49.305569124146778</v>
      </c>
      <c r="D364" t="str">
        <f>怪しいデータを手直し!G372</f>
        <v>bp</v>
      </c>
      <c r="E364">
        <f>怪しいデータを手直し!T372</f>
        <v>3.4377467707849396</v>
      </c>
      <c r="F364">
        <f>IF(怪しいデータを手直し!U372="dead",0,怪しいデータを手直し!U372)</f>
        <v>3.4377467707849396</v>
      </c>
      <c r="G364">
        <f>怪しいデータを手直し!L372</f>
        <v>4.5</v>
      </c>
      <c r="H364">
        <v>364</v>
      </c>
    </row>
    <row r="365" spans="1:9">
      <c r="A365">
        <f>怪しいデータを手直し!F232</f>
        <v>367</v>
      </c>
      <c r="B365">
        <f>怪しいデータを手直し!C232</f>
        <v>41.956430674594081</v>
      </c>
      <c r="C365">
        <f>怪しいデータを手直し!D232</f>
        <v>49.384593358659124</v>
      </c>
      <c r="D365" t="str">
        <f>怪しいデータを手直し!G232</f>
        <v>bp</v>
      </c>
      <c r="E365">
        <f>怪しいデータを手直し!T232</f>
        <v>1.88</v>
      </c>
      <c r="F365">
        <f>IF(怪しいデータを手直し!U232="dead",0,怪しいデータを手直し!U232)</f>
        <v>2.1645072260497766</v>
      </c>
      <c r="G365">
        <f>怪しいデータを手直し!L232</f>
        <v>4</v>
      </c>
      <c r="H365">
        <v>364</v>
      </c>
    </row>
    <row r="366" spans="1:9">
      <c r="A366">
        <f>怪しいデータを手直し!F31</f>
        <v>368</v>
      </c>
      <c r="B366">
        <f>怪しいデータを手直し!C31</f>
        <v>41.896156810321528</v>
      </c>
      <c r="C366">
        <f>怪しいデータを手直し!D31</f>
        <v>49.159728465249501</v>
      </c>
      <c r="D366" t="str">
        <f>怪しいデータを手直し!G31</f>
        <v>bp</v>
      </c>
      <c r="E366">
        <f>怪しいデータを手直し!T31</f>
        <v>0.49</v>
      </c>
      <c r="F366">
        <f>IF(怪しいデータを手直し!U31="dead",0,怪しいデータを手直し!U31)</f>
        <v>0.64</v>
      </c>
      <c r="G366">
        <f>怪しいデータを手直し!L31</f>
        <v>2.1</v>
      </c>
      <c r="H366">
        <v>364</v>
      </c>
    </row>
    <row r="367" spans="1:9">
      <c r="A367">
        <f>怪しいデータを手直し!F11</f>
        <v>401</v>
      </c>
      <c r="B367">
        <f>怪しいデータを手直し!C11</f>
        <v>0.35800174195920847</v>
      </c>
      <c r="C367">
        <f>怪しいデータを手直し!D11</f>
        <v>-3.3896872424404778</v>
      </c>
      <c r="D367" t="str">
        <f>怪しいデータを手直し!G11</f>
        <v>lc</v>
      </c>
      <c r="E367">
        <f>怪しいデータを手直し!T11</f>
        <v>0.24</v>
      </c>
      <c r="F367">
        <f>IF(怪しいデータを手直し!U11="dead",0,怪しいデータを手直し!U11)</f>
        <v>0.99</v>
      </c>
      <c r="G367">
        <f>怪しいデータを手直し!L11</f>
        <v>1.6</v>
      </c>
      <c r="H367">
        <v>0</v>
      </c>
    </row>
    <row r="368" spans="1:9">
      <c r="A368">
        <f>怪しいデータを手直し!F8</f>
        <v>402</v>
      </c>
      <c r="B368">
        <f>怪しいデータを手直し!C8</f>
        <v>0.99993594683058107</v>
      </c>
      <c r="C368">
        <f>怪しいデータを手直し!D8</f>
        <v>-1.9720346225063956</v>
      </c>
      <c r="D368" t="str">
        <f>怪しいデータを手直し!G8</f>
        <v>lc</v>
      </c>
      <c r="E368">
        <f>怪しいデータを手直し!T8</f>
        <v>0.19</v>
      </c>
      <c r="F368">
        <f>IF(怪しいデータを手直し!U8="dead",0,怪しいデータを手直し!U8)</f>
        <v>0.80999999999999994</v>
      </c>
      <c r="G368">
        <f>怪しいデータを手直し!L8</f>
        <v>1.5</v>
      </c>
      <c r="H368">
        <v>0</v>
      </c>
    </row>
    <row r="369" spans="1:9">
      <c r="A369">
        <f>怪しいデータを手直し!F77</f>
        <v>403</v>
      </c>
      <c r="B369">
        <f>怪しいデータを手直し!C77</f>
        <v>1.7255461288273115</v>
      </c>
      <c r="C369">
        <f>怪しいデータを手直し!D77</f>
        <v>-2.0859308470743647</v>
      </c>
      <c r="D369" t="str">
        <f>怪しいデータを手直し!G77</f>
        <v>lc</v>
      </c>
      <c r="E369">
        <f>怪しいデータを手直し!T77</f>
        <v>0.75</v>
      </c>
      <c r="F369">
        <f>IF(怪しいデータを手直し!U77="dead",0,怪しいデータを手直し!U77)</f>
        <v>1.1499999999999999</v>
      </c>
      <c r="G369">
        <f>怪しいデータを手直し!L77</f>
        <v>1.8</v>
      </c>
      <c r="H369">
        <v>0</v>
      </c>
    </row>
    <row r="370" spans="1:9">
      <c r="A370">
        <f>怪しいデータを手直し!F700</f>
        <v>404</v>
      </c>
      <c r="B370">
        <f>怪しいデータを手直し!C700</f>
        <v>2.7557223334190488</v>
      </c>
      <c r="C370">
        <f>怪しいデータを手直し!D700</f>
        <v>-4.5915903981766064</v>
      </c>
      <c r="D370" t="str">
        <f>怪しいデータを手直し!G700</f>
        <v>lc</v>
      </c>
      <c r="E370">
        <f>怪しいデータを手直し!T700</f>
        <v>40.680003454288446</v>
      </c>
      <c r="F370">
        <f>IF(怪しいデータを手直し!U700="dead",0,怪しいデータを手直し!U700)</f>
        <v>0</v>
      </c>
      <c r="G370">
        <f>怪しいデータを手直し!L700</f>
        <v>5.4</v>
      </c>
      <c r="H370">
        <v>0</v>
      </c>
    </row>
    <row r="371" spans="1:9">
      <c r="A371">
        <f>怪しいデータを手直し!F695</f>
        <v>405</v>
      </c>
      <c r="B371">
        <f>怪しいデータを手直し!C695</f>
        <v>1.2154303413929617</v>
      </c>
      <c r="C371">
        <f>怪しいデータを手直し!D695</f>
        <v>-9.4124380158473588</v>
      </c>
      <c r="D371" t="str">
        <f>怪しいデータを手直し!G695</f>
        <v>lc</v>
      </c>
      <c r="E371">
        <f>怪しいデータを手直し!T695</f>
        <v>32.785918276930438</v>
      </c>
      <c r="F371">
        <f>IF(怪しいデータを手直し!U695="dead",0,怪しいデータを手直し!U695)</f>
        <v>0</v>
      </c>
      <c r="G371">
        <f>怪しいデータを手直し!L695</f>
        <v>14.6</v>
      </c>
      <c r="H371">
        <v>0</v>
      </c>
    </row>
    <row r="372" spans="1:9">
      <c r="A372">
        <f>怪しいデータを手直し!F652</f>
        <v>406</v>
      </c>
      <c r="B372">
        <f>怪しいデータを手直し!C652</f>
        <v>10.990466041018198</v>
      </c>
      <c r="C372">
        <f>怪しいデータを手直し!D652</f>
        <v>-3.8857530829415468</v>
      </c>
      <c r="D372" t="str">
        <f>怪しいデータを手直し!G652</f>
        <v>lc</v>
      </c>
      <c r="E372">
        <f>怪しいデータを手直し!T652</f>
        <v>18.111832523857689</v>
      </c>
      <c r="F372">
        <f>IF(怪しいデータを手直し!U652="dead",0,怪しいデータを手直し!U652)</f>
        <v>0</v>
      </c>
      <c r="G372">
        <f>怪しいデータを手直し!L652</f>
        <v>11.4</v>
      </c>
      <c r="H372">
        <v>0</v>
      </c>
    </row>
    <row r="373" spans="1:9">
      <c r="A373">
        <f>怪しいデータを手直し!F488</f>
        <v>407</v>
      </c>
      <c r="B373">
        <f>怪しいデータを手直し!C488</f>
        <v>12.525669415854443</v>
      </c>
      <c r="C373">
        <f>怪しいデータを手直し!D488</f>
        <v>-2.7854252820381808</v>
      </c>
      <c r="D373" t="str">
        <f>怪しいデータを手直し!G488</f>
        <v>lc</v>
      </c>
      <c r="E373">
        <f>怪しいデータを手直し!T488</f>
        <v>5.9523948716368853</v>
      </c>
      <c r="F373">
        <f>IF(怪しいデータを手直し!U488="dead",0,怪しいデータを手直し!U488)</f>
        <v>0</v>
      </c>
      <c r="G373">
        <f>怪しいデータを手直し!L488</f>
        <v>5.6</v>
      </c>
      <c r="H373">
        <v>0</v>
      </c>
    </row>
    <row r="374" spans="1:9">
      <c r="A374">
        <f>怪しいデータを手直し!F671</f>
        <v>408</v>
      </c>
      <c r="B374">
        <f>怪しいデータを手直し!C671</f>
        <v>16.700577497173406</v>
      </c>
      <c r="C374">
        <f>怪しいデータを手直し!D671</f>
        <v>-0.72791565745859188</v>
      </c>
      <c r="D374" t="str">
        <f>怪しいデータを手直し!G671</f>
        <v>lc</v>
      </c>
      <c r="E374">
        <f>怪しいデータを手直し!T671</f>
        <v>22.027044123918316</v>
      </c>
      <c r="F374">
        <f>IF(怪しいデータを手直し!U671="dead",0,怪しいデータを手直し!U671)</f>
        <v>0</v>
      </c>
      <c r="G374">
        <f>怪しいデータを手直し!L671</f>
        <v>13.5</v>
      </c>
      <c r="H374">
        <v>0</v>
      </c>
    </row>
    <row r="375" spans="1:9">
      <c r="A375">
        <f>怪しいデータを手直し!F604</f>
        <v>409</v>
      </c>
      <c r="B375">
        <f>怪しいデータを手直し!C604</f>
        <v>17.002655475487977</v>
      </c>
      <c r="C375">
        <f>怪しいデータを手直し!D604</f>
        <v>-10.07550079607055</v>
      </c>
      <c r="D375" t="str">
        <f>怪しいデータを手直し!G604</f>
        <v>bp</v>
      </c>
      <c r="E375">
        <f>怪しいデータを手直し!T604</f>
        <v>12.095775674984045</v>
      </c>
      <c r="F375">
        <f>IF(怪しいデータを手直し!U604="dead",0,怪しいデータを手直し!U604)</f>
        <v>0</v>
      </c>
      <c r="G375">
        <f>怪しいデータを手直し!L604</f>
        <v>2.8</v>
      </c>
      <c r="H375">
        <v>409</v>
      </c>
    </row>
    <row r="376" spans="1:9">
      <c r="A376">
        <f>怪しいデータを手直し!F306</f>
        <v>410</v>
      </c>
      <c r="B376">
        <f>怪しいデータを手直し!C306</f>
        <v>21.74400471974932</v>
      </c>
      <c r="C376">
        <f>怪しいデータを手直し!D306</f>
        <v>-9.6175914129299045</v>
      </c>
      <c r="D376" t="str">
        <f>怪しいデータを手直し!G306</f>
        <v>bp</v>
      </c>
      <c r="E376">
        <f>怪しいデータを手直し!T306</f>
        <v>2.59</v>
      </c>
      <c r="F376">
        <f>IF(怪しいデータを手直し!U306="dead",0,怪しいデータを手直し!U306)</f>
        <v>2.85</v>
      </c>
      <c r="G376">
        <f>怪しいデータを手直し!L306</f>
        <v>2.7</v>
      </c>
      <c r="H376">
        <v>411</v>
      </c>
    </row>
    <row r="377" spans="1:9">
      <c r="A377">
        <f>怪しいデータを手直し!F554</f>
        <v>411</v>
      </c>
      <c r="B377">
        <f>怪しいデータを手直し!C554</f>
        <v>21.766250392445837</v>
      </c>
      <c r="C377">
        <f>怪しいデータを手直し!D554</f>
        <v>-9.5225324628643904</v>
      </c>
      <c r="D377" t="str">
        <f>怪しいデータを手直し!G554</f>
        <v>bp</v>
      </c>
      <c r="E377">
        <f>怪しいデータを手直し!T554</f>
        <v>9.0081697790012765</v>
      </c>
      <c r="F377">
        <f>IF(怪しいデータを手直し!U554="dead",0,怪しいデータを手直し!U554)</f>
        <v>0</v>
      </c>
      <c r="G377">
        <f>怪しいデータを手直し!L554</f>
        <v>4.4000000000000004</v>
      </c>
      <c r="H377">
        <v>411</v>
      </c>
      <c r="I377">
        <v>103</v>
      </c>
    </row>
    <row r="378" spans="1:9">
      <c r="A378">
        <f>怪しいデータを手直し!F349</f>
        <v>412</v>
      </c>
      <c r="B378">
        <f>怪しいデータを手直し!C349</f>
        <v>21.573591821388145</v>
      </c>
      <c r="C378">
        <f>怪しいデータを手直し!D349</f>
        <v>-9.2921288004261342</v>
      </c>
      <c r="D378" t="str">
        <f>怪しいデータを手直し!G349</f>
        <v>bp</v>
      </c>
      <c r="E378">
        <f>怪しいデータを手直し!T349</f>
        <v>3.1512678732195281</v>
      </c>
      <c r="F378">
        <f>IF(怪しいデータを手直し!U349="dead",0,怪しいデータを手直し!U349)</f>
        <v>3.246760839074665</v>
      </c>
      <c r="G378">
        <f>怪しいデータを手直し!L349</f>
        <v>2.6</v>
      </c>
      <c r="H378">
        <v>411</v>
      </c>
    </row>
    <row r="379" spans="1:9">
      <c r="A379">
        <f>怪しいデータを手直し!F451</f>
        <v>413</v>
      </c>
      <c r="B379">
        <f>怪しいデータを手直し!C451</f>
        <v>21.622350838410512</v>
      </c>
      <c r="C379">
        <f>怪しいデータを手直し!D451</f>
        <v>-9.3261221968864305</v>
      </c>
      <c r="D379" t="str">
        <f>怪しいデータを手直し!G451</f>
        <v>bp</v>
      </c>
      <c r="E379">
        <f>怪しいデータを手直し!T451</f>
        <v>5.0292962017038931</v>
      </c>
      <c r="F379">
        <f>IF(怪しいデータを手直し!U451="dead",0,怪しいデータを手直し!U451)</f>
        <v>5.156620156177409</v>
      </c>
      <c r="G379">
        <f>怪しいデータを手直し!L451</f>
        <v>5.7</v>
      </c>
      <c r="H379">
        <v>411</v>
      </c>
      <c r="I379">
        <v>46</v>
      </c>
    </row>
    <row r="380" spans="1:9">
      <c r="A380">
        <f>怪しいデータを手直し!F310</f>
        <v>414</v>
      </c>
      <c r="B380">
        <f>怪しいデータを手直し!C310</f>
        <v>22.085349303121198</v>
      </c>
      <c r="C380">
        <f>怪しいデータを手直し!D310</f>
        <v>-9.5621753675044623</v>
      </c>
      <c r="D380" t="str">
        <f>怪しいデータを手直し!G310</f>
        <v>bp</v>
      </c>
      <c r="E380">
        <f>怪しいデータを手直し!T310</f>
        <v>2.62</v>
      </c>
      <c r="F380">
        <f>IF(怪しいデータを手直し!U310="dead",0,怪しいデータを手直し!U310)</f>
        <v>2.94</v>
      </c>
      <c r="G380">
        <f>怪しいデータを手直し!L310</f>
        <v>3</v>
      </c>
      <c r="H380">
        <v>411</v>
      </c>
    </row>
    <row r="381" spans="1:9">
      <c r="A381">
        <f>怪しいデータを手直し!F381</f>
        <v>415</v>
      </c>
      <c r="B381">
        <f>怪しいデータを手直し!C381</f>
        <v>22.256082481683858</v>
      </c>
      <c r="C381">
        <f>怪しいデータを手直し!D381</f>
        <v>-9.5353591675352476</v>
      </c>
      <c r="D381" t="str">
        <f>怪しいデータを手直し!G381</f>
        <v>bp</v>
      </c>
      <c r="E381">
        <f>怪しいデータを手直し!T381</f>
        <v>3.5650707252584555</v>
      </c>
      <c r="F381">
        <f>IF(怪しいデータを手直し!U381="dead",0,怪しいデータを手直し!U381)</f>
        <v>3.851549622823867</v>
      </c>
      <c r="G381">
        <f>怪しいデータを手直し!L381</f>
        <v>3.4</v>
      </c>
      <c r="H381">
        <v>411</v>
      </c>
    </row>
    <row r="382" spans="1:9">
      <c r="A382">
        <f>怪しいデータを手直し!F25</f>
        <v>416</v>
      </c>
      <c r="B382">
        <f>怪しいデータを手直し!C25</f>
        <v>21.464943970627026</v>
      </c>
      <c r="C382">
        <f>怪しいデータを手直し!D25</f>
        <v>-9.2555552485210217</v>
      </c>
      <c r="D382" t="str">
        <f>怪しいデータを手直し!G25</f>
        <v>bp</v>
      </c>
      <c r="E382">
        <f>怪しいデータを手直し!T25</f>
        <v>0.43</v>
      </c>
      <c r="F382">
        <f>IF(怪しいデータを手直し!U25="dead",0,怪しいデータを手直し!U25)</f>
        <v>0.5</v>
      </c>
      <c r="G382">
        <f>怪しいデータを手直し!L25</f>
        <v>1.4</v>
      </c>
      <c r="H382">
        <v>411</v>
      </c>
    </row>
    <row r="383" spans="1:9">
      <c r="A383">
        <f>怪しいデータを手直し!F36</f>
        <v>417</v>
      </c>
      <c r="B383">
        <f>怪しいデータを手直し!C36</f>
        <v>21.487636454088175</v>
      </c>
      <c r="C383">
        <f>怪しいデータを手直し!D36</f>
        <v>-9.1917327521203234</v>
      </c>
      <c r="D383" t="str">
        <f>怪しいデータを手直し!G36</f>
        <v>bp</v>
      </c>
      <c r="E383">
        <f>怪しいデータを手直し!T36</f>
        <v>0.5</v>
      </c>
      <c r="F383">
        <f>IF(怪しいデータを手直し!U36="dead",0,怪しいデータを手直し!U36)</f>
        <v>0.64</v>
      </c>
      <c r="G383">
        <f>怪しいデータを手直し!L36</f>
        <v>1.7</v>
      </c>
      <c r="H383">
        <v>411</v>
      </c>
    </row>
    <row r="384" spans="1:9">
      <c r="A384">
        <f>怪しいデータを手直し!F571</f>
        <v>418</v>
      </c>
      <c r="B384">
        <f>怪しいデータを手直し!C571</f>
        <v>28.096502686916914</v>
      </c>
      <c r="C384">
        <f>怪しいデータを手直し!D571</f>
        <v>-4.7002215407223211</v>
      </c>
      <c r="D384" t="str">
        <f>怪しいデータを手直し!G571</f>
        <v>bp</v>
      </c>
      <c r="E384">
        <f>怪しいデータを手直し!T571</f>
        <v>10.313240312354818</v>
      </c>
      <c r="F384">
        <f>IF(怪しいデータを手直し!U571="dead",0,怪しいデータを手直し!U571)</f>
        <v>9.6766205399872369</v>
      </c>
      <c r="G384">
        <f>怪しいデータを手直し!L571</f>
        <v>6.1</v>
      </c>
      <c r="H384">
        <v>418</v>
      </c>
    </row>
    <row r="385" spans="1:9">
      <c r="A385">
        <f>怪しいデータを手直し!F424</f>
        <v>419</v>
      </c>
      <c r="B385">
        <f>怪しいデータを手直し!C424</f>
        <v>28.216300026749987</v>
      </c>
      <c r="C385">
        <f>怪しいデータを手直し!D424</f>
        <v>-4.6050009323052059</v>
      </c>
      <c r="D385" t="str">
        <f>怪しいデータを手直し!G424</f>
        <v>bp</v>
      </c>
      <c r="E385">
        <f>怪しいデータを手直し!T424</f>
        <v>4.3608454407179318</v>
      </c>
      <c r="F385">
        <f>IF(怪しいデータを手直し!U424="dead",0,怪しいデータを手直し!U424)</f>
        <v>4.9656342244671343</v>
      </c>
      <c r="G385">
        <f>怪しいデータを手直し!L424</f>
        <v>4.7</v>
      </c>
      <c r="H385">
        <v>418</v>
      </c>
    </row>
    <row r="386" spans="1:9">
      <c r="A386">
        <f>怪しいデータを手直し!F580</f>
        <v>420</v>
      </c>
      <c r="B386">
        <f>怪しいデータを手直し!C580</f>
        <v>27.496033648053988</v>
      </c>
      <c r="C386">
        <f>怪しいデータを手直し!D580</f>
        <v>-9.3665763902395547</v>
      </c>
      <c r="D386" t="str">
        <f>怪しいデータを手直し!G580</f>
        <v>lc</v>
      </c>
      <c r="E386">
        <f>怪しいデータを手直し!T580</f>
        <v>10.631550198538608</v>
      </c>
      <c r="F386">
        <f>IF(怪しいデータを手直し!U580="dead",0,怪しいデータを手直し!U580)</f>
        <v>0</v>
      </c>
      <c r="G386">
        <f>怪しいデータを手直し!L580</f>
        <v>7.7</v>
      </c>
      <c r="H386">
        <v>0</v>
      </c>
      <c r="I386">
        <v>32</v>
      </c>
    </row>
    <row r="387" spans="1:9">
      <c r="A387">
        <f>怪しいデータを手直し!F516</f>
        <v>421</v>
      </c>
      <c r="B387">
        <f>怪しいデータを手直し!C516</f>
        <v>31.683064910093709</v>
      </c>
      <c r="C387">
        <f>怪しいデータを手直し!D516</f>
        <v>-7.3137031604296894</v>
      </c>
      <c r="D387" t="str">
        <f>怪しいデータを手直し!G516</f>
        <v>pt</v>
      </c>
      <c r="E387">
        <f>怪しいデータを手直し!T516</f>
        <v>6.9391555188066372</v>
      </c>
      <c r="F387">
        <f>IF(怪しいデータを手直し!U516="dead",0,怪しいデータを手直し!U516)</f>
        <v>7.0028174960433951</v>
      </c>
      <c r="G387">
        <f>怪しいデータを手直し!L516</f>
        <v>7.6</v>
      </c>
      <c r="H387">
        <v>0</v>
      </c>
    </row>
    <row r="388" spans="1:9">
      <c r="A388">
        <f>怪しいデータを手直し!F366</f>
        <v>422</v>
      </c>
      <c r="B388">
        <f>怪しいデータを手直し!C366</f>
        <v>32.579202742904585</v>
      </c>
      <c r="C388">
        <f>怪しいデータを手直し!D366</f>
        <v>-4.1813516974227438</v>
      </c>
      <c r="D388" t="str">
        <f>怪しいデータを手直し!G366</f>
        <v>bp</v>
      </c>
      <c r="E388">
        <f>怪しいデータを手直し!T366</f>
        <v>3.3422538049298023</v>
      </c>
      <c r="F388">
        <f>IF(怪しいデータを手直し!U366="dead",0,怪しいデータを手直し!U366)</f>
        <v>3.7878876455871091</v>
      </c>
      <c r="G388">
        <f>怪しいデータを手直し!L366</f>
        <v>4.0999999999999996</v>
      </c>
      <c r="H388">
        <v>423</v>
      </c>
      <c r="I388">
        <v>29</v>
      </c>
    </row>
    <row r="389" spans="1:9">
      <c r="A389">
        <f>怪しいデータを手直し!F595</f>
        <v>423</v>
      </c>
      <c r="B389">
        <f>怪しいデータを手直し!C595</f>
        <v>32.700022916406624</v>
      </c>
      <c r="C389">
        <f>怪しいデータを手直し!D595</f>
        <v>-4.0462839688971055</v>
      </c>
      <c r="D389" t="str">
        <f>怪しいデータを手直し!G595</f>
        <v>bp</v>
      </c>
      <c r="E389">
        <f>怪しいデータを手直し!T595</f>
        <v>11.618310845708359</v>
      </c>
      <c r="F389">
        <f>IF(怪しいデータを手直し!U595="dead",0,怪しいデータを手直し!U595)</f>
        <v>11.777465788800255</v>
      </c>
      <c r="G389">
        <f>怪しいデータを手直し!L595</f>
        <v>8.1</v>
      </c>
      <c r="H389">
        <v>423</v>
      </c>
      <c r="I389">
        <v>120</v>
      </c>
    </row>
    <row r="390" spans="1:9">
      <c r="A390">
        <f>怪しいデータを手直し!F288</f>
        <v>424</v>
      </c>
      <c r="B390">
        <f>怪しいデータを手直し!C288</f>
        <v>32.809033307619565</v>
      </c>
      <c r="C390">
        <f>怪しいデータを手直し!D288</f>
        <v>-4.19762134732012</v>
      </c>
      <c r="D390" t="str">
        <f>怪しいデータを手直し!G288</f>
        <v>bp</v>
      </c>
      <c r="E390">
        <f>怪しいデータを手直し!T288</f>
        <v>2.36</v>
      </c>
      <c r="F390">
        <f>IF(怪しいデータを手直し!U288="dead",0,怪しいデータを手直し!U288)</f>
        <v>2.65</v>
      </c>
      <c r="G390">
        <f>怪しいデータを手直し!L288</f>
        <v>4.8</v>
      </c>
      <c r="H390">
        <v>423</v>
      </c>
    </row>
    <row r="391" spans="1:9">
      <c r="A391">
        <f>怪しいデータを手直し!F512</f>
        <v>425</v>
      </c>
      <c r="B391">
        <f>怪しいデータを手直し!C512</f>
        <v>32.773001461476369</v>
      </c>
      <c r="C391">
        <f>怪しいデータを手直し!D512</f>
        <v>-3.8493421389108899</v>
      </c>
      <c r="D391" t="str">
        <f>怪しいデータを手直し!G512</f>
        <v>bp</v>
      </c>
      <c r="E391">
        <f>怪しいデータを手直し!T512</f>
        <v>6.8118315643331204</v>
      </c>
      <c r="F391">
        <f>IF(怪しいデータを手直し!U512="dead",0,怪しいデータを手直し!U512)</f>
        <v>7.0028174960433951</v>
      </c>
      <c r="G391">
        <f>怪しいデータを手直し!L512</f>
        <v>6.9</v>
      </c>
      <c r="H391">
        <v>423</v>
      </c>
    </row>
    <row r="392" spans="1:9">
      <c r="A392">
        <f>怪しいデータを手直し!F398</f>
        <v>426</v>
      </c>
      <c r="B392">
        <f>怪しいデータを手直し!C398</f>
        <v>33.758862366994734</v>
      </c>
      <c r="C392">
        <f>怪しいデータを手直し!D398</f>
        <v>-1.9829056980795468</v>
      </c>
      <c r="D392" t="str">
        <f>怪しいデータを手直し!G398</f>
        <v>bp</v>
      </c>
      <c r="E392">
        <f>怪しいデータを手直し!T398</f>
        <v>3.883380611442246</v>
      </c>
      <c r="F392">
        <f>IF(怪しいデータを手直し!U398="dead",0,怪しいデータを手直し!U398)</f>
        <v>4.0743665431525207</v>
      </c>
      <c r="G392">
        <f>怪しいデータを手直し!L398</f>
        <v>4.7</v>
      </c>
      <c r="H392">
        <v>427</v>
      </c>
    </row>
    <row r="393" spans="1:9">
      <c r="A393">
        <f>怪しいデータを手直し!F464</f>
        <v>427</v>
      </c>
      <c r="B393">
        <f>怪しいデータを手直し!C464</f>
        <v>33.65070084480169</v>
      </c>
      <c r="C393">
        <f>怪しいデータを手直し!D464</f>
        <v>-1.9024386240178419</v>
      </c>
      <c r="D393" t="str">
        <f>怪しいデータを手直し!G464</f>
        <v>bp</v>
      </c>
      <c r="E393">
        <f>怪しいデータを手直し!T464</f>
        <v>5.3476060878876837</v>
      </c>
      <c r="F393">
        <f>IF(怪しいデータを手直し!U464="dead",0,怪しいデータを手直し!U464)</f>
        <v>5.6659159740714742</v>
      </c>
      <c r="G393">
        <f>怪しいデータを手直し!L464</f>
        <v>5.7</v>
      </c>
      <c r="H393">
        <v>427</v>
      </c>
    </row>
    <row r="394" spans="1:9">
      <c r="A394">
        <f>怪しいデータを手直し!F517</f>
        <v>428</v>
      </c>
      <c r="B394">
        <f>怪しいデータを手直し!C517</f>
        <v>33.019969865726083</v>
      </c>
      <c r="C394">
        <f>怪しいデータを手直し!D517</f>
        <v>-9.3524821819996067</v>
      </c>
      <c r="D394" t="str">
        <f>怪しいデータを手直し!G517</f>
        <v>pt</v>
      </c>
      <c r="E394">
        <f>怪しいデータを手直し!T517</f>
        <v>7.0346484846617745</v>
      </c>
      <c r="F394">
        <f>IF(怪しいデータを手直し!U517="dead",0,怪しいデータを手直し!U517)</f>
        <v>7.6076062797925967</v>
      </c>
      <c r="G394">
        <f>怪しいデータを手直し!L517</f>
        <v>8.9</v>
      </c>
      <c r="H394">
        <v>0</v>
      </c>
    </row>
    <row r="395" spans="1:9">
      <c r="A395">
        <f>怪しいデータを手直し!F406</f>
        <v>429</v>
      </c>
      <c r="B395">
        <f>怪しいデータを手直し!C406</f>
        <v>33.766064591840596</v>
      </c>
      <c r="C395">
        <f>怪しいデータを手直し!D406</f>
        <v>-6.9729636066118257</v>
      </c>
      <c r="D395" t="str">
        <f>怪しいデータを手直し!G406</f>
        <v>bp</v>
      </c>
      <c r="E395">
        <f>怪しいデータを手直し!T406</f>
        <v>4.0743665431525207</v>
      </c>
      <c r="F395">
        <f>IF(怪しいデータを手直し!U406="dead",0,怪しいデータを手直し!U406)</f>
        <v>4.2653524748627953</v>
      </c>
      <c r="G395">
        <f>怪しいデータを手直し!L406</f>
        <v>4.7</v>
      </c>
      <c r="H395">
        <v>430</v>
      </c>
    </row>
    <row r="396" spans="1:9">
      <c r="A396">
        <f>怪しいデータを手直し!F561</f>
        <v>430</v>
      </c>
      <c r="B396">
        <f>怪しいデータを手直し!C561</f>
        <v>34.217457461745369</v>
      </c>
      <c r="C396">
        <f>怪しいデータを手直し!D561</f>
        <v>-7.32809023481785</v>
      </c>
      <c r="D396" t="str">
        <f>怪しいデータを手直し!G561</f>
        <v>bp</v>
      </c>
      <c r="E396">
        <f>怪しいデータを手直し!T561</f>
        <v>9.3901416424218258</v>
      </c>
      <c r="F396">
        <f>IF(怪しいデータを手直し!U561="dead",0,怪しいデータを手直し!U561)</f>
        <v>9.4538036196585828</v>
      </c>
      <c r="G396">
        <f>怪しいデータを手直し!L561</f>
        <v>8.6</v>
      </c>
      <c r="H396">
        <v>430</v>
      </c>
      <c r="I396">
        <v>120</v>
      </c>
    </row>
    <row r="397" spans="1:9">
      <c r="A397">
        <f>怪しいデータを手直し!F566</f>
        <v>431</v>
      </c>
      <c r="B397">
        <f>怪しいデータを手直し!C566</f>
        <v>34.096027688842931</v>
      </c>
      <c r="C397">
        <f>怪しいデータを手直し!D566</f>
        <v>-6.9396714311873886</v>
      </c>
      <c r="D397" t="str">
        <f>怪しいデータを手直し!G566</f>
        <v>bp</v>
      </c>
      <c r="E397">
        <f>怪しいデータを手直し!T566</f>
        <v>9.9312684489342686</v>
      </c>
      <c r="F397">
        <f>IF(怪しいデータを手直し!U566="dead",0,怪しいデータを手直し!U566)</f>
        <v>0</v>
      </c>
      <c r="G397">
        <f>怪しいデータを手直し!L566</f>
        <v>3.4</v>
      </c>
      <c r="H397">
        <v>430</v>
      </c>
    </row>
    <row r="398" spans="1:9">
      <c r="A398">
        <f>怪しいデータを手直し!F540</f>
        <v>432</v>
      </c>
      <c r="B398">
        <f>怪しいデータを手直し!C540</f>
        <v>35.335404450103319</v>
      </c>
      <c r="C398">
        <f>怪しいデータを手直し!D540</f>
        <v>-8.6005542683319032</v>
      </c>
      <c r="D398" t="str">
        <f>怪しいデータを手直し!G540</f>
        <v>pt</v>
      </c>
      <c r="E398">
        <f>怪しいデータを手直し!T540</f>
        <v>7.9259161659763873</v>
      </c>
      <c r="F398">
        <f>IF(怪しいデータを手直し!U540="dead",0,怪しいデータを手直し!U540)</f>
        <v>8.3715500066336954</v>
      </c>
      <c r="G398">
        <f>怪しいデータを手直し!L540</f>
        <v>8.1</v>
      </c>
      <c r="H398">
        <v>0</v>
      </c>
    </row>
    <row r="399" spans="1:9">
      <c r="A399">
        <f>怪しいデータを手直し!F573</f>
        <v>433</v>
      </c>
      <c r="B399">
        <f>怪しいデータを手直し!C573</f>
        <v>35.122213435174388</v>
      </c>
      <c r="C399">
        <f>怪しいデータを手直し!D573</f>
        <v>-6.1890554677341747</v>
      </c>
      <c r="D399" t="str">
        <f>怪しいデータを手直し!G573</f>
        <v>pt</v>
      </c>
      <c r="E399">
        <f>怪しいデータを手直し!T573</f>
        <v>10.345071300973197</v>
      </c>
      <c r="F399">
        <f>IF(怪しいデータを手直し!U573="dead",0,怪しいデータを手直し!U573)</f>
        <v>10.822536130248883</v>
      </c>
      <c r="G399">
        <f>怪しいデータを手直し!L573</f>
        <v>9.1999999999999993</v>
      </c>
      <c r="H399">
        <v>0</v>
      </c>
    </row>
    <row r="400" spans="1:9">
      <c r="A400">
        <f>怪しいデータを手直し!F130</f>
        <v>434</v>
      </c>
      <c r="B400">
        <f>怪しいデータを手直し!C130</f>
        <v>36.140434147170858</v>
      </c>
      <c r="C400">
        <f>怪しいデータを手直し!D130</f>
        <v>-1.9804145102333841</v>
      </c>
      <c r="D400" t="str">
        <f>怪しいデータを手直し!G130</f>
        <v>bp</v>
      </c>
      <c r="E400">
        <f>怪しいデータを手直し!T130</f>
        <v>1.1299999999999999</v>
      </c>
      <c r="F400">
        <f>IF(怪しいデータを手直し!U130="dead",0,怪しいデータを手直し!U130)</f>
        <v>1.55</v>
      </c>
      <c r="G400">
        <f>怪しいデータを手直し!L130</f>
        <v>2.7</v>
      </c>
      <c r="H400">
        <v>435</v>
      </c>
    </row>
    <row r="401" spans="1:9">
      <c r="A401">
        <f>怪しいデータを手直し!F524</f>
        <v>435</v>
      </c>
      <c r="B401">
        <f>怪しいデータを手直し!C524</f>
        <v>36.224931257984402</v>
      </c>
      <c r="C401">
        <f>怪しいデータを手直し!D524</f>
        <v>-1.8300026932038236</v>
      </c>
      <c r="D401" t="str">
        <f>怪しいデータを手直し!G524</f>
        <v>bp</v>
      </c>
      <c r="E401">
        <f>怪しいデータを手直し!T524</f>
        <v>7.3211273822271856</v>
      </c>
      <c r="F401">
        <f>IF(怪しいデータを手直し!U524="dead",0,怪しいデータを手直し!U524)</f>
        <v>7.5439443025558388</v>
      </c>
      <c r="G401">
        <f>怪しいデータを手直し!L524</f>
        <v>6.4</v>
      </c>
      <c r="H401">
        <v>435</v>
      </c>
      <c r="I401">
        <v>47</v>
      </c>
    </row>
    <row r="402" spans="1:9">
      <c r="A402">
        <f>怪しいデータを手直し!F135</f>
        <v>436</v>
      </c>
      <c r="B402">
        <f>怪しいデータを手直し!C135</f>
        <v>36.376280380840498</v>
      </c>
      <c r="C402">
        <f>怪しいデータを手直し!D135</f>
        <v>-1.9368581730371055</v>
      </c>
      <c r="D402" t="str">
        <f>怪しいデータを手直し!G135</f>
        <v>bp</v>
      </c>
      <c r="E402">
        <f>怪しいデータを手直し!T135</f>
        <v>1.18</v>
      </c>
      <c r="F402">
        <f>IF(怪しいデータを手直し!U135="dead",0,怪しいデータを手直し!U135)</f>
        <v>2.31</v>
      </c>
      <c r="G402">
        <f>怪しいデータを手直し!L135</f>
        <v>3.2</v>
      </c>
      <c r="H402">
        <v>435</v>
      </c>
    </row>
    <row r="403" spans="1:9">
      <c r="A403">
        <f>怪しいデータを手直し!F139</f>
        <v>437</v>
      </c>
      <c r="B403">
        <f>怪しいデータを手直し!C139</f>
        <v>36.357692293398046</v>
      </c>
      <c r="C403">
        <f>怪しいデータを手直し!D139</f>
        <v>-1.8575191390812584</v>
      </c>
      <c r="D403" t="str">
        <f>怪しいデータを手直し!G139</f>
        <v>bp</v>
      </c>
      <c r="E403">
        <f>怪しいデータを手直し!T139</f>
        <v>1.22</v>
      </c>
      <c r="F403">
        <f>IF(怪しいデータを手直し!U139="dead",0,怪しいデータを手直し!U139)</f>
        <v>1.61</v>
      </c>
      <c r="G403">
        <f>怪しいデータを手直し!L139</f>
        <v>3.1</v>
      </c>
      <c r="H403">
        <v>435</v>
      </c>
    </row>
    <row r="404" spans="1:9">
      <c r="A404">
        <f>怪しいデータを手直し!F242</f>
        <v>438</v>
      </c>
      <c r="B404">
        <f>怪しいデータを手直し!C242</f>
        <v>36.443441690078132</v>
      </c>
      <c r="C404">
        <f>怪しいデータを手直し!D242</f>
        <v>-2.0492143163001968</v>
      </c>
      <c r="D404" t="str">
        <f>怪しいデータを手直し!G242</f>
        <v>bp</v>
      </c>
      <c r="E404">
        <f>怪しいデータを手直し!T242</f>
        <v>1.99</v>
      </c>
      <c r="F404">
        <f>IF(怪しいデータを手直し!U242="dead",0,怪しいデータを手直し!U242)</f>
        <v>2.08</v>
      </c>
      <c r="G404">
        <f>怪しいデータを手直し!L242</f>
        <v>2.4</v>
      </c>
      <c r="H404">
        <v>435</v>
      </c>
    </row>
    <row r="405" spans="1:9">
      <c r="A405">
        <f>怪しいデータを手直し!F525</f>
        <v>439</v>
      </c>
      <c r="B405">
        <f>怪しいデータを手直し!C525</f>
        <v>38.599978655638978</v>
      </c>
      <c r="C405">
        <f>怪しいデータを手直し!D525</f>
        <v>-2.2961801529803694</v>
      </c>
      <c r="D405" t="str">
        <f>怪しいデータを手直し!G525</f>
        <v>lc</v>
      </c>
      <c r="E405">
        <f>怪しいデータを手直し!T525</f>
        <v>7.352958370845565</v>
      </c>
      <c r="F405">
        <f>IF(怪しいデータを手直し!U525="dead",0,怪しいデータを手直し!U525)</f>
        <v>0</v>
      </c>
      <c r="G405">
        <f>怪しいデータを手直し!L525</f>
        <v>7.9</v>
      </c>
      <c r="H405">
        <v>0</v>
      </c>
    </row>
    <row r="406" spans="1:9">
      <c r="A406">
        <f>怪しいデータを手直し!F214</f>
        <v>440</v>
      </c>
      <c r="B406">
        <f>怪しいデータを手直し!C214</f>
        <v>38.84947872844365</v>
      </c>
      <c r="C406">
        <f>怪しいデータを手直し!D214</f>
        <v>-3.9687562805258523</v>
      </c>
      <c r="D406" t="str">
        <f>怪しいデータを手直し!G214</f>
        <v>bp</v>
      </c>
      <c r="E406">
        <f>怪しいデータを手直し!T214</f>
        <v>1.73</v>
      </c>
      <c r="F406">
        <f>IF(怪しいデータを手直し!U214="dead",0,怪しいデータを手直し!U214)</f>
        <v>1.9300000000000002</v>
      </c>
      <c r="G406">
        <f>怪しいデータを手直し!L214</f>
        <v>3</v>
      </c>
      <c r="H406">
        <v>443</v>
      </c>
    </row>
    <row r="407" spans="1:9">
      <c r="A407">
        <f>怪しいデータを手直し!F208</f>
        <v>441</v>
      </c>
      <c r="B407">
        <f>怪しいデータを手直し!C208</f>
        <v>38.887856973840393</v>
      </c>
      <c r="C407">
        <f>怪しいデータを手直し!D208</f>
        <v>-4.1141493487037444</v>
      </c>
      <c r="D407" t="str">
        <f>怪しいデータを手直し!G208</f>
        <v>bp</v>
      </c>
      <c r="E407">
        <f>怪しいデータを手直し!T208</f>
        <v>1.68</v>
      </c>
      <c r="F407">
        <f>IF(怪しいデータを手直し!U208="dead",0,怪しいデータを手直し!U208)</f>
        <v>0</v>
      </c>
      <c r="G407">
        <f>怪しいデータを手直し!L208</f>
        <v>1.6</v>
      </c>
      <c r="H407">
        <v>443</v>
      </c>
    </row>
    <row r="408" spans="1:9">
      <c r="A408">
        <f>怪しいデータを手直し!F68</f>
        <v>442</v>
      </c>
      <c r="B408">
        <f>怪しいデータを手直し!C68</f>
        <v>38.88133355192322</v>
      </c>
      <c r="C408">
        <f>怪しいデータを手直し!D68</f>
        <v>-4.1357451131497296</v>
      </c>
      <c r="D408" t="str">
        <f>怪しいデータを手直し!G68</f>
        <v>bp</v>
      </c>
      <c r="E408">
        <f>怪しいデータを手直し!T68</f>
        <v>0.69</v>
      </c>
      <c r="F408">
        <f>IF(怪しいデータを手直し!U68="dead",0,怪しいデータを手直し!U68)</f>
        <v>0</v>
      </c>
      <c r="G408">
        <f>怪しいデータを手直し!L68</f>
        <v>1.4</v>
      </c>
      <c r="H408">
        <v>443</v>
      </c>
    </row>
    <row r="409" spans="1:9">
      <c r="A409">
        <f>怪しいデータを手直し!F307</f>
        <v>443</v>
      </c>
      <c r="B409">
        <f>怪しいデータを手直し!C307</f>
        <v>38.935523972621638</v>
      </c>
      <c r="C409">
        <f>怪しいデータを手直し!D307</f>
        <v>-4.0240656975551694</v>
      </c>
      <c r="D409" t="str">
        <f>怪しいデータを手直し!G307</f>
        <v>bp</v>
      </c>
      <c r="E409">
        <f>怪しいデータを手直し!T307</f>
        <v>2.59</v>
      </c>
      <c r="F409">
        <f>IF(怪しいデータを手直し!U307="dead",0,怪しいデータを手直し!U307)</f>
        <v>3.1194368846011491</v>
      </c>
      <c r="G409">
        <f>怪しいデータを手直し!L307</f>
        <v>3.4</v>
      </c>
      <c r="H409">
        <v>443</v>
      </c>
    </row>
    <row r="410" spans="1:9">
      <c r="A410">
        <f>怪しいデータを手直し!F12</f>
        <v>444</v>
      </c>
      <c r="B410">
        <f>怪しいデータを手直し!C12</f>
        <v>38.977269466040433</v>
      </c>
      <c r="C410">
        <f>怪しいデータを手直し!D12</f>
        <v>-4.0167799426306585</v>
      </c>
      <c r="D410" t="str">
        <f>怪しいデータを手直し!G12</f>
        <v>bp</v>
      </c>
      <c r="E410">
        <f>怪しいデータを手直し!T12</f>
        <v>0.26</v>
      </c>
      <c r="F410">
        <f>IF(怪しいデータを手直し!U12="dead",0,怪しいデータを手直し!U12)</f>
        <v>0</v>
      </c>
      <c r="G410">
        <f>怪しいデータを手直し!L12</f>
        <v>1</v>
      </c>
      <c r="H410">
        <v>443</v>
      </c>
    </row>
    <row r="411" spans="1:9">
      <c r="A411">
        <f>怪しいデータを手直し!F284</f>
        <v>445</v>
      </c>
      <c r="B411">
        <f>怪しいデータを手直し!C284</f>
        <v>39.40833443356302</v>
      </c>
      <c r="C411">
        <f>怪しいデータを手直し!D284</f>
        <v>-8.7311690981486905</v>
      </c>
      <c r="D411" t="str">
        <f>怪しいデータを手直し!G284</f>
        <v>pt</v>
      </c>
      <c r="E411">
        <f>怪しいデータを手直し!T284</f>
        <v>2.34</v>
      </c>
      <c r="F411">
        <f>IF(怪しいデータを手直し!U284="dead",0,怪しいデータを手直し!U284)</f>
        <v>2.8647889756541161</v>
      </c>
      <c r="G411">
        <f>怪しいデータを手直し!L284</f>
        <v>4.3</v>
      </c>
      <c r="H411">
        <v>0</v>
      </c>
    </row>
    <row r="412" spans="1:9">
      <c r="A412">
        <f>怪しいデータを手直し!F127</f>
        <v>446</v>
      </c>
      <c r="B412">
        <f>怪しいデータを手直し!C127</f>
        <v>39.01488078418457</v>
      </c>
      <c r="C412">
        <f>怪しいデータを手直し!D127</f>
        <v>-2.2019784476682034</v>
      </c>
      <c r="D412" t="str">
        <f>怪しいデータを手直し!G127</f>
        <v>bp</v>
      </c>
      <c r="E412">
        <f>怪しいデータを手直し!T127</f>
        <v>1.0900000000000001</v>
      </c>
      <c r="F412">
        <f>IF(怪しいデータを手直し!U127="dead",0,怪しいデータを手直し!U127)</f>
        <v>1.33</v>
      </c>
      <c r="G412">
        <f>怪しいデータを手直し!L127</f>
        <v>2</v>
      </c>
      <c r="H412">
        <v>446</v>
      </c>
    </row>
    <row r="413" spans="1:9">
      <c r="A413">
        <f>怪しいデータを手直し!F161</f>
        <v>447</v>
      </c>
      <c r="B413">
        <f>怪しいデータを手直し!C161</f>
        <v>43.411546288263949</v>
      </c>
      <c r="C413">
        <f>怪しいデータを手直し!D161</f>
        <v>-9.4229801363622858</v>
      </c>
      <c r="D413" t="str">
        <f>怪しいデータを手直し!G161</f>
        <v>bp</v>
      </c>
      <c r="E413">
        <f>怪しいデータを手直し!T161</f>
        <v>1.33</v>
      </c>
      <c r="F413">
        <f>IF(怪しいデータを手直し!U161="dead",0,怪しいデータを手直し!U161)</f>
        <v>1.59</v>
      </c>
      <c r="G413">
        <f>怪しいデータを手直し!L161</f>
        <v>1.8</v>
      </c>
      <c r="H413">
        <v>453</v>
      </c>
    </row>
    <row r="414" spans="1:9">
      <c r="A414">
        <f>怪しいデータを手直し!F104</f>
        <v>448</v>
      </c>
      <c r="B414">
        <f>怪しいデータを手直し!C104</f>
        <v>43.598885535307346</v>
      </c>
      <c r="C414">
        <f>怪しいデータを手直し!D104</f>
        <v>-9.3912940744862272</v>
      </c>
      <c r="D414" t="str">
        <f>怪しいデータを手直し!G104</f>
        <v>bp</v>
      </c>
      <c r="E414">
        <f>怪しいデータを手直し!T104</f>
        <v>0.95</v>
      </c>
      <c r="F414">
        <f>IF(怪しいデータを手直し!U104="dead",0,怪しいデータを手直し!U104)</f>
        <v>1.04</v>
      </c>
      <c r="G414">
        <f>怪しいデータを手直し!L104</f>
        <v>2</v>
      </c>
      <c r="H414">
        <v>453</v>
      </c>
    </row>
    <row r="415" spans="1:9">
      <c r="A415">
        <f>怪しいデータを手直し!F140</f>
        <v>449</v>
      </c>
      <c r="B415">
        <f>怪しいデータを手直し!C140</f>
        <v>43.511176741472546</v>
      </c>
      <c r="C415">
        <f>怪しいデータを手直し!D140</f>
        <v>-9.4124305231359866</v>
      </c>
      <c r="D415" t="str">
        <f>怪しいデータを手直し!G140</f>
        <v>bp</v>
      </c>
      <c r="E415">
        <f>怪しいデータを手直し!T140</f>
        <v>1.22</v>
      </c>
      <c r="F415">
        <f>IF(怪しいデータを手直し!U140="dead",0,怪しいデータを手直し!U140)</f>
        <v>1.21</v>
      </c>
      <c r="G415">
        <f>怪しいデータを手直し!L140</f>
        <v>1.8</v>
      </c>
      <c r="H415">
        <v>453</v>
      </c>
    </row>
    <row r="416" spans="1:9">
      <c r="A416">
        <f>怪しいデータを手直し!F507</f>
        <v>450</v>
      </c>
      <c r="B416">
        <f>怪しいデータを手直し!C507</f>
        <v>43.452236059635894</v>
      </c>
      <c r="C416">
        <f>怪しいデータを手直し!D507</f>
        <v>-9.6493346487751737</v>
      </c>
      <c r="D416" t="str">
        <f>怪しいデータを手直し!G507</f>
        <v>bp</v>
      </c>
      <c r="E416">
        <f>怪しいデータを手直し!T507</f>
        <v>6.5253526667677093</v>
      </c>
      <c r="F416">
        <f>IF(怪しいデータを手直し!U507="dead",0,怪しいデータを手直し!U507)</f>
        <v>7.3847893594639435</v>
      </c>
      <c r="G416">
        <f>怪しいデータを手直し!L507</f>
        <v>6.2</v>
      </c>
      <c r="H416">
        <v>453</v>
      </c>
    </row>
    <row r="417" spans="1:9">
      <c r="A417">
        <f>怪しいデータを手直し!F373</f>
        <v>451</v>
      </c>
      <c r="B417">
        <f>怪しいデータを手直し!C373</f>
        <v>43.455869235201362</v>
      </c>
      <c r="C417">
        <f>怪しいデータを手直し!D373</f>
        <v>-9.8309797965071795</v>
      </c>
      <c r="D417" t="str">
        <f>怪しいデータを手直し!G373</f>
        <v>bp</v>
      </c>
      <c r="E417">
        <f>怪しいデータを手直し!T373</f>
        <v>3.4377467707849396</v>
      </c>
      <c r="F417">
        <f>IF(怪しいデータを手直し!U373="dead",0,怪しいデータを手直し!U373)</f>
        <v>3.7560566569687301</v>
      </c>
      <c r="G417">
        <f>怪しいデータを手直し!L373</f>
        <v>3.9</v>
      </c>
      <c r="H417">
        <v>453</v>
      </c>
      <c r="I417">
        <v>34</v>
      </c>
    </row>
    <row r="418" spans="1:9">
      <c r="A418">
        <f>怪しいデータを手直し!F532</f>
        <v>452</v>
      </c>
      <c r="B418">
        <f>怪しいデータを手直し!C532</f>
        <v>43.482322601613816</v>
      </c>
      <c r="C418">
        <f>怪しいデータを手直し!D532</f>
        <v>-9.5600803501892919</v>
      </c>
      <c r="D418" t="str">
        <f>怪しいデータを手直し!G532</f>
        <v>bp</v>
      </c>
      <c r="E418">
        <f>怪しいデータを手直し!T532</f>
        <v>7.4802823253190809</v>
      </c>
      <c r="F418">
        <f>IF(怪しいデータを手直し!U532="dead",0,怪しいデータを手直し!U532)</f>
        <v>8.3715500066336954</v>
      </c>
      <c r="G418">
        <f>怪しいデータを手直し!L532</f>
        <v>5.3</v>
      </c>
      <c r="H418">
        <v>453</v>
      </c>
      <c r="I418">
        <v>66</v>
      </c>
    </row>
    <row r="419" spans="1:9">
      <c r="A419">
        <f>怪しいデータを手直し!F629</f>
        <v>453</v>
      </c>
      <c r="B419">
        <f>怪しいデータを手直し!C629</f>
        <v>43.624437901391879</v>
      </c>
      <c r="C419">
        <f>怪しいデータを手直し!D629</f>
        <v>-9.6637710616945149</v>
      </c>
      <c r="D419" t="str">
        <f>怪しいデータを手直し!G629</f>
        <v>bp</v>
      </c>
      <c r="E419">
        <f>怪しいデータを手直し!T629</f>
        <v>13.846480048994895</v>
      </c>
      <c r="F419">
        <f>IF(怪しいデータを手直し!U629="dead",0,怪しいデータを手直し!U629)</f>
        <v>0</v>
      </c>
      <c r="G419">
        <f>怪しいデータを手直し!L629</f>
        <v>3.9</v>
      </c>
      <c r="H419">
        <v>453</v>
      </c>
    </row>
    <row r="420" spans="1:9">
      <c r="A420">
        <f>怪しいデータを手直し!F314</f>
        <v>454</v>
      </c>
      <c r="B420">
        <f>怪しいデータを手直し!C314</f>
        <v>43.779331656060187</v>
      </c>
      <c r="C420">
        <f>怪しいデータを手直し!D314</f>
        <v>-9.7158306253282198</v>
      </c>
      <c r="D420" t="str">
        <f>怪しいデータを手直し!G314</f>
        <v>bp</v>
      </c>
      <c r="E420">
        <f>怪しいデータを手直し!T314</f>
        <v>2.69</v>
      </c>
      <c r="F420">
        <f>IF(怪しいデータを手直し!U314="dead",0,怪しいデータを手直し!U314)</f>
        <v>3.0557749073643903</v>
      </c>
      <c r="G420">
        <f>怪しいデータを手直し!L314</f>
        <v>2.2999999999999998</v>
      </c>
      <c r="H420">
        <v>453</v>
      </c>
    </row>
    <row r="421" spans="1:9">
      <c r="A421">
        <f>怪しいデータを手直し!F265</f>
        <v>455</v>
      </c>
      <c r="B421">
        <f>怪しいデータを手直し!C265</f>
        <v>43.818712041029102</v>
      </c>
      <c r="C421">
        <f>怪しいデータを手直し!D265</f>
        <v>-9.7061661222742828</v>
      </c>
      <c r="D421" t="str">
        <f>怪しいデータを手直し!G265</f>
        <v>bp</v>
      </c>
      <c r="E421">
        <f>怪しいデータを手直し!T265</f>
        <v>2.2200000000000002</v>
      </c>
      <c r="F421">
        <f>IF(怪しいデータを手直し!U265="dead",0,怪しいデータを手直し!U265)</f>
        <v>2.33</v>
      </c>
      <c r="G421">
        <f>怪しいデータを手直し!L265</f>
        <v>2.2999999999999998</v>
      </c>
      <c r="H421">
        <v>453</v>
      </c>
    </row>
    <row r="422" spans="1:9">
      <c r="A422">
        <f>怪しいデータを手直し!F466</f>
        <v>456</v>
      </c>
      <c r="B422">
        <f>怪しいデータを手直し!C466</f>
        <v>47.207444046148773</v>
      </c>
      <c r="C422">
        <f>怪しいデータを手直し!D466</f>
        <v>-0.39246814470738367</v>
      </c>
      <c r="D422" t="str">
        <f>怪しいデータを手直し!G466</f>
        <v>lc</v>
      </c>
      <c r="E422">
        <f>怪しいデータを手直し!T466</f>
        <v>5.4749300423611995</v>
      </c>
      <c r="F422">
        <f>IF(怪しいデータを手直し!U466="dead",0,怪しいデータを手直し!U466)</f>
        <v>0</v>
      </c>
      <c r="G422">
        <f>怪しいデータを手直し!L466</f>
        <v>5.01</v>
      </c>
      <c r="H422">
        <v>0</v>
      </c>
    </row>
    <row r="423" spans="1:9">
      <c r="A423">
        <f>怪しいデータを手直し!F471</f>
        <v>457</v>
      </c>
      <c r="B423">
        <f>怪しいデータを手直し!C471</f>
        <v>46.774147756904384</v>
      </c>
      <c r="C423">
        <f>怪しいデータを手直し!D471</f>
        <v>-3.4593030086586767</v>
      </c>
      <c r="D423" t="str">
        <f>怪しいデータを手直し!G471</f>
        <v>bp</v>
      </c>
      <c r="E423">
        <f>怪しいデータを手直し!T471</f>
        <v>5.5385920195979574</v>
      </c>
      <c r="F423">
        <f>IF(怪しいデータを手直し!U471="dead",0,怪しいデータを手直し!U471)</f>
        <v>5.6340849854530948</v>
      </c>
      <c r="G423">
        <f>怪しいデータを手直し!L471</f>
        <v>4.2</v>
      </c>
      <c r="H423">
        <v>460</v>
      </c>
    </row>
    <row r="424" spans="1:9">
      <c r="A424">
        <f>怪しいデータを手直し!F492</f>
        <v>458</v>
      </c>
      <c r="B424">
        <f>怪しいデータを手直し!C492</f>
        <v>47.831262169247523</v>
      </c>
      <c r="C424">
        <f>怪しいデータを手直し!D492</f>
        <v>-2.5663546562123978</v>
      </c>
      <c r="D424" t="str">
        <f>怪しいデータを手直し!G492</f>
        <v>bp</v>
      </c>
      <c r="E424">
        <f>怪しいデータを手直し!T492</f>
        <v>6.0160568488736432</v>
      </c>
      <c r="F424">
        <f>IF(怪しいデータを手直し!U492="dead",0,怪しいデータを手直し!U492)</f>
        <v>6.3343667350574338</v>
      </c>
      <c r="G424">
        <f>怪しいデータを手直し!L492</f>
        <v>5.4</v>
      </c>
      <c r="H424">
        <v>460</v>
      </c>
    </row>
    <row r="425" spans="1:9">
      <c r="A425">
        <f>怪しいデータを手直し!F352</f>
        <v>459</v>
      </c>
      <c r="B425">
        <f>怪しいデータを手直し!C352</f>
        <v>47.761100883618937</v>
      </c>
      <c r="C425">
        <f>怪しいデータを手直し!D352</f>
        <v>-2.7549647450862382</v>
      </c>
      <c r="D425" t="str">
        <f>怪しいデータを手直し!G352</f>
        <v>bp</v>
      </c>
      <c r="E425">
        <f>怪しいデータを手直し!T352</f>
        <v>3.183098861837907</v>
      </c>
      <c r="F425">
        <f>IF(怪しいデータを手直し!U352="dead",0,怪しいデータを手直し!U352)</f>
        <v>3.246760839074665</v>
      </c>
      <c r="G425">
        <f>怪しいデータを手直し!L352</f>
        <v>2.9</v>
      </c>
      <c r="H425">
        <v>460</v>
      </c>
    </row>
    <row r="426" spans="1:9">
      <c r="A426">
        <f>怪しいデータを手直し!F543</f>
        <v>460</v>
      </c>
      <c r="B426">
        <f>怪しいデータを手直し!C543</f>
        <v>47.995502870026861</v>
      </c>
      <c r="C426">
        <f>怪しいデータを手直し!D543</f>
        <v>-2.519998265064773</v>
      </c>
      <c r="D426" t="str">
        <f>怪しいデータを手直し!G543</f>
        <v>bp</v>
      </c>
      <c r="E426">
        <f>怪しいデータを手直し!T543</f>
        <v>8.1169020976866619</v>
      </c>
      <c r="F426">
        <f>IF(怪しいデータを手直し!U543="dead",0,怪しいデータを手直し!U543)</f>
        <v>9.2309866993299305</v>
      </c>
      <c r="G426">
        <f>怪しいデータを手直し!L543</f>
        <v>6.6</v>
      </c>
      <c r="H426">
        <v>460</v>
      </c>
      <c r="I426">
        <v>75</v>
      </c>
    </row>
    <row r="427" spans="1:9">
      <c r="A427">
        <f>怪しいデータを手直し!F417</f>
        <v>461</v>
      </c>
      <c r="B427">
        <f>怪しいデータを手直し!C417</f>
        <v>47.95645499176517</v>
      </c>
      <c r="C427">
        <f>怪しいデータを手直し!D417</f>
        <v>-2.6922711229217842</v>
      </c>
      <c r="D427" t="str">
        <f>怪しいデータを手直し!G417</f>
        <v>bp</v>
      </c>
      <c r="E427">
        <f>怪しいデータを手直し!T417</f>
        <v>4.2016904976260365</v>
      </c>
      <c r="F427">
        <f>IF(怪しいデータを手直し!U417="dead",0,怪しいデータを手直し!U417)</f>
        <v>0</v>
      </c>
      <c r="G427">
        <f>怪しいデータを手直し!L417</f>
        <v>4.7</v>
      </c>
      <c r="H427">
        <v>460</v>
      </c>
    </row>
    <row r="428" spans="1:9">
      <c r="A428">
        <f>怪しいデータを手直し!F10</f>
        <v>462</v>
      </c>
      <c r="B428">
        <f>怪しいデータを手直し!C10</f>
        <v>47.838459784886211</v>
      </c>
      <c r="C428">
        <f>怪しいデータを手直し!D10</f>
        <v>-2.6503101513682941</v>
      </c>
      <c r="D428" t="str">
        <f>怪しいデータを手直し!G10</f>
        <v>bp</v>
      </c>
      <c r="E428">
        <f>怪しいデータを手直し!T10</f>
        <v>0.22</v>
      </c>
      <c r="F428">
        <f>IF(怪しいデータを手直し!U10="dead",0,怪しいデータを手直し!U10)</f>
        <v>0.72</v>
      </c>
      <c r="G428">
        <f>怪しいデータを手直し!L10</f>
        <v>1.4</v>
      </c>
      <c r="H428">
        <v>460</v>
      </c>
    </row>
    <row r="429" spans="1:9">
      <c r="A429">
        <f>怪しいデータを手直し!F479</f>
        <v>463</v>
      </c>
      <c r="B429">
        <f>怪しいデータを手直し!C479</f>
        <v>48.186840600406832</v>
      </c>
      <c r="C429">
        <f>怪しいデータを手直し!D479</f>
        <v>-2.4773681582814722</v>
      </c>
      <c r="D429" t="str">
        <f>怪しいデータを手直し!G479</f>
        <v>bp</v>
      </c>
      <c r="E429">
        <f>怪しいデータを手直し!T479</f>
        <v>5.6977469626898527</v>
      </c>
      <c r="F429">
        <f>IF(怪しいデータを手直し!U479="dead",0,怪しいデータを手直し!U479)</f>
        <v>5.9842258602552647</v>
      </c>
      <c r="G429">
        <f>怪しいデータを手直し!L479</f>
        <v>5.3</v>
      </c>
      <c r="H429">
        <v>460</v>
      </c>
    </row>
    <row r="430" spans="1:9">
      <c r="A430">
        <f>怪しいデータを手直し!F454</f>
        <v>464</v>
      </c>
      <c r="B430">
        <f>怪しいデータを手直し!C454</f>
        <v>48.415466708767497</v>
      </c>
      <c r="C430">
        <f>怪しいデータを手直し!D454</f>
        <v>-2.6060994319050623</v>
      </c>
      <c r="D430" t="str">
        <f>怪しいデータを手直し!G454</f>
        <v>bp</v>
      </c>
      <c r="E430">
        <f>怪しいデータを手直し!T454</f>
        <v>5.0929581789406511</v>
      </c>
      <c r="F430">
        <f>IF(怪しいデータを手直し!U454="dead",0,怪しいデータを手直し!U454)</f>
        <v>5.6022539968347163</v>
      </c>
      <c r="G430">
        <f>怪しいデータを手直し!L454</f>
        <v>5.0999999999999996</v>
      </c>
      <c r="H430">
        <v>460</v>
      </c>
    </row>
    <row r="431" spans="1:9">
      <c r="A431">
        <f>怪しいデータを手直し!F396</f>
        <v>465</v>
      </c>
      <c r="B431">
        <f>怪しいデータを手直し!C396</f>
        <v>48.14</v>
      </c>
      <c r="C431">
        <f>怪しいデータを手直し!D396</f>
        <v>-3.2216145020781122</v>
      </c>
      <c r="D431" t="str">
        <f>怪しいデータを手直し!G396</f>
        <v>bp</v>
      </c>
      <c r="E431">
        <f>怪しいデータを手直し!T396</f>
        <v>3.7878876455871091</v>
      </c>
      <c r="F431">
        <f>IF(怪しいデータを手直し!U396="dead",0,怪しいデータを手直し!U396)</f>
        <v>3.7242256683503507</v>
      </c>
      <c r="G431">
        <f>怪しいデータを手直し!L396</f>
        <v>4.3</v>
      </c>
      <c r="H431">
        <v>460</v>
      </c>
    </row>
    <row r="432" spans="1:9">
      <c r="A432">
        <f>怪しいデータを手直し!F441</f>
        <v>466</v>
      </c>
      <c r="B432">
        <f>怪しいデータを手直し!C441</f>
        <v>48.209032601146284</v>
      </c>
      <c r="C432">
        <f>怪しいデータを手直し!D441</f>
        <v>-3.3401400833263204</v>
      </c>
      <c r="D432" t="str">
        <f>怪しいデータを手直し!G441</f>
        <v>bp</v>
      </c>
      <c r="E432">
        <f>怪しいデータを手直し!T441</f>
        <v>4.7109863155201026</v>
      </c>
      <c r="F432">
        <f>IF(怪しいデータを手直し!U441="dead",0,怪しいデータを手直し!U441)</f>
        <v>4.9974652130855137</v>
      </c>
      <c r="G432">
        <f>怪しいデータを手直し!L441</f>
        <v>4.0999999999999996</v>
      </c>
      <c r="H432">
        <v>460</v>
      </c>
    </row>
    <row r="433" spans="1:9">
      <c r="A433">
        <f>怪しいデータを手直し!F442</f>
        <v>467</v>
      </c>
      <c r="B433">
        <f>怪しいデータを手直し!C442</f>
        <v>48.343280774778137</v>
      </c>
      <c r="C433">
        <f>怪しいデータを手直し!D442</f>
        <v>-3.1961353864910453</v>
      </c>
      <c r="D433" t="str">
        <f>怪しいデータを手直し!G442</f>
        <v>bp</v>
      </c>
      <c r="E433">
        <f>怪しいデータを手直し!T442</f>
        <v>4.8383102699936185</v>
      </c>
      <c r="F433">
        <f>IF(怪しいデータを手直し!U442="dead",0,怪しいデータを手直し!U442)</f>
        <v>5.0611271903222717</v>
      </c>
      <c r="G433">
        <f>怪しいデータを手直し!L442</f>
        <v>5</v>
      </c>
      <c r="H433">
        <v>460</v>
      </c>
    </row>
    <row r="434" spans="1:9">
      <c r="A434">
        <f>怪しいデータを手直し!F336</f>
        <v>468</v>
      </c>
      <c r="B434">
        <f>怪しいデータを手直し!C336</f>
        <v>48.306777815709822</v>
      </c>
      <c r="C434">
        <f>怪しいデータを手直し!D336</f>
        <v>-3.1315489194051551</v>
      </c>
      <c r="D434" t="str">
        <f>怪しいデータを手直し!G336</f>
        <v>bp</v>
      </c>
      <c r="E434">
        <f>怪しいデータを手直し!T336</f>
        <v>2.9602819415092534</v>
      </c>
      <c r="F434">
        <f>IF(怪しいデータを手直し!U336="dead",0,怪しいデータを手直し!U336)</f>
        <v>3.246760839074665</v>
      </c>
      <c r="G434">
        <f>怪しいデータを手直し!L336</f>
        <v>4</v>
      </c>
      <c r="H434">
        <v>460</v>
      </c>
    </row>
    <row r="435" spans="1:9">
      <c r="A435">
        <f>怪しいデータを手直し!F337</f>
        <v>469</v>
      </c>
      <c r="B435">
        <f>怪しいデータを手直し!C337</f>
        <v>48.401628678836474</v>
      </c>
      <c r="C435">
        <f>怪しいデータを手直し!D337</f>
        <v>-3.0574023483476909</v>
      </c>
      <c r="D435" t="str">
        <f>怪しいデータを手直し!G337</f>
        <v>bp</v>
      </c>
      <c r="E435">
        <f>怪しいデータを手直し!T337</f>
        <v>2.9602819415092534</v>
      </c>
      <c r="F435">
        <f>IF(怪しいデータを手直し!U337="dead",0,怪しいデータを手直し!U337)</f>
        <v>2.928450952890874</v>
      </c>
      <c r="G435">
        <f>怪しいデータを手直し!L337</f>
        <v>2.8</v>
      </c>
      <c r="H435">
        <v>460</v>
      </c>
    </row>
    <row r="436" spans="1:9">
      <c r="A436">
        <f>怪しいデータを手直し!F165</f>
        <v>470</v>
      </c>
      <c r="B436">
        <f>怪しいデータを手直し!C165</f>
        <v>48.499274544622907</v>
      </c>
      <c r="C436">
        <f>怪しいデータを手直し!D165</f>
        <v>-2.9838604370149775</v>
      </c>
      <c r="D436" t="str">
        <f>怪しいデータを手直し!G165</f>
        <v>bp</v>
      </c>
      <c r="E436">
        <f>怪しいデータを手直し!T165</f>
        <v>1.34</v>
      </c>
      <c r="F436">
        <f>IF(怪しいデータを手直し!U165="dead",0,怪しいデータを手直し!U165)</f>
        <v>0</v>
      </c>
      <c r="G436">
        <f>怪しいデータを手直し!L165</f>
        <v>2</v>
      </c>
      <c r="H436">
        <v>460</v>
      </c>
    </row>
    <row r="437" spans="1:9">
      <c r="A437">
        <f>怪しいデータを手直し!F429</f>
        <v>471</v>
      </c>
      <c r="B437">
        <f>怪しいデータを手直し!C429</f>
        <v>48.531267151121057</v>
      </c>
      <c r="C437">
        <f>怪しいデータを手直し!D429</f>
        <v>-2.6387921135671051</v>
      </c>
      <c r="D437" t="str">
        <f>怪しいデータを手直し!G429</f>
        <v>bp</v>
      </c>
      <c r="E437">
        <f>怪しいデータを手直し!T429</f>
        <v>4.45633840657307</v>
      </c>
      <c r="F437">
        <f>IF(怪しいデータを手直し!U429="dead",0,怪しいデータを手直し!U429)</f>
        <v>4.4881693951914485</v>
      </c>
      <c r="G437">
        <f>怪しいデータを手直し!L429</f>
        <v>3.8</v>
      </c>
      <c r="H437">
        <v>460</v>
      </c>
    </row>
    <row r="438" spans="1:9">
      <c r="A438">
        <f>怪しいデータを手直し!F37</f>
        <v>472</v>
      </c>
      <c r="B438">
        <f>怪しいデータを手直し!C37</f>
        <v>29.127893214767482</v>
      </c>
      <c r="C438">
        <f>怪しいデータを手直し!D37</f>
        <v>-30.172685474109159</v>
      </c>
      <c r="D438" t="str">
        <f>怪しいデータを手直し!G37</f>
        <v>pt</v>
      </c>
      <c r="E438">
        <f>怪しいデータを手直し!T37</f>
        <v>0.5</v>
      </c>
      <c r="F438">
        <f>IF(怪しいデータを手直し!U37="dead",0,怪しいデータを手直し!U37)</f>
        <v>0.89</v>
      </c>
      <c r="G438">
        <f>怪しいデータを手直し!L37</f>
        <v>2</v>
      </c>
      <c r="H438">
        <v>0</v>
      </c>
    </row>
    <row r="439" spans="1:9">
      <c r="A439">
        <f>怪しいデータを手直し!F536</f>
        <v>501</v>
      </c>
      <c r="B439">
        <f>怪しいデータを手直し!C536</f>
        <v>47.835224083829708</v>
      </c>
      <c r="C439">
        <f>怪しいデータを手直し!D536</f>
        <v>-10.273612054147605</v>
      </c>
      <c r="D439" t="str">
        <f>怪しいデータを手直し!G536</f>
        <v>bp</v>
      </c>
      <c r="E439">
        <f>怪しいデータを手直し!T536</f>
        <v>7.7030992456477341</v>
      </c>
      <c r="F439">
        <f>IF(怪しいデータを手直し!U536="dead",0,怪しいデータを手直し!U536)</f>
        <v>8.2760570407785572</v>
      </c>
      <c r="G439">
        <f>怪しいデータを手直し!L536</f>
        <v>7.6</v>
      </c>
      <c r="H439">
        <v>501</v>
      </c>
    </row>
    <row r="440" spans="1:9">
      <c r="A440">
        <f>怪しいデータを手直し!F331</f>
        <v>502</v>
      </c>
      <c r="B440">
        <f>怪しいデータを手直し!C331</f>
        <v>47.913619609306409</v>
      </c>
      <c r="C440">
        <f>怪しいデータを手直し!D331</f>
        <v>-10.317843796857876</v>
      </c>
      <c r="D440" t="str">
        <f>怪しいデータを手直し!G331</f>
        <v>bp</v>
      </c>
      <c r="E440">
        <f>怪しいデータを手直し!T331</f>
        <v>2.928450952890874</v>
      </c>
      <c r="F440">
        <f>IF(怪しいデータを手直し!U331="dead",0,怪しいデータを手直し!U331)</f>
        <v>2.9921129301276324</v>
      </c>
      <c r="G440">
        <f>怪しいデータを手直し!L331</f>
        <v>2.7</v>
      </c>
      <c r="H440">
        <v>501</v>
      </c>
    </row>
    <row r="441" spans="1:9">
      <c r="A441">
        <f>怪しいデータを手直し!F220</f>
        <v>503</v>
      </c>
      <c r="B441">
        <f>怪しいデータを手直し!C220</f>
        <v>49.439942488289539</v>
      </c>
      <c r="C441">
        <f>怪しいデータを手直し!D220</f>
        <v>-10.032951749359711</v>
      </c>
      <c r="D441" t="str">
        <f>怪しいデータを手直し!G220</f>
        <v>bp</v>
      </c>
      <c r="E441">
        <f>怪しいデータを手直し!T220</f>
        <v>1.8</v>
      </c>
      <c r="F441">
        <f>IF(怪しいデータを手直し!U220="dead",0,怪しいデータを手直し!U220)</f>
        <v>2.4</v>
      </c>
      <c r="G441">
        <f>怪しいデータを手直し!L220</f>
        <v>3.7</v>
      </c>
      <c r="H441">
        <v>501</v>
      </c>
    </row>
    <row r="442" spans="1:9">
      <c r="A442">
        <f>怪しいデータを手直し!F312</f>
        <v>504</v>
      </c>
      <c r="B442">
        <f>怪しいデータを手直し!C312</f>
        <v>49.449481850504085</v>
      </c>
      <c r="C442">
        <f>怪しいデータを手直し!D312</f>
        <v>-10.098958359898518</v>
      </c>
      <c r="D442" t="str">
        <f>怪しいデータを手直し!G312</f>
        <v>bp</v>
      </c>
      <c r="E442">
        <f>怪しいデータを手直し!T312</f>
        <v>2.65</v>
      </c>
      <c r="F442">
        <f>IF(怪しいデータを手直し!U312="dead",0,怪しいデータを手直し!U312)</f>
        <v>2.5300000000000002</v>
      </c>
      <c r="G442">
        <f>怪しいデータを手直し!L312</f>
        <v>3.2</v>
      </c>
      <c r="H442">
        <v>501</v>
      </c>
    </row>
    <row r="443" spans="1:9">
      <c r="A443">
        <f>怪しいデータを手直し!F461</f>
        <v>505</v>
      </c>
      <c r="B443">
        <f>怪しいデータを手直し!C461</f>
        <v>48.78592455891193</v>
      </c>
      <c r="C443">
        <f>怪しいデータを手直し!D461</f>
        <v>-16.38334783989626</v>
      </c>
      <c r="D443" t="str">
        <f>怪しいデータを手直し!G461</f>
        <v>bp</v>
      </c>
      <c r="E443">
        <f>怪しいデータを手直し!T461</f>
        <v>5.2521131220325463</v>
      </c>
      <c r="F443">
        <f>IF(怪しいデータを手直し!U461="dead",0,怪しいデータを手直し!U461)</f>
        <v>5.5704230082163368</v>
      </c>
      <c r="G443">
        <f>怪しいデータを手直し!L461</f>
        <v>5.6</v>
      </c>
      <c r="H443">
        <v>507</v>
      </c>
      <c r="I443">
        <v>44</v>
      </c>
    </row>
    <row r="444" spans="1:9">
      <c r="A444">
        <f>怪しいデータを手直し!F132</f>
        <v>506</v>
      </c>
      <c r="B444">
        <f>怪しいデータを手直し!C132</f>
        <v>48.947736636769655</v>
      </c>
      <c r="C444">
        <f>怪しいデータを手直し!D132</f>
        <v>-16.311933862059238</v>
      </c>
      <c r="D444" t="str">
        <f>怪しいデータを手直し!G132</f>
        <v>bp</v>
      </c>
      <c r="E444">
        <f>怪しいデータを手直し!T132</f>
        <v>1.1499999999999999</v>
      </c>
      <c r="F444">
        <f>IF(怪しいデータを手直し!U132="dead",0,怪しいデータを手直し!U132)</f>
        <v>1.7100000000000002</v>
      </c>
      <c r="G444">
        <f>怪しいデータを手直し!L132</f>
        <v>2.8</v>
      </c>
      <c r="H444">
        <v>507</v>
      </c>
    </row>
    <row r="445" spans="1:9">
      <c r="A445">
        <f>怪しいデータを手直し!F606</f>
        <v>507</v>
      </c>
      <c r="B445">
        <f>怪しいデータを手直し!C606</f>
        <v>49.112968455015206</v>
      </c>
      <c r="C445">
        <f>怪しいデータを手直し!D606</f>
        <v>-16.596689013277626</v>
      </c>
      <c r="D445" t="str">
        <f>怪しいデータを手直し!G606</f>
        <v>bp</v>
      </c>
      <c r="E445">
        <f>怪しいデータを手直し!T606</f>
        <v>12.159437652220806</v>
      </c>
      <c r="F445">
        <f>IF(怪しいデータを手直し!U606="dead",0,怪しいデータを手直し!U606)</f>
        <v>0</v>
      </c>
      <c r="G445">
        <f>怪しいデータを手直し!L606</f>
        <v>7.8</v>
      </c>
      <c r="H445">
        <v>507</v>
      </c>
    </row>
    <row r="446" spans="1:9">
      <c r="A446">
        <f>怪しいデータを手直し!F325</f>
        <v>508</v>
      </c>
      <c r="B446">
        <f>怪しいデータを手直し!C325</f>
        <v>49.102832546654355</v>
      </c>
      <c r="C446">
        <f>怪しいデータを手直し!D325</f>
        <v>-16.139938080108806</v>
      </c>
      <c r="D446" t="str">
        <f>怪しいデータを手直し!G325</f>
        <v>bp</v>
      </c>
      <c r="E446">
        <f>怪しいデータを手直し!T325</f>
        <v>2.89</v>
      </c>
      <c r="F446">
        <f>IF(怪しいデータを手直し!U325="dead",0,怪しいデータを手直し!U325)</f>
        <v>3.3104228163114233</v>
      </c>
      <c r="G446">
        <f>怪しいデータを手直し!L325</f>
        <v>3.7</v>
      </c>
      <c r="H446">
        <v>507</v>
      </c>
    </row>
    <row r="447" spans="1:9">
      <c r="A447">
        <f>怪しいデータを手直し!F282</f>
        <v>509</v>
      </c>
      <c r="B447">
        <f>怪しいデータを手直し!C282</f>
        <v>49.246140094845508</v>
      </c>
      <c r="C447">
        <f>怪しいデータを手直し!D282</f>
        <v>-16.426234772126698</v>
      </c>
      <c r="D447" t="str">
        <f>怪しいデータを手直し!G282</f>
        <v>bp</v>
      </c>
      <c r="E447">
        <f>怪しいデータを手直し!T282</f>
        <v>2.33</v>
      </c>
      <c r="F447">
        <f>IF(怪しいデータを手直し!U282="dead",0,怪しいデータを手直し!U282)</f>
        <v>2.48</v>
      </c>
      <c r="G447">
        <f>怪しいデータを手直し!L282</f>
        <v>3.6</v>
      </c>
      <c r="H447">
        <v>507</v>
      </c>
    </row>
    <row r="448" spans="1:9">
      <c r="A448">
        <f>怪しいデータを手直し!F113</f>
        <v>510</v>
      </c>
      <c r="B448">
        <f>怪しいデータを手直し!C113</f>
        <v>44.622154275334118</v>
      </c>
      <c r="C448">
        <f>怪しいデータを手直し!D113</f>
        <v>-19.561385352291296</v>
      </c>
      <c r="D448" t="str">
        <f>怪しいデータを手直し!G113</f>
        <v>pt</v>
      </c>
      <c r="E448">
        <f>怪しいデータを手直し!T113</f>
        <v>1</v>
      </c>
      <c r="F448">
        <f>IF(怪しいデータを手直し!U113="dead",0,怪しいデータを手直し!U113)</f>
        <v>1.53</v>
      </c>
      <c r="G448">
        <f>怪しいデータを手直し!L113</f>
        <v>2.5</v>
      </c>
      <c r="H448">
        <v>0</v>
      </c>
      <c r="I448">
        <v>44</v>
      </c>
    </row>
    <row r="449" spans="1:9">
      <c r="A449">
        <f>怪しいデータを手直し!F60</f>
        <v>511</v>
      </c>
      <c r="B449">
        <f>怪しいデータを手直し!C60</f>
        <v>42.104570371554374</v>
      </c>
      <c r="C449">
        <f>怪しいデータを手直し!D60</f>
        <v>-19.816943697056402</v>
      </c>
      <c r="D449" t="str">
        <f>怪しいデータを手直し!G60</f>
        <v>lc</v>
      </c>
      <c r="E449">
        <f>怪しいデータを手直し!T60</f>
        <v>0.64</v>
      </c>
      <c r="F449">
        <f>IF(怪しいデータを手直し!U60="dead",0,怪しいデータを手直し!U60)</f>
        <v>0</v>
      </c>
      <c r="G449">
        <f>怪しいデータを手直し!L60</f>
        <v>1.9</v>
      </c>
      <c r="H449">
        <v>0</v>
      </c>
    </row>
    <row r="450" spans="1:9">
      <c r="A450">
        <f>怪しいデータを手直し!F684</f>
        <v>512</v>
      </c>
      <c r="B450">
        <f>怪しいデータを手直し!C684</f>
        <v>40.793988816431167</v>
      </c>
      <c r="C450">
        <f>怪しいデータを手直し!D684</f>
        <v>-19.0753336996158</v>
      </c>
      <c r="D450" t="str">
        <f>怪しいデータを手直し!G684</f>
        <v>lc</v>
      </c>
      <c r="E450">
        <f>怪しいデータを手直し!T684</f>
        <v>27.374650211805999</v>
      </c>
      <c r="F450">
        <f>IF(怪しいデータを手直し!U684="dead",0,怪しいデータを手直し!U684)</f>
        <v>0</v>
      </c>
      <c r="G450">
        <f>怪しいデータを手直し!L684</f>
        <v>16.5</v>
      </c>
      <c r="H450">
        <v>0</v>
      </c>
    </row>
    <row r="451" spans="1:9">
      <c r="A451">
        <f>怪しいデータを手直し!F183</f>
        <v>513</v>
      </c>
      <c r="B451">
        <f>怪しいデータを手直し!C183</f>
        <v>41.077045145116749</v>
      </c>
      <c r="C451">
        <f>怪しいデータを手直し!D183</f>
        <v>-13.612876105733552</v>
      </c>
      <c r="D451" t="str">
        <f>怪しいデータを手直し!G183</f>
        <v>pt</v>
      </c>
      <c r="E451">
        <f>怪しいデータを手直し!T183</f>
        <v>1.47</v>
      </c>
      <c r="F451">
        <f>IF(怪しいデータを手直し!U183="dead",0,怪しいデータを手直し!U183)</f>
        <v>1.75</v>
      </c>
      <c r="G451">
        <f>怪しいデータを手直し!L183</f>
        <v>3</v>
      </c>
      <c r="H451">
        <v>0</v>
      </c>
    </row>
    <row r="452" spans="1:9">
      <c r="A452">
        <f>怪しいデータを手直し!F527</f>
        <v>514</v>
      </c>
      <c r="B452">
        <f>怪しいデータを手直し!C527</f>
        <v>39.721062829151542</v>
      </c>
      <c r="C452">
        <f>怪しいデータを手直し!D527</f>
        <v>-19.98610504925314</v>
      </c>
      <c r="D452" t="str">
        <f>怪しいデータを手直し!G527</f>
        <v>pt</v>
      </c>
      <c r="E452">
        <f>怪しいデータを手直し!T527</f>
        <v>7.416620348082323</v>
      </c>
      <c r="F452">
        <f>IF(怪しいデータを手直し!U527="dead",0,怪しいデータを手直し!U527)</f>
        <v>7.7030992456477341</v>
      </c>
      <c r="G452">
        <f>怪しいデータを手直し!L527</f>
        <v>7</v>
      </c>
      <c r="H452">
        <v>0</v>
      </c>
      <c r="I452">
        <v>42</v>
      </c>
    </row>
    <row r="453" spans="1:9">
      <c r="A453">
        <f>怪しいデータを手直し!F13</f>
        <v>515</v>
      </c>
      <c r="B453">
        <f>怪しいデータを手直し!C13</f>
        <v>38.237587459751978</v>
      </c>
      <c r="C453">
        <f>怪しいデータを手直し!D13</f>
        <v>-18.662534388848133</v>
      </c>
      <c r="D453" t="str">
        <f>怪しいデータを手直し!G13</f>
        <v>pt</v>
      </c>
      <c r="E453">
        <f>怪しいデータを手直し!T13</f>
        <v>0.28000000000000003</v>
      </c>
      <c r="F453">
        <f>IF(怪しいデータを手直し!U13="dead",0,怪しいデータを手直し!U13)</f>
        <v>0.45</v>
      </c>
      <c r="G453">
        <f>怪しいデータを手直し!L13</f>
        <v>1.4</v>
      </c>
      <c r="H453">
        <v>0</v>
      </c>
    </row>
    <row r="454" spans="1:9">
      <c r="A454">
        <f>怪しいデータを手直し!F244</f>
        <v>516</v>
      </c>
      <c r="B454">
        <f>怪しいデータを手直し!C244</f>
        <v>38.614147537104941</v>
      </c>
      <c r="C454">
        <f>怪しいデータを手直し!D244</f>
        <v>-15.817199751692192</v>
      </c>
      <c r="D454" t="str">
        <f>怪しいデータを手直し!G244</f>
        <v>pt</v>
      </c>
      <c r="E454">
        <f>怪しいデータを手直し!T244</f>
        <v>2.0299999999999998</v>
      </c>
      <c r="F454">
        <f>IF(怪しいデータを手直し!U244="dead",0,怪しいデータを手直し!U244)</f>
        <v>2.4699999999999998</v>
      </c>
      <c r="G454">
        <f>怪しいデータを手直し!L244</f>
        <v>3.7</v>
      </c>
      <c r="H454">
        <v>0</v>
      </c>
    </row>
    <row r="455" spans="1:9">
      <c r="A455">
        <f>怪しいデータを手直し!F28</f>
        <v>517</v>
      </c>
      <c r="B455">
        <f>怪しいデータを手直し!C28</f>
        <v>38.533061832444758</v>
      </c>
      <c r="C455">
        <f>怪しいデータを手直し!D28</f>
        <v>-15.79728319237293</v>
      </c>
      <c r="D455" t="str">
        <f>怪しいデータを手直し!G28</f>
        <v>pt</v>
      </c>
      <c r="E455">
        <f>怪しいデータを手直し!T28</f>
        <v>0.45</v>
      </c>
      <c r="F455">
        <f>IF(怪しいデータを手直し!U28="dead",0,怪しいデータを手直し!U28)</f>
        <v>0.69000000000000006</v>
      </c>
      <c r="G455">
        <f>怪しいデータを手直し!L28</f>
        <v>1.6</v>
      </c>
      <c r="H455">
        <v>0</v>
      </c>
    </row>
    <row r="456" spans="1:9">
      <c r="A456">
        <f>怪しいデータを手直し!F21</f>
        <v>518</v>
      </c>
      <c r="B456">
        <f>怪しいデータを手直し!C21</f>
        <v>38.593859788306851</v>
      </c>
      <c r="C456">
        <f>怪しいデータを手直し!D21</f>
        <v>-14.808624512795685</v>
      </c>
      <c r="D456" t="str">
        <f>怪しいデータを手直し!G21</f>
        <v>lc</v>
      </c>
      <c r="E456">
        <f>怪しいデータを手直し!T21</f>
        <v>0.39</v>
      </c>
      <c r="F456">
        <f>IF(怪しいデータを手直し!U21="dead",0,怪しいデータを手直し!U21)</f>
        <v>0.93</v>
      </c>
      <c r="G456">
        <f>怪しいデータを手直し!L21</f>
        <v>1.5</v>
      </c>
      <c r="H456">
        <v>0</v>
      </c>
    </row>
    <row r="457" spans="1:9">
      <c r="A457">
        <f>怪しいデータを手直し!F65</f>
        <v>519</v>
      </c>
      <c r="B457">
        <f>怪しいデータを手直し!C65</f>
        <v>36.71062998926508</v>
      </c>
      <c r="C457">
        <f>怪しいデータを手直し!D65</f>
        <v>-14.445328439213212</v>
      </c>
      <c r="D457" t="str">
        <f>怪しいデータを手直し!G65</f>
        <v>lc</v>
      </c>
      <c r="E457">
        <f>怪しいデータを手直し!T65</f>
        <v>0.67</v>
      </c>
      <c r="F457">
        <f>IF(怪しいデータを手直し!U65="dead",0,怪しいデータを手直し!U65)</f>
        <v>1.1300000000000001</v>
      </c>
      <c r="G457">
        <f>怪しいデータを手直し!L65</f>
        <v>1.7</v>
      </c>
      <c r="H457">
        <v>0</v>
      </c>
    </row>
    <row r="458" spans="1:9">
      <c r="A458">
        <f>怪しいデータを手直し!F187</f>
        <v>520</v>
      </c>
      <c r="B458">
        <f>怪しいデータを手直し!C187</f>
        <v>36.093682459167503</v>
      </c>
      <c r="C458">
        <f>怪しいデータを手直し!D187</f>
        <v>-15.517090108941883</v>
      </c>
      <c r="D458" t="str">
        <f>怪しいデータを手直し!G187</f>
        <v>lc</v>
      </c>
      <c r="E458">
        <f>怪しいデータを手直し!T187</f>
        <v>1.51</v>
      </c>
      <c r="F458">
        <f>IF(怪しいデータを手直し!U187="dead",0,怪しいデータを手直し!U187)</f>
        <v>0</v>
      </c>
      <c r="G458">
        <f>怪しいデータを手直し!L187</f>
        <v>2.2000000000000002</v>
      </c>
      <c r="H458">
        <v>0</v>
      </c>
    </row>
    <row r="459" spans="1:9">
      <c r="A459">
        <f>怪しいデータを手直し!F292</f>
        <v>521</v>
      </c>
      <c r="B459">
        <f>怪しいデータを手直し!C292</f>
        <v>36.298987754977233</v>
      </c>
      <c r="C459">
        <f>怪しいデータを手直し!D292</f>
        <v>-16.649406617299888</v>
      </c>
      <c r="D459" t="str">
        <f>怪しいデータを手直し!G292</f>
        <v>lc</v>
      </c>
      <c r="E459">
        <f>怪しいデータを手直し!T292</f>
        <v>2.41</v>
      </c>
      <c r="F459">
        <f>IF(怪しいデータを手直し!U292="dead",0,怪しいデータを手直し!U292)</f>
        <v>0</v>
      </c>
      <c r="G459">
        <f>怪しいデータを手直し!L292</f>
        <v>3</v>
      </c>
      <c r="H459">
        <v>0</v>
      </c>
    </row>
    <row r="460" spans="1:9">
      <c r="A460">
        <f>怪しいデータを手直し!F262</f>
        <v>522</v>
      </c>
      <c r="B460">
        <f>怪しいデータを手直し!C262</f>
        <v>35.588236187970651</v>
      </c>
      <c r="C460">
        <f>怪しいデータを手直し!D262</f>
        <v>-16.565397175104358</v>
      </c>
      <c r="D460" t="str">
        <f>怪しいデータを手直し!G262</f>
        <v>lc</v>
      </c>
      <c r="E460">
        <f>怪しいデータを手直し!T262</f>
        <v>2.2000000000000002</v>
      </c>
      <c r="F460">
        <f>IF(怪しいデータを手直し!U262="dead",0,怪しいデータを手直し!U262)</f>
        <v>3.3740847935481812</v>
      </c>
      <c r="G460">
        <f>怪しいデータを手直し!L262</f>
        <v>3.3</v>
      </c>
      <c r="H460">
        <v>0</v>
      </c>
    </row>
    <row r="461" spans="1:9">
      <c r="A461">
        <f>怪しいデータを手直し!F149</f>
        <v>523</v>
      </c>
      <c r="B461">
        <f>怪しいデータを手直し!C149</f>
        <v>35.246860320498655</v>
      </c>
      <c r="C461">
        <f>怪しいデータを手直し!D149</f>
        <v>-17.046819366717855</v>
      </c>
      <c r="D461" t="str">
        <f>怪しいデータを手直し!G149</f>
        <v>pt</v>
      </c>
      <c r="E461">
        <f>怪しいデータを手直し!T149</f>
        <v>1.27</v>
      </c>
      <c r="F461">
        <f>IF(怪しいデータを手直し!U149="dead",0,怪しいデータを手直し!U149)</f>
        <v>1.92</v>
      </c>
      <c r="G461">
        <f>怪しいデータを手直し!L149</f>
        <v>3.1</v>
      </c>
      <c r="H461">
        <v>0</v>
      </c>
    </row>
    <row r="462" spans="1:9">
      <c r="A462">
        <f>怪しいデータを手直し!F32</f>
        <v>524</v>
      </c>
      <c r="B462">
        <f>怪しいデータを手直し!C32</f>
        <v>34.564016467039586</v>
      </c>
      <c r="C462">
        <f>怪しいデータを手直し!D32</f>
        <v>-16.165912992362379</v>
      </c>
      <c r="D462" t="str">
        <f>怪しいデータを手直し!G32</f>
        <v>lc</v>
      </c>
      <c r="E462">
        <f>怪しいデータを手直し!T32</f>
        <v>0.49</v>
      </c>
      <c r="F462">
        <f>IF(怪しいデータを手直し!U32="dead",0,怪しいデータを手直し!U32)</f>
        <v>0.13300000000000001</v>
      </c>
      <c r="G462">
        <f>怪しいデータを手直し!L32</f>
        <v>1.7</v>
      </c>
      <c r="H462">
        <v>0</v>
      </c>
    </row>
    <row r="463" spans="1:9">
      <c r="A463">
        <f>怪しいデータを手直し!F324</f>
        <v>525</v>
      </c>
      <c r="B463">
        <f>怪しいデータを手直し!C324</f>
        <v>34.082172203010693</v>
      </c>
      <c r="C463">
        <f>怪しいデータを手直し!D324</f>
        <v>-14.205581311207848</v>
      </c>
      <c r="D463" t="str">
        <f>怪しいデータを手直し!G324</f>
        <v>lc</v>
      </c>
      <c r="E463">
        <f>怪しいデータを手直し!T324</f>
        <v>2.85</v>
      </c>
      <c r="F463">
        <f>IF(怪しいデータを手直し!U324="dead",0,怪しいデータを手直し!U324)</f>
        <v>0</v>
      </c>
      <c r="G463">
        <f>怪しいデータを手直し!L324</f>
        <v>3.7</v>
      </c>
      <c r="H463">
        <v>0</v>
      </c>
    </row>
    <row r="464" spans="1:9">
      <c r="A464">
        <f>怪しいデータを手直し!F637</f>
        <v>526</v>
      </c>
      <c r="B464">
        <f>怪しいデータを手直し!C637</f>
        <v>31.451980341886681</v>
      </c>
      <c r="C464">
        <f>怪しいデータを手直し!D637</f>
        <v>-13.401670166919232</v>
      </c>
      <c r="D464" t="str">
        <f>怪しいデータを手直し!G637</f>
        <v>pt</v>
      </c>
      <c r="E464">
        <f>怪しいデータを手直し!T637</f>
        <v>14.928733662019782</v>
      </c>
      <c r="F464">
        <f>IF(怪しいデータを手直し!U637="dead",0,怪しいデータを手直し!U637)</f>
        <v>16.01098727504467</v>
      </c>
      <c r="G464">
        <f>怪しいデータを手直し!L637</f>
        <v>12.6</v>
      </c>
      <c r="H464">
        <v>0</v>
      </c>
      <c r="I464">
        <v>92</v>
      </c>
    </row>
    <row r="465" spans="1:9">
      <c r="A465">
        <f>怪しいデータを手直し!F658</f>
        <v>527</v>
      </c>
      <c r="B465">
        <f>怪しいデータを手直し!C658</f>
        <v>30.348473496172943</v>
      </c>
      <c r="C465">
        <f>怪しいデータを手直し!D658</f>
        <v>-13.361017129668324</v>
      </c>
      <c r="D465" t="str">
        <f>怪しいデータを手直し!G658</f>
        <v>bp</v>
      </c>
      <c r="E465">
        <f>怪しいデータを手直し!T658</f>
        <v>19.034931193790683</v>
      </c>
      <c r="F465">
        <f>IF(怪しいデータを手直し!U658="dead",0,怪しいデータを手直し!U658)</f>
        <v>19.416903057211233</v>
      </c>
      <c r="G465">
        <f>怪しいデータを手直し!L658</f>
        <v>11.3</v>
      </c>
      <c r="H465">
        <v>527</v>
      </c>
      <c r="I465">
        <v>138</v>
      </c>
    </row>
    <row r="466" spans="1:9">
      <c r="A466">
        <f>怪しいデータを手直し!F52</f>
        <v>528</v>
      </c>
      <c r="B466">
        <f>怪しいデータを手直し!C52</f>
        <v>30.241353318909049</v>
      </c>
      <c r="C466">
        <f>怪しいデータを手直し!D52</f>
        <v>-13.002151720621825</v>
      </c>
      <c r="D466" t="str">
        <f>怪しいデータを手直し!G52</f>
        <v>bp</v>
      </c>
      <c r="E466">
        <f>怪しいデータを手直し!T52</f>
        <v>0.61</v>
      </c>
      <c r="F466">
        <f>IF(怪しいデータを手直し!U52="dead",0,怪しいデータを手直し!U52)</f>
        <v>0.72</v>
      </c>
      <c r="G466">
        <f>怪しいデータを手直し!L52</f>
        <v>1.3</v>
      </c>
      <c r="H466">
        <v>527</v>
      </c>
    </row>
    <row r="467" spans="1:9">
      <c r="A467">
        <f>怪しいデータを手直し!F285</f>
        <v>529</v>
      </c>
      <c r="B467">
        <f>怪しいデータを手直し!C285</f>
        <v>30.102245775782585</v>
      </c>
      <c r="C467">
        <f>怪しいデータを手直し!D285</f>
        <v>-13.026047143880325</v>
      </c>
      <c r="D467" t="str">
        <f>怪しいデータを手直し!G285</f>
        <v>bp</v>
      </c>
      <c r="E467">
        <f>怪しいデータを手直し!T285</f>
        <v>2.34</v>
      </c>
      <c r="F467">
        <f>IF(怪しいデータを手直し!U285="dead",0,怪しいデータを手直し!U285)</f>
        <v>2.57</v>
      </c>
      <c r="G467">
        <f>怪しいデータを手直し!L285</f>
        <v>2.8</v>
      </c>
      <c r="H467">
        <v>527</v>
      </c>
    </row>
    <row r="468" spans="1:9">
      <c r="A468">
        <f>怪しいデータを手直し!F14</f>
        <v>530</v>
      </c>
      <c r="B468">
        <f>怪しいデータを手直し!C14</f>
        <v>30.072596810592465</v>
      </c>
      <c r="C468">
        <f>怪しいデータを手直し!D14</f>
        <v>-12.997259734314172</v>
      </c>
      <c r="D468" t="str">
        <f>怪しいデータを手直し!G14</f>
        <v>bp</v>
      </c>
      <c r="E468">
        <f>怪しいデータを手直し!T14</f>
        <v>0.28000000000000003</v>
      </c>
      <c r="F468">
        <f>IF(怪しいデータを手直し!U14="dead",0,怪しいデータを手直し!U14)</f>
        <v>0.7</v>
      </c>
      <c r="G468">
        <f>怪しいデータを手直し!L14</f>
        <v>1.4</v>
      </c>
      <c r="H468">
        <v>527</v>
      </c>
    </row>
    <row r="469" spans="1:9">
      <c r="A469">
        <f>怪しいデータを手直し!F154</f>
        <v>531</v>
      </c>
      <c r="B469">
        <f>怪しいデータを手直し!C154</f>
        <v>30.272031637104213</v>
      </c>
      <c r="C469">
        <f>怪しいデータを手直し!D154</f>
        <v>-12.789450040868029</v>
      </c>
      <c r="D469" t="str">
        <f>怪しいデータを手直し!G154</f>
        <v>bp</v>
      </c>
      <c r="E469">
        <f>怪しいデータを手直し!T154</f>
        <v>1.3</v>
      </c>
      <c r="F469">
        <f>IF(怪しいデータを手直し!U154="dead",0,怪しいデータを手直し!U154)</f>
        <v>1.48</v>
      </c>
      <c r="G469">
        <f>怪しいデータを手直し!L154</f>
        <v>2.7</v>
      </c>
      <c r="H469">
        <v>527</v>
      </c>
    </row>
    <row r="470" spans="1:9">
      <c r="A470">
        <f>怪しいデータを手直し!F298</f>
        <v>532</v>
      </c>
      <c r="B470">
        <f>怪しいデータを手直し!C298</f>
        <v>30.209660419134117</v>
      </c>
      <c r="C470">
        <f>怪しいデータを手直し!D298</f>
        <v>-12.825836317151232</v>
      </c>
      <c r="D470" t="str">
        <f>怪しいデータを手直し!G298</f>
        <v>bp</v>
      </c>
      <c r="E470">
        <f>怪しいデータを手直し!T298</f>
        <v>2.4900000000000002</v>
      </c>
      <c r="F470">
        <f>IF(怪しいデータを手直し!U298="dead",0,怪しいデータを手直し!U298)</f>
        <v>2.67</v>
      </c>
      <c r="G470">
        <f>怪しいデータを手直し!L298</f>
        <v>2.6</v>
      </c>
      <c r="H470">
        <v>527</v>
      </c>
    </row>
    <row r="471" spans="1:9">
      <c r="A471">
        <f>怪しいデータを手直し!F473</f>
        <v>533</v>
      </c>
      <c r="B471">
        <f>怪しいデータを手直し!C473</f>
        <v>30.138860708753782</v>
      </c>
      <c r="C471">
        <f>怪しいデータを手直し!D473</f>
        <v>-12.93973330059718</v>
      </c>
      <c r="D471" t="str">
        <f>怪しいデータを手直し!G473</f>
        <v>bp</v>
      </c>
      <c r="E471">
        <f>怪しいデータを手直し!T473</f>
        <v>5.6022539968347163</v>
      </c>
      <c r="F471">
        <f>IF(怪しいデータを手直し!U473="dead",0,怪しいデータを手直し!U473)</f>
        <v>5.6977469626898527</v>
      </c>
      <c r="G471">
        <f>怪しいデータを手直し!L473</f>
        <v>5.2</v>
      </c>
      <c r="H471">
        <v>527</v>
      </c>
      <c r="I471">
        <v>70</v>
      </c>
    </row>
    <row r="472" spans="1:9">
      <c r="A472">
        <f>怪しいデータを手直し!F275</f>
        <v>534</v>
      </c>
      <c r="B472">
        <f>怪しいデータを手直し!C275</f>
        <v>30.008426910538304</v>
      </c>
      <c r="C472">
        <f>怪しいデータを手直し!D275</f>
        <v>-12.921740439865401</v>
      </c>
      <c r="D472" t="str">
        <f>怪しいデータを手直し!G275</f>
        <v>bp</v>
      </c>
      <c r="E472">
        <f>怪しいデータを手直し!T275</f>
        <v>2.2799999999999998</v>
      </c>
      <c r="F472">
        <f>IF(怪しいデータを手直し!U275="dead",0,怪しいデータを手直し!U275)</f>
        <v>2.57</v>
      </c>
      <c r="G472">
        <f>怪しいデータを手直し!L275</f>
        <v>4</v>
      </c>
      <c r="H472">
        <v>527</v>
      </c>
    </row>
    <row r="473" spans="1:9">
      <c r="A473">
        <f>怪しいデータを手直し!F354</f>
        <v>535</v>
      </c>
      <c r="B473">
        <f>怪しいデータを手直し!C354</f>
        <v>29.844011771160329</v>
      </c>
      <c r="C473">
        <f>怪しいデータを手直し!D354</f>
        <v>-12.893009349392088</v>
      </c>
      <c r="D473" t="str">
        <f>怪しいデータを手直し!G354</f>
        <v>bp</v>
      </c>
      <c r="E473">
        <f>怪しいデータを手直し!T354</f>
        <v>3.19</v>
      </c>
      <c r="F473">
        <f>IF(怪しいデータを手直し!U354="dead",0,怪しいデータを手直し!U354)</f>
        <v>3.0876058959827692</v>
      </c>
      <c r="G473">
        <f>怪しいデータを手直し!L354</f>
        <v>4.2</v>
      </c>
      <c r="H473">
        <v>527</v>
      </c>
    </row>
    <row r="474" spans="1:9">
      <c r="A474">
        <f>怪しいデータを手直し!F318</f>
        <v>536</v>
      </c>
      <c r="B474">
        <f>怪しいデータを手直し!C318</f>
        <v>29.713889649171939</v>
      </c>
      <c r="C474">
        <f>怪しいデータを手直し!D318</f>
        <v>-12.910675840863741</v>
      </c>
      <c r="D474" t="str">
        <f>怪しいデータを手直し!G318</f>
        <v>bp</v>
      </c>
      <c r="E474">
        <f>怪しいデータを手直し!T318</f>
        <v>2.77</v>
      </c>
      <c r="F474">
        <f>IF(怪しいデータを手直し!U318="dead",0,怪しいデータを手直し!U318)</f>
        <v>2.8647889756541161</v>
      </c>
      <c r="G474">
        <f>怪しいデータを手直し!L318</f>
        <v>2.4</v>
      </c>
      <c r="H474">
        <v>527</v>
      </c>
    </row>
    <row r="475" spans="1:9">
      <c r="A475">
        <f>怪しいデータを手直し!F344</f>
        <v>537</v>
      </c>
      <c r="B475">
        <f>怪しいデータを手直し!C344</f>
        <v>29.705651689543171</v>
      </c>
      <c r="C475">
        <f>怪しいデータを手直し!D344</f>
        <v>-12.990784656740539</v>
      </c>
      <c r="D475" t="str">
        <f>怪しいデータを手直し!G344</f>
        <v>bp</v>
      </c>
      <c r="E475">
        <f>怪しいデータを手直し!T344</f>
        <v>3.08</v>
      </c>
      <c r="F475">
        <f>IF(怪しいデータを手直し!U344="dead",0,怪しいデータを手直し!U344)</f>
        <v>3.4059157821665602</v>
      </c>
      <c r="G475">
        <f>怪しいデータを手直し!L344</f>
        <v>4.8</v>
      </c>
      <c r="H475">
        <v>527</v>
      </c>
    </row>
    <row r="476" spans="1:9">
      <c r="A476">
        <f>怪しいデータを手直し!F94</f>
        <v>538</v>
      </c>
      <c r="B476">
        <f>怪しいデータを手直し!C94</f>
        <v>29.893250275501281</v>
      </c>
      <c r="C476">
        <f>怪しいデータを手直し!D94</f>
        <v>-12.955420444935895</v>
      </c>
      <c r="D476" t="str">
        <f>怪しいデータを手直し!G94</f>
        <v>bp</v>
      </c>
      <c r="E476">
        <f>怪しいデータを手直し!T94</f>
        <v>0.86</v>
      </c>
      <c r="F476">
        <f>IF(怪しいデータを手直し!U94="dead",0,怪しいデータを手直し!U94)</f>
        <v>0.88000000000000012</v>
      </c>
      <c r="G476">
        <f>怪しいデータを手直し!L94</f>
        <v>1.7</v>
      </c>
      <c r="H476">
        <v>527</v>
      </c>
    </row>
    <row r="477" spans="1:9">
      <c r="A477">
        <f>怪しいデータを手直し!F145</f>
        <v>539</v>
      </c>
      <c r="B477">
        <f>怪しいデータを手直し!C145</f>
        <v>29.815354348993672</v>
      </c>
      <c r="C477">
        <f>怪しいデータを手直し!D145</f>
        <v>-13.113758655297145</v>
      </c>
      <c r="D477" t="str">
        <f>怪しいデータを手直し!G145</f>
        <v>bp</v>
      </c>
      <c r="E477">
        <f>怪しいデータを手直し!T145</f>
        <v>1.25</v>
      </c>
      <c r="F477">
        <f>IF(怪しいデータを手直し!U145="dead",0,怪しいデータを手直し!U145)</f>
        <v>1.34</v>
      </c>
      <c r="G477">
        <f>怪しいデータを手直し!L145</f>
        <v>2.2999999999999998</v>
      </c>
      <c r="H477">
        <v>527</v>
      </c>
    </row>
    <row r="478" spans="1:9">
      <c r="A478">
        <f>怪しいデータを手直し!F188</f>
        <v>540</v>
      </c>
      <c r="B478">
        <f>怪しいデータを手直し!C188</f>
        <v>27.573886755230106</v>
      </c>
      <c r="C478">
        <f>怪しいデータを手直し!D188</f>
        <v>-13.029159888179269</v>
      </c>
      <c r="D478" t="str">
        <f>怪しいデータを手直し!G188</f>
        <v>bp</v>
      </c>
      <c r="E478">
        <f>怪しいデータを手直し!T188</f>
        <v>1.51</v>
      </c>
      <c r="F478">
        <f>IF(怪しいデータを手直し!U188="dead",0,怪しいデータを手直し!U188)</f>
        <v>1.73</v>
      </c>
      <c r="G478">
        <f>怪しいデータを手直し!L188</f>
        <v>3.3</v>
      </c>
      <c r="H478">
        <v>546</v>
      </c>
    </row>
    <row r="479" spans="1:9">
      <c r="A479">
        <f>怪しいデータを手直し!F508</f>
        <v>541</v>
      </c>
      <c r="B479">
        <f>怪しいデータを手直し!C508</f>
        <v>27.40438838957202</v>
      </c>
      <c r="C479">
        <f>怪しいデータを手直し!D508</f>
        <v>-13.093778944794197</v>
      </c>
      <c r="D479" t="str">
        <f>怪しいデータを手直し!G508</f>
        <v>bp</v>
      </c>
      <c r="E479">
        <f>怪しいデータを手直し!T508</f>
        <v>6.5571836553860887</v>
      </c>
      <c r="F479">
        <f>IF(怪しいデータを手直し!U508="dead",0,怪しいデータを手直し!U508)</f>
        <v>6.716338598477984</v>
      </c>
      <c r="G479">
        <f>怪しいデータを手直し!L508</f>
        <v>5.9</v>
      </c>
      <c r="H479">
        <v>546</v>
      </c>
    </row>
    <row r="480" spans="1:9">
      <c r="A480">
        <f>怪しいデータを手直し!F227</f>
        <v>542</v>
      </c>
      <c r="B480">
        <f>怪しいデータを手直し!C227</f>
        <v>27.296469722438403</v>
      </c>
      <c r="C480">
        <f>怪しいデータを手直し!D227</f>
        <v>-13.073307418250858</v>
      </c>
      <c r="D480" t="str">
        <f>怪しいデータを手直し!G227</f>
        <v>bp</v>
      </c>
      <c r="E480">
        <f>怪しいデータを手直し!T227</f>
        <v>1.84</v>
      </c>
      <c r="F480">
        <f>IF(怪しいデータを手直し!U227="dead",0,怪しいデータを手直し!U227)</f>
        <v>0</v>
      </c>
      <c r="G480">
        <f>怪しいデータを手直し!L227</f>
        <v>2.5</v>
      </c>
      <c r="H480">
        <v>546</v>
      </c>
    </row>
    <row r="481" spans="1:9">
      <c r="A481">
        <f>怪しいデータを手直し!F115</f>
        <v>543</v>
      </c>
      <c r="B481">
        <f>怪しいデータを手直し!C115</f>
        <v>27.258718247585577</v>
      </c>
      <c r="C481">
        <f>怪しいデータを手直し!D115</f>
        <v>-13.129558963430984</v>
      </c>
      <c r="D481" t="str">
        <f>怪しいデータを手直し!G115</f>
        <v>bp</v>
      </c>
      <c r="E481">
        <f>怪しいデータを手直し!T115</f>
        <v>1.02</v>
      </c>
      <c r="F481">
        <f>IF(怪しいデータを手直し!U115="dead",0,怪しいデータを手直し!U115)</f>
        <v>0</v>
      </c>
      <c r="G481">
        <f>怪しいデータを手直し!L115</f>
        <v>2.1</v>
      </c>
      <c r="H481">
        <v>546</v>
      </c>
    </row>
    <row r="482" spans="1:9">
      <c r="A482">
        <f>怪しいデータを手直し!F89</f>
        <v>544</v>
      </c>
      <c r="B482">
        <f>怪しいデータを手直し!C89</f>
        <v>27.200450190790999</v>
      </c>
      <c r="C482">
        <f>怪しいデータを手直し!D89</f>
        <v>-13.143870970885699</v>
      </c>
      <c r="D482" t="str">
        <f>怪しいデータを手直し!G89</f>
        <v>bp</v>
      </c>
      <c r="E482">
        <f>怪しいデータを手直し!T89</f>
        <v>0.84</v>
      </c>
      <c r="F482">
        <f>IF(怪しいデータを手直し!U89="dead",0,怪しいデータを手直し!U89)</f>
        <v>0.95</v>
      </c>
      <c r="G482">
        <f>怪しいデータを手直し!L89</f>
        <v>2.6</v>
      </c>
      <c r="H482">
        <v>546</v>
      </c>
    </row>
    <row r="483" spans="1:9">
      <c r="A483">
        <f>怪しいデータを手直し!F64</f>
        <v>545</v>
      </c>
      <c r="B483">
        <f>怪しいデータを手直し!C64</f>
        <v>27.340618084048792</v>
      </c>
      <c r="C483">
        <f>怪しいデータを手直し!D64</f>
        <v>-13.250376825244652</v>
      </c>
      <c r="D483" t="str">
        <f>怪しいデータを手直し!G64</f>
        <v>bp</v>
      </c>
      <c r="E483">
        <f>怪しいデータを手直し!T64</f>
        <v>0.65</v>
      </c>
      <c r="F483">
        <f>IF(怪しいデータを手直し!U64="dead",0,怪しいデータを手直し!U64)</f>
        <v>1.1800000000000002</v>
      </c>
      <c r="G483">
        <f>怪しいデータを手直し!L64</f>
        <v>2.1</v>
      </c>
      <c r="H483">
        <v>546</v>
      </c>
    </row>
    <row r="484" spans="1:9">
      <c r="A484">
        <f>怪しいデータを手直し!F638</f>
        <v>546</v>
      </c>
      <c r="B484">
        <f>怪しいデータを手直し!C638</f>
        <v>27.094591953759824</v>
      </c>
      <c r="C484">
        <f>怪しいデータを手直し!D638</f>
        <v>-13.337565454045706</v>
      </c>
      <c r="D484" t="str">
        <f>怪しいデータを手直し!G638</f>
        <v>bp</v>
      </c>
      <c r="E484">
        <f>怪しいデータを手直し!T638</f>
        <v>15.278874536821952</v>
      </c>
      <c r="F484">
        <f>IF(怪しいデータを手直し!U638="dead",0,怪しいデータを手直し!U638)</f>
        <v>0</v>
      </c>
      <c r="G484">
        <f>怪しいデータを手直し!L638</f>
        <v>4.3</v>
      </c>
      <c r="H484">
        <v>546</v>
      </c>
    </row>
    <row r="485" spans="1:9">
      <c r="A485">
        <f>怪しいデータを手直し!F518</f>
        <v>547</v>
      </c>
      <c r="B485">
        <f>怪しいデータを手直し!C518</f>
        <v>27.385008708664767</v>
      </c>
      <c r="C485">
        <f>怪しいデータを手直し!D518</f>
        <v>-13.380176729038922</v>
      </c>
      <c r="D485" t="str">
        <f>怪しいデータを手直し!G518</f>
        <v>bp</v>
      </c>
      <c r="E485">
        <f>怪しいデータを手直し!T518</f>
        <v>7.0346484846617745</v>
      </c>
      <c r="F485">
        <f>IF(怪しいデータを手直し!U518="dead",0,怪しいデータを手直し!U518)</f>
        <v>7.0346484846617745</v>
      </c>
      <c r="G485">
        <f>怪しいデータを手直し!L518</f>
        <v>7.1</v>
      </c>
      <c r="H485">
        <v>546</v>
      </c>
      <c r="I485">
        <v>75</v>
      </c>
    </row>
    <row r="486" spans="1:9">
      <c r="A486">
        <f>怪しいデータを手直し!F360</f>
        <v>548</v>
      </c>
      <c r="B486">
        <f>怪しいデータを手直し!C360</f>
        <v>27.449991754626517</v>
      </c>
      <c r="C486">
        <f>怪しいデータを手直し!D360</f>
        <v>-13.504025262616915</v>
      </c>
      <c r="D486" t="str">
        <f>怪しいデータを手直し!G360</f>
        <v>bp</v>
      </c>
      <c r="E486">
        <f>怪しいデータを手直し!T360</f>
        <v>3.2785918276930444</v>
      </c>
      <c r="F486">
        <f>IF(怪しいデータを手直し!U360="dead",0,怪しいデータを手直し!U360)</f>
        <v>3.5969017138768349</v>
      </c>
      <c r="G486">
        <f>怪しいデータを手直し!L360</f>
        <v>4</v>
      </c>
      <c r="H486">
        <v>546</v>
      </c>
    </row>
    <row r="487" spans="1:9">
      <c r="A487">
        <f>怪しいデータを手直し!F389</f>
        <v>549</v>
      </c>
      <c r="B487">
        <f>怪しいデータを手直し!C389</f>
        <v>27.221745045931094</v>
      </c>
      <c r="C487">
        <f>怪しいデータを手直し!D389</f>
        <v>-13.615881680698827</v>
      </c>
      <c r="D487" t="str">
        <f>怪しいデータを手直し!G389</f>
        <v>bp</v>
      </c>
      <c r="E487">
        <f>怪しいデータを手直し!T389</f>
        <v>3.7242256683503507</v>
      </c>
      <c r="F487">
        <f>IF(怪しいデータを手直し!U389="dead",0,怪しいデータを手直し!U389)</f>
        <v>3.7242256683503507</v>
      </c>
      <c r="G487">
        <f>怪しいデータを手直し!L389</f>
        <v>4.2</v>
      </c>
      <c r="H487">
        <v>546</v>
      </c>
    </row>
    <row r="488" spans="1:9">
      <c r="A488">
        <f>怪しいデータを手直し!F407</f>
        <v>550</v>
      </c>
      <c r="B488">
        <f>怪しいデータを手直し!C407</f>
        <v>26.978042096895663</v>
      </c>
      <c r="C488">
        <f>怪しいデータを手直し!D407</f>
        <v>-13.635795974718397</v>
      </c>
      <c r="D488" t="str">
        <f>怪しいデータを手直し!G407</f>
        <v>bp</v>
      </c>
      <c r="E488">
        <f>怪しいデータを手直し!T407</f>
        <v>4.0743665431525207</v>
      </c>
      <c r="F488">
        <f>IF(怪しいデータを手直し!U407="dead",0,怪しいデータを手直し!U407)</f>
        <v>4.2335214862444159</v>
      </c>
      <c r="G488">
        <f>怪しいデータを手直し!L407</f>
        <v>4.2</v>
      </c>
      <c r="H488">
        <v>546</v>
      </c>
    </row>
    <row r="489" spans="1:9">
      <c r="A489">
        <f>怪しいデータを手直し!F121</f>
        <v>551</v>
      </c>
      <c r="B489">
        <f>怪しいデータを手直し!C121</f>
        <v>27.245017801982723</v>
      </c>
      <c r="C489">
        <f>怪しいデータを手直し!D121</f>
        <v>-13.513307434350482</v>
      </c>
      <c r="D489" t="str">
        <f>怪しいデータを手直し!G121</f>
        <v>bp</v>
      </c>
      <c r="E489">
        <f>怪しいデータを手直し!T121</f>
        <v>1.06</v>
      </c>
      <c r="F489">
        <f>IF(怪しいデータを手直し!U121="dead",0,怪しいデータを手直し!U121)</f>
        <v>1.1000000000000001</v>
      </c>
      <c r="G489">
        <f>怪しいデータを手直し!L121</f>
        <v>2</v>
      </c>
      <c r="H489">
        <v>546</v>
      </c>
    </row>
    <row r="490" spans="1:9">
      <c r="A490">
        <f>怪しいデータを手直し!F494</f>
        <v>552</v>
      </c>
      <c r="B490">
        <f>怪しいデータを手直し!C494</f>
        <v>26.95918370245057</v>
      </c>
      <c r="C490">
        <f>怪しいデータを手直し!D494</f>
        <v>-13.567563635531844</v>
      </c>
      <c r="D490" t="str">
        <f>怪しいデータを手直し!G494</f>
        <v>bp</v>
      </c>
      <c r="E490">
        <f>怪しいデータを手直し!T494</f>
        <v>6.1433808033471609</v>
      </c>
      <c r="F490">
        <f>IF(怪しいデータを手直し!U494="dead",0,怪しいデータを手直し!U494)</f>
        <v>6.5890146440044672</v>
      </c>
      <c r="G490">
        <f>怪しいデータを手直し!L494</f>
        <v>6.6</v>
      </c>
      <c r="H490">
        <v>546</v>
      </c>
    </row>
    <row r="491" spans="1:9">
      <c r="A491">
        <f>怪しいデータを手直し!F109</f>
        <v>553</v>
      </c>
      <c r="B491">
        <f>怪しいデータを手直し!C109</f>
        <v>26.875698166707046</v>
      </c>
      <c r="C491">
        <f>怪しいデータを手直し!D109</f>
        <v>-13.369747971083783</v>
      </c>
      <c r="D491" t="str">
        <f>怪しいデータを手直し!G109</f>
        <v>bp</v>
      </c>
      <c r="E491">
        <f>怪しいデータを手直し!T109</f>
        <v>0.99</v>
      </c>
      <c r="F491">
        <f>IF(怪しいデータを手直し!U109="dead",0,怪しいデータを手直し!U109)</f>
        <v>1.1400000000000001</v>
      </c>
      <c r="G491">
        <f>怪しいデータを手直し!L109</f>
        <v>3.4</v>
      </c>
      <c r="H491">
        <v>546</v>
      </c>
    </row>
    <row r="492" spans="1:9">
      <c r="A492">
        <f>怪しいデータを手直し!F319</f>
        <v>554</v>
      </c>
      <c r="B492">
        <f>怪しいデータを手直し!C319</f>
        <v>26.831865447207264</v>
      </c>
      <c r="C492">
        <f>怪しいデータを手直し!D319</f>
        <v>-13.479171223085471</v>
      </c>
      <c r="D492" t="str">
        <f>怪しいデータを手直し!G319</f>
        <v>bp</v>
      </c>
      <c r="E492">
        <f>怪しいデータを手直し!T319</f>
        <v>2.8</v>
      </c>
      <c r="F492">
        <f>IF(怪しいデータを手直し!U319="dead",0,怪しいデータを手直し!U319)</f>
        <v>3.183098861837907</v>
      </c>
      <c r="G492">
        <f>怪しいデータを手直し!L319</f>
        <v>4.2</v>
      </c>
      <c r="H492">
        <v>546</v>
      </c>
    </row>
    <row r="493" spans="1:9">
      <c r="A493">
        <f>怪しいデータを手直し!F385</f>
        <v>555</v>
      </c>
      <c r="B493">
        <f>怪しいデータを手直し!C385</f>
        <v>26.880206616637487</v>
      </c>
      <c r="C493">
        <f>怪しいデータを手直し!D385</f>
        <v>-13.466398935188682</v>
      </c>
      <c r="D493" t="str">
        <f>怪しいデータを手直し!G385</f>
        <v>bp</v>
      </c>
      <c r="E493">
        <f>怪しいデータを手直し!T385</f>
        <v>3.6</v>
      </c>
      <c r="F493">
        <f>IF(怪しいデータを手直し!U385="dead",0,怪しいデータを手直し!U385)</f>
        <v>3.851549622823867</v>
      </c>
      <c r="G493">
        <f>怪しいデータを手直し!L385</f>
        <v>2.2000000000000002</v>
      </c>
      <c r="H493">
        <v>546</v>
      </c>
    </row>
    <row r="494" spans="1:9">
      <c r="A494">
        <f>怪しいデータを手直し!F120</f>
        <v>556</v>
      </c>
      <c r="B494">
        <f>怪しいデータを手直し!C120</f>
        <v>27.354652244018268</v>
      </c>
      <c r="C494">
        <f>怪しいデータを手直し!D120</f>
        <v>-13.459375685046041</v>
      </c>
      <c r="D494" t="str">
        <f>怪しいデータを手直し!G120</f>
        <v>bp</v>
      </c>
      <c r="E494">
        <f>怪しいデータを手直し!T120</f>
        <v>1.05</v>
      </c>
      <c r="F494">
        <f>IF(怪しいデータを手直し!U120="dead",0,怪しいデータを手直し!U120)</f>
        <v>0</v>
      </c>
      <c r="G494">
        <f>怪しいデータを手直し!L120</f>
        <v>1</v>
      </c>
      <c r="H494">
        <v>546</v>
      </c>
    </row>
    <row r="495" spans="1:9">
      <c r="A495">
        <f>怪しいデータを手直し!F202</f>
        <v>557</v>
      </c>
      <c r="B495">
        <f>怪しいデータを手直し!C202</f>
        <v>26.865716922766467</v>
      </c>
      <c r="C495">
        <f>怪しいデータを手直し!D202</f>
        <v>-13.642459065946641</v>
      </c>
      <c r="D495" t="str">
        <f>怪しいデータを手直し!G202</f>
        <v>bp</v>
      </c>
      <c r="E495">
        <f>怪しいデータを手直し!T202</f>
        <v>1.61</v>
      </c>
      <c r="F495">
        <f>IF(怪しいデータを手直し!U202="dead",0,怪しいデータを手直し!U202)</f>
        <v>1.1199999999999999</v>
      </c>
      <c r="G495">
        <f>怪しいデータを手直し!L202</f>
        <v>0.9</v>
      </c>
      <c r="H495">
        <v>546</v>
      </c>
    </row>
    <row r="496" spans="1:9">
      <c r="A496">
        <f>怪しいデータを手直し!F9</f>
        <v>558</v>
      </c>
      <c r="B496">
        <f>怪しいデータを手直し!C9</f>
        <v>26.14893076961571</v>
      </c>
      <c r="C496">
        <f>怪しいデータを手直し!D9</f>
        <v>-15.041376912620358</v>
      </c>
      <c r="D496" t="str">
        <f>怪しいデータを手直し!G9</f>
        <v>pt</v>
      </c>
      <c r="E496">
        <f>怪しいデータを手直し!T9</f>
        <v>0.21</v>
      </c>
      <c r="F496">
        <f>IF(怪しいデータを手直し!U9="dead",0,怪しいデータを手直し!U9)</f>
        <v>0.62</v>
      </c>
      <c r="G496">
        <f>怪しいデータを手直し!L9</f>
        <v>1.6</v>
      </c>
      <c r="H496">
        <v>0</v>
      </c>
    </row>
    <row r="497" spans="1:9">
      <c r="A497">
        <f>怪しいデータを手直し!F675</f>
        <v>559</v>
      </c>
      <c r="B497">
        <f>怪しいデータを手直し!C675</f>
        <v>28.465129140768692</v>
      </c>
      <c r="C497">
        <f>怪しいデータを手直し!D675</f>
        <v>-16.499565697864465</v>
      </c>
      <c r="D497" t="str">
        <f>怪しいデータを手直し!G675</f>
        <v>lc</v>
      </c>
      <c r="E497">
        <f>怪しいデータを手直し!T675</f>
        <v>23.236621691416719</v>
      </c>
      <c r="F497">
        <f>IF(怪しいデータを手直し!U675="dead",0,怪しいデータを手直し!U675)</f>
        <v>0</v>
      </c>
      <c r="G497">
        <f>怪しいデータを手直し!L675</f>
        <v>3</v>
      </c>
      <c r="H497">
        <v>0</v>
      </c>
    </row>
    <row r="498" spans="1:9">
      <c r="A498">
        <f>怪しいデータを手直し!F460</f>
        <v>560</v>
      </c>
      <c r="B498">
        <f>怪しいデータを手直し!C460</f>
        <v>27.802826060536908</v>
      </c>
      <c r="C498">
        <f>怪しいデータを手直し!D460</f>
        <v>-18.540553137267075</v>
      </c>
      <c r="D498" t="str">
        <f>怪しいデータを手直し!G460</f>
        <v>bp</v>
      </c>
      <c r="E498">
        <f>怪しいデータを手直し!T460</f>
        <v>5.2202821334141669</v>
      </c>
      <c r="F498">
        <f>IF(怪しいデータを手直し!U460="dead",0,怪しいデータを手直し!U460)</f>
        <v>5.6659159740714742</v>
      </c>
      <c r="G498">
        <f>怪しいデータを手直し!L460</f>
        <v>6</v>
      </c>
      <c r="H498">
        <v>562</v>
      </c>
      <c r="I498">
        <v>31</v>
      </c>
    </row>
    <row r="499" spans="1:9">
      <c r="A499">
        <f>怪しいデータを手直し!F413</f>
        <v>561</v>
      </c>
      <c r="B499">
        <f>怪しいデータを手直し!C413</f>
        <v>27.731279138370269</v>
      </c>
      <c r="C499">
        <f>怪しいデータを手直し!D413</f>
        <v>-18.751193542563861</v>
      </c>
      <c r="D499" t="str">
        <f>怪しいデータを手直し!G413</f>
        <v>bp</v>
      </c>
      <c r="E499">
        <f>怪しいデータを手直し!T413</f>
        <v>4.1061975317709001</v>
      </c>
      <c r="F499">
        <f>IF(怪しいデータを手直し!U413="dead",0,怪しいデータを手直し!U413)</f>
        <v>4.1380285203892786</v>
      </c>
      <c r="G499">
        <f>怪しいデータを手直し!L413</f>
        <v>4.4000000000000004</v>
      </c>
      <c r="H499">
        <v>562</v>
      </c>
    </row>
    <row r="500" spans="1:9">
      <c r="A500">
        <f>怪しいデータを手直し!F593</f>
        <v>562</v>
      </c>
      <c r="B500">
        <f>怪しいデータを手直し!C593</f>
        <v>27.816973727695228</v>
      </c>
      <c r="C500">
        <f>怪しいデータを手直し!D593</f>
        <v>-18.819040245306269</v>
      </c>
      <c r="D500" t="str">
        <f>怪しいデータを手直し!G593</f>
        <v>bp</v>
      </c>
      <c r="E500">
        <f>怪しいデータを手直し!T593</f>
        <v>11.459155902616464</v>
      </c>
      <c r="F500">
        <f>IF(怪しいデータを手直し!U593="dead",0,怪しいデータを手直し!U593)</f>
        <v>11.650141834326739</v>
      </c>
      <c r="G500">
        <f>怪しいデータを手直し!L593</f>
        <v>9.1999999999999993</v>
      </c>
      <c r="H500">
        <v>562</v>
      </c>
      <c r="I500">
        <v>86</v>
      </c>
    </row>
    <row r="501" spans="1:9">
      <c r="A501">
        <f>怪しいデータを手直し!F379</f>
        <v>563</v>
      </c>
      <c r="B501">
        <f>怪しいデータを手直し!C379</f>
        <v>27.646310495894554</v>
      </c>
      <c r="C501">
        <f>怪しいデータを手直し!D379</f>
        <v>-18.975480802506063</v>
      </c>
      <c r="D501" t="str">
        <f>怪しいデータを手直し!G379</f>
        <v>bp</v>
      </c>
      <c r="E501">
        <f>怪しいデータを手直し!T379</f>
        <v>3.5014087480216975</v>
      </c>
      <c r="F501">
        <f>IF(怪しいデータを手直し!U379="dead",0,怪しいデータを手直し!U379)</f>
        <v>3.5969017138768349</v>
      </c>
      <c r="G501">
        <f>怪しいデータを手直し!L379</f>
        <v>3.8</v>
      </c>
      <c r="H501">
        <v>562</v>
      </c>
    </row>
    <row r="502" spans="1:9">
      <c r="A502">
        <f>怪しいデータを手直し!F90</f>
        <v>564</v>
      </c>
      <c r="B502">
        <f>怪しいデータを手直し!C90</f>
        <v>27.711031855444549</v>
      </c>
      <c r="C502">
        <f>怪しいデータを手直し!D90</f>
        <v>-18.928457982322666</v>
      </c>
      <c r="D502" t="str">
        <f>怪しいデータを手直し!G90</f>
        <v>bp</v>
      </c>
      <c r="E502">
        <f>怪しいデータを手直し!T90</f>
        <v>0.84</v>
      </c>
      <c r="F502">
        <f>IF(怪しいデータを手直し!U90="dead",0,怪しいデータを手直し!U90)</f>
        <v>1.25</v>
      </c>
      <c r="G502">
        <f>怪しいデータを手直し!L90</f>
        <v>2.2000000000000002</v>
      </c>
      <c r="H502">
        <v>562</v>
      </c>
    </row>
    <row r="503" spans="1:9">
      <c r="A503">
        <f>怪しいデータを手直し!F98</f>
        <v>565</v>
      </c>
      <c r="B503">
        <f>怪しいデータを手直し!C98</f>
        <v>28.085472499046794</v>
      </c>
      <c r="C503">
        <f>怪しいデータを手直し!D98</f>
        <v>-18.593028245562195</v>
      </c>
      <c r="D503" t="str">
        <f>怪しいデータを手直し!G98</f>
        <v>bp</v>
      </c>
      <c r="E503">
        <f>怪しいデータを手直し!T98</f>
        <v>0.9</v>
      </c>
      <c r="F503">
        <f>IF(怪しいデータを手直し!U98="dead",0,怪しいデータを手直し!U98)</f>
        <v>1.65</v>
      </c>
      <c r="G503">
        <f>怪しいデータを手直し!L98</f>
        <v>1.8</v>
      </c>
      <c r="H503">
        <v>562</v>
      </c>
    </row>
    <row r="504" spans="1:9">
      <c r="A504">
        <f>怪しいデータを手直し!F58</f>
        <v>566</v>
      </c>
      <c r="B504">
        <f>怪しいデータを手直し!C58</f>
        <v>27.136801048343358</v>
      </c>
      <c r="C504">
        <f>怪しいデータを手直し!D58</f>
        <v>-19.380006009065209</v>
      </c>
      <c r="D504" t="str">
        <f>怪しいデータを手直し!G58</f>
        <v>sb</v>
      </c>
      <c r="E504">
        <f>怪しいデータを手直し!T58</f>
        <v>0.63</v>
      </c>
      <c r="F504">
        <f>IF(怪しいデータを手直し!U58="dead",0,怪しいデータを手直し!U58)</f>
        <v>0.78</v>
      </c>
      <c r="G504">
        <f>怪しいデータを手直し!L58</f>
        <v>1.8</v>
      </c>
      <c r="H504">
        <v>0</v>
      </c>
    </row>
    <row r="505" spans="1:9">
      <c r="A505">
        <f>怪しいデータを手直し!F96</f>
        <v>567</v>
      </c>
      <c r="B505">
        <f>怪しいデータを手直し!C96</f>
        <v>26.855187291478849</v>
      </c>
      <c r="C505">
        <f>怪しいデータを手直し!D96</f>
        <v>-19.034179478951081</v>
      </c>
      <c r="D505" t="str">
        <f>怪しいデータを手直し!G96</f>
        <v>sb</v>
      </c>
      <c r="E505">
        <f>怪しいデータを手直し!T96</f>
        <v>0.89</v>
      </c>
      <c r="F505">
        <f>IF(怪しいデータを手直し!U96="dead",0,怪しいデータを手直し!U96)</f>
        <v>0</v>
      </c>
      <c r="G505">
        <f>怪しいデータを手直し!L96</f>
        <v>1.8</v>
      </c>
      <c r="H505">
        <v>0</v>
      </c>
    </row>
    <row r="506" spans="1:9">
      <c r="A506">
        <f>怪しいデータを手直し!F24</f>
        <v>568</v>
      </c>
      <c r="B506">
        <f>怪しいデータを手直し!C24</f>
        <v>23.673803585367654</v>
      </c>
      <c r="C506">
        <f>怪しいデータを手直し!D24</f>
        <v>-16.862901036066745</v>
      </c>
      <c r="D506" t="str">
        <f>怪しいデータを手直し!G24</f>
        <v>pt</v>
      </c>
      <c r="E506">
        <f>怪しいデータを手直し!T24</f>
        <v>0.41</v>
      </c>
      <c r="F506">
        <f>IF(怪しいデータを手直し!U24="dead",0,怪しいデータを手直し!U24)</f>
        <v>0.83000000000000007</v>
      </c>
      <c r="G506">
        <f>怪しいデータを手直し!L24</f>
        <v>1.7</v>
      </c>
      <c r="H506">
        <v>0</v>
      </c>
    </row>
    <row r="507" spans="1:9">
      <c r="A507">
        <f>怪しいデータを手直し!F235</f>
        <v>569</v>
      </c>
      <c r="B507">
        <f>怪しいデータを手直し!C235</f>
        <v>22.928535532501993</v>
      </c>
      <c r="C507">
        <f>怪しいデータを手直し!D235</f>
        <v>-15.546855049030304</v>
      </c>
      <c r="D507" t="str">
        <f>怪しいデータを手直し!G235</f>
        <v>pt</v>
      </c>
      <c r="E507">
        <f>怪しいデータを手直し!T235</f>
        <v>1.94</v>
      </c>
      <c r="F507">
        <f>IF(怪しいデータを手直し!U235="dead",0,怪しいデータを手直し!U235)</f>
        <v>2.71</v>
      </c>
      <c r="G507">
        <f>怪しいデータを手直し!L235</f>
        <v>3.9</v>
      </c>
      <c r="H507">
        <v>0</v>
      </c>
    </row>
    <row r="508" spans="1:9">
      <c r="A508">
        <f>怪しいデータを手直し!F363</f>
        <v>570</v>
      </c>
      <c r="B508">
        <f>怪しいデータを手直し!C363</f>
        <v>18.687857860928503</v>
      </c>
      <c r="C508">
        <f>怪しいデータを手直し!D363</f>
        <v>-16.25311022221458</v>
      </c>
      <c r="D508" t="str">
        <f>怪しいデータを手直し!G363</f>
        <v>lc</v>
      </c>
      <c r="E508">
        <f>怪しいデータを手直し!T363</f>
        <v>3.34</v>
      </c>
      <c r="F508">
        <f>IF(怪しいデータを手直し!U363="dead",0,怪しいデータを手直し!U363)</f>
        <v>0</v>
      </c>
      <c r="G508">
        <f>怪しいデータを手直し!L363</f>
        <v>3.7</v>
      </c>
      <c r="H508">
        <v>0</v>
      </c>
    </row>
    <row r="509" spans="1:9">
      <c r="A509">
        <f>怪しいデータを手直し!F691</f>
        <v>571</v>
      </c>
      <c r="B509">
        <f>怪しいデータを手直し!C691</f>
        <v>17.437640230641318</v>
      </c>
      <c r="C509">
        <f>怪しいデータを手直し!D691</f>
        <v>-18.478582104623413</v>
      </c>
      <c r="D509" t="str">
        <f>怪しいデータを手直し!G691</f>
        <v>lc</v>
      </c>
      <c r="E509">
        <f>怪しいデータを手直し!T691</f>
        <v>30.939720937064454</v>
      </c>
      <c r="F509">
        <f>IF(怪しいデータを手直し!U691="dead",0,怪しいデータを手直し!U691)</f>
        <v>0</v>
      </c>
      <c r="G509">
        <f>怪しいデータを手直し!L691</f>
        <v>16.3</v>
      </c>
      <c r="H509">
        <v>0</v>
      </c>
    </row>
    <row r="510" spans="1:9">
      <c r="A510">
        <f>怪しいデータを手直し!F106</f>
        <v>572</v>
      </c>
      <c r="B510">
        <f>怪しいデータを手直し!C106</f>
        <v>16.17530308633452</v>
      </c>
      <c r="C510">
        <f>怪しいデータを手直し!D106</f>
        <v>-17.610064118308244</v>
      </c>
      <c r="D510" t="str">
        <f>怪しいデータを手直し!G106</f>
        <v>pt</v>
      </c>
      <c r="E510">
        <f>怪しいデータを手直し!T106</f>
        <v>0.96</v>
      </c>
      <c r="F510">
        <f>IF(怪しいデータを手直し!U106="dead",0,怪しいデータを手直し!U106)</f>
        <v>1.35</v>
      </c>
      <c r="G510">
        <f>怪しいデータを手直し!L106</f>
        <v>2.5</v>
      </c>
      <c r="H510">
        <v>0</v>
      </c>
    </row>
    <row r="511" spans="1:9">
      <c r="A511">
        <f>怪しいデータを手直し!F408</f>
        <v>573</v>
      </c>
      <c r="B511">
        <f>怪しいデータを手直し!C408</f>
        <v>16.298395004410601</v>
      </c>
      <c r="C511">
        <f>怪しいデータを手直し!D408</f>
        <v>-11.763555350964374</v>
      </c>
      <c r="D511" t="str">
        <f>怪しいデータを手直し!G408</f>
        <v>bp</v>
      </c>
      <c r="E511">
        <f>怪しいデータを手直し!T408</f>
        <v>4.0743665431525207</v>
      </c>
      <c r="F511">
        <f>IF(怪しいデータを手直し!U408="dead",0,怪しいデータを手直し!U408)</f>
        <v>4.1380285203892786</v>
      </c>
      <c r="G511">
        <f>怪しいデータを手直し!L408</f>
        <v>2.9</v>
      </c>
      <c r="H511">
        <v>574</v>
      </c>
    </row>
    <row r="512" spans="1:9">
      <c r="A512">
        <f>怪しいデータを手直し!F631</f>
        <v>574</v>
      </c>
      <c r="B512">
        <f>怪しいデータを手直し!C631</f>
        <v>16.067810813301975</v>
      </c>
      <c r="C512">
        <f>怪しいデータを手直し!D631</f>
        <v>-11.937817404696471</v>
      </c>
      <c r="D512" t="str">
        <f>怪しいデータを手直し!G631</f>
        <v>bp</v>
      </c>
      <c r="E512">
        <f>怪しいデータを手直し!T631</f>
        <v>14.228451912415444</v>
      </c>
      <c r="F512">
        <f>IF(怪しいデータを手直し!U631="dead",0,怪しいデータを手直し!U631)</f>
        <v>14.642254764454371</v>
      </c>
      <c r="G512">
        <f>怪しいデータを手直し!L631</f>
        <v>10.199999999999999</v>
      </c>
      <c r="H512">
        <v>574</v>
      </c>
      <c r="I512">
        <v>89</v>
      </c>
    </row>
    <row r="513" spans="1:9">
      <c r="A513">
        <f>怪しいデータを手直し!F590</f>
        <v>575</v>
      </c>
      <c r="B513">
        <f>怪しいデータを手直し!C590</f>
        <v>16.117883851958656</v>
      </c>
      <c r="C513">
        <f>怪しいデータを手直し!D590</f>
        <v>-12.281271204847481</v>
      </c>
      <c r="D513" t="str">
        <f>怪しいデータを手直し!G590</f>
        <v>bp</v>
      </c>
      <c r="E513">
        <f>怪しいデータを手直し!T590</f>
        <v>11.204507993669433</v>
      </c>
      <c r="F513">
        <f>IF(怪しいデータを手直し!U590="dead",0,怪しいデータを手直し!U590)</f>
        <v>11.490986891234844</v>
      </c>
      <c r="G513">
        <f>怪しいデータを手直し!L590</f>
        <v>7.3</v>
      </c>
      <c r="H513">
        <v>574</v>
      </c>
      <c r="I513">
        <v>138</v>
      </c>
    </row>
    <row r="514" spans="1:9">
      <c r="A514">
        <f>怪しいデータを手直し!F438</f>
        <v>576</v>
      </c>
      <c r="B514">
        <f>怪しいデータを手直し!C438</f>
        <v>14.058492422108468</v>
      </c>
      <c r="C514">
        <f>怪しいデータを手直し!D438</f>
        <v>-19.417430088437879</v>
      </c>
      <c r="D514" t="str">
        <f>怪しいデータを手直し!G438</f>
        <v>lc</v>
      </c>
      <c r="E514">
        <f>怪しいデータを手直し!T438</f>
        <v>4.6791553269017232</v>
      </c>
      <c r="F514">
        <f>IF(怪しいデータを手直し!U438="dead",0,怪しいデータを手直し!U438)</f>
        <v>5.7295779513082321</v>
      </c>
      <c r="G514">
        <f>怪しいデータを手直し!L438</f>
        <v>4.9000000000000004</v>
      </c>
      <c r="H514">
        <v>0</v>
      </c>
    </row>
    <row r="515" spans="1:9">
      <c r="A515">
        <f>怪しいデータを手直し!F29</f>
        <v>577</v>
      </c>
      <c r="B515">
        <f>怪しいデータを手直し!C29</f>
        <v>12.642308249250132</v>
      </c>
      <c r="C515">
        <f>怪しいデータを手直し!D29</f>
        <v>-18.965943859866712</v>
      </c>
      <c r="D515" t="str">
        <f>怪しいデータを手直し!G29</f>
        <v>lc</v>
      </c>
      <c r="E515">
        <f>怪しいデータを手直し!T29</f>
        <v>0.45</v>
      </c>
      <c r="F515">
        <f>IF(怪しいデータを手直し!U29="dead",0,怪しいデータを手直し!U29)</f>
        <v>0</v>
      </c>
      <c r="G515">
        <f>怪しいデータを手直し!L29</f>
        <v>1.6</v>
      </c>
      <c r="H515">
        <v>0</v>
      </c>
    </row>
    <row r="516" spans="1:9">
      <c r="A516">
        <f>怪しいデータを手直し!F614</f>
        <v>578</v>
      </c>
      <c r="B516">
        <f>怪しいデータを手直し!C614</f>
        <v>11.930988836250952</v>
      </c>
      <c r="C516">
        <f>怪しいデータを手直し!D614</f>
        <v>-17.142613284958919</v>
      </c>
      <c r="D516" t="str">
        <f>怪しいデータを手直し!G614</f>
        <v>lc</v>
      </c>
      <c r="E516">
        <f>怪しいデータを手直し!T614</f>
        <v>12.732395447351628</v>
      </c>
      <c r="F516">
        <f>IF(怪しいデータを手直し!U614="dead",0,怪しいデータを手直し!U614)</f>
        <v>0</v>
      </c>
      <c r="G516">
        <f>怪しいデータを手直し!L614</f>
        <v>6.4</v>
      </c>
      <c r="H516">
        <v>0</v>
      </c>
    </row>
    <row r="517" spans="1:9">
      <c r="A517">
        <f>怪しいデータを手直し!F361</f>
        <v>579</v>
      </c>
      <c r="B517">
        <f>怪しいデータを手直し!C361</f>
        <v>11.343016541337331</v>
      </c>
      <c r="C517">
        <f>怪しいデータを手直し!D361</f>
        <v>-19.135918177230341</v>
      </c>
      <c r="D517" t="str">
        <f>怪しいデータを手直し!G361</f>
        <v>lc</v>
      </c>
      <c r="E517">
        <f>怪しいデータを手直し!T361</f>
        <v>3.2785918276930444</v>
      </c>
      <c r="F517">
        <f>IF(怪しいデータを手直し!U361="dead",0,怪しいデータを手直し!U361)</f>
        <v>4.0743665431525207</v>
      </c>
      <c r="G517">
        <f>怪しいデータを手直し!L361</f>
        <v>4</v>
      </c>
      <c r="H517">
        <v>0</v>
      </c>
    </row>
    <row r="518" spans="1:9">
      <c r="A518">
        <f>怪しいデータを手直し!F23</f>
        <v>580</v>
      </c>
      <c r="B518">
        <f>怪しいデータを手直し!C23</f>
        <v>8.3512926746389606</v>
      </c>
      <c r="C518">
        <f>怪しいデータを手直し!D23</f>
        <v>-18.76972124200773</v>
      </c>
      <c r="D518" t="str">
        <f>怪しいデータを手直し!G23</f>
        <v>lc</v>
      </c>
      <c r="E518">
        <f>怪しいデータを手直し!T23</f>
        <v>0.4</v>
      </c>
      <c r="F518">
        <f>IF(怪しいデータを手直し!U23="dead",0,怪しいデータを手直し!U23)</f>
        <v>0.63</v>
      </c>
      <c r="G518">
        <f>怪しいデータを手直し!L23</f>
        <v>1.4</v>
      </c>
      <c r="H518">
        <v>0</v>
      </c>
    </row>
    <row r="519" spans="1:9">
      <c r="A519">
        <f>怪しいデータを手直し!F521</f>
        <v>581</v>
      </c>
      <c r="B519">
        <f>怪しいデータを手直し!C521</f>
        <v>7.8356849124416224</v>
      </c>
      <c r="C519">
        <f>怪しいデータを手直し!D521</f>
        <v>-16.883817396832569</v>
      </c>
      <c r="D519" t="str">
        <f>怪しいデータを手直し!G521</f>
        <v>bp</v>
      </c>
      <c r="E519">
        <f>怪しいデータを手直し!T521</f>
        <v>7.0983104618985324</v>
      </c>
      <c r="F519">
        <f>IF(怪しいデータを手直し!U521="dead",0,怪しいデータを手直し!U521)</f>
        <v>7.7349302342661135</v>
      </c>
      <c r="G519">
        <f>怪しいデータを手直し!L521</f>
        <v>6.3</v>
      </c>
      <c r="H519">
        <v>581</v>
      </c>
    </row>
    <row r="520" spans="1:9">
      <c r="A520">
        <f>怪しいデータを手直し!F650</f>
        <v>582</v>
      </c>
      <c r="B520">
        <f>怪しいデータを手直し!C650</f>
        <v>6.4666413112328369</v>
      </c>
      <c r="C520">
        <f>怪しいデータを手直し!D650</f>
        <v>-17.283553401455698</v>
      </c>
      <c r="D520" t="str">
        <f>怪しいデータを手直し!G650</f>
        <v>lc</v>
      </c>
      <c r="E520">
        <f>怪しいデータを手直し!T650</f>
        <v>17.443381762871727</v>
      </c>
      <c r="F520">
        <f>IF(怪しいデータを手直し!U650="dead",0,怪しいデータを手直し!U650)</f>
        <v>0</v>
      </c>
      <c r="G520">
        <f>怪しいデータを手直し!L650</f>
        <v>3.7</v>
      </c>
      <c r="H520">
        <v>0</v>
      </c>
    </row>
    <row r="521" spans="1:9">
      <c r="A521">
        <f>怪しいデータを手直し!F141</f>
        <v>583</v>
      </c>
      <c r="B521">
        <f>怪しいデータを手直し!C141</f>
        <v>4.283786838883505</v>
      </c>
      <c r="C521">
        <f>怪しいデータを手直し!D141</f>
        <v>-18.299684952997218</v>
      </c>
      <c r="D521" t="str">
        <f>怪しいデータを手直し!G141</f>
        <v>lc</v>
      </c>
      <c r="E521">
        <f>怪しいデータを手直し!T141</f>
        <v>1.22</v>
      </c>
      <c r="F521">
        <f>IF(怪しいデータを手直し!U141="dead",0,怪しいデータを手直し!U141)</f>
        <v>0</v>
      </c>
      <c r="G521">
        <f>怪しいデータを手直し!L141</f>
        <v>2.2000000000000002</v>
      </c>
      <c r="H521">
        <v>0</v>
      </c>
    </row>
    <row r="522" spans="1:9">
      <c r="A522">
        <f>怪しいデータを手直し!F300</f>
        <v>584</v>
      </c>
      <c r="B522">
        <f>怪しいデータを手直し!C300</f>
        <v>3.7242049453762323</v>
      </c>
      <c r="C522">
        <f>怪しいデータを手直し!D300</f>
        <v>-18.248199653550781</v>
      </c>
      <c r="D522" t="str">
        <f>怪しいデータを手直し!G300</f>
        <v>lc</v>
      </c>
      <c r="E522">
        <f>怪しいデータを手直し!T300</f>
        <v>2.5</v>
      </c>
      <c r="F522">
        <f>IF(怪しいデータを手直し!U300="dead",0,怪しいデータを手直し!U300)</f>
        <v>3.5014087480216975</v>
      </c>
      <c r="G522">
        <f>怪しいデータを手直し!L300</f>
        <v>3.5</v>
      </c>
      <c r="H522">
        <v>0</v>
      </c>
    </row>
    <row r="523" spans="1:9">
      <c r="A523">
        <f>怪しいデータを手直し!F6</f>
        <v>585</v>
      </c>
      <c r="B523">
        <f>怪しいデータを手直し!C6</f>
        <v>3.7860272796370453</v>
      </c>
      <c r="C523">
        <f>怪しいデータを手直し!D6</f>
        <v>-19.006602991019648</v>
      </c>
      <c r="D523" t="str">
        <f>怪しいデータを手直し!G6</f>
        <v>lc</v>
      </c>
      <c r="E523">
        <f>怪しいデータを手直し!T6</f>
        <v>0.17</v>
      </c>
      <c r="F523">
        <f>IF(怪しいデータを手直し!U6="dead",0,怪しいデータを手直し!U6)</f>
        <v>0.78</v>
      </c>
      <c r="G523">
        <f>怪しいデータを手直し!L6</f>
        <v>1.4</v>
      </c>
      <c r="H523">
        <v>0</v>
      </c>
    </row>
    <row r="524" spans="1:9">
      <c r="A524">
        <f>怪しいデータを手直し!F73</f>
        <v>586</v>
      </c>
      <c r="B524">
        <f>怪しいデータを手直し!C73</f>
        <v>3.4091697728968855</v>
      </c>
      <c r="C524">
        <f>怪しいデータを手直し!D73</f>
        <v>-18.835069974797381</v>
      </c>
      <c r="D524" t="str">
        <f>怪しいデータを手直し!G73</f>
        <v>lc</v>
      </c>
      <c r="E524">
        <f>怪しいデータを手直し!T73</f>
        <v>0.73</v>
      </c>
      <c r="F524">
        <f>IF(怪しいデータを手直し!U73="dead",0,怪しいデータを手直し!U73)</f>
        <v>1.31</v>
      </c>
      <c r="G524">
        <f>怪しいデータを手直し!L73</f>
        <v>1.6</v>
      </c>
      <c r="H524">
        <v>0</v>
      </c>
    </row>
    <row r="525" spans="1:9">
      <c r="A525">
        <f>怪しいデータを手直し!F343</f>
        <v>587</v>
      </c>
      <c r="B525">
        <f>怪しいデータを手直し!C343</f>
        <v>1.5226557831048269</v>
      </c>
      <c r="C525">
        <f>怪しいデータを手直し!D343</f>
        <v>-17.833384923912359</v>
      </c>
      <c r="D525" t="str">
        <f>怪しいデータを手直し!G343</f>
        <v>lc</v>
      </c>
      <c r="E525">
        <f>怪しいデータを手直し!T343</f>
        <v>3.04</v>
      </c>
      <c r="F525">
        <f>IF(怪しいデータを手直し!U343="dead",0,怪しいデータを手直し!U343)</f>
        <v>3.9470425886790048</v>
      </c>
      <c r="G525">
        <f>怪しいデータを手直し!L343</f>
        <v>3.9</v>
      </c>
      <c r="H525">
        <v>0</v>
      </c>
    </row>
    <row r="526" spans="1:9">
      <c r="A526">
        <f>怪しいデータを手直し!F689</f>
        <v>588</v>
      </c>
      <c r="B526">
        <f>怪しいデータを手直し!C689</f>
        <v>1.8407745955404609</v>
      </c>
      <c r="C526">
        <f>怪しいデータを手直し!D689</f>
        <v>-14.422176939971177</v>
      </c>
      <c r="D526" t="str">
        <f>怪しいデータを手直し!G689</f>
        <v>lc</v>
      </c>
      <c r="E526">
        <f>怪しいデータを手直し!T689</f>
        <v>29.284509528908742</v>
      </c>
      <c r="F526">
        <f>IF(怪しいデータを手直し!U689="dead",0,怪しいデータを手直し!U689)</f>
        <v>0</v>
      </c>
      <c r="G526">
        <f>怪しいデータを手直し!L689</f>
        <v>13.5</v>
      </c>
      <c r="H526">
        <v>0</v>
      </c>
    </row>
    <row r="527" spans="1:9">
      <c r="A527">
        <f>怪しいデータを手直し!F155</f>
        <v>589</v>
      </c>
      <c r="B527">
        <f>怪しいデータを手直し!C155</f>
        <v>0.82101434437614929</v>
      </c>
      <c r="C527">
        <f>怪しいデータを手直し!D155</f>
        <v>-14.108775419310309</v>
      </c>
      <c r="D527" t="str">
        <f>怪しいデータを手直し!G155</f>
        <v>lc</v>
      </c>
      <c r="E527">
        <f>怪しいデータを手直し!T155</f>
        <v>1.3</v>
      </c>
      <c r="F527">
        <f>IF(怪しいデータを手直し!U155="dead",0,怪しいデータを手直し!U155)</f>
        <v>2.0499999999999998</v>
      </c>
      <c r="G527">
        <f>怪しいデータを手直し!L155</f>
        <v>1.9</v>
      </c>
      <c r="H527">
        <v>0</v>
      </c>
    </row>
    <row r="528" spans="1:9">
      <c r="A528">
        <f>怪しいデータを手直し!F686</f>
        <v>590</v>
      </c>
      <c r="B528">
        <f>怪しいデータを手直し!C686</f>
        <v>8.5366685337559378</v>
      </c>
      <c r="C528">
        <f>怪しいデータを手直し!D686</f>
        <v>-10.477273867691553</v>
      </c>
      <c r="D528" t="str">
        <f>怪しいデータを手直し!G686</f>
        <v>lc</v>
      </c>
      <c r="E528">
        <f>怪しいデータを手直し!T686</f>
        <v>28.170424927265476</v>
      </c>
      <c r="F528">
        <f>IF(怪しいデータを手直し!U686="dead",0,怪しいデータを手直し!U686)</f>
        <v>0</v>
      </c>
      <c r="G528">
        <f>怪しいデータを手直し!L686</f>
        <v>8.4</v>
      </c>
      <c r="H528">
        <v>0</v>
      </c>
    </row>
    <row r="529" spans="1:9">
      <c r="A529">
        <f>怪しいデータを手直し!F255</f>
        <v>601</v>
      </c>
      <c r="B529">
        <f>怪しいデータを手直し!C255</f>
        <v>3.6767165407509381</v>
      </c>
      <c r="C529">
        <f>怪しいデータを手直し!D255</f>
        <v>-20.101695673448518</v>
      </c>
      <c r="D529" t="str">
        <f>怪しいデータを手直し!G255</f>
        <v>lc</v>
      </c>
      <c r="E529">
        <f>怪しいデータを手直し!T255</f>
        <v>2.12</v>
      </c>
      <c r="F529">
        <f>IF(怪しいデータを手直し!U255="dead",0,怪しいデータを手直し!U255)</f>
        <v>3.183098861837907</v>
      </c>
      <c r="G529">
        <f>怪しいデータを手直し!L255</f>
        <v>3.2</v>
      </c>
      <c r="H529">
        <v>0</v>
      </c>
    </row>
    <row r="530" spans="1:9">
      <c r="A530">
        <f>怪しいデータを手直し!F61</f>
        <v>602</v>
      </c>
      <c r="B530">
        <f>怪しいデータを手直し!C61</f>
        <v>4.6665728265819304</v>
      </c>
      <c r="C530">
        <f>怪しいデータを手直し!D61</f>
        <v>-20.335313157045952</v>
      </c>
      <c r="D530" t="str">
        <f>怪しいデータを手直し!G61</f>
        <v>lc</v>
      </c>
      <c r="E530">
        <f>怪しいデータを手直し!T61</f>
        <v>0.64</v>
      </c>
      <c r="F530">
        <f>IF(怪しいデータを手直し!U61="dead",0,怪しいデータを手直し!U61)</f>
        <v>1</v>
      </c>
      <c r="G530">
        <f>怪しいデータを手直し!L61</f>
        <v>1.7</v>
      </c>
      <c r="H530">
        <v>0</v>
      </c>
    </row>
    <row r="531" spans="1:9">
      <c r="A531">
        <f>怪しいデータを手直し!F184</f>
        <v>603</v>
      </c>
      <c r="B531">
        <f>怪しいデータを手直し!C184</f>
        <v>3.8441714100243498</v>
      </c>
      <c r="C531">
        <f>怪しいデータを手直し!D184</f>
        <v>-21.83114306271171</v>
      </c>
      <c r="D531" t="str">
        <f>怪しいデータを手直し!G184</f>
        <v>lc</v>
      </c>
      <c r="E531">
        <f>怪しいデータを手直し!T184</f>
        <v>1.48</v>
      </c>
      <c r="F531">
        <f>IF(怪しいデータを手直し!U184="dead",0,怪しいデータを手直し!U184)</f>
        <v>2.08</v>
      </c>
      <c r="G531">
        <f>怪しいデータを手直し!L184</f>
        <v>2.2999999999999998</v>
      </c>
      <c r="H531">
        <v>0</v>
      </c>
    </row>
    <row r="532" spans="1:9">
      <c r="A532">
        <f>怪しいデータを手直し!F391</f>
        <v>604</v>
      </c>
      <c r="B532">
        <f>怪しいデータを手直し!C391</f>
        <v>5.2992375060011847</v>
      </c>
      <c r="C532">
        <f>怪しいデータを手直し!D391</f>
        <v>-21.210623615793651</v>
      </c>
      <c r="D532" t="str">
        <f>怪しいデータを手直し!G391</f>
        <v>lc</v>
      </c>
      <c r="E532">
        <f>怪しいデータを手直し!T391</f>
        <v>3.7560566569687301</v>
      </c>
      <c r="F532">
        <f>IF(怪しいデータを手直し!U391="dead",0,怪しいデータを手直し!U391)</f>
        <v>4.8701412586119979</v>
      </c>
      <c r="G532">
        <f>怪しいデータを手直し!L391</f>
        <v>4.4000000000000004</v>
      </c>
      <c r="H532">
        <v>0</v>
      </c>
    </row>
    <row r="533" spans="1:9">
      <c r="A533">
        <f>怪しいデータを手直し!F322</f>
        <v>605</v>
      </c>
      <c r="B533">
        <f>怪しいデータを手直し!C322</f>
        <v>4.2577377029180168</v>
      </c>
      <c r="C533">
        <f>怪しいデータを手直し!D322</f>
        <v>-22.874209476824216</v>
      </c>
      <c r="D533" t="str">
        <f>怪しいデータを手直し!G322</f>
        <v>lc</v>
      </c>
      <c r="E533">
        <f>怪しいデータを手直し!T322</f>
        <v>2.8329579870357371</v>
      </c>
      <c r="F533">
        <f>IF(怪しいデータを手直し!U322="dead",0,怪しいデータを手直し!U322)</f>
        <v>3.4059157821665602</v>
      </c>
      <c r="G533">
        <f>怪しいデータを手直し!L322</f>
        <v>3.1</v>
      </c>
      <c r="H533">
        <v>0</v>
      </c>
    </row>
    <row r="534" spans="1:9">
      <c r="A534">
        <f>怪しいデータを手直し!F690</f>
        <v>606</v>
      </c>
      <c r="B534">
        <f>怪しいデータを手直し!C690</f>
        <v>3.7272304886527081</v>
      </c>
      <c r="C534">
        <f>怪しいデータを手直し!D690</f>
        <v>-27.998115259228051</v>
      </c>
      <c r="D534" t="str">
        <f>怪しいデータを手直し!G690</f>
        <v>lc</v>
      </c>
      <c r="E534">
        <f>怪しいデータを手直し!T690</f>
        <v>29.793805346802806</v>
      </c>
      <c r="F534">
        <f>IF(怪しいデータを手直し!U690="dead",0,怪しいデータを手直し!U690)</f>
        <v>0</v>
      </c>
      <c r="G534">
        <f>怪しいデータを手直し!L690</f>
        <v>18.399999999999999</v>
      </c>
      <c r="H534">
        <v>0</v>
      </c>
    </row>
    <row r="535" spans="1:9">
      <c r="A535">
        <f>怪しいデータを手直し!F615</f>
        <v>607</v>
      </c>
      <c r="B535">
        <f>怪しいデータを手直し!C615</f>
        <v>9.3207208494274312</v>
      </c>
      <c r="C535">
        <f>怪しいデータを手直し!D615</f>
        <v>-23.663665790959932</v>
      </c>
      <c r="D535" t="str">
        <f>怪しいデータを手直し!G615</f>
        <v>lc</v>
      </c>
      <c r="E535">
        <f>怪しいデータを手直し!T615</f>
        <v>12.732395447351628</v>
      </c>
      <c r="F535">
        <f>IF(怪しいデータを手直し!U615="dead",0,怪しいデータを手直し!U615)</f>
        <v>0</v>
      </c>
      <c r="G535">
        <f>怪しいデータを手直し!L615</f>
        <v>10.5</v>
      </c>
      <c r="H535">
        <v>0</v>
      </c>
    </row>
    <row r="536" spans="1:9">
      <c r="A536">
        <f>怪しいデータを手直し!F646</f>
        <v>608</v>
      </c>
      <c r="B536">
        <f>怪しいデータを手直し!C646</f>
        <v>9.0173586714432492</v>
      </c>
      <c r="C536">
        <f>怪しいデータを手直し!D646</f>
        <v>-23.071405532326935</v>
      </c>
      <c r="D536" t="str">
        <f>怪しいデータを手直し!G646</f>
        <v>bp</v>
      </c>
      <c r="E536">
        <f>怪しいデータを手直し!T646</f>
        <v>16.456621115701978</v>
      </c>
      <c r="F536">
        <f>IF(怪しいデータを手直し!U646="dead",0,怪しいデータを手直し!U646)</f>
        <v>0</v>
      </c>
      <c r="G536">
        <f>怪しいデータを手直し!L646</f>
        <v>6.6</v>
      </c>
      <c r="H536">
        <v>608</v>
      </c>
      <c r="I536">
        <v>133</v>
      </c>
    </row>
    <row r="537" spans="1:9">
      <c r="A537">
        <f>怪しいデータを手直し!F150</f>
        <v>609</v>
      </c>
      <c r="B537">
        <f>怪しいデータを手直し!C150</f>
        <v>9.309286328818267</v>
      </c>
      <c r="C537">
        <f>怪しいデータを手直し!D150</f>
        <v>-23.147976576191382</v>
      </c>
      <c r="D537" t="str">
        <f>怪しいデータを手直し!G150</f>
        <v>bp</v>
      </c>
      <c r="E537">
        <f>怪しいデータを手直し!T150</f>
        <v>1.27</v>
      </c>
      <c r="F537">
        <f>IF(怪しいデータを手直し!U150="dead",0,怪しいデータを手直し!U150)</f>
        <v>1.6300000000000001</v>
      </c>
      <c r="G537">
        <f>怪しいデータを手直し!L150</f>
        <v>2.2999999999999998</v>
      </c>
      <c r="H537">
        <v>608</v>
      </c>
    </row>
    <row r="538" spans="1:9">
      <c r="A538">
        <f>怪しいデータを手直し!F388</f>
        <v>610</v>
      </c>
      <c r="B538">
        <f>怪しいデータを手直し!C388</f>
        <v>9.2331769958039427</v>
      </c>
      <c r="C538">
        <f>怪しいデータを手直し!D388</f>
        <v>-22.944436741865474</v>
      </c>
      <c r="D538" t="str">
        <f>怪しいデータを手直し!G388</f>
        <v>bp</v>
      </c>
      <c r="E538">
        <f>怪しいデータを手直し!T388</f>
        <v>3.6923946797319718</v>
      </c>
      <c r="F538">
        <f>IF(怪しいデータを手直し!U388="dead",0,怪しいデータを手直し!U388)</f>
        <v>4.2335214862444159</v>
      </c>
      <c r="G538">
        <f>怪しいデータを手直し!L388</f>
        <v>4.7</v>
      </c>
      <c r="H538">
        <v>608</v>
      </c>
    </row>
    <row r="539" spans="1:9">
      <c r="A539">
        <f>怪しいデータを手直し!F409</f>
        <v>611</v>
      </c>
      <c r="B539">
        <f>怪しいデータを手直し!C409</f>
        <v>9.3944202602946802</v>
      </c>
      <c r="C539">
        <f>怪しいデータを手直し!D409</f>
        <v>-23.025684932968588</v>
      </c>
      <c r="D539" t="str">
        <f>怪しいデータを手直し!G409</f>
        <v>bp</v>
      </c>
      <c r="E539">
        <f>怪しいデータを手直し!T409</f>
        <v>4.0743665431525207</v>
      </c>
      <c r="F539">
        <f>IF(怪しいデータを手直し!U409="dead",0,怪しいデータを手直し!U409)</f>
        <v>4.2971834634811739</v>
      </c>
      <c r="G539">
        <f>怪しいデータを手直し!L409</f>
        <v>4.8</v>
      </c>
      <c r="H539">
        <v>608</v>
      </c>
      <c r="I539">
        <v>29</v>
      </c>
    </row>
    <row r="540" spans="1:9">
      <c r="A540">
        <f>怪しいデータを手直し!F206</f>
        <v>612</v>
      </c>
      <c r="B540">
        <f>怪しいデータを手直し!C206</f>
        <v>9.9566634226198119</v>
      </c>
      <c r="C540">
        <f>怪しいデータを手直し!D206</f>
        <v>-21.057995003103628</v>
      </c>
      <c r="D540" t="str">
        <f>怪しいデータを手直し!G206</f>
        <v>lc</v>
      </c>
      <c r="E540">
        <f>怪しいデータを手直し!T206</f>
        <v>1.64</v>
      </c>
      <c r="F540">
        <f>IF(怪しいデータを手直し!U206="dead",0,怪しいデータを手直し!U206)</f>
        <v>2.2199999999999998</v>
      </c>
      <c r="G540">
        <f>怪しいデータを手直し!L206</f>
        <v>3</v>
      </c>
      <c r="H540">
        <v>0</v>
      </c>
    </row>
    <row r="541" spans="1:9">
      <c r="A541">
        <f>怪しいデータを手直し!F5</f>
        <v>613</v>
      </c>
      <c r="B541">
        <f>怪しいデータを手直し!C5</f>
        <v>9.7795352861637976</v>
      </c>
      <c r="C541">
        <f>怪しいデータを手直し!D5</f>
        <v>-21.779507187767965</v>
      </c>
      <c r="D541" t="str">
        <f>怪しいデータを手直し!G5</f>
        <v>lc</v>
      </c>
      <c r="E541">
        <f>怪しいデータを手直し!T5</f>
        <v>0.15</v>
      </c>
      <c r="F541">
        <f>IF(怪しいデータを手直し!U5="dead",0,怪しいデータを手直し!U5)</f>
        <v>0.53</v>
      </c>
      <c r="G541">
        <f>怪しいデータを手直し!L5</f>
        <v>1.4</v>
      </c>
      <c r="H541">
        <v>0</v>
      </c>
    </row>
    <row r="542" spans="1:9">
      <c r="A542">
        <f>怪しいデータを手直し!F199</f>
        <v>614</v>
      </c>
      <c r="B542">
        <f>怪しいデータを手直し!C199</f>
        <v>10.075594505370871</v>
      </c>
      <c r="C542">
        <f>怪しいデータを手直し!D199</f>
        <v>-21.922856006986763</v>
      </c>
      <c r="D542" t="str">
        <f>怪しいデータを手直し!G199</f>
        <v>lc</v>
      </c>
      <c r="E542">
        <f>怪しいデータを手直し!T199</f>
        <v>1.59</v>
      </c>
      <c r="F542">
        <f>IF(怪しいデータを手直し!U199="dead",0,怪しいデータを手直し!U199)</f>
        <v>0</v>
      </c>
      <c r="G542">
        <f>怪しいデータを手直し!L199</f>
        <v>2.2999999999999998</v>
      </c>
      <c r="H542">
        <v>0</v>
      </c>
    </row>
    <row r="543" spans="1:9">
      <c r="A543">
        <f>怪しいデータを手直し!F476</f>
        <v>615</v>
      </c>
      <c r="B543">
        <f>怪しいデータを手直し!C476</f>
        <v>10.053751892067991</v>
      </c>
      <c r="C543">
        <f>怪しいデータを手直し!D476</f>
        <v>-22.868215606397772</v>
      </c>
      <c r="D543" t="str">
        <f>怪しいデータを手直し!G476</f>
        <v>lc</v>
      </c>
      <c r="E543">
        <f>怪しいデータを手直し!T476</f>
        <v>5.6340849854530948</v>
      </c>
      <c r="F543">
        <f>IF(怪しいデータを手直し!U476="dead",0,怪しいデータを手直し!U476)</f>
        <v>0</v>
      </c>
      <c r="G543">
        <f>怪しいデータを手直し!L476</f>
        <v>5.6</v>
      </c>
      <c r="H543">
        <v>0</v>
      </c>
    </row>
    <row r="544" spans="1:9">
      <c r="A544">
        <f>怪しいデータを手直し!F74</f>
        <v>616</v>
      </c>
      <c r="B544">
        <f>怪しいデータを手直し!C74</f>
        <v>11.494315595062826</v>
      </c>
      <c r="C544">
        <f>怪しいデータを手直し!D74</f>
        <v>-22.19747141833485</v>
      </c>
      <c r="D544" t="str">
        <f>怪しいデータを手直し!G74</f>
        <v>lc</v>
      </c>
      <c r="E544">
        <f>怪しいデータを手直し!T74</f>
        <v>0.74</v>
      </c>
      <c r="F544">
        <f>IF(怪しいデータを手直し!U74="dead",0,怪しいデータを手直し!U74)</f>
        <v>1.1400000000000001</v>
      </c>
      <c r="G544">
        <f>怪しいデータを手直し!L74</f>
        <v>1.8</v>
      </c>
      <c r="H544">
        <v>0</v>
      </c>
    </row>
    <row r="545" spans="1:8">
      <c r="A545">
        <f>怪しいデータを手直し!F676</f>
        <v>617</v>
      </c>
      <c r="B545">
        <f>怪しいデータを手直し!C676</f>
        <v>10.670995073625223</v>
      </c>
      <c r="C545">
        <f>怪しいデータを手直し!D676</f>
        <v>-20.197424387494433</v>
      </c>
      <c r="D545" t="str">
        <f>怪しいデータを手直し!G676</f>
        <v>lc</v>
      </c>
      <c r="E545">
        <f>怪しいデータを手直し!T676</f>
        <v>23.236621691416719</v>
      </c>
      <c r="F545">
        <f>IF(怪しいデータを手直し!U676="dead",0,怪しいデータを手直し!U676)</f>
        <v>0</v>
      </c>
      <c r="G545">
        <f>怪しいデータを手直し!L676</f>
        <v>13.7</v>
      </c>
      <c r="H545">
        <v>0</v>
      </c>
    </row>
    <row r="546" spans="1:8">
      <c r="A546">
        <f>怪しいデータを手直し!F117</f>
        <v>618</v>
      </c>
      <c r="B546">
        <f>怪しいデータを手直し!C117</f>
        <v>11.346698213507807</v>
      </c>
      <c r="C546">
        <f>怪しいデータを手直し!D117</f>
        <v>-20.397333295205016</v>
      </c>
      <c r="D546" t="str">
        <f>怪しいデータを手直し!G117</f>
        <v>lc</v>
      </c>
      <c r="E546">
        <f>怪しいデータを手直し!T117</f>
        <v>1.03</v>
      </c>
      <c r="F546">
        <f>IF(怪しいデータを手直し!U117="dead",0,怪しいデータを手直し!U117)</f>
        <v>1.58</v>
      </c>
      <c r="G546">
        <f>怪しいデータを手直し!L117</f>
        <v>2.1</v>
      </c>
      <c r="H546">
        <v>0</v>
      </c>
    </row>
    <row r="547" spans="1:8">
      <c r="A547">
        <f>怪しいデータを手直し!F308</f>
        <v>619</v>
      </c>
      <c r="B547">
        <f>怪しいデータを手直し!C308</f>
        <v>12.35821974330851</v>
      </c>
      <c r="C547">
        <f>怪しいデータを手直し!D308</f>
        <v>-20.44350538737352</v>
      </c>
      <c r="D547" t="str">
        <f>怪しいデータを手直し!G308</f>
        <v>lc</v>
      </c>
      <c r="E547">
        <f>怪しいデータを手直し!T308</f>
        <v>2.6</v>
      </c>
      <c r="F547">
        <f>IF(怪しいデータを手直し!U308="dead",0,怪しいデータを手直し!U308)</f>
        <v>3.5014087480216975</v>
      </c>
      <c r="G547">
        <f>怪しいデータを手直し!L308</f>
        <v>3.7</v>
      </c>
      <c r="H547">
        <v>0</v>
      </c>
    </row>
    <row r="548" spans="1:8">
      <c r="A548">
        <f>怪しいデータを手直し!F102</f>
        <v>620</v>
      </c>
      <c r="B548">
        <f>怪しいデータを手直し!C102</f>
        <v>13.891661250622271</v>
      </c>
      <c r="C548">
        <f>怪しいデータを手直し!D102</f>
        <v>-21.129319282775551</v>
      </c>
      <c r="D548" t="str">
        <f>怪しいデータを手直し!G102</f>
        <v>lc</v>
      </c>
      <c r="E548">
        <f>怪しいデータを手直し!T102</f>
        <v>0.92</v>
      </c>
      <c r="F548">
        <f>IF(怪しいデータを手直し!U102="dead",0,怪しいデータを手直し!U102)</f>
        <v>1.27</v>
      </c>
      <c r="G548">
        <f>怪しいデータを手直し!L102</f>
        <v>1.7</v>
      </c>
      <c r="H548">
        <v>0</v>
      </c>
    </row>
    <row r="549" spans="1:8">
      <c r="A549">
        <f>怪しいデータを手直し!F228</f>
        <v>621</v>
      </c>
      <c r="B549">
        <f>怪しいデータを手直し!C228</f>
        <v>15.238000848139492</v>
      </c>
      <c r="C549">
        <f>怪しいデータを手直し!D228</f>
        <v>-22.295516668774031</v>
      </c>
      <c r="D549" t="str">
        <f>怪しいデータを手直し!G228</f>
        <v>lc</v>
      </c>
      <c r="E549">
        <f>怪しいデータを手直し!T228</f>
        <v>1.84</v>
      </c>
      <c r="F549">
        <f>IF(怪しいデータを手直し!U228="dead",0,怪しいデータを手直し!U228)</f>
        <v>3.0239439187460113</v>
      </c>
      <c r="G549">
        <f>怪しいデータを手直し!L228</f>
        <v>2.8</v>
      </c>
      <c r="H549">
        <v>0</v>
      </c>
    </row>
    <row r="550" spans="1:8">
      <c r="A550">
        <f>怪しいデータを手直し!F281</f>
        <v>622</v>
      </c>
      <c r="B550">
        <f>怪しいデータを手直し!C281</f>
        <v>16.213479815213489</v>
      </c>
      <c r="C550">
        <f>怪しいデータを手直し!D281</f>
        <v>-22.804634796887598</v>
      </c>
      <c r="D550" t="str">
        <f>怪しいデータを手直し!G281</f>
        <v>lc</v>
      </c>
      <c r="E550">
        <f>怪しいデータを手直し!T281</f>
        <v>2.3199999999999998</v>
      </c>
      <c r="F550">
        <f>IF(怪しいデータを手直し!U281="dead",0,怪しいデータを手直し!U281)</f>
        <v>0</v>
      </c>
      <c r="G550">
        <f>怪しいデータを手直し!L281</f>
        <v>3.3</v>
      </c>
      <c r="H550">
        <v>0</v>
      </c>
    </row>
    <row r="551" spans="1:8">
      <c r="A551">
        <f>怪しいデータを手直し!F178</f>
        <v>623</v>
      </c>
      <c r="B551">
        <f>怪しいデータを手直し!C178</f>
        <v>17.181672912791875</v>
      </c>
      <c r="C551">
        <f>怪しいデータを手直し!D178</f>
        <v>-22.458583419269921</v>
      </c>
      <c r="D551" t="str">
        <f>怪しいデータを手直し!G178</f>
        <v>lc</v>
      </c>
      <c r="E551">
        <f>怪しいデータを手直し!T178</f>
        <v>1.44</v>
      </c>
      <c r="F551">
        <f>IF(怪しいデータを手直し!U178="dead",0,怪しいデータを手直し!U178)</f>
        <v>2.1</v>
      </c>
      <c r="G551">
        <f>怪しいデータを手直し!L178</f>
        <v>2.2000000000000002</v>
      </c>
      <c r="H551">
        <v>0</v>
      </c>
    </row>
    <row r="552" spans="1:8">
      <c r="A552">
        <f>怪しいデータを手直し!F2</f>
        <v>624</v>
      </c>
      <c r="B552">
        <f>怪しいデータを手直し!C2</f>
        <v>16.756079684882891</v>
      </c>
      <c r="C552">
        <f>怪しいデータを手直し!D2</f>
        <v>-23.565021877796898</v>
      </c>
      <c r="D552" t="str">
        <f>怪しいデータを手直し!G2</f>
        <v>lc</v>
      </c>
      <c r="E552">
        <f>怪しいデータを手直し!T2</f>
        <v>0.1</v>
      </c>
      <c r="F552">
        <f>IF(怪しいデータを手直し!U2="dead",0,怪しいデータを手直し!U2)</f>
        <v>0.69000000000000006</v>
      </c>
      <c r="G552">
        <f>怪しいデータを手直し!L2</f>
        <v>1.4</v>
      </c>
      <c r="H552">
        <v>0</v>
      </c>
    </row>
    <row r="553" spans="1:8">
      <c r="A553">
        <f>怪しいデータを手直し!F550</f>
        <v>625</v>
      </c>
      <c r="B553">
        <f>怪しいデータを手直し!C550</f>
        <v>18.162512928283768</v>
      </c>
      <c r="C553">
        <f>怪しいデータを手直し!D550</f>
        <v>-24.107753797548693</v>
      </c>
      <c r="D553" t="str">
        <f>怪しいデータを手直し!G550</f>
        <v>lc</v>
      </c>
      <c r="E553">
        <f>怪しいデータを手直し!T550</f>
        <v>8.753521870054243</v>
      </c>
      <c r="F553">
        <f>IF(怪しいデータを手直し!U550="dead",0,怪しいデータを手直し!U550)</f>
        <v>0</v>
      </c>
      <c r="G553">
        <f>怪しいデータを手直し!L550</f>
        <v>7.2</v>
      </c>
      <c r="H553">
        <v>0</v>
      </c>
    </row>
    <row r="554" spans="1:8">
      <c r="A554">
        <f>怪しいデータを手直し!F701</f>
        <v>626</v>
      </c>
      <c r="B554">
        <f>怪しいデータを手直し!C701</f>
        <v>12.339531167012069</v>
      </c>
      <c r="C554">
        <f>怪しいデータを手直し!D701</f>
        <v>-29.699835939788905</v>
      </c>
      <c r="D554" t="str">
        <f>怪しいデータを手直し!G701</f>
        <v>lc</v>
      </c>
      <c r="E554">
        <f>怪しいデータを手直し!T701</f>
        <v>42.971834634811742</v>
      </c>
      <c r="F554">
        <f>IF(怪しいデータを手直し!U701="dead",0,怪しいデータを手直し!U701)</f>
        <v>0</v>
      </c>
      <c r="G554">
        <f>怪しいデータを手直し!L701</f>
        <v>3.2</v>
      </c>
      <c r="H554">
        <v>0</v>
      </c>
    </row>
    <row r="555" spans="1:8">
      <c r="A555">
        <f>怪しいデータを手直し!F200</f>
        <v>627</v>
      </c>
      <c r="B555">
        <f>怪しいデータを手直し!C200</f>
        <v>20.370058669255478</v>
      </c>
      <c r="C555">
        <f>怪しいデータを手直し!D200</f>
        <v>-20.100000000000001</v>
      </c>
      <c r="D555" t="str">
        <f>怪しいデータを手直し!G200</f>
        <v>lc</v>
      </c>
      <c r="E555">
        <f>怪しいデータを手直し!T200</f>
        <v>1.59</v>
      </c>
      <c r="F555">
        <f>IF(怪しいデータを手直し!U200="dead",0,怪しいデータを手直し!U200)</f>
        <v>2.2399999999999998</v>
      </c>
      <c r="G555">
        <f>怪しいデータを手直し!L200</f>
        <v>2.5</v>
      </c>
      <c r="H555">
        <v>0</v>
      </c>
    </row>
    <row r="556" spans="1:8">
      <c r="A556">
        <f>怪しいデータを手直し!F169</f>
        <v>628</v>
      </c>
      <c r="B556">
        <f>怪しいデータを手直し!C169</f>
        <v>19.934757230768518</v>
      </c>
      <c r="C556">
        <f>怪しいデータを手直し!D169</f>
        <v>-22.323744391372124</v>
      </c>
      <c r="D556" t="str">
        <f>怪しいデータを手直し!G169</f>
        <v>lc</v>
      </c>
      <c r="E556">
        <f>怪しいデータを手直し!T169</f>
        <v>1.35</v>
      </c>
      <c r="F556">
        <f>IF(怪しいデータを手直し!U169="dead",0,怪しいデータを手直し!U169)</f>
        <v>1.9</v>
      </c>
      <c r="G556">
        <f>怪しいデータを手直し!L169</f>
        <v>2.6</v>
      </c>
      <c r="H556">
        <v>0</v>
      </c>
    </row>
    <row r="557" spans="1:8">
      <c r="A557">
        <f>怪しいデータを手直し!F118</f>
        <v>629</v>
      </c>
      <c r="B557">
        <f>怪しいデータを手直し!C118</f>
        <v>19.847311696024597</v>
      </c>
      <c r="C557">
        <f>怪しいデータを手直し!D118</f>
        <v>-22.474958626385718</v>
      </c>
      <c r="D557" t="str">
        <f>怪しいデータを手直し!G118</f>
        <v>lc</v>
      </c>
      <c r="E557">
        <f>怪しいデータを手直し!T118</f>
        <v>1.04</v>
      </c>
      <c r="F557">
        <f>IF(怪しいデータを手直し!U118="dead",0,怪しいデータを手直し!U118)</f>
        <v>1.34</v>
      </c>
      <c r="G557">
        <f>怪しいデータを手直し!L118</f>
        <v>2.4</v>
      </c>
      <c r="H557">
        <v>0</v>
      </c>
    </row>
    <row r="558" spans="1:8">
      <c r="A558">
        <f>怪しいデータを手直し!F259</f>
        <v>630</v>
      </c>
      <c r="B558">
        <f>怪しいデータを手直し!C259</f>
        <v>20.068510563484196</v>
      </c>
      <c r="C558">
        <f>怪しいデータを手直し!D259</f>
        <v>-22.494617720688876</v>
      </c>
      <c r="D558" t="str">
        <f>怪しいデータを手直し!G259</f>
        <v>lc</v>
      </c>
      <c r="E558">
        <f>怪しいデータを手直し!T259</f>
        <v>2.14</v>
      </c>
      <c r="F558">
        <f>IF(怪しいデータを手直し!U259="dead",0,怪しいデータを手直し!U259)</f>
        <v>2.82</v>
      </c>
      <c r="G558">
        <f>怪しいデータを手直し!L259</f>
        <v>3.6</v>
      </c>
      <c r="H558">
        <v>0</v>
      </c>
    </row>
    <row r="559" spans="1:8">
      <c r="A559">
        <f>怪しいデータを手直し!F290</f>
        <v>631</v>
      </c>
      <c r="B559">
        <f>怪しいデータを手直し!C290</f>
        <v>20.134595844127755</v>
      </c>
      <c r="C559">
        <f>怪しいデータを手直し!D290</f>
        <v>-22.386692447991294</v>
      </c>
      <c r="D559" t="str">
        <f>怪しいデータを手直し!G290</f>
        <v>lc</v>
      </c>
      <c r="E559">
        <f>怪しいデータを手直し!T290</f>
        <v>2.39</v>
      </c>
      <c r="F559">
        <f>IF(怪しいデータを手直し!U290="dead",0,怪しいデータを手直し!U290)</f>
        <v>3.246760839074665</v>
      </c>
      <c r="G559">
        <f>怪しいデータを手直し!L290</f>
        <v>3.6</v>
      </c>
      <c r="H559">
        <v>0</v>
      </c>
    </row>
    <row r="560" spans="1:8">
      <c r="A560">
        <f>怪しいデータを手直し!F129</f>
        <v>632</v>
      </c>
      <c r="B560">
        <f>怪しいデータを手直し!C129</f>
        <v>20.689156705470445</v>
      </c>
      <c r="C560">
        <f>怪しいデータを手直し!D129</f>
        <v>-23.025276374930733</v>
      </c>
      <c r="D560" t="str">
        <f>怪しいデータを手直し!G129</f>
        <v>lc</v>
      </c>
      <c r="E560">
        <f>怪しいデータを手直し!T129</f>
        <v>1.1000000000000001</v>
      </c>
      <c r="F560">
        <f>IF(怪しいデータを手直し!U129="dead",0,怪しいデータを手直し!U129)</f>
        <v>1.51</v>
      </c>
      <c r="G560">
        <f>怪しいデータを手直し!L129</f>
        <v>2.2999999999999998</v>
      </c>
      <c r="H560">
        <v>0</v>
      </c>
    </row>
    <row r="561" spans="1:9">
      <c r="A561">
        <f>怪しいデータを手直し!F261</f>
        <v>633</v>
      </c>
      <c r="B561">
        <f>怪しいデータを手直し!C261</f>
        <v>20.777557086264643</v>
      </c>
      <c r="C561">
        <f>怪しいデータを手直し!D261</f>
        <v>-22.907825081206319</v>
      </c>
      <c r="D561" t="str">
        <f>怪しいデータを手直し!G261</f>
        <v>lc</v>
      </c>
      <c r="E561">
        <f>怪しいデータを手直し!T261</f>
        <v>2.1800000000000002</v>
      </c>
      <c r="F561">
        <f>IF(怪しいデータを手直し!U261="dead",0,怪しいデータを手直し!U261)</f>
        <v>0</v>
      </c>
      <c r="G561">
        <f>怪しいデータを手直し!L261</f>
        <v>3.8</v>
      </c>
      <c r="H561">
        <v>0</v>
      </c>
    </row>
    <row r="562" spans="1:9">
      <c r="A562">
        <f>怪しいデータを手直し!F334</f>
        <v>634</v>
      </c>
      <c r="B562">
        <f>怪しいデータを手直し!C334</f>
        <v>21.358357107595999</v>
      </c>
      <c r="C562">
        <f>怪しいデータを手直し!D334</f>
        <v>-22.250979369111008</v>
      </c>
      <c r="D562" t="str">
        <f>怪しいデータを手直し!G334</f>
        <v>lc</v>
      </c>
      <c r="E562">
        <f>怪しいデータを手直し!T334</f>
        <v>2.94</v>
      </c>
      <c r="F562">
        <f>IF(怪しいデータを手直し!U334="dead",0,怪しいデータを手直し!U334)</f>
        <v>0</v>
      </c>
      <c r="G562">
        <f>怪しいデータを手直し!L334</f>
        <v>4.0999999999999996</v>
      </c>
      <c r="H562">
        <v>0</v>
      </c>
    </row>
    <row r="563" spans="1:9">
      <c r="A563">
        <f>怪しいデータを手直し!F533</f>
        <v>635</v>
      </c>
      <c r="B563">
        <f>怪しいデータを手直し!C533</f>
        <v>25.627680224719889</v>
      </c>
      <c r="C563">
        <f>怪しいデータを手直し!D533</f>
        <v>-20.929365257955382</v>
      </c>
      <c r="D563" t="str">
        <f>怪しいデータを手直し!G533</f>
        <v>lc</v>
      </c>
      <c r="E563">
        <f>怪しいデータを手直し!T533</f>
        <v>7.4802823253190809</v>
      </c>
      <c r="F563">
        <f>IF(怪しいデータを手直し!U533="dead",0,怪しいデータを手直し!U533)</f>
        <v>0</v>
      </c>
      <c r="G563">
        <f>怪しいデータを手直し!L533</f>
        <v>7.4</v>
      </c>
      <c r="H563">
        <v>0</v>
      </c>
    </row>
    <row r="564" spans="1:9">
      <c r="A564">
        <f>怪しいデータを手直し!F211</f>
        <v>636</v>
      </c>
      <c r="B564">
        <f>怪しいデータを手直し!C211</f>
        <v>25.63549269867908</v>
      </c>
      <c r="C564">
        <f>怪しいデータを手直し!D211</f>
        <v>-22.899771718035126</v>
      </c>
      <c r="D564" t="str">
        <f>怪しいデータを手直し!G211</f>
        <v>pt</v>
      </c>
      <c r="E564">
        <f>怪しいデータを手直し!T211</f>
        <v>1.69</v>
      </c>
      <c r="F564">
        <f>IF(怪しいデータを手直し!U211="dead",0,怪しいデータを手直し!U211)</f>
        <v>2.35</v>
      </c>
      <c r="G564">
        <f>怪しいデータを手直し!L211</f>
        <v>3.7</v>
      </c>
      <c r="H564">
        <v>0</v>
      </c>
    </row>
    <row r="565" spans="1:9">
      <c r="A565">
        <f>怪しいデータを手直し!F212</f>
        <v>637</v>
      </c>
      <c r="B565">
        <f>怪しいデータを手直し!C212</f>
        <v>25.63549269867908</v>
      </c>
      <c r="C565">
        <f>怪しいデータを手直し!D212</f>
        <v>-22.899771718035126</v>
      </c>
      <c r="D565" t="str">
        <f>怪しいデータを手直し!G212</f>
        <v>pt</v>
      </c>
      <c r="E565">
        <f>怪しいデータを手直し!T212</f>
        <v>1.69</v>
      </c>
      <c r="F565">
        <f>IF(怪しいデータを手直し!U212="dead",0,怪しいデータを手直し!U212)</f>
        <v>2.19</v>
      </c>
      <c r="G565">
        <f>怪しいデータを手直し!L212</f>
        <v>3.4</v>
      </c>
      <c r="H565">
        <v>0</v>
      </c>
    </row>
    <row r="566" spans="1:9">
      <c r="A566">
        <f>怪しいデータを手直し!F672</f>
        <v>638</v>
      </c>
      <c r="B566">
        <f>怪しいデータを手直し!C672</f>
        <v>25.194452297598396</v>
      </c>
      <c r="C566">
        <f>怪しいデータを手直し!D672</f>
        <v>-23.933295219017086</v>
      </c>
      <c r="D566" t="str">
        <f>怪しいデータを手直し!G672</f>
        <v>lc</v>
      </c>
      <c r="E566">
        <f>怪しいデータを手直し!T672</f>
        <v>22.218030055628589</v>
      </c>
      <c r="F566">
        <f>IF(怪しいデータを手直し!U672="dead",0,怪しいデータを手直し!U672)</f>
        <v>0</v>
      </c>
      <c r="G566">
        <f>怪しいデータを手直し!L672</f>
        <v>14.6</v>
      </c>
      <c r="H566">
        <v>0</v>
      </c>
    </row>
    <row r="567" spans="1:9">
      <c r="A567">
        <f>怪しいデータを手直し!F657</f>
        <v>639</v>
      </c>
      <c r="B567">
        <f>怪しいデータを手直し!C657</f>
        <v>24.64606832553627</v>
      </c>
      <c r="C567">
        <f>怪しいデータを手直し!D657</f>
        <v>-24.540464252163428</v>
      </c>
      <c r="D567" t="str">
        <f>怪しいデータを手直し!G657</f>
        <v>lc</v>
      </c>
      <c r="E567">
        <f>怪しいデータを手直し!T657</f>
        <v>18.780283284843652</v>
      </c>
      <c r="F567">
        <f>IF(怪しいデータを手直し!U657="dead",0,怪しいデータを手直し!U657)</f>
        <v>0</v>
      </c>
      <c r="G567">
        <f>怪しいデータを手直し!L657</f>
        <v>8.6999999999999993</v>
      </c>
      <c r="H567">
        <v>0</v>
      </c>
    </row>
    <row r="568" spans="1:9">
      <c r="A568">
        <f>怪しいデータを手直し!F680</f>
        <v>640</v>
      </c>
      <c r="B568">
        <f>怪しいデータを手直し!C680</f>
        <v>23.287444262669794</v>
      </c>
      <c r="C568">
        <f>怪しいデータを手直し!D680</f>
        <v>-25.263316014950586</v>
      </c>
      <c r="D568" t="str">
        <f>怪しいデータを手直し!G680</f>
        <v>lc</v>
      </c>
      <c r="E568">
        <f>怪しいデータを手直し!T680</f>
        <v>24.98732606542757</v>
      </c>
      <c r="F568">
        <f>IF(怪しいデータを手直し!U680="dead",0,怪しいデータを手直し!U680)</f>
        <v>0</v>
      </c>
      <c r="G568">
        <f>怪しいデータを手直し!L680</f>
        <v>15.7</v>
      </c>
      <c r="H568">
        <v>0</v>
      </c>
    </row>
    <row r="569" spans="1:9">
      <c r="A569">
        <f>怪しいデータを手直し!F457</f>
        <v>641</v>
      </c>
      <c r="B569">
        <f>怪しいデータを手直し!C457</f>
        <v>24.934351111620828</v>
      </c>
      <c r="C569">
        <f>怪しいデータを手直し!D457</f>
        <v>-25.745850793369321</v>
      </c>
      <c r="D569" t="str">
        <f>怪しいデータを手直し!G457</f>
        <v>bp</v>
      </c>
      <c r="E569">
        <f>怪しいデータを手直し!T457</f>
        <v>5.156620156177409</v>
      </c>
      <c r="F569">
        <f>IF(怪しいデータを手直し!U457="dead",0,怪しいデータを手直し!U457)</f>
        <v>5.1884511447957884</v>
      </c>
      <c r="G569">
        <f>怪しいデータを手直し!L457</f>
        <v>6.4</v>
      </c>
      <c r="H569">
        <v>646</v>
      </c>
    </row>
    <row r="570" spans="1:9">
      <c r="A570">
        <f>怪しいデータを手直し!F251</f>
        <v>642</v>
      </c>
      <c r="B570">
        <f>怪しいデータを手直し!C251</f>
        <v>24.625619283291407</v>
      </c>
      <c r="C570">
        <f>怪しいデータを手直し!D251</f>
        <v>-25.803803228217753</v>
      </c>
      <c r="D570" t="str">
        <f>怪しいデータを手直し!G251</f>
        <v>bp</v>
      </c>
      <c r="E570">
        <f>怪しいデータを手直し!T251</f>
        <v>2.09</v>
      </c>
      <c r="F570">
        <f>IF(怪しいデータを手直し!U251="dead",0,怪しいデータを手直し!U251)</f>
        <v>2.2999999999999998</v>
      </c>
      <c r="G570">
        <f>怪しいデータを手直し!L251</f>
        <v>3.9</v>
      </c>
      <c r="H570">
        <v>646</v>
      </c>
    </row>
    <row r="571" spans="1:9">
      <c r="A571">
        <f>怪しいデータを手直し!F502</f>
        <v>643</v>
      </c>
      <c r="B571">
        <f>怪しいデータを手直し!C502</f>
        <v>24.491891167551483</v>
      </c>
      <c r="C571">
        <f>怪しいデータを手直し!D502</f>
        <v>-26.074597689551354</v>
      </c>
      <c r="D571" t="str">
        <f>怪しいデータを手直し!G502</f>
        <v>bp</v>
      </c>
      <c r="E571">
        <f>怪しいデータを手直し!T502</f>
        <v>6.3980287122941935</v>
      </c>
      <c r="F571">
        <f>IF(怪しいデータを手直し!U502="dead",0,怪しいデータを手直し!U502)</f>
        <v>7.0028174960433951</v>
      </c>
      <c r="G571">
        <f>怪しいデータを手直し!L502</f>
        <v>6.4</v>
      </c>
      <c r="H571">
        <v>646</v>
      </c>
    </row>
    <row r="572" spans="1:9">
      <c r="A572">
        <f>怪しいデータを手直し!F570</f>
        <v>644</v>
      </c>
      <c r="B572">
        <f>怪しいデータを手直し!C570</f>
        <v>24.426142049030712</v>
      </c>
      <c r="C572">
        <f>怪しいデータを手直し!D570</f>
        <v>-26.190396396226696</v>
      </c>
      <c r="D572" t="str">
        <f>怪しいデータを手直し!G570</f>
        <v>bp</v>
      </c>
      <c r="E572">
        <f>怪しいデータを手直し!T570</f>
        <v>10.281409323736439</v>
      </c>
      <c r="F572">
        <f>IF(怪しいデータを手直し!U570="dead",0,怪しいデータを手直し!U570)</f>
        <v>10.567888221301851</v>
      </c>
      <c r="G572">
        <f>怪しいデータを手直し!L570</f>
        <v>7.9</v>
      </c>
      <c r="H572">
        <v>646</v>
      </c>
      <c r="I572">
        <v>74</v>
      </c>
    </row>
    <row r="573" spans="1:9">
      <c r="A573">
        <f>怪しいデータを手直し!F335</f>
        <v>645</v>
      </c>
      <c r="B573">
        <f>怪しいデータを手直し!C335</f>
        <v>24.416937663290781</v>
      </c>
      <c r="C573">
        <f>怪しいデータを手直し!D335</f>
        <v>-26.422578527695791</v>
      </c>
      <c r="D573" t="str">
        <f>怪しいデータを手直し!G335</f>
        <v>bp</v>
      </c>
      <c r="E573">
        <f>怪しいデータを手直し!T335</f>
        <v>2.94</v>
      </c>
      <c r="F573">
        <f>IF(怪しいデータを手直し!U335="dead",0,怪しいデータを手直し!U335)</f>
        <v>3.3104228163114233</v>
      </c>
      <c r="G573">
        <f>怪しいデータを手直し!L335</f>
        <v>5.4</v>
      </c>
      <c r="H573">
        <v>646</v>
      </c>
    </row>
    <row r="574" spans="1:9">
      <c r="A574">
        <f>怪しいデータを手直し!F647</f>
        <v>646</v>
      </c>
      <c r="B574">
        <f>怪しいデータを手直し!C647</f>
        <v>24.631125327517815</v>
      </c>
      <c r="C574">
        <f>怪しいデータを手直し!D647</f>
        <v>-26.197998447174644</v>
      </c>
      <c r="D574" t="str">
        <f>怪しいデータを手直し!G647</f>
        <v>bp</v>
      </c>
      <c r="E574">
        <f>怪しいデータを手直し!T647</f>
        <v>16.615776058793873</v>
      </c>
      <c r="F574">
        <f>IF(怪しいデータを手直し!U647="dead",0,怪しいデータを手直し!U647)</f>
        <v>16.552114081557114</v>
      </c>
      <c r="G574">
        <f>怪しいデータを手直し!L647</f>
        <v>11.9</v>
      </c>
      <c r="H574">
        <v>646</v>
      </c>
      <c r="I574">
        <v>98</v>
      </c>
    </row>
    <row r="575" spans="1:9">
      <c r="A575">
        <f>怪しいデータを手直し!F563</f>
        <v>647</v>
      </c>
      <c r="B575">
        <f>怪しいデータを手直し!C563</f>
        <v>24.978339189507665</v>
      </c>
      <c r="C575">
        <f>怪しいデータを手直し!D563</f>
        <v>-25.942333102777518</v>
      </c>
      <c r="D575" t="str">
        <f>怪しいデータを手直し!G563</f>
        <v>bp</v>
      </c>
      <c r="E575">
        <f>怪しいデータを手直し!T563</f>
        <v>9.5492965855137211</v>
      </c>
      <c r="F575">
        <f>IF(怪しいデータを手直し!U563="dead",0,怪しいデータを手直し!U563)</f>
        <v>9.9312684489342686</v>
      </c>
      <c r="G575">
        <f>怪しいデータを手直し!L563</f>
        <v>7.9</v>
      </c>
      <c r="H575">
        <v>646</v>
      </c>
    </row>
    <row r="576" spans="1:9">
      <c r="A576">
        <f>怪しいデータを手直し!F348</f>
        <v>648</v>
      </c>
      <c r="B576">
        <f>怪しいデータを手直し!C348</f>
        <v>24.931124992627893</v>
      </c>
      <c r="C576">
        <f>怪しいデータを手直し!D348</f>
        <v>-26.215054799407518</v>
      </c>
      <c r="D576" t="str">
        <f>怪しいデータを手直し!G348</f>
        <v>bp</v>
      </c>
      <c r="E576">
        <f>怪しいデータを手直し!T348</f>
        <v>3.13</v>
      </c>
      <c r="F576">
        <f>IF(怪しいデータを手直し!U348="dead",0,怪しいデータを手直し!U348)</f>
        <v>3.2785918276930444</v>
      </c>
      <c r="G576">
        <f>怪しいデータを手直し!L348</f>
        <v>4.8</v>
      </c>
      <c r="H576">
        <v>646</v>
      </c>
    </row>
    <row r="577" spans="1:9">
      <c r="A577">
        <f>怪しいデータを手直し!F351</f>
        <v>649</v>
      </c>
      <c r="B577">
        <f>怪しいデータを手直し!C351</f>
        <v>28.195766850388548</v>
      </c>
      <c r="C577">
        <f>怪しいデータを手直し!D351</f>
        <v>-22.557663531788954</v>
      </c>
      <c r="D577" t="str">
        <f>怪しいデータを手直し!G351</f>
        <v>sb</v>
      </c>
      <c r="E577">
        <f>怪しいデータを手直し!T351</f>
        <v>3.17</v>
      </c>
      <c r="F577">
        <f>IF(怪しいデータを手直し!U351="dead",0,怪しいデータを手直し!U351)</f>
        <v>3.246760839074665</v>
      </c>
      <c r="G577">
        <f>怪しいデータを手直し!L351</f>
        <v>4</v>
      </c>
      <c r="H577">
        <v>0</v>
      </c>
    </row>
    <row r="578" spans="1:9">
      <c r="A578">
        <f>怪しいデータを手直し!F397</f>
        <v>650</v>
      </c>
      <c r="B578">
        <f>怪しいデータを手直し!C397</f>
        <v>25.2559620379226</v>
      </c>
      <c r="C578">
        <f>怪しいデータを手直し!D397</f>
        <v>-26.725102513298108</v>
      </c>
      <c r="D578" t="str">
        <f>怪しいデータを手直し!G397</f>
        <v>sb</v>
      </c>
      <c r="E578">
        <f>怪しいデータを手直し!T397</f>
        <v>3.88</v>
      </c>
      <c r="F578">
        <f>IF(怪しいデータを手直し!U397="dead",0,怪しいデータを手直し!U397)</f>
        <v>4.2971834634811739</v>
      </c>
      <c r="G578">
        <f>怪しいデータを手直し!L397</f>
        <v>4.7</v>
      </c>
      <c r="H578">
        <v>0</v>
      </c>
    </row>
    <row r="579" spans="1:9">
      <c r="A579">
        <f>怪しいデータを手直し!F301</f>
        <v>651</v>
      </c>
      <c r="B579">
        <f>怪しいデータを手直し!C301</f>
        <v>25.897818770092492</v>
      </c>
      <c r="C579">
        <f>怪しいデータを手直し!D301</f>
        <v>-29.806579890919899</v>
      </c>
      <c r="D579" t="str">
        <f>怪しいデータを手直し!G301</f>
        <v>pt</v>
      </c>
      <c r="E579">
        <f>怪しいデータを手直し!T301</f>
        <v>2.5</v>
      </c>
      <c r="F579">
        <f>IF(怪しいデータを手直し!U301="dead",0,怪しいデータを手直し!U301)</f>
        <v>3.1512678732195281</v>
      </c>
      <c r="G579">
        <f>怪しいデータを手直し!L301</f>
        <v>4</v>
      </c>
      <c r="H579">
        <v>0</v>
      </c>
    </row>
    <row r="580" spans="1:9">
      <c r="A580">
        <f>怪しいデータを手直し!F410</f>
        <v>652</v>
      </c>
      <c r="B580">
        <f>怪しいデータを手直し!C410</f>
        <v>27.351125010598636</v>
      </c>
      <c r="C580">
        <f>怪しいデータを手直し!D410</f>
        <v>-29.237724897967244</v>
      </c>
      <c r="D580" t="str">
        <f>怪しいデータを手直し!G410</f>
        <v>lc</v>
      </c>
      <c r="E580">
        <f>怪しいデータを手直し!T410</f>
        <v>4.0743665431525207</v>
      </c>
      <c r="F580">
        <f>IF(怪しいデータを手直し!U410="dead",0,怪しいデータを手直し!U410)</f>
        <v>0</v>
      </c>
      <c r="G580">
        <f>怪しいデータを手直し!L410</f>
        <v>4.5</v>
      </c>
      <c r="H580">
        <v>0</v>
      </c>
    </row>
    <row r="581" spans="1:9">
      <c r="A581">
        <f>怪しいデータを手直し!F47</f>
        <v>653</v>
      </c>
      <c r="B581">
        <f>怪しいデータを手直し!C47</f>
        <v>27.649205185971031</v>
      </c>
      <c r="C581">
        <f>怪しいデータを手直し!D47</f>
        <v>-29.791765098404603</v>
      </c>
      <c r="D581" t="str">
        <f>怪しいデータを手直し!G47</f>
        <v>lc</v>
      </c>
      <c r="E581">
        <f>怪しいデータを手直し!T47</f>
        <v>0.56999999999999995</v>
      </c>
      <c r="F581">
        <f>IF(怪しいデータを手直し!U47="dead",0,怪しいデータを手直し!U47)</f>
        <v>1.3699999999999999</v>
      </c>
      <c r="G581">
        <f>怪しいデータを手直し!L47</f>
        <v>1.8</v>
      </c>
      <c r="H581">
        <v>0</v>
      </c>
    </row>
    <row r="582" spans="1:9">
      <c r="A582">
        <f>怪しいデータを手直し!F48</f>
        <v>654</v>
      </c>
      <c r="B582">
        <f>怪しいデータを手直し!C48</f>
        <v>27.530935199189845</v>
      </c>
      <c r="C582">
        <f>怪しいデータを手直し!D48</f>
        <v>-29.411515234509281</v>
      </c>
      <c r="D582" t="str">
        <f>怪しいデータを手直し!G48</f>
        <v>pt</v>
      </c>
      <c r="E582">
        <f>怪しいデータを手直し!T48</f>
        <v>0.56999999999999995</v>
      </c>
      <c r="F582">
        <f>IF(怪しいデータを手直し!U48="dead",0,怪しいデータを手直し!U48)</f>
        <v>0.78</v>
      </c>
      <c r="G582">
        <f>怪しいデータを手直し!L48</f>
        <v>1.9</v>
      </c>
      <c r="H582">
        <v>0</v>
      </c>
    </row>
    <row r="583" spans="1:9">
      <c r="A583">
        <f>怪しいデータを手直し!F3</f>
        <v>655</v>
      </c>
      <c r="B583">
        <f>怪しいデータを手直し!C3</f>
        <v>28.040213204678953</v>
      </c>
      <c r="C583">
        <f>怪しいデータを手直し!D3</f>
        <v>-29.632659846422754</v>
      </c>
      <c r="D583" t="str">
        <f>怪しいデータを手直し!G3</f>
        <v>pt</v>
      </c>
      <c r="E583">
        <f>怪しいデータを手直し!T3</f>
        <v>0.12</v>
      </c>
      <c r="F583">
        <f>IF(怪しいデータを手直し!U3="dead",0,怪しいデータを手直し!U3)</f>
        <v>0.32999999999999996</v>
      </c>
      <c r="G583">
        <f>怪しいデータを手直し!L3</f>
        <v>1.4</v>
      </c>
      <c r="H583">
        <v>0</v>
      </c>
    </row>
    <row r="584" spans="1:9">
      <c r="A584">
        <f>怪しいデータを手直し!F358</f>
        <v>656</v>
      </c>
      <c r="B584">
        <f>怪しいデータを手直し!C358</f>
        <v>27.398101817478246</v>
      </c>
      <c r="C584">
        <f>怪しいデータを手直し!D358</f>
        <v>-27.776253972690835</v>
      </c>
      <c r="D584" t="str">
        <f>怪しいデータを手直し!G358</f>
        <v>lc</v>
      </c>
      <c r="E584">
        <f>怪しいデータを手直し!T358</f>
        <v>3.246760839074665</v>
      </c>
      <c r="F584">
        <f>IF(怪しいデータを手直し!U358="dead",0,怪しいデータを手直し!U358)</f>
        <v>0</v>
      </c>
      <c r="G584">
        <f>怪しいデータを手直し!L358</f>
        <v>5.0999999999999996</v>
      </c>
      <c r="H584">
        <v>0</v>
      </c>
    </row>
    <row r="585" spans="1:9">
      <c r="A585">
        <f>怪しいデータを手直し!F462</f>
        <v>657</v>
      </c>
      <c r="B585">
        <f>怪しいデータを手直し!C462</f>
        <v>28.221146721837993</v>
      </c>
      <c r="C585">
        <f>怪しいデータを手直し!D462</f>
        <v>-27.58417965338192</v>
      </c>
      <c r="D585" t="str">
        <f>怪しいデータを手直し!G462</f>
        <v>lc</v>
      </c>
      <c r="E585">
        <f>怪しいデータを手直し!T462</f>
        <v>5.2521131220325463</v>
      </c>
      <c r="F585">
        <f>IF(怪しいデータを手直し!U462="dead",0,怪しいデータを手直し!U462)</f>
        <v>6.9073245301882578</v>
      </c>
      <c r="G585">
        <f>怪しいデータを手直し!L462</f>
        <v>6.5</v>
      </c>
      <c r="H585">
        <v>0</v>
      </c>
    </row>
    <row r="586" spans="1:9">
      <c r="A586">
        <f>怪しいデータを手直し!F522</f>
        <v>658</v>
      </c>
      <c r="B586">
        <f>怪しいデータを手直し!C522</f>
        <v>29.747392448829025</v>
      </c>
      <c r="C586">
        <f>怪しいデータを手直し!D522</f>
        <v>-29.646693186014126</v>
      </c>
      <c r="D586" t="str">
        <f>怪しいデータを手直し!G522</f>
        <v>lc</v>
      </c>
      <c r="E586">
        <f>怪しいデータを手直し!T522</f>
        <v>7.1619724391352904</v>
      </c>
      <c r="F586">
        <f>IF(怪しいデータを手直し!U522="dead",0,怪しいデータを手直し!U522)</f>
        <v>0</v>
      </c>
      <c r="G586">
        <f>怪しいデータを手直し!L522</f>
        <v>7.1</v>
      </c>
      <c r="H586">
        <v>0</v>
      </c>
      <c r="I586">
        <v>26</v>
      </c>
    </row>
    <row r="587" spans="1:9">
      <c r="A587">
        <f>怪しいデータを手直し!F338</f>
        <v>659</v>
      </c>
      <c r="B587">
        <f>怪しいデータを手直し!C338</f>
        <v>29.843176006222272</v>
      </c>
      <c r="C587">
        <f>怪しいデータを手直し!D338</f>
        <v>-24.727399521404511</v>
      </c>
      <c r="D587" t="str">
        <f>怪しいデータを手直し!G338</f>
        <v>lc</v>
      </c>
      <c r="E587">
        <f>怪しいデータを手直し!T338</f>
        <v>2.9602819415092534</v>
      </c>
      <c r="F587">
        <f>IF(怪しいデータを手直し!U338="dead",0,怪しいデータを手直し!U338)</f>
        <v>0</v>
      </c>
      <c r="G587">
        <f>怪しいデータを手直し!L338</f>
        <v>3.3</v>
      </c>
      <c r="H587">
        <v>0</v>
      </c>
    </row>
    <row r="588" spans="1:9">
      <c r="A588">
        <f>怪しいデータを手直し!F499</f>
        <v>660</v>
      </c>
      <c r="B588">
        <f>怪しいデータを手直し!C499</f>
        <v>31.465226941117038</v>
      </c>
      <c r="C588">
        <f>怪しいデータを手直し!D499</f>
        <v>-21.375939682916666</v>
      </c>
      <c r="D588" t="str">
        <f>怪しいデータを手直し!G499</f>
        <v>pt</v>
      </c>
      <c r="E588">
        <f>怪しいデータを手直し!T499</f>
        <v>6.2707047578206758</v>
      </c>
      <c r="F588">
        <f>IF(怪しいデータを手直し!U499="dead",0,怪しいデータを手直し!U499)</f>
        <v>6.6845076098596046</v>
      </c>
      <c r="G588">
        <f>怪しいデータを手直し!L499</f>
        <v>7.1</v>
      </c>
      <c r="H588">
        <v>0</v>
      </c>
      <c r="I588">
        <v>23</v>
      </c>
    </row>
    <row r="589" spans="1:9">
      <c r="A589">
        <f>怪しいデータを手直し!F278</f>
        <v>661</v>
      </c>
      <c r="B589">
        <f>怪しいデータを手直し!C278</f>
        <v>33.740755386689855</v>
      </c>
      <c r="C589">
        <f>怪しいデータを手直し!D278</f>
        <v>-22.590221831610339</v>
      </c>
      <c r="D589" t="str">
        <f>怪しいデータを手直し!G278</f>
        <v>pt</v>
      </c>
      <c r="E589">
        <f>怪しいデータを手直し!T278</f>
        <v>2.2999999999999998</v>
      </c>
      <c r="F589">
        <f>IF(怪しいデータを手直し!U278="dead",0,怪しいデータを手直し!U278)</f>
        <v>3.5014087480216975</v>
      </c>
      <c r="G589">
        <f>怪しいデータを手直し!L278</f>
        <v>4.0999999999999996</v>
      </c>
      <c r="H589">
        <v>0</v>
      </c>
    </row>
    <row r="590" spans="1:9">
      <c r="A590">
        <f>怪しいデータを手直し!F196</f>
        <v>662</v>
      </c>
      <c r="B590">
        <f>怪しいデータを手直し!C196</f>
        <v>33.53647369957767</v>
      </c>
      <c r="C590">
        <f>怪しいデータを手直し!D196</f>
        <v>-24.559194421407735</v>
      </c>
      <c r="D590" t="str">
        <f>怪しいデータを手直し!G196</f>
        <v>lc</v>
      </c>
      <c r="E590">
        <f>怪しいデータを手直し!T196</f>
        <v>1.57</v>
      </c>
      <c r="F590">
        <f>IF(怪しいデータを手直し!U196="dead",0,怪しいデータを手直し!U196)</f>
        <v>0</v>
      </c>
      <c r="G590">
        <f>怪しいデータを手直し!L196</f>
        <v>5</v>
      </c>
      <c r="H590">
        <v>0</v>
      </c>
    </row>
    <row r="591" spans="1:9">
      <c r="A591">
        <f>怪しいデータを手直し!F384</f>
        <v>663</v>
      </c>
      <c r="B591">
        <f>怪しいデータを手直し!C384</f>
        <v>32.358209900513103</v>
      </c>
      <c r="C591">
        <f>怪しいデータを手直し!D384</f>
        <v>-25.057197451664507</v>
      </c>
      <c r="D591" t="str">
        <f>怪しいデータを手直し!G384</f>
        <v>lc</v>
      </c>
      <c r="E591">
        <f>怪しいデータを手直し!T384</f>
        <v>3.5969017138768349</v>
      </c>
      <c r="F591">
        <f>IF(怪しいデータを手直し!U384="dead",0,怪しいデータを手直し!U384)</f>
        <v>0</v>
      </c>
      <c r="G591">
        <f>怪しいデータを手直し!L384</f>
        <v>4.5999999999999996</v>
      </c>
      <c r="H591">
        <v>0</v>
      </c>
    </row>
    <row r="592" spans="1:9">
      <c r="A592">
        <f>怪しいデータを手直し!F177</f>
        <v>664</v>
      </c>
      <c r="B592">
        <f>怪しいデータを手直し!C177</f>
        <v>31.654135647274799</v>
      </c>
      <c r="C592">
        <f>怪しいデータを手直し!D177</f>
        <v>-25.548687706153121</v>
      </c>
      <c r="D592" t="str">
        <f>怪しいデータを手直し!G177</f>
        <v>lc</v>
      </c>
      <c r="E592">
        <f>怪しいデータを手直し!T177</f>
        <v>1.42</v>
      </c>
      <c r="F592">
        <f>IF(怪しいデータを手直し!U177="dead",0,怪しいデータを手直し!U177)</f>
        <v>0</v>
      </c>
      <c r="G592">
        <f>怪しいデータを手直し!L177</f>
        <v>2.2999999999999998</v>
      </c>
      <c r="H592">
        <v>0</v>
      </c>
    </row>
    <row r="593" spans="1:9">
      <c r="A593">
        <f>怪しいデータを手直し!F237</f>
        <v>665</v>
      </c>
      <c r="B593">
        <f>怪しいデータを手直し!C237</f>
        <v>30.694094957487589</v>
      </c>
      <c r="C593">
        <f>怪しいデータを手直し!D237</f>
        <v>-25.002072789353459</v>
      </c>
      <c r="D593" t="str">
        <f>怪しいデータを手直し!G237</f>
        <v>lc</v>
      </c>
      <c r="E593">
        <f>怪しいデータを手直し!T237</f>
        <v>1.96</v>
      </c>
      <c r="F593">
        <f>IF(怪しいデータを手直し!U237="dead",0,怪しいデータを手直し!U237)</f>
        <v>0</v>
      </c>
      <c r="G593">
        <f>怪しいデータを手直し!L237</f>
        <v>3.2</v>
      </c>
      <c r="H593">
        <v>0</v>
      </c>
    </row>
    <row r="594" spans="1:9">
      <c r="A594">
        <f>怪しいデータを手直し!F239</f>
        <v>666</v>
      </c>
      <c r="B594">
        <f>怪しいデータを手直し!C239</f>
        <v>30.382963040855245</v>
      </c>
      <c r="C594">
        <f>怪しいデータを手直し!D239</f>
        <v>-25.476626635926436</v>
      </c>
      <c r="D594" t="str">
        <f>怪しいデータを手直し!G239</f>
        <v>lc</v>
      </c>
      <c r="E594">
        <f>怪しいデータを手直し!T239</f>
        <v>1.97</v>
      </c>
      <c r="F594">
        <f>IF(怪しいデータを手直し!U239="dead",0,怪しいデータを手直し!U239)</f>
        <v>2.8647889756541161</v>
      </c>
      <c r="G594">
        <f>怪しいデータを手直し!L239</f>
        <v>2.8</v>
      </c>
      <c r="H594">
        <v>0</v>
      </c>
    </row>
    <row r="595" spans="1:9">
      <c r="A595">
        <f>怪しいデータを手直し!F71</f>
        <v>667</v>
      </c>
      <c r="B595">
        <f>怪しいデータを手直し!C71</f>
        <v>30.913785784552751</v>
      </c>
      <c r="C595">
        <f>怪しいデータを手直し!D71</f>
        <v>-26.758505422055183</v>
      </c>
      <c r="D595" t="str">
        <f>怪しいデータを手直し!G71</f>
        <v>lc</v>
      </c>
      <c r="E595">
        <f>怪しいデータを手直し!T71</f>
        <v>0.7</v>
      </c>
      <c r="F595">
        <f>IF(怪しいデータを手直し!U71="dead",0,怪しいデータを手直し!U71)</f>
        <v>0</v>
      </c>
      <c r="G595">
        <f>怪しいデータを手直し!L71</f>
        <v>2</v>
      </c>
      <c r="H595">
        <v>0</v>
      </c>
    </row>
    <row r="596" spans="1:9">
      <c r="A596">
        <f>怪しいデータを手直し!F133</f>
        <v>668</v>
      </c>
      <c r="B596">
        <f>怪しいデータを手直し!C133</f>
        <v>30.787315303096907</v>
      </c>
      <c r="C596">
        <f>怪しいデータを手直し!D133</f>
        <v>-27.247360527358179</v>
      </c>
      <c r="D596" t="str">
        <f>怪しいデータを手直し!G133</f>
        <v>pt</v>
      </c>
      <c r="E596">
        <f>怪しいデータを手直し!T133</f>
        <v>1.1499999999999999</v>
      </c>
      <c r="F596">
        <f>IF(怪しいデータを手直し!U133="dead",0,怪しいデータを手直し!U133)</f>
        <v>1.3599999999999999</v>
      </c>
      <c r="G596">
        <f>怪しいデータを手直し!L133</f>
        <v>2.9</v>
      </c>
      <c r="H596">
        <v>0</v>
      </c>
    </row>
    <row r="597" spans="1:9">
      <c r="A597">
        <f>怪しいデータを手直し!F179</f>
        <v>669</v>
      </c>
      <c r="B597">
        <f>怪しいデータを手直し!C179</f>
        <v>32.218880714326836</v>
      </c>
      <c r="C597">
        <f>怪しいデータを手直し!D179</f>
        <v>-27.73815665230347</v>
      </c>
      <c r="D597" t="str">
        <f>怪しいデータを手直し!G179</f>
        <v>lc</v>
      </c>
      <c r="E597">
        <f>怪しいデータを手直し!T179</f>
        <v>1.45</v>
      </c>
      <c r="F597">
        <f>IF(怪しいデータを手直し!U179="dead",0,怪しいデータを手直し!U179)</f>
        <v>0</v>
      </c>
      <c r="G597">
        <f>怪しいデータを手直し!L179</f>
        <v>2.5</v>
      </c>
      <c r="H597">
        <v>0</v>
      </c>
    </row>
    <row r="598" spans="1:9">
      <c r="A598">
        <f>怪しいデータを手直し!F147</f>
        <v>670</v>
      </c>
      <c r="B598">
        <f>怪しいデータを手直し!C147</f>
        <v>32.172249041042093</v>
      </c>
      <c r="C598">
        <f>怪しいデータを手直し!D147</f>
        <v>-27.886300406635019</v>
      </c>
      <c r="D598" t="str">
        <f>怪しいデータを手直し!G147</f>
        <v>lc</v>
      </c>
      <c r="E598">
        <f>怪しいデータを手直し!T147</f>
        <v>1.26</v>
      </c>
      <c r="F598">
        <f>IF(怪しいデータを手直し!U147="dead",0,怪しいデータを手直し!U147)</f>
        <v>0</v>
      </c>
      <c r="G598">
        <f>怪しいデータを手直し!L147</f>
        <v>2.5</v>
      </c>
      <c r="H598">
        <v>0</v>
      </c>
    </row>
    <row r="599" spans="1:9">
      <c r="A599">
        <f>怪しいデータを手直し!F236</f>
        <v>671</v>
      </c>
      <c r="B599">
        <f>怪しいデータを手直し!C236</f>
        <v>32.394255554027595</v>
      </c>
      <c r="C599">
        <f>怪しいデータを手直し!D236</f>
        <v>-28.134982504099689</v>
      </c>
      <c r="D599" t="str">
        <f>怪しいデータを手直し!G236</f>
        <v>lc</v>
      </c>
      <c r="E599">
        <f>怪しいデータを手直し!T236</f>
        <v>1.94</v>
      </c>
      <c r="F599">
        <f>IF(怪しいデータを手直し!U236="dead",0,怪しいデータを手直し!U236)</f>
        <v>2.5300000000000002</v>
      </c>
      <c r="G599">
        <f>怪しいデータを手直し!L236</f>
        <v>2.9</v>
      </c>
      <c r="H599">
        <v>0</v>
      </c>
    </row>
    <row r="600" spans="1:9">
      <c r="A600">
        <f>怪しいデータを手直し!F357</f>
        <v>672</v>
      </c>
      <c r="B600">
        <f>怪しいデータを手直し!C357</f>
        <v>33.239457199893131</v>
      </c>
      <c r="C600">
        <f>怪しいデータを手直し!D357</f>
        <v>-29.354994230359555</v>
      </c>
      <c r="D600" t="str">
        <f>怪しいデータを手直し!G357</f>
        <v>lc</v>
      </c>
      <c r="E600">
        <f>怪しいデータを手直し!T357</f>
        <v>3.214929850456286</v>
      </c>
      <c r="F600">
        <f>IF(怪しいデータを手直し!U357="dead",0,怪しいデータを手直し!U357)</f>
        <v>4.45633840657307</v>
      </c>
      <c r="G600">
        <f>怪しいデータを手直し!L357</f>
        <v>3.8</v>
      </c>
      <c r="H600">
        <v>0</v>
      </c>
    </row>
    <row r="601" spans="1:9">
      <c r="A601">
        <f>怪しいデータを手直し!F400</f>
        <v>673</v>
      </c>
      <c r="B601">
        <f>怪しいデータを手直し!C400</f>
        <v>34.480309169145954</v>
      </c>
      <c r="C601">
        <f>怪しいデータを手直し!D400</f>
        <v>-28.149652124407929</v>
      </c>
      <c r="D601" t="str">
        <f>怪しいデータを手直し!G400</f>
        <v>pt</v>
      </c>
      <c r="E601">
        <f>怪しいデータを手直し!T400</f>
        <v>3.9152116000606259</v>
      </c>
      <c r="F601">
        <f>IF(怪しいデータを手直し!U400="dead",0,怪しいデータを手直し!U400)</f>
        <v>4.3608454407179318</v>
      </c>
      <c r="G601">
        <f>怪しいデータを手直し!L400</f>
        <v>5.4</v>
      </c>
      <c r="H601">
        <v>0</v>
      </c>
    </row>
    <row r="602" spans="1:9">
      <c r="A602">
        <f>怪しいデータを手直し!F197</f>
        <v>674</v>
      </c>
      <c r="B602">
        <f>怪しいデータを手直し!C197</f>
        <v>35.356399276918161</v>
      </c>
      <c r="C602">
        <f>怪しいデータを手直し!D197</f>
        <v>-28.844466450059642</v>
      </c>
      <c r="D602" t="str">
        <f>怪しいデータを手直し!G197</f>
        <v>lc</v>
      </c>
      <c r="E602">
        <f>怪しいデータを手直し!T197</f>
        <v>1.57</v>
      </c>
      <c r="F602">
        <f>IF(怪しいデータを手直し!U197="dead",0,怪しいデータを手直し!U197)</f>
        <v>2.9</v>
      </c>
      <c r="G602">
        <f>怪しいデータを手直し!L197</f>
        <v>2.7</v>
      </c>
      <c r="H602">
        <v>0</v>
      </c>
    </row>
    <row r="603" spans="1:9">
      <c r="A603">
        <f>怪しいデータを手直し!F697</f>
        <v>675</v>
      </c>
      <c r="B603">
        <f>怪しいデータを手直し!C697</f>
        <v>36.146983389485356</v>
      </c>
      <c r="C603">
        <f>怪しいデータを手直し!D697</f>
        <v>-27.645305435977761</v>
      </c>
      <c r="D603" t="str">
        <f>怪しいデータを手直し!G697</f>
        <v>lc</v>
      </c>
      <c r="E603">
        <f>怪しいデータを手直し!T697</f>
        <v>33.104228163114229</v>
      </c>
      <c r="F603">
        <f>IF(怪しいデータを手直し!U697="dead",0,怪しいデータを手直し!U697)</f>
        <v>0</v>
      </c>
      <c r="G603">
        <f>怪しいデータを手直し!L697</f>
        <v>2.5</v>
      </c>
      <c r="H603">
        <v>0</v>
      </c>
    </row>
    <row r="604" spans="1:9">
      <c r="A604">
        <f>怪しいデータを手直し!F452</f>
        <v>676</v>
      </c>
      <c r="B604">
        <f>怪しいデータを手直し!C452</f>
        <v>42.086746232082206</v>
      </c>
      <c r="C604">
        <f>怪しいデータを手直し!D452</f>
        <v>-25.305710651858675</v>
      </c>
      <c r="D604" t="str">
        <f>怪しいデータを手直し!G452</f>
        <v>bp</v>
      </c>
      <c r="E604">
        <f>怪しいデータを手直し!T452</f>
        <v>5.0292962017038931</v>
      </c>
      <c r="F604">
        <f>IF(怪しいデータを手直し!U452="dead",0,怪しいデータを手直し!U452)</f>
        <v>5.4749300423611995</v>
      </c>
      <c r="G604">
        <f>怪しいデータを手直し!L452</f>
        <v>5.8</v>
      </c>
      <c r="H604">
        <v>678</v>
      </c>
    </row>
    <row r="605" spans="1:9">
      <c r="A605">
        <f>怪しいデータを手直し!F519</f>
        <v>677</v>
      </c>
      <c r="B605">
        <f>怪しいデータを手直し!C519</f>
        <v>42.268491342012091</v>
      </c>
      <c r="C605">
        <f>怪しいデータを手直し!D519</f>
        <v>-25.487961387525822</v>
      </c>
      <c r="D605" t="str">
        <f>怪しいデータを手直し!G519</f>
        <v>bp</v>
      </c>
      <c r="E605">
        <f>怪しいデータを手直し!T519</f>
        <v>7.0346484846617745</v>
      </c>
      <c r="F605">
        <f>IF(怪しいデータを手直し!U519="dead",0,怪しいデータを手直し!U519)</f>
        <v>0</v>
      </c>
      <c r="G605">
        <f>怪しいデータを手直し!L519</f>
        <v>5.2</v>
      </c>
      <c r="H605">
        <v>678</v>
      </c>
      <c r="I605">
        <v>114</v>
      </c>
    </row>
    <row r="606" spans="1:9">
      <c r="A606">
        <f>怪しいデータを手直し!F625</f>
        <v>678</v>
      </c>
      <c r="B606">
        <f>怪しいデータを手直し!C625</f>
        <v>42.374703444130603</v>
      </c>
      <c r="C606">
        <f>怪しいデータを手直し!D625</f>
        <v>-25.665581582664061</v>
      </c>
      <c r="D606" t="str">
        <f>怪しいデータを手直し!G625</f>
        <v>bp</v>
      </c>
      <c r="E606">
        <f>怪しいデータを手直し!T625</f>
        <v>13.209860276627314</v>
      </c>
      <c r="F606">
        <f>IF(怪しいデータを手直し!U625="dead",0,怪しいデータを手直し!U625)</f>
        <v>0</v>
      </c>
      <c r="G606">
        <f>怪しいデータを手直し!L625</f>
        <v>4.3</v>
      </c>
      <c r="H606">
        <v>678</v>
      </c>
    </row>
    <row r="607" spans="1:9">
      <c r="A607">
        <f>怪しいデータを手直し!F272</f>
        <v>679</v>
      </c>
      <c r="B607">
        <f>怪しいデータを手直し!C272</f>
        <v>42.600771010641061</v>
      </c>
      <c r="C607">
        <f>怪しいデータを手直し!D272</f>
        <v>-25.452840538415533</v>
      </c>
      <c r="D607" t="str">
        <f>怪しいデータを手直し!G272</f>
        <v>bp</v>
      </c>
      <c r="E607">
        <f>怪しいデータを手直し!T272</f>
        <v>2.2599999999999998</v>
      </c>
      <c r="F607">
        <f>IF(怪しいデータを手直し!U272="dead",0,怪しいデータを手直し!U272)</f>
        <v>0</v>
      </c>
      <c r="G607">
        <f>怪しいデータを手直し!L272</f>
        <v>1.5</v>
      </c>
      <c r="H607">
        <v>678</v>
      </c>
    </row>
    <row r="608" spans="1:9">
      <c r="A608">
        <f>怪しいデータを手直し!F193</f>
        <v>680</v>
      </c>
      <c r="B608">
        <f>怪しいデータを手直し!C193</f>
        <v>42.781270294175009</v>
      </c>
      <c r="C608">
        <f>怪しいデータを手直し!D193</f>
        <v>-25.663879383182479</v>
      </c>
      <c r="D608" t="str">
        <f>怪しいデータを手直し!G193</f>
        <v>bp</v>
      </c>
      <c r="E608">
        <f>怪しいデータを手直し!T193</f>
        <v>1.54</v>
      </c>
      <c r="F608">
        <f>IF(怪しいデータを手直し!U193="dead",0,怪しいデータを手直し!U193)</f>
        <v>1.75</v>
      </c>
      <c r="G608">
        <f>怪しいデータを手直し!L193</f>
        <v>2.8</v>
      </c>
      <c r="H608">
        <v>678</v>
      </c>
    </row>
    <row r="609" spans="1:9">
      <c r="A609">
        <f>怪しいデータを手直し!F495</f>
        <v>681</v>
      </c>
      <c r="B609">
        <f>怪しいデータを手直し!C495</f>
        <v>42.713143904854235</v>
      </c>
      <c r="C609">
        <f>怪しいデータを手直し!D495</f>
        <v>-25.766937840350597</v>
      </c>
      <c r="D609" t="str">
        <f>怪しいデータを手直し!G495</f>
        <v>bp</v>
      </c>
      <c r="E609">
        <f>怪しいデータを手直し!T495</f>
        <v>6.1752117919655385</v>
      </c>
      <c r="F609">
        <f>IF(怪しいデータを手直し!U495="dead",0,怪しいデータを手直し!U495)</f>
        <v>6.4616906895309514</v>
      </c>
      <c r="G609">
        <f>怪しいデータを手直し!L495</f>
        <v>5.0999999999999996</v>
      </c>
      <c r="H609">
        <v>678</v>
      </c>
    </row>
    <row r="610" spans="1:9">
      <c r="A610">
        <f>怪しいデータを手直し!F172</f>
        <v>682</v>
      </c>
      <c r="B610">
        <f>怪しいデータを手直し!C172</f>
        <v>42.673689076497766</v>
      </c>
      <c r="C610">
        <f>怪しいデータを手直し!D172</f>
        <v>-25.82924567952502</v>
      </c>
      <c r="D610" t="str">
        <f>怪しいデータを手直し!G172</f>
        <v>bp</v>
      </c>
      <c r="E610">
        <f>怪しいデータを手直し!T172</f>
        <v>1.38</v>
      </c>
      <c r="F610">
        <f>IF(怪しいデータを手直し!U172="dead",0,怪しいデータを手直し!U172)</f>
        <v>1.6800000000000002</v>
      </c>
      <c r="G610">
        <f>怪しいデータを手直し!L172</f>
        <v>1.8</v>
      </c>
      <c r="H610">
        <v>678</v>
      </c>
    </row>
    <row r="611" spans="1:9">
      <c r="A611">
        <f>怪しいデータを手直し!F649</f>
        <v>683</v>
      </c>
      <c r="B611">
        <f>怪しいデータを手直し!C649</f>
        <v>43.168294263952326</v>
      </c>
      <c r="C611">
        <f>怪しいデータを手直し!D649</f>
        <v>-26.62296203959831</v>
      </c>
      <c r="D611" t="str">
        <f>怪しいデータを手直し!G649</f>
        <v>lc</v>
      </c>
      <c r="E611">
        <f>怪しいデータを手直し!T649</f>
        <v>17.061409899451181</v>
      </c>
      <c r="F611">
        <f>IF(怪しいデータを手直し!U649="dead",0,怪しいデータを手直し!U649)</f>
        <v>0</v>
      </c>
      <c r="G611">
        <f>怪しいデータを手直し!L649</f>
        <v>12</v>
      </c>
      <c r="H611">
        <v>0</v>
      </c>
    </row>
    <row r="612" spans="1:9">
      <c r="A612">
        <f>怪しいデータを手直し!F175</f>
        <v>684</v>
      </c>
      <c r="B612">
        <f>怪しいデータを手直し!C175</f>
        <v>42.331454315224569</v>
      </c>
      <c r="C612">
        <f>怪しいデータを手直し!D175</f>
        <v>-26.014452133946147</v>
      </c>
      <c r="D612" t="str">
        <f>怪しいデータを手直し!G175</f>
        <v>bp</v>
      </c>
      <c r="E612">
        <f>怪しいデータを手直し!T175</f>
        <v>1.4</v>
      </c>
      <c r="F612">
        <f>IF(怪しいデータを手直し!U175="dead",0,怪しいデータを手直し!U175)</f>
        <v>1.6199999999999999</v>
      </c>
      <c r="G612">
        <f>怪しいデータを手直し!L175</f>
        <v>1.7</v>
      </c>
      <c r="H612">
        <v>678</v>
      </c>
    </row>
    <row r="613" spans="1:9">
      <c r="A613">
        <f>怪しいデータを手直し!F370</f>
        <v>685</v>
      </c>
      <c r="B613">
        <f>怪しいデータを手直し!C370</f>
        <v>42.307079585689536</v>
      </c>
      <c r="C613">
        <f>怪しいデータを手直し!D370</f>
        <v>-26.109287362000902</v>
      </c>
      <c r="D613" t="str">
        <f>怪しいデータを手直し!G370</f>
        <v>bp</v>
      </c>
      <c r="E613">
        <f>怪しいデータを手直し!T370</f>
        <v>3.41</v>
      </c>
      <c r="F613">
        <f>IF(怪しいデータを手直し!U370="dead",0,怪しいデータを手直し!U370)</f>
        <v>3.4377467707849396</v>
      </c>
      <c r="G613">
        <f>怪しいデータを手直し!L370</f>
        <v>1.7</v>
      </c>
      <c r="H613">
        <v>678</v>
      </c>
    </row>
    <row r="614" spans="1:9">
      <c r="A614">
        <f>怪しいデータを手直し!F526</f>
        <v>686</v>
      </c>
      <c r="B614">
        <f>怪しいデータを手直し!C526</f>
        <v>42.242981371580008</v>
      </c>
      <c r="C614">
        <f>怪しいデータを手直し!D526</f>
        <v>-25.944872339684423</v>
      </c>
      <c r="D614" t="str">
        <f>怪しいデータを手直し!G526</f>
        <v>bp</v>
      </c>
      <c r="E614">
        <f>怪しいデータを手直し!T526</f>
        <v>7.352958370845565</v>
      </c>
      <c r="F614">
        <f>IF(怪しいデータを手直し!U526="dead",0,怪しいデータを手直し!U526)</f>
        <v>8.0214091318315255</v>
      </c>
      <c r="G614">
        <f>怪しいデータを手直し!L526</f>
        <v>5.9</v>
      </c>
      <c r="H614">
        <v>678</v>
      </c>
    </row>
    <row r="615" spans="1:9">
      <c r="A615">
        <f>怪しいデータを手直し!F496</f>
        <v>687</v>
      </c>
      <c r="B615">
        <f>怪しいデータを手直し!C496</f>
        <v>42.241277722406934</v>
      </c>
      <c r="C615">
        <f>怪しいデータを手直し!D496</f>
        <v>-25.786425470262586</v>
      </c>
      <c r="D615" t="str">
        <f>怪しいデータを手直し!G496</f>
        <v>bp</v>
      </c>
      <c r="E615">
        <f>怪しいデータを手直し!T496</f>
        <v>6.1752117919655385</v>
      </c>
      <c r="F615">
        <f>IF(怪しいデータを手直し!U496="dead",0,怪しいデータを手直し!U496)</f>
        <v>0</v>
      </c>
      <c r="G615">
        <f>怪しいデータを手直し!L496</f>
        <v>2.8</v>
      </c>
      <c r="H615">
        <v>678</v>
      </c>
    </row>
    <row r="616" spans="1:9">
      <c r="A616">
        <f>怪しいデータを手直し!F504</f>
        <v>688</v>
      </c>
      <c r="B616">
        <f>怪しいデータを手直し!C504</f>
        <v>42.059526159725067</v>
      </c>
      <c r="C616">
        <f>怪しいデータを手直し!D504</f>
        <v>-25.726284030932</v>
      </c>
      <c r="D616" t="str">
        <f>怪しいデータを手直し!G504</f>
        <v>bp</v>
      </c>
      <c r="E616">
        <f>怪しいデータを手直し!T504</f>
        <v>6.4616906895309514</v>
      </c>
      <c r="F616">
        <f>IF(怪しいデータを手直し!U504="dead",0,怪しいデータを手直し!U504)</f>
        <v>6.3025357464390561</v>
      </c>
      <c r="G616">
        <f>怪しいデータを手直し!L504</f>
        <v>5.0999999999999996</v>
      </c>
      <c r="H616">
        <v>678</v>
      </c>
      <c r="I616">
        <v>54</v>
      </c>
    </row>
    <row r="617" spans="1:9">
      <c r="A617">
        <f>怪しいデータを手直し!F401</f>
        <v>689</v>
      </c>
      <c r="B617">
        <f>怪しいデータを手直し!C401</f>
        <v>41.913207673811556</v>
      </c>
      <c r="C617">
        <f>怪しいデータを手直し!D401</f>
        <v>-25.707852741674184</v>
      </c>
      <c r="D617" t="str">
        <f>怪しいデータを手直し!G401</f>
        <v>bp</v>
      </c>
      <c r="E617">
        <f>怪しいデータを手直し!T401</f>
        <v>3.9470425886790048</v>
      </c>
      <c r="F617">
        <f>IF(怪しいデータを手直し!U401="dead",0,怪しいデータを手直し!U401)</f>
        <v>0</v>
      </c>
      <c r="G617">
        <f>怪しいデータを手直し!L401</f>
        <v>0</v>
      </c>
      <c r="H617">
        <v>678</v>
      </c>
    </row>
    <row r="618" spans="1:9">
      <c r="A618">
        <f>怪しいデータを手直し!F341</f>
        <v>690</v>
      </c>
      <c r="B618">
        <f>怪しいデータを手直し!C341</f>
        <v>41.859970636357168</v>
      </c>
      <c r="C618">
        <f>怪しいデータを手直し!D341</f>
        <v>-25.656915812060998</v>
      </c>
      <c r="D618" t="str">
        <f>怪しいデータを手直し!G341</f>
        <v>bp</v>
      </c>
      <c r="E618">
        <f>怪しいデータを手直し!T341</f>
        <v>3.0239439187460113</v>
      </c>
      <c r="F618">
        <f>IF(怪しいデータを手直し!U341="dead",0,怪しいデータを手直し!U341)</f>
        <v>0</v>
      </c>
      <c r="G618">
        <f>怪しいデータを手直し!L341</f>
        <v>5</v>
      </c>
      <c r="H618">
        <v>678</v>
      </c>
    </row>
    <row r="619" spans="1:9">
      <c r="A619">
        <f>怪しいデータを手直し!F497</f>
        <v>691</v>
      </c>
      <c r="B619">
        <f>怪しいデータを手直し!C497</f>
        <v>41.972325866754147</v>
      </c>
      <c r="C619">
        <f>怪しいデータを手直し!D497</f>
        <v>-25.582787237594637</v>
      </c>
      <c r="D619" t="str">
        <f>怪しいデータを手直し!G497</f>
        <v>bp</v>
      </c>
      <c r="E619">
        <f>怪しいデータを手直し!T497</f>
        <v>6.1752117919655385</v>
      </c>
      <c r="F619">
        <f>IF(怪しいデータを手直し!U497="dead",0,怪しいデータを手直し!U497)</f>
        <v>0</v>
      </c>
      <c r="G619">
        <f>怪しいデータを手直し!L497</f>
        <v>5</v>
      </c>
      <c r="H619">
        <v>678</v>
      </c>
    </row>
    <row r="620" spans="1:9">
      <c r="A620">
        <f>怪しいデータを手直し!F374</f>
        <v>692</v>
      </c>
      <c r="B620">
        <f>怪しいデータを手直し!C374</f>
        <v>42.046818434004329</v>
      </c>
      <c r="C620">
        <f>怪しいデータを手直し!D374</f>
        <v>-25.540917398602279</v>
      </c>
      <c r="D620" t="str">
        <f>怪しいデータを手直し!G374</f>
        <v>bp</v>
      </c>
      <c r="E620">
        <f>怪しいデータを手直し!T374</f>
        <v>3.4377467707849396</v>
      </c>
      <c r="F620">
        <f>IF(怪しいデータを手直し!U374="dead",0,怪しいデータを手直し!U374)</f>
        <v>0</v>
      </c>
      <c r="G620">
        <f>怪しいデータを手直し!L374</f>
        <v>3</v>
      </c>
      <c r="H620">
        <v>678</v>
      </c>
    </row>
    <row r="621" spans="1:9">
      <c r="A621">
        <f>怪しいデータを手直し!F678</f>
        <v>693</v>
      </c>
      <c r="B621">
        <f>怪しいデータを手直し!C678</f>
        <v>41.448771966454686</v>
      </c>
      <c r="C621">
        <f>怪しいデータを手直し!D678</f>
        <v>-26.34615792902456</v>
      </c>
      <c r="D621" t="str">
        <f>怪しいデータを手直し!G678</f>
        <v>lc</v>
      </c>
      <c r="E621">
        <f>怪しいデータを手直し!T678</f>
        <v>24.032396406876195</v>
      </c>
      <c r="F621">
        <f>IF(怪しいデータを手直し!U678="dead",0,怪しいデータを手直し!U678)</f>
        <v>0</v>
      </c>
      <c r="G621">
        <f>怪しいデータを手直し!L678</f>
        <v>14.5</v>
      </c>
      <c r="H621">
        <v>0</v>
      </c>
    </row>
    <row r="622" spans="1:9">
      <c r="A622">
        <f>怪しいデータを手直し!F69</f>
        <v>694</v>
      </c>
      <c r="B622">
        <f>怪しいデータを手直し!C69</f>
        <v>42.444352749424425</v>
      </c>
      <c r="C622">
        <f>怪しいデータを手直し!D69</f>
        <v>-21.066857369985712</v>
      </c>
      <c r="D622" t="str">
        <f>怪しいデータを手直し!G69</f>
        <v>lc</v>
      </c>
      <c r="E622">
        <f>怪しいデータを手直し!T69</f>
        <v>0.69</v>
      </c>
      <c r="F622">
        <f>IF(怪しいデータを手直し!U69="dead",0,怪しいデータを手直し!U69)</f>
        <v>1.42</v>
      </c>
      <c r="G622">
        <f>怪しいデータを手直し!L69</f>
        <v>2</v>
      </c>
      <c r="H622">
        <v>0</v>
      </c>
    </row>
    <row r="623" spans="1:9">
      <c r="A623">
        <f>怪しいデータを手直し!F99</f>
        <v>695</v>
      </c>
      <c r="B623">
        <f>怪しいデータを手直し!C99</f>
        <v>44.623379133287443</v>
      </c>
      <c r="C623">
        <f>怪しいデータを手直し!D99</f>
        <v>-27.132298558258295</v>
      </c>
      <c r="D623" t="str">
        <f>怪しいデータを手直し!G99</f>
        <v>pt</v>
      </c>
      <c r="E623">
        <f>怪しいデータを手直し!T99</f>
        <v>0.9</v>
      </c>
      <c r="F623">
        <f>IF(怪しいデータを手直し!U99="dead",0,怪しいデータを手直し!U99)</f>
        <v>1.42</v>
      </c>
      <c r="G623">
        <f>怪しいデータを手直し!L99</f>
        <v>2.4</v>
      </c>
      <c r="H623">
        <v>0</v>
      </c>
    </row>
    <row r="624" spans="1:9">
      <c r="A624">
        <f>怪しいデータを手直し!F645</f>
        <v>696</v>
      </c>
      <c r="B624">
        <f>怪しいデータを手直し!C645</f>
        <v>48.043097408521334</v>
      </c>
      <c r="C624">
        <f>怪しいデータを手直し!D645</f>
        <v>-23.901055742566481</v>
      </c>
      <c r="D624" t="str">
        <f>怪しいデータを手直し!G645</f>
        <v>bp</v>
      </c>
      <c r="E624">
        <f>怪しいデータを手直し!T645</f>
        <v>16.233804195373324</v>
      </c>
      <c r="F624">
        <f>IF(怪しいデータを手直し!U645="dead",0,怪しいデータを手直し!U645)</f>
        <v>15.915494309189533</v>
      </c>
      <c r="G624">
        <f>怪しいデータを手直し!L645</f>
        <v>9.5</v>
      </c>
      <c r="H624">
        <v>696</v>
      </c>
      <c r="I624">
        <v>152</v>
      </c>
    </row>
    <row r="625" spans="1:9">
      <c r="A625">
        <f>怪しいデータを手直し!F467</f>
        <v>697</v>
      </c>
      <c r="B625">
        <f>怪しいデータを手直し!C467</f>
        <v>47.825175149350287</v>
      </c>
      <c r="C625">
        <f>怪しいデータを手直し!D467</f>
        <v>-23.723873104039001</v>
      </c>
      <c r="D625" t="str">
        <f>怪しいデータを手直し!G467</f>
        <v>bp</v>
      </c>
      <c r="E625">
        <f>怪しいデータを手直し!T467</f>
        <v>5.4749300423611995</v>
      </c>
      <c r="F625">
        <f>IF(怪しいデータを手直し!U467="dead",0,怪しいデータを手直し!U467)</f>
        <v>5.7295779513082321</v>
      </c>
      <c r="G625">
        <f>怪しいデータを手直し!L467</f>
        <v>5.5</v>
      </c>
      <c r="H625">
        <v>696</v>
      </c>
    </row>
    <row r="626" spans="1:9">
      <c r="A626">
        <f>怪しいデータを手直し!F597</f>
        <v>698</v>
      </c>
      <c r="B626">
        <f>怪しいデータを手直し!C597</f>
        <v>48.053490775127813</v>
      </c>
      <c r="C626">
        <f>怪しいデータを手直し!D597</f>
        <v>-23.804467220567812</v>
      </c>
      <c r="D626" t="str">
        <f>怪しいデータを手直し!G597</f>
        <v>bp</v>
      </c>
      <c r="E626">
        <f>怪しいデータを手直し!T597</f>
        <v>11.681972822945118</v>
      </c>
      <c r="F626">
        <f>IF(怪しいデータを手直し!U597="dead",0,怪しいデータを手直し!U597)</f>
        <v>0</v>
      </c>
      <c r="G626">
        <f>怪しいデータを手直し!L597</f>
        <v>6.4</v>
      </c>
      <c r="H626">
        <v>696</v>
      </c>
    </row>
    <row r="627" spans="1:9">
      <c r="A627">
        <f>怪しいデータを手直し!F498</f>
        <v>699</v>
      </c>
      <c r="B627">
        <f>怪しいデータを手直し!C498</f>
        <v>48.14767037396004</v>
      </c>
      <c r="C627">
        <f>怪しいデータを手直し!D498</f>
        <v>-23.593335497569491</v>
      </c>
      <c r="D627" t="str">
        <f>怪しいデータを手直し!G498</f>
        <v>bp</v>
      </c>
      <c r="E627">
        <f>怪しいデータを手直し!T498</f>
        <v>6.2070427805839179</v>
      </c>
      <c r="F627">
        <f>IF(怪しいデータを手直し!U498="dead",0,怪しいデータを手直し!U498)</f>
        <v>6.5253526667677093</v>
      </c>
      <c r="G627">
        <f>怪しいデータを手直し!L498</f>
        <v>6.2</v>
      </c>
      <c r="H627">
        <v>696</v>
      </c>
      <c r="I627">
        <v>49</v>
      </c>
    </row>
    <row r="628" spans="1:9">
      <c r="A628">
        <f>怪しいデータを手直し!F81</f>
        <v>700</v>
      </c>
      <c r="B628">
        <f>怪しいデータを手直し!C81</f>
        <v>48.268851088723402</v>
      </c>
      <c r="C628">
        <f>怪しいデータを手直し!D81</f>
        <v>-23.650476667238095</v>
      </c>
      <c r="D628" t="str">
        <f>怪しいデータを手直し!G81</f>
        <v>bp</v>
      </c>
      <c r="E628">
        <f>怪しいデータを手直し!T81</f>
        <v>0.79</v>
      </c>
      <c r="F628">
        <f>IF(怪しいデータを手直し!U81="dead",0,怪しいデータを手直し!U81)</f>
        <v>1.1000000000000001</v>
      </c>
      <c r="G628">
        <f>怪しいデータを手直し!L81</f>
        <v>2.4</v>
      </c>
      <c r="H628">
        <v>696</v>
      </c>
    </row>
    <row r="629" spans="1:9">
      <c r="A629">
        <f>怪しいデータを手直し!F386</f>
        <v>701</v>
      </c>
      <c r="B629">
        <f>怪しいデータを手直し!C386</f>
        <v>50.215139710240834</v>
      </c>
      <c r="C629">
        <f>怪しいデータを手直し!D386</f>
        <v>-27.437723206428444</v>
      </c>
      <c r="D629" t="str">
        <f>怪しいデータを手直し!G386</f>
        <v>bp</v>
      </c>
      <c r="E629">
        <f>怪しいデータを手直し!T386</f>
        <v>3.61</v>
      </c>
      <c r="F629">
        <f>IF(怪しいデータを手直し!U386="dead",0,怪しいデータを手直し!U386)</f>
        <v>4.1061975317709001</v>
      </c>
      <c r="G629">
        <f>怪しいデータを手直し!L386</f>
        <v>5.2</v>
      </c>
      <c r="H629">
        <v>702</v>
      </c>
    </row>
    <row r="630" spans="1:9">
      <c r="A630">
        <f>怪しいデータを手直し!F562</f>
        <v>702</v>
      </c>
      <c r="B630">
        <f>怪しいデータを手直し!C562</f>
        <v>50.122764376874976</v>
      </c>
      <c r="C630">
        <f>怪しいデータを手直し!D562</f>
        <v>-27.684136505344721</v>
      </c>
      <c r="D630" t="str">
        <f>怪しいデータを手直し!G562</f>
        <v>bp</v>
      </c>
      <c r="E630">
        <f>怪しいデータを手直し!T562</f>
        <v>9.4538036196585828</v>
      </c>
      <c r="F630">
        <f>IF(怪しいデータを手直し!U562="dead",0,怪しいデータを手直し!U562)</f>
        <v>9.6447895513688575</v>
      </c>
      <c r="G630">
        <f>怪しいデータを手直し!L562</f>
        <v>11</v>
      </c>
      <c r="H630">
        <v>702</v>
      </c>
    </row>
    <row r="631" spans="1:9">
      <c r="A631">
        <f>怪しいデータを手直し!F484</f>
        <v>703</v>
      </c>
      <c r="B631">
        <f>怪しいデータを手直し!C484</f>
        <v>50.277366863519219</v>
      </c>
      <c r="C631">
        <f>怪しいデータを手直し!D484</f>
        <v>-27.783751864123932</v>
      </c>
      <c r="D631" t="str">
        <f>怪しいデータを手直し!G484</f>
        <v>bp</v>
      </c>
      <c r="E631">
        <f>怪しいデータを手直し!T484</f>
        <v>5.79323992854499</v>
      </c>
      <c r="F631">
        <f>IF(怪しいデータを手直し!U484="dead",0,怪しいデータを手直し!U484)</f>
        <v>6.1115498147287806</v>
      </c>
      <c r="G631">
        <f>怪しいデータを手直し!L484</f>
        <v>6.6</v>
      </c>
      <c r="H631">
        <v>702</v>
      </c>
    </row>
    <row r="632" spans="1:9">
      <c r="A632">
        <f>怪しいデータを手直し!F553</f>
        <v>704</v>
      </c>
      <c r="B632">
        <f>怪しいデータを手直し!C553</f>
        <v>50.189114493623592</v>
      </c>
      <c r="C632">
        <f>怪しいデータを手直し!D553</f>
        <v>-27.790330927717896</v>
      </c>
      <c r="D632" t="str">
        <f>怪しいデータを手直し!G553</f>
        <v>bp</v>
      </c>
      <c r="E632">
        <f>怪しいデータを手直し!T553</f>
        <v>8.8490148359093812</v>
      </c>
      <c r="F632">
        <f>IF(怪しいデータを手直し!U553="dead",0,怪しいデータを手直し!U553)</f>
        <v>9.0718317562380353</v>
      </c>
      <c r="G632">
        <f>怪しいデータを手直し!L553</f>
        <v>6.9</v>
      </c>
      <c r="H632">
        <v>702</v>
      </c>
    </row>
    <row r="633" spans="1:9">
      <c r="A633">
        <f>怪しいデータを手直し!F449</f>
        <v>705</v>
      </c>
      <c r="B633">
        <f>怪しいデータを手直し!C449</f>
        <v>42.983024702777627</v>
      </c>
      <c r="C633">
        <f>怪しいデータを手直し!D449</f>
        <v>-35.691965224998938</v>
      </c>
      <c r="D633" t="str">
        <f>怪しいデータを手直し!G449</f>
        <v>ss</v>
      </c>
      <c r="E633">
        <f>怪しいデータを手直し!T449</f>
        <v>4.9656342244671343</v>
      </c>
      <c r="F633">
        <f>IF(怪しいデータを手直し!U449="dead",0,怪しいデータを手直し!U449)</f>
        <v>0</v>
      </c>
      <c r="G633">
        <f>怪しいデータを手直し!L449</f>
        <v>0</v>
      </c>
      <c r="H633">
        <v>0</v>
      </c>
    </row>
    <row r="634" spans="1:9">
      <c r="A634">
        <f>怪しいデータを手直し!F435</f>
        <v>706</v>
      </c>
      <c r="B634">
        <f>怪しいデータを手直し!C435</f>
        <v>49.938192270330752</v>
      </c>
      <c r="C634">
        <f>怪しいデータを手直し!D435</f>
        <v>-27.773576332121721</v>
      </c>
      <c r="D634" t="str">
        <f>怪しいデータを手直し!G435</f>
        <v>bp</v>
      </c>
      <c r="E634">
        <f>怪しいデータを手直し!T435</f>
        <v>4.6473243382833438</v>
      </c>
      <c r="F634">
        <f>IF(怪しいデータを手直し!U435="dead",0,怪しいデータを手直し!U435)</f>
        <v>5.1884511447957884</v>
      </c>
      <c r="G634">
        <f>怪しいデータを手直し!L435</f>
        <v>5.2</v>
      </c>
      <c r="H634">
        <v>702</v>
      </c>
      <c r="I634">
        <v>16</v>
      </c>
    </row>
    <row r="635" spans="1:9">
      <c r="A635">
        <f>怪しいデータを手直し!F309</f>
        <v>707</v>
      </c>
      <c r="B635">
        <f>怪しいデータを手直し!C309</f>
        <v>42.997273962603202</v>
      </c>
      <c r="C635">
        <f>怪しいデータを手直し!D309</f>
        <v>-35.556358611104976</v>
      </c>
      <c r="D635" t="str">
        <f>怪しいデータを手直し!G309</f>
        <v>ss</v>
      </c>
      <c r="E635">
        <f>怪しいデータを手直し!T309</f>
        <v>2.61</v>
      </c>
      <c r="F635">
        <f>IF(怪しいデータを手直し!U309="dead",0,怪しいデータを手直し!U309)</f>
        <v>0</v>
      </c>
      <c r="G635">
        <f>怪しいデータを手直し!L309</f>
        <v>2</v>
      </c>
      <c r="H635">
        <v>0</v>
      </c>
    </row>
    <row r="636" spans="1:9">
      <c r="A636">
        <f>怪しいデータを手直し!F116</f>
        <v>708</v>
      </c>
      <c r="B636">
        <f>怪しいデータを手直し!C116</f>
        <v>43.072423340402423</v>
      </c>
      <c r="C636">
        <f>怪しいデータを手直し!D116</f>
        <v>-35.595784426557842</v>
      </c>
      <c r="D636" t="str">
        <f>怪しいデータを手直し!G116</f>
        <v>ss</v>
      </c>
      <c r="E636">
        <f>怪しいデータを手直し!T116</f>
        <v>1.02</v>
      </c>
      <c r="F636">
        <f>IF(怪しいデータを手直し!U116="dead",0,怪しいデータを手直し!U116)</f>
        <v>0</v>
      </c>
      <c r="G636">
        <f>怪しいデータを手直し!L116</f>
        <v>2.2000000000000002</v>
      </c>
      <c r="H636">
        <v>0</v>
      </c>
    </row>
    <row r="637" spans="1:9">
      <c r="A637">
        <f>怪しいデータを手直し!F40</f>
        <v>709</v>
      </c>
      <c r="B637">
        <f>怪しいデータを手直し!C40</f>
        <v>43.057162405751079</v>
      </c>
      <c r="C637">
        <f>怪しいデータを手直し!D40</f>
        <v>-35.633919603939674</v>
      </c>
      <c r="D637" t="str">
        <f>怪しいデータを手直し!G40</f>
        <v>ss</v>
      </c>
      <c r="E637">
        <f>怪しいデータを手直し!T40</f>
        <v>0.51</v>
      </c>
      <c r="F637">
        <f>IF(怪しいデータを手直し!U40="dead",0,怪しいデータを手直し!U40)</f>
        <v>0.71</v>
      </c>
      <c r="G637">
        <f>怪しいデータを手直し!L40</f>
        <v>1.9</v>
      </c>
      <c r="H637">
        <v>0</v>
      </c>
    </row>
    <row r="638" spans="1:9">
      <c r="A638">
        <f>怪しいデータを手直し!F38</f>
        <v>710</v>
      </c>
      <c r="B638">
        <f>怪しいデータを手直し!C38</f>
        <v>43.030489044404334</v>
      </c>
      <c r="C638">
        <f>怪しいデータを手直し!D38</f>
        <v>-35.639697699500033</v>
      </c>
      <c r="D638" t="str">
        <f>怪しいデータを手直し!G38</f>
        <v>ss</v>
      </c>
      <c r="E638">
        <f>怪しいデータを手直し!T38</f>
        <v>0.5</v>
      </c>
      <c r="F638">
        <f>IF(怪しいデータを手直し!U38="dead",0,怪しいデータを手直し!U38)</f>
        <v>0.55999999999999994</v>
      </c>
      <c r="G638">
        <f>怪しいデータを手直し!L38</f>
        <v>1.2</v>
      </c>
      <c r="H638">
        <v>0</v>
      </c>
    </row>
    <row r="639" spans="1:9">
      <c r="A639">
        <f>怪しいデータを手直し!F33</f>
        <v>711</v>
      </c>
      <c r="B639">
        <f>怪しいデータを手直し!C33</f>
        <v>42.934938877920068</v>
      </c>
      <c r="C639">
        <f>怪しいデータを手直し!D33</f>
        <v>-35.514943279859963</v>
      </c>
      <c r="D639" t="str">
        <f>怪しいデータを手直し!G33</f>
        <v>ss</v>
      </c>
      <c r="E639">
        <f>怪しいデータを手直し!T33</f>
        <v>0.49</v>
      </c>
      <c r="F639">
        <f>IF(怪しいデータを手直し!U33="dead",0,怪しいデータを手直し!U33)</f>
        <v>0.57999999999999996</v>
      </c>
      <c r="G639">
        <f>怪しいデータを手直し!L33</f>
        <v>1.7</v>
      </c>
      <c r="H639">
        <v>0</v>
      </c>
    </row>
    <row r="640" spans="1:9">
      <c r="A640">
        <f>怪しいデータを手直し!F448</f>
        <v>712</v>
      </c>
      <c r="B640">
        <f>怪しいデータを手直し!C448</f>
        <v>31.979589225403007</v>
      </c>
      <c r="C640">
        <f>怪しいデータを手直し!D448</f>
        <v>-31.226808384339172</v>
      </c>
      <c r="D640" t="str">
        <f>怪しいデータを手直し!G448</f>
        <v>lc</v>
      </c>
      <c r="E640">
        <f>怪しいデータを手直し!T448</f>
        <v>4.9019722472303764</v>
      </c>
      <c r="F640">
        <f>IF(怪しいデータを手直し!U448="dead",0,怪しいデータを手直し!U448)</f>
        <v>5.9523948716368853</v>
      </c>
      <c r="G640">
        <f>怪しいデータを手直し!L448</f>
        <v>4.9000000000000004</v>
      </c>
      <c r="H640">
        <v>0</v>
      </c>
      <c r="I640">
        <v>25</v>
      </c>
    </row>
    <row r="641" spans="1:8">
      <c r="A641">
        <f>怪しいデータを手直し!F688</f>
        <v>713</v>
      </c>
      <c r="B641">
        <f>怪しいデータを手直し!C688</f>
        <v>30.741420526021269</v>
      </c>
      <c r="C641">
        <f>怪しいデータを手直し!D688</f>
        <v>-33.689937750172362</v>
      </c>
      <c r="D641" t="str">
        <f>怪しいデータを手直し!G688</f>
        <v>lc</v>
      </c>
      <c r="E641">
        <f>怪しいデータを手直し!T688</f>
        <v>29.09352359719847</v>
      </c>
      <c r="F641">
        <f>IF(怪しいデータを手直し!U688="dead",0,怪しいデータを手直し!U688)</f>
        <v>0</v>
      </c>
      <c r="G641">
        <f>怪しいデータを手直し!L688</f>
        <v>16.100000000000001</v>
      </c>
      <c r="H641">
        <v>0</v>
      </c>
    </row>
    <row r="642" spans="1:8">
      <c r="A642">
        <f>怪しいデータを手直し!F173</f>
        <v>714</v>
      </c>
      <c r="B642">
        <f>怪しいデータを手直し!C173</f>
        <v>28.615447336791203</v>
      </c>
      <c r="C642">
        <f>怪しいデータを手直し!D173</f>
        <v>-30.660464995618224</v>
      </c>
      <c r="D642" t="str">
        <f>怪しいデータを手直し!G173</f>
        <v>pt</v>
      </c>
      <c r="E642">
        <f>怪しいデータを手直し!T173</f>
        <v>1.38</v>
      </c>
      <c r="F642">
        <f>IF(怪しいデータを手直し!U173="dead",0,怪しいデータを手直し!U173)</f>
        <v>1.8800000000000001</v>
      </c>
      <c r="G642">
        <f>怪しいデータを手直し!L173</f>
        <v>3.4</v>
      </c>
      <c r="H642">
        <v>0</v>
      </c>
    </row>
    <row r="643" spans="1:8">
      <c r="A643">
        <f>怪しいデータを手直し!F305</f>
        <v>715</v>
      </c>
      <c r="B643">
        <f>怪しいデータを手直し!C305</f>
        <v>28.354822578651021</v>
      </c>
      <c r="C643">
        <f>怪しいデータを手直し!D305</f>
        <v>-30.157632167601044</v>
      </c>
      <c r="D643" t="str">
        <f>怪しいデータを手直し!G305</f>
        <v>lc</v>
      </c>
      <c r="E643">
        <f>怪しいデータを手直し!T305</f>
        <v>2.5499999999999998</v>
      </c>
      <c r="F643">
        <f>IF(怪しいデータを手直し!U305="dead",0,怪しいデータを手直し!U305)</f>
        <v>0</v>
      </c>
      <c r="G643">
        <f>怪しいデータを手直し!L305</f>
        <v>3.4</v>
      </c>
      <c r="H643">
        <v>0</v>
      </c>
    </row>
    <row r="644" spans="1:8">
      <c r="A644">
        <f>怪しいデータを手直し!F180</f>
        <v>716</v>
      </c>
      <c r="B644">
        <f>怪しいデータを手直し!C180</f>
        <v>27.708774059127435</v>
      </c>
      <c r="C644">
        <f>怪しいデータを手直し!D180</f>
        <v>-30.421093209825571</v>
      </c>
      <c r="D644" t="str">
        <f>怪しいデータを手直し!G180</f>
        <v>pt</v>
      </c>
      <c r="E644">
        <f>怪しいデータを手直し!T180</f>
        <v>1.46</v>
      </c>
      <c r="F644">
        <f>IF(怪しいデータを手直し!U180="dead",0,怪しいデータを手直し!U180)</f>
        <v>0.57000000000000006</v>
      </c>
      <c r="G644">
        <f>怪しいデータを手直し!L180</f>
        <v>3</v>
      </c>
      <c r="H644">
        <v>0</v>
      </c>
    </row>
    <row r="645" spans="1:8">
      <c r="A645">
        <f>怪しいデータを手直し!F687</f>
        <v>717</v>
      </c>
      <c r="B645">
        <f>怪しいデータを手直し!C687</f>
        <v>27.300589115830448</v>
      </c>
      <c r="C645">
        <f>怪しいデータを手直し!D687</f>
        <v>-39.453605858000387</v>
      </c>
      <c r="D645" t="str">
        <f>怪しいデータを手直し!G687</f>
        <v>lc</v>
      </c>
      <c r="E645">
        <f>怪しいデータを手直し!T687</f>
        <v>28.71155173377792</v>
      </c>
      <c r="F645">
        <f>IF(怪しいデータを手直し!U687="dead",0,怪しいデータを手直し!U687)</f>
        <v>0</v>
      </c>
      <c r="G645">
        <f>怪しいデータを手直し!L687</f>
        <v>19.399999999999999</v>
      </c>
      <c r="H645">
        <v>0</v>
      </c>
    </row>
    <row r="646" spans="1:8">
      <c r="A646">
        <f>怪しいデータを手直し!F263</f>
        <v>718</v>
      </c>
      <c r="B646">
        <f>怪しいデータを手直し!C263</f>
        <v>24.662897967014203</v>
      </c>
      <c r="C646">
        <f>怪しいデータを手直し!D263</f>
        <v>-31.711201556181109</v>
      </c>
      <c r="D646" t="str">
        <f>怪しいデータを手直し!G263</f>
        <v>pt</v>
      </c>
      <c r="E646">
        <f>怪しいデータを手直し!T263</f>
        <v>2.21</v>
      </c>
      <c r="F646">
        <f>IF(怪しいデータを手直し!U263="dead",0,怪しいデータを手直し!U263)</f>
        <v>0.96</v>
      </c>
      <c r="G646">
        <f>怪しいデータを手直し!L263</f>
        <v>2.2999999999999998</v>
      </c>
      <c r="H646">
        <v>0</v>
      </c>
    </row>
    <row r="647" spans="1:8">
      <c r="A647">
        <f>怪しいデータを手直し!F101</f>
        <v>719</v>
      </c>
      <c r="B647">
        <f>怪しいデータを手直し!C101</f>
        <v>22.699862220695191</v>
      </c>
      <c r="C647">
        <f>怪しいデータを手直し!D101</f>
        <v>-35.871637861391832</v>
      </c>
      <c r="D647" t="str">
        <f>怪しいデータを手直し!G101</f>
        <v>lc</v>
      </c>
      <c r="E647">
        <f>怪しいデータを手直し!T101</f>
        <v>0.91</v>
      </c>
      <c r="F647">
        <f>IF(怪しいデータを手直し!U101="dead",0,怪しいデータを手直し!U101)</f>
        <v>1.58</v>
      </c>
      <c r="G647">
        <f>怪しいデータを手直し!L101</f>
        <v>2</v>
      </c>
      <c r="H647">
        <v>0</v>
      </c>
    </row>
    <row r="648" spans="1:8">
      <c r="A648">
        <f>怪しいデータを手直し!F85</f>
        <v>720</v>
      </c>
      <c r="B648">
        <f>怪しいデータを手直し!C85</f>
        <v>21.722359954660718</v>
      </c>
      <c r="C648">
        <f>怪しいデータを手直し!D85</f>
        <v>-34.630679248749715</v>
      </c>
      <c r="D648" t="str">
        <f>怪しいデータを手直し!G85</f>
        <v>pt</v>
      </c>
      <c r="E648">
        <f>怪しいデータを手直し!T85</f>
        <v>0.81</v>
      </c>
      <c r="F648">
        <f>IF(怪しいデータを手直し!U85="dead",0,怪しいデータを手直し!U85)</f>
        <v>1.2</v>
      </c>
      <c r="G648">
        <f>怪しいデータを手直し!L85</f>
        <v>2.2999999999999998</v>
      </c>
      <c r="H648">
        <v>0</v>
      </c>
    </row>
    <row r="649" spans="1:8">
      <c r="A649">
        <f>怪しいデータを手直し!F26</f>
        <v>721</v>
      </c>
      <c r="B649">
        <f>怪しいデータを手直し!C26</f>
        <v>19.350085857963784</v>
      </c>
      <c r="C649">
        <f>怪しいデータを手直し!D26</f>
        <v>-30.682495267041411</v>
      </c>
      <c r="D649" t="str">
        <f>怪しいデータを手直し!G26</f>
        <v>lc</v>
      </c>
      <c r="E649">
        <f>怪しいデータを手直し!T26</f>
        <v>0.43</v>
      </c>
      <c r="F649">
        <f>IF(怪しいデータを手直し!U26="dead",0,怪しいデータを手直し!U26)</f>
        <v>1.1199999999999999</v>
      </c>
      <c r="G649">
        <f>怪しいデータを手直し!L26</f>
        <v>1.6</v>
      </c>
      <c r="H649">
        <v>0</v>
      </c>
    </row>
    <row r="650" spans="1:8">
      <c r="A650">
        <f>怪しいデータを手直し!F694</f>
        <v>722</v>
      </c>
      <c r="B650">
        <f>怪しいデータを手直し!C694</f>
        <v>18.077169041346473</v>
      </c>
      <c r="C650">
        <f>怪しいデータを手直し!D694</f>
        <v>-34.59280661733704</v>
      </c>
      <c r="D650" t="str">
        <f>怪しいデータを手直し!G694</f>
        <v>lc</v>
      </c>
      <c r="E650">
        <f>怪しいデータを手直し!T694</f>
        <v>32.181129493181238</v>
      </c>
      <c r="F650">
        <f>IF(怪しいデータを手直し!U694="dead",0,怪しいデータを手直し!U694)</f>
        <v>0</v>
      </c>
      <c r="G650">
        <f>怪しいデータを手直し!L694</f>
        <v>21.4</v>
      </c>
      <c r="H650">
        <v>0</v>
      </c>
    </row>
    <row r="651" spans="1:8">
      <c r="A651">
        <f>怪しいデータを手直し!F304</f>
        <v>723</v>
      </c>
      <c r="B651">
        <f>怪しいデータを手直し!C304</f>
        <v>16.03191023543113</v>
      </c>
      <c r="C651">
        <f>怪しいデータを手直し!D304</f>
        <v>-32.98725739017172</v>
      </c>
      <c r="D651" t="str">
        <f>怪しいデータを手直し!G304</f>
        <v>lc</v>
      </c>
      <c r="E651">
        <f>怪しいデータを手直し!T304</f>
        <v>2.54</v>
      </c>
      <c r="F651">
        <f>IF(怪しいデータを手直し!U304="dead",0,怪しいデータを手直し!U304)</f>
        <v>0</v>
      </c>
      <c r="G651">
        <f>怪しいデータを手直し!L304</f>
        <v>2.9</v>
      </c>
      <c r="H651">
        <v>0</v>
      </c>
    </row>
    <row r="652" spans="1:8">
      <c r="A652">
        <f>怪しいデータを手直し!F668</f>
        <v>724</v>
      </c>
      <c r="B652">
        <f>怪しいデータを手直し!C668</f>
        <v>15.458956323973755</v>
      </c>
      <c r="C652">
        <f>怪しいデータを手直し!D668</f>
        <v>-30.151782097610404</v>
      </c>
      <c r="D652" t="str">
        <f>怪しいデータを手直し!G668</f>
        <v>lc</v>
      </c>
      <c r="E652">
        <f>怪しいデータを手直し!T668</f>
        <v>21.294931385695598</v>
      </c>
      <c r="F652">
        <f>IF(怪しいデータを手直し!U668="dead",0,怪しいデータを手直し!U668)</f>
        <v>0</v>
      </c>
      <c r="G652">
        <f>怪しいデータを手直し!L668</f>
        <v>15.7</v>
      </c>
      <c r="H652">
        <v>0</v>
      </c>
    </row>
    <row r="653" spans="1:8">
      <c r="A653">
        <f>怪しいデータを手直し!F681</f>
        <v>725</v>
      </c>
      <c r="B653">
        <f>怪しいデータを手直し!C681</f>
        <v>15.09772605013295</v>
      </c>
      <c r="C653">
        <f>怪しいデータを手直し!D681</f>
        <v>-34.417277624868319</v>
      </c>
      <c r="D653" t="str">
        <f>怪しいデータを手直し!G681</f>
        <v>lc</v>
      </c>
      <c r="E653">
        <f>怪しいデータを手直し!T681</f>
        <v>25.305635951611361</v>
      </c>
      <c r="F653">
        <f>IF(怪しいデータを手直し!U681="dead",0,怪しいデータを手直し!U681)</f>
        <v>0</v>
      </c>
      <c r="G653">
        <f>怪しいデータを手直し!L681</f>
        <v>15.3</v>
      </c>
      <c r="H653">
        <v>0</v>
      </c>
    </row>
    <row r="654" spans="1:8">
      <c r="A654">
        <f>怪しいデータを手直し!F611</f>
        <v>726</v>
      </c>
      <c r="B654">
        <f>怪しいデータを手直し!C611</f>
        <v>8.2807998791533848</v>
      </c>
      <c r="C654">
        <f>怪しいデータを手直し!D611</f>
        <v>-36.859816733933989</v>
      </c>
      <c r="D654" t="str">
        <f>怪しいデータを手直し!G611</f>
        <v>lc</v>
      </c>
      <c r="E654">
        <f>怪しいデータを手直し!T611</f>
        <v>12.573240504259733</v>
      </c>
      <c r="F654">
        <f>IF(怪しいデータを手直し!U611="dead",0,怪しいデータを手直し!U611)</f>
        <v>0</v>
      </c>
      <c r="G654">
        <f>怪しいデータを手直し!L611</f>
        <v>9</v>
      </c>
      <c r="H654">
        <v>0</v>
      </c>
    </row>
    <row r="655" spans="1:8">
      <c r="A655">
        <f>怪しいデータを手直し!F698</f>
        <v>727</v>
      </c>
      <c r="B655">
        <f>怪しいデータを手直し!C698</f>
        <v>6.0081109655701512</v>
      </c>
      <c r="C655">
        <f>怪しいデータを手直し!D698</f>
        <v>-33.485829144334737</v>
      </c>
      <c r="D655" t="str">
        <f>怪しいデータを手直し!G698</f>
        <v>lc</v>
      </c>
      <c r="E655">
        <f>怪しいデータを手直し!T698</f>
        <v>37.242256683503513</v>
      </c>
      <c r="F655">
        <f>IF(怪しいデータを手直し!U698="dead",0,怪しいデータを手直し!U698)</f>
        <v>0</v>
      </c>
      <c r="G655">
        <f>怪しいデータを手直し!L698</f>
        <v>21</v>
      </c>
      <c r="H655">
        <v>0</v>
      </c>
    </row>
    <row r="656" spans="1:8">
      <c r="A656">
        <f>怪しいデータを手直し!F651</f>
        <v>728</v>
      </c>
      <c r="B656">
        <f>怪しいデータを手直し!C651</f>
        <v>4.8140191056457162</v>
      </c>
      <c r="C656">
        <f>怪しいデータを手直し!D651</f>
        <v>-37.96763631123946</v>
      </c>
      <c r="D656" t="str">
        <f>怪しいデータを手直し!G651</f>
        <v>lc</v>
      </c>
      <c r="E656">
        <f>怪しいデータを手直し!T651</f>
        <v>17.443381762871727</v>
      </c>
      <c r="F656">
        <f>IF(怪しいデータを手直し!U651="dead",0,怪しいデータを手直し!U651)</f>
        <v>17.761691649055518</v>
      </c>
      <c r="G656">
        <f>怪しいデータを手直し!L651</f>
        <v>13.1</v>
      </c>
      <c r="H656">
        <v>0</v>
      </c>
    </row>
    <row r="657" spans="1:9">
      <c r="A657">
        <f>怪しいデータを手直し!F664</f>
        <v>729</v>
      </c>
      <c r="B657">
        <f>怪しいデータを手直し!C664</f>
        <v>3.6821489091014223</v>
      </c>
      <c r="C657">
        <f>怪しいデータを手直し!D664</f>
        <v>-38.271631522726807</v>
      </c>
      <c r="D657" t="str">
        <f>怪しいデータを手直し!G664</f>
        <v>lc</v>
      </c>
      <c r="E657">
        <f>怪しいデータを手直し!T664</f>
        <v>20.180846784052328</v>
      </c>
      <c r="F657">
        <f>IF(怪しいデータを手直し!U664="dead",0,怪しいデータを手直し!U664)</f>
        <v>20.5309876588545</v>
      </c>
      <c r="G657">
        <f>怪しいデータを手直し!L664</f>
        <v>16.2</v>
      </c>
      <c r="H657">
        <v>0</v>
      </c>
      <c r="I657">
        <v>156</v>
      </c>
    </row>
    <row r="658" spans="1:9">
      <c r="A658">
        <f>怪しいデータを手直し!F660</f>
        <v>730</v>
      </c>
      <c r="B658">
        <f>怪しいデータを手直し!C660</f>
        <v>2.0996441669634551</v>
      </c>
      <c r="C658">
        <f>怪しいデータを手直し!D660</f>
        <v>-32.60697776877376</v>
      </c>
      <c r="D658" t="str">
        <f>怪しいデータを手直し!G660</f>
        <v>lc</v>
      </c>
      <c r="E658">
        <f>怪しいデータを手直し!T660</f>
        <v>19.512396023066369</v>
      </c>
      <c r="F658">
        <f>IF(怪しいデータを手直し!U660="dead",0,怪しいデータを手直し!U660)</f>
        <v>0</v>
      </c>
      <c r="G658">
        <f>怪しいデータを手直し!L660</f>
        <v>13.2</v>
      </c>
      <c r="H658">
        <v>0</v>
      </c>
    </row>
    <row r="659" spans="1:9">
      <c r="A659">
        <f>怪しいデータを手直し!F699</f>
        <v>731</v>
      </c>
      <c r="B659">
        <f>怪しいデータを手直し!C699</f>
        <v>0.80116598442242903</v>
      </c>
      <c r="C659">
        <f>怪しいデータを手直し!D699</f>
        <v>-32.577476658584828</v>
      </c>
      <c r="D659" t="str">
        <f>怪しいデータを手直し!G699</f>
        <v>lc</v>
      </c>
      <c r="E659">
        <f>怪しいデータを手直し!T699</f>
        <v>37.719721512779195</v>
      </c>
      <c r="F659">
        <f>IF(怪しいデータを手直し!U699="dead",0,怪しいデータを手直し!U699)</f>
        <v>0</v>
      </c>
      <c r="G659">
        <f>怪しいデータを手直し!L699</f>
        <v>14.6</v>
      </c>
      <c r="H659">
        <v>0</v>
      </c>
    </row>
    <row r="660" spans="1:9">
      <c r="A660">
        <f>怪しいデータを手直し!F618</f>
        <v>801</v>
      </c>
      <c r="B660">
        <f>怪しいデータを手直し!C618</f>
        <v>1.3122807443575066</v>
      </c>
      <c r="C660">
        <f>怪しいデータを手直し!D618</f>
        <v>-43.563093337977357</v>
      </c>
      <c r="D660" t="str">
        <f>怪しいデータを手直し!G618</f>
        <v>lc</v>
      </c>
      <c r="E660">
        <f>怪しいデータを手直し!T618</f>
        <v>12.891550390443523</v>
      </c>
      <c r="F660">
        <f>IF(怪しいデータを手直し!U618="dead",0,怪しいデータを手直し!U618)</f>
        <v>13.623663128666241</v>
      </c>
      <c r="G660">
        <f>怪しいデータを手直し!L618</f>
        <v>12.3</v>
      </c>
      <c r="H660">
        <v>0</v>
      </c>
    </row>
    <row r="661" spans="1:9">
      <c r="A661">
        <f>怪しいデータを手直し!F662</f>
        <v>802</v>
      </c>
      <c r="B661">
        <f>怪しいデータを手直し!C662</f>
        <v>1.8060621866094895</v>
      </c>
      <c r="C661">
        <f>怪しいデータを手直し!D662</f>
        <v>-44.139055823528977</v>
      </c>
      <c r="D661" t="str">
        <f>怪しいデータを手直し!G662</f>
        <v>lc</v>
      </c>
      <c r="E661">
        <f>怪しいデータを手直し!T662</f>
        <v>19.607888988921506</v>
      </c>
      <c r="F661">
        <f>IF(怪しいデータを手直し!U662="dead",0,怪しいデータを手直し!U662)</f>
        <v>19.735212943395023</v>
      </c>
      <c r="G661">
        <f>怪しいデータを手直し!L662</f>
        <v>15.2</v>
      </c>
      <c r="H661">
        <v>0</v>
      </c>
    </row>
    <row r="662" spans="1:9">
      <c r="A662">
        <f>怪しいデータを手直し!F601</f>
        <v>803</v>
      </c>
      <c r="B662">
        <f>怪しいデータを手直し!C601</f>
        <v>2.6202140931912341</v>
      </c>
      <c r="C662">
        <f>怪しいデータを手直し!D601</f>
        <v>-43.363162197942096</v>
      </c>
      <c r="D662" t="str">
        <f>怪しいデータを手直し!G601</f>
        <v>lc</v>
      </c>
      <c r="E662">
        <f>怪しいデータを手直し!T601</f>
        <v>12.000282709128909</v>
      </c>
      <c r="F662">
        <f>IF(怪しいデータを手直し!U601="dead",0,怪しいデータを手直し!U601)</f>
        <v>12.382254572549456</v>
      </c>
      <c r="G662">
        <f>怪しいデータを手直し!L601</f>
        <v>11.4</v>
      </c>
      <c r="H662">
        <v>0</v>
      </c>
    </row>
    <row r="663" spans="1:9">
      <c r="A663">
        <f>怪しいデータを手直し!F612</f>
        <v>804</v>
      </c>
      <c r="B663">
        <f>怪しいデータを手直し!C612</f>
        <v>3.6412415325252461</v>
      </c>
      <c r="C663">
        <f>怪しいデータを手直し!D612</f>
        <v>-45.488733073516883</v>
      </c>
      <c r="D663" t="str">
        <f>怪しいデータを手直し!G612</f>
        <v>lc</v>
      </c>
      <c r="E663">
        <f>怪しいデータを手直し!T612</f>
        <v>12.573240504259733</v>
      </c>
      <c r="F663">
        <f>IF(怪しいデータを手直し!U612="dead",0,怪しいデータを手直し!U612)</f>
        <v>12.700564458733249</v>
      </c>
      <c r="G663">
        <f>怪しいデータを手直し!L612</f>
        <v>12.6</v>
      </c>
      <c r="H663">
        <v>0</v>
      </c>
    </row>
    <row r="664" spans="1:9">
      <c r="A664">
        <f>怪しいデータを手直し!F628</f>
        <v>805</v>
      </c>
      <c r="B664">
        <f>怪しいデータを手直し!C628</f>
        <v>4.3793029065855924</v>
      </c>
      <c r="C664">
        <f>怪しいデータを手直し!D628</f>
        <v>-46.242416534010111</v>
      </c>
      <c r="D664" t="str">
        <f>怪しいデータを手直し!G628</f>
        <v>lc</v>
      </c>
      <c r="E664">
        <f>怪しいデータを手直し!T628</f>
        <v>13.814649060376516</v>
      </c>
      <c r="F664">
        <f>IF(怪しいデータを手直し!U628="dead",0,怪しいデータを手直し!U628)</f>
        <v>14.292113889652201</v>
      </c>
      <c r="G664">
        <f>怪しいデータを手直し!L628</f>
        <v>11.5</v>
      </c>
      <c r="H664">
        <v>0</v>
      </c>
    </row>
    <row r="665" spans="1:9">
      <c r="A665">
        <f>怪しいデータを手直し!F696</f>
        <v>806</v>
      </c>
      <c r="B665">
        <f>怪しいデータを手直し!C696</f>
        <v>3.5447906807329383</v>
      </c>
      <c r="C665">
        <f>怪しいデータを手直し!D696</f>
        <v>-47.858700442468063</v>
      </c>
      <c r="D665" t="str">
        <f>怪しいデータを手直し!G696</f>
        <v>lc</v>
      </c>
      <c r="E665">
        <f>怪しいデータを手直し!T696</f>
        <v>32.849580254167201</v>
      </c>
      <c r="F665">
        <f>IF(怪しいデータを手直し!U696="dead",0,怪しいデータを手直し!U696)</f>
        <v>33.518031015153156</v>
      </c>
      <c r="G665">
        <f>怪しいデータを手直し!L696</f>
        <v>18.5</v>
      </c>
      <c r="H665">
        <v>0</v>
      </c>
      <c r="I665">
        <v>288</v>
      </c>
    </row>
    <row r="666" spans="1:9">
      <c r="A666">
        <f>怪しいデータを手直し!F599</f>
        <v>807</v>
      </c>
      <c r="B666">
        <f>怪しいデータを手直し!C599</f>
        <v>7.1191281745700135</v>
      </c>
      <c r="C666">
        <f>怪しいデータを手直し!D599</f>
        <v>-48.272737003280334</v>
      </c>
      <c r="D666" t="str">
        <f>怪しいデータを手直し!G599</f>
        <v>lc</v>
      </c>
      <c r="E666">
        <f>怪しいデータを手直し!T599</f>
        <v>11.904789743273771</v>
      </c>
      <c r="F666">
        <f>IF(怪しいデータを手直し!U599="dead",0,怪しいデータを手直し!U599)</f>
        <v>12.223099629457561</v>
      </c>
      <c r="G666">
        <f>怪しいデータを手直し!L599</f>
        <v>11.2</v>
      </c>
      <c r="H666">
        <v>0</v>
      </c>
    </row>
    <row r="667" spans="1:9">
      <c r="A667">
        <f>怪しいデータを手直し!F538</f>
        <v>808</v>
      </c>
      <c r="B667">
        <f>怪しいデータを手直し!C538</f>
        <v>6.1188161453040522</v>
      </c>
      <c r="C667">
        <f>怪しいデータを手直し!D538</f>
        <v>-45.461356231381316</v>
      </c>
      <c r="D667" t="str">
        <f>怪しいデータを手直し!G538</f>
        <v>lc</v>
      </c>
      <c r="E667">
        <f>怪しいデータを手直し!T538</f>
        <v>7.7985922115028714</v>
      </c>
      <c r="F667">
        <f>IF(怪しいデータを手直し!U538="dead",0,怪しいデータを手直し!U538)</f>
        <v>8.1805640749234207</v>
      </c>
      <c r="G667">
        <f>怪しいデータを手直し!L538</f>
        <v>7.3</v>
      </c>
      <c r="H667">
        <v>0</v>
      </c>
    </row>
    <row r="668" spans="1:9">
      <c r="A668">
        <f>怪しいデータを手直し!F594</f>
        <v>809</v>
      </c>
      <c r="B668">
        <f>怪しいデータを手直し!C594</f>
        <v>8.2400703001238895</v>
      </c>
      <c r="C668">
        <f>怪しいデータを手直し!D594</f>
        <v>-43.791443979738325</v>
      </c>
      <c r="D668" t="str">
        <f>怪しいデータを手直し!G594</f>
        <v>lc</v>
      </c>
      <c r="E668">
        <f>怪しいデータを手直し!T594</f>
        <v>11.522817879853223</v>
      </c>
      <c r="F668">
        <f>IF(怪しいデータを手直し!U594="dead",0,怪しいデータを手直し!U594)</f>
        <v>11.650141834326739</v>
      </c>
      <c r="G668">
        <f>怪しいデータを手直し!L594</f>
        <v>9.3000000000000007</v>
      </c>
      <c r="H668">
        <v>0</v>
      </c>
    </row>
    <row r="669" spans="1:9">
      <c r="A669">
        <f>怪しいデータを手直し!F656</f>
        <v>810</v>
      </c>
      <c r="B669">
        <f>怪しいデータを手直し!C656</f>
        <v>8.970067549236866</v>
      </c>
      <c r="C669">
        <f>怪しいデータを手直し!D656</f>
        <v>-42.178838944682475</v>
      </c>
      <c r="D669" t="str">
        <f>怪しいデータを手直し!G656</f>
        <v>lc</v>
      </c>
      <c r="E669">
        <f>怪しいデータを手直し!T656</f>
        <v>18.621128341751756</v>
      </c>
      <c r="F669">
        <f>IF(怪しいデータを手直し!U656="dead",0,怪しいデータを手直し!U656)</f>
        <v>18.939438227935547</v>
      </c>
      <c r="G669">
        <f>怪しいデータを手直し!L656</f>
        <v>14</v>
      </c>
      <c r="H669">
        <v>0</v>
      </c>
    </row>
    <row r="670" spans="1:9">
      <c r="A670">
        <f>怪しいデータを手直し!F603</f>
        <v>811</v>
      </c>
      <c r="B670">
        <f>怪しいデータを手直し!C603</f>
        <v>11.166274455480494</v>
      </c>
      <c r="C670">
        <f>怪しいデータを手直し!D603</f>
        <v>-48.442375846327636</v>
      </c>
      <c r="D670" t="str">
        <f>怪しいデータを手直し!G603</f>
        <v>lc</v>
      </c>
      <c r="E670">
        <f>怪しいデータを手直し!T603</f>
        <v>12.063944686365666</v>
      </c>
      <c r="F670">
        <f>IF(怪しいデータを手直し!U603="dead",0,怪しいデータを手直し!U603)</f>
        <v>11.904789743273771</v>
      </c>
      <c r="G670">
        <f>怪しいデータを手直し!L603</f>
        <v>10.6</v>
      </c>
      <c r="H670">
        <v>0</v>
      </c>
    </row>
    <row r="671" spans="1:9">
      <c r="A671">
        <f>怪しいデータを手直し!F679</f>
        <v>812</v>
      </c>
      <c r="B671">
        <f>怪しいデータを手直し!C679</f>
        <v>11.451037265159524</v>
      </c>
      <c r="C671">
        <f>怪しいデータを手直し!D679</f>
        <v>-46.139995316284079</v>
      </c>
      <c r="D671" t="str">
        <f>怪しいデータを手直し!G679</f>
        <v>lc</v>
      </c>
      <c r="E671">
        <f>怪しいデータを手直し!T679</f>
        <v>24.350706293059986</v>
      </c>
      <c r="F671">
        <f>IF(怪しいデータを手直し!U679="dead",0,怪しいデータを手直し!U679)</f>
        <v>24.891833099572434</v>
      </c>
      <c r="G671">
        <f>怪しいデータを手直し!L679</f>
        <v>16</v>
      </c>
      <c r="H671">
        <v>0</v>
      </c>
    </row>
    <row r="672" spans="1:9">
      <c r="A672">
        <f>怪しいデータを手直し!F568</f>
        <v>813</v>
      </c>
      <c r="B672">
        <f>怪しいデータを手直し!C568</f>
        <v>13.313416888113256</v>
      </c>
      <c r="C672">
        <f>怪しいデータを手直し!D568</f>
        <v>-46.262995010997308</v>
      </c>
      <c r="D672" t="str">
        <f>怪しいデータを手直し!G568</f>
        <v>lc</v>
      </c>
      <c r="E672">
        <f>怪しいデータを手直し!T568</f>
        <v>10.058592403407786</v>
      </c>
      <c r="F672">
        <f>IF(怪しいデータを手直し!U568="dead",0,怪しいデータを手直し!U568)</f>
        <v>10.281409323736439</v>
      </c>
      <c r="G672">
        <f>怪しいデータを手直し!L568</f>
        <v>7.9</v>
      </c>
      <c r="H672">
        <v>0</v>
      </c>
    </row>
    <row r="673" spans="1:9">
      <c r="A673">
        <f>怪しいデータを手直し!F663</f>
        <v>814</v>
      </c>
      <c r="B673">
        <f>怪しいデータを手直し!C663</f>
        <v>13.668225905124411</v>
      </c>
      <c r="C673">
        <f>怪しいデータを手直し!D663</f>
        <v>-49.401471127294251</v>
      </c>
      <c r="D673" t="str">
        <f>怪しいデータを手直し!G663</f>
        <v>lc</v>
      </c>
      <c r="E673">
        <f>怪しいデータを手直し!T663</f>
        <v>19.989860852342055</v>
      </c>
      <c r="F673">
        <f>IF(怪しいデータを手直し!U663="dead",0,怪しいデータを手直し!U663)</f>
        <v>20.180846784052328</v>
      </c>
      <c r="G673">
        <f>怪しいデータを手直し!L663</f>
        <v>16.7</v>
      </c>
      <c r="H673">
        <v>0</v>
      </c>
    </row>
    <row r="674" spans="1:9">
      <c r="A674">
        <f>怪しいデータを手直し!F558</f>
        <v>815</v>
      </c>
      <c r="B674">
        <f>怪しいデータを手直し!C558</f>
        <v>14.848486988509565</v>
      </c>
      <c r="C674">
        <f>怪しいデータを手直し!D558</f>
        <v>-47.855632099558299</v>
      </c>
      <c r="D674" t="str">
        <f>怪しいデータを手直し!G558</f>
        <v>lc</v>
      </c>
      <c r="E674">
        <f>怪しいデータを手直し!T558</f>
        <v>9.326479665185067</v>
      </c>
      <c r="F674">
        <f>IF(怪しいデータを手直し!U558="dead",0,怪しいデータを手直し!U558)</f>
        <v>9.6766205399872369</v>
      </c>
      <c r="G674">
        <f>怪しいデータを手直し!L558</f>
        <v>8.5</v>
      </c>
      <c r="H674">
        <v>0</v>
      </c>
    </row>
    <row r="675" spans="1:9">
      <c r="A675">
        <f>怪しいデータを手直し!F555</f>
        <v>816</v>
      </c>
      <c r="B675">
        <f>怪しいデータを手直し!C555</f>
        <v>16.681584647994701</v>
      </c>
      <c r="C675">
        <f>怪しいデータを手直し!D555</f>
        <v>-45.752622038059769</v>
      </c>
      <c r="D675" t="str">
        <f>怪しいデータを手直し!G555</f>
        <v>lc</v>
      </c>
      <c r="E675">
        <f>怪しいデータを手直し!T555</f>
        <v>9.0081697790012765</v>
      </c>
      <c r="F675">
        <f>IF(怪しいデータを手直し!U555="dead",0,怪しいデータを手直し!U555)</f>
        <v>8.753521870054243</v>
      </c>
      <c r="G675">
        <f>怪しいデータを手直し!L555</f>
        <v>5.2</v>
      </c>
      <c r="H675">
        <v>0</v>
      </c>
    </row>
    <row r="676" spans="1:9">
      <c r="A676">
        <f>怪しいデータを手直し!F641</f>
        <v>817</v>
      </c>
      <c r="B676">
        <f>怪しいデータを手直し!C641</f>
        <v>17.164256873551739</v>
      </c>
      <c r="C676">
        <f>怪しいデータを手直し!D641</f>
        <v>-46.13960352802961</v>
      </c>
      <c r="D676" t="str">
        <f>怪しいデータを手直し!G641</f>
        <v>lc</v>
      </c>
      <c r="E676">
        <f>怪しいデータを手直し!T641</f>
        <v>15.724508377479259</v>
      </c>
      <c r="F676">
        <f>IF(怪しいデータを手直し!U641="dead",0,怪しいデータを手直し!U641)</f>
        <v>16.074649252281429</v>
      </c>
      <c r="G676">
        <f>怪しいデータを手直し!L641</f>
        <v>11.7</v>
      </c>
      <c r="H676">
        <v>0</v>
      </c>
    </row>
    <row r="677" spans="1:9">
      <c r="A677">
        <f>怪しいデータを手直し!F665</f>
        <v>818</v>
      </c>
      <c r="B677">
        <f>怪しいデータを手直し!C665</f>
        <v>19.293620727485088</v>
      </c>
      <c r="C677">
        <f>怪しいデータを手直し!D665</f>
        <v>-47.435506224737267</v>
      </c>
      <c r="D677" t="str">
        <f>怪しいデータを手直し!G665</f>
        <v>lc</v>
      </c>
      <c r="E677">
        <f>怪しいデータを手直し!T665</f>
        <v>20.308170738525845</v>
      </c>
      <c r="F677">
        <f>IF(怪しいデータを手直し!U665="dead",0,怪しいデータを手直し!U665)</f>
        <v>20.626480624709636</v>
      </c>
      <c r="G677">
        <f>怪しいデータを手直し!L665</f>
        <v>14.4</v>
      </c>
      <c r="H677">
        <v>0</v>
      </c>
      <c r="I677">
        <v>181</v>
      </c>
    </row>
    <row r="678" spans="1:9">
      <c r="A678">
        <f>怪しいデータを手直し!F685</f>
        <v>819</v>
      </c>
      <c r="B678">
        <f>怪しいデータを手直し!C685</f>
        <v>23.607320227562639</v>
      </c>
      <c r="C678">
        <f>怪しいデータを手直し!D685</f>
        <v>-43.356142628275542</v>
      </c>
      <c r="D678" t="str">
        <f>怪しいデータを手直し!G685</f>
        <v>lc</v>
      </c>
      <c r="E678">
        <f>怪しいデータを手直し!T685</f>
        <v>27.947608006936822</v>
      </c>
      <c r="F678">
        <f>IF(怪しいデータを手直し!U685="dead",0,怪しいデータを手直し!U685)</f>
        <v>0</v>
      </c>
      <c r="G678">
        <f>怪しいデータを手直し!L685</f>
        <v>16.899999999999999</v>
      </c>
      <c r="H678">
        <v>0</v>
      </c>
    </row>
    <row r="679" spans="1:9">
      <c r="A679">
        <f>怪しいデータを手直し!F578</f>
        <v>820</v>
      </c>
      <c r="B679">
        <f>怪しいデータを手直し!C578</f>
        <v>26.290903973680571</v>
      </c>
      <c r="C679">
        <f>怪しいデータを手直し!D578</f>
        <v>-49.394254844072186</v>
      </c>
      <c r="D679" t="str">
        <f>怪しいデータを手直し!G578</f>
        <v>lc</v>
      </c>
      <c r="E679">
        <f>怪しいデータを手直し!T578</f>
        <v>10.504226244065093</v>
      </c>
      <c r="F679">
        <f>IF(怪しいデータを手直し!U578="dead",0,怪しいデータを手直し!U578)</f>
        <v>10.599719209920229</v>
      </c>
      <c r="G679">
        <f>怪しいデータを手直し!L578</f>
        <v>9.1999999999999993</v>
      </c>
      <c r="H679">
        <v>0</v>
      </c>
    </row>
    <row r="680" spans="1:9">
      <c r="A680">
        <f>怪しいデータを手直し!F693</f>
        <v>821</v>
      </c>
      <c r="B680">
        <f>怪しいデータを手直し!C693</f>
        <v>33.914906133753021</v>
      </c>
      <c r="C680">
        <f>怪しいデータを手直し!D693</f>
        <v>-40.244402616523288</v>
      </c>
      <c r="D680" t="str">
        <f>怪しいデータを手直し!G693</f>
        <v>lc</v>
      </c>
      <c r="E680">
        <f>怪しいデータを手直し!T693</f>
        <v>31.671833675287171</v>
      </c>
      <c r="F680">
        <f>IF(怪しいデータを手直し!U693="dead",0,怪しいデータを手直し!U693)</f>
        <v>0</v>
      </c>
      <c r="G680">
        <f>怪しいデータを手直し!L693</f>
        <v>18.600000000000001</v>
      </c>
      <c r="H680">
        <v>0</v>
      </c>
    </row>
    <row r="681" spans="1:9">
      <c r="A681">
        <f>怪しいデータを手直し!F545</f>
        <v>822</v>
      </c>
      <c r="B681">
        <f>怪しいデータを手直し!C545</f>
        <v>39.579541004681793</v>
      </c>
      <c r="C681">
        <f>怪しいデータを手直し!D545</f>
        <v>-40.455647048992972</v>
      </c>
      <c r="D681" t="str">
        <f>怪しいデータを手直し!G545</f>
        <v>lc</v>
      </c>
      <c r="E681">
        <f>怪しいデータを手直し!T545</f>
        <v>8.3715500066336954</v>
      </c>
      <c r="F681">
        <f>IF(怪しいデータを手直し!U545="dead",0,怪しいデータを手直し!U545)</f>
        <v>9.326479665185067</v>
      </c>
      <c r="G681">
        <f>怪しいデータを手直し!L545</f>
        <v>7.3</v>
      </c>
      <c r="H681">
        <v>0</v>
      </c>
    </row>
    <row r="682" spans="1:9">
      <c r="A682">
        <f>怪しいデータを手直し!F520</f>
        <v>823</v>
      </c>
      <c r="B682">
        <f>怪しいデータを手直し!C520</f>
        <v>41.216872835862169</v>
      </c>
      <c r="C682">
        <f>怪しいデータを手直し!D520</f>
        <v>-41.229683089800275</v>
      </c>
      <c r="D682" t="str">
        <f>怪しいデータを手直し!G520</f>
        <v>lc</v>
      </c>
      <c r="E682">
        <f>怪しいデータを手直し!T520</f>
        <v>7.0346484846617745</v>
      </c>
      <c r="F682">
        <f>IF(怪しいデータを手直し!U520="dead",0,怪しいデータを手直し!U520)</f>
        <v>8.1487330863050413</v>
      </c>
      <c r="G682">
        <f>怪しいデータを手直し!L520</f>
        <v>7.3</v>
      </c>
      <c r="H682">
        <v>0</v>
      </c>
    </row>
    <row r="683" spans="1:9">
      <c r="A683">
        <f>怪しいデータを手直し!F586</f>
        <v>824</v>
      </c>
      <c r="B683">
        <f>怪しいデータを手直し!C586</f>
        <v>43.173974312698384</v>
      </c>
      <c r="C683">
        <f>怪しいデータを手直し!D586</f>
        <v>-48.816052805101094</v>
      </c>
      <c r="D683" t="str">
        <f>怪しいデータを手直し!G586</f>
        <v>lc</v>
      </c>
      <c r="E683">
        <f>怪しいデータを手直し!T586</f>
        <v>11.077184039195915</v>
      </c>
      <c r="F683">
        <f>IF(怪しいデータを手直し!U586="dead",0,怪しいデータを手直し!U586)</f>
        <v>11.459155902616464</v>
      </c>
      <c r="G683">
        <f>怪しいデータを手直し!L586</f>
        <v>8.3000000000000007</v>
      </c>
      <c r="H683">
        <v>0</v>
      </c>
    </row>
    <row r="684" spans="1:9">
      <c r="A684">
        <f>怪しいデータを手直し!F472</f>
        <v>825</v>
      </c>
      <c r="B684">
        <f>怪しいデータを手直し!C472</f>
        <v>44.836810606651362</v>
      </c>
      <c r="C684">
        <f>怪しいデータを手直し!D472</f>
        <v>-49.251965367173881</v>
      </c>
      <c r="D684" t="str">
        <f>怪しいデータを手直し!G472</f>
        <v>lc</v>
      </c>
      <c r="E684">
        <f>怪しいデータを手直し!T472</f>
        <v>5.5704230082163368</v>
      </c>
      <c r="F684">
        <f>IF(怪しいデータを手直し!U472="dead",0,怪しいデータを手直し!U472)</f>
        <v>5.6977469626898527</v>
      </c>
      <c r="G684">
        <f>怪しいデータを手直し!L472</f>
        <v>4.4000000000000004</v>
      </c>
      <c r="H684">
        <v>0</v>
      </c>
    </row>
    <row r="685" spans="1:9">
      <c r="A685">
        <f>怪しいデータを手直し!F648</f>
        <v>826</v>
      </c>
      <c r="B685">
        <f>怪しいデータを手直し!C648</f>
        <v>45.008992517250434</v>
      </c>
      <c r="C685">
        <f>怪しいデータを手直し!D648</f>
        <v>-49.500399673810001</v>
      </c>
      <c r="D685" t="str">
        <f>怪しいデータを手直し!G648</f>
        <v>lc</v>
      </c>
      <c r="E685">
        <f>怪しいデータを手直し!T648</f>
        <v>16.934085944977664</v>
      </c>
      <c r="F685">
        <f>IF(怪しいデータを手直し!U648="dead",0,怪しいデータを手直し!U648)</f>
        <v>17.379719785634972</v>
      </c>
      <c r="G685">
        <f>怪しいデータを手直し!L648</f>
        <v>11.1</v>
      </c>
      <c r="H685">
        <v>0</v>
      </c>
      <c r="I685">
        <v>64</v>
      </c>
    </row>
    <row r="686" spans="1:9">
      <c r="A686">
        <f>怪しいデータを手直し!F577</f>
        <v>827</v>
      </c>
      <c r="B686">
        <f>怪しいデータを手直し!C577</f>
        <v>44.973961314677979</v>
      </c>
      <c r="C686">
        <f>怪しいデータを手直し!D577</f>
        <v>-49.889621268789163</v>
      </c>
      <c r="D686" t="str">
        <f>怪しいデータを手直し!G577</f>
        <v>lc</v>
      </c>
      <c r="E686">
        <f>怪しいデータを手直し!T577</f>
        <v>10.440564266828334</v>
      </c>
      <c r="F686">
        <f>IF(怪しいデータを手直し!U577="dead",0,怪しいデータを手直し!U577)</f>
        <v>10.790705141630504</v>
      </c>
      <c r="G686">
        <f>怪しいデータを手直し!L577</f>
        <v>8.8000000000000007</v>
      </c>
      <c r="H686">
        <v>0</v>
      </c>
    </row>
    <row r="687" spans="1:9">
      <c r="A687">
        <f>怪しいデータを手直し!F260</f>
        <v>828</v>
      </c>
      <c r="B687">
        <f>怪しいデータを手直し!C260</f>
        <v>45.382901456243502</v>
      </c>
      <c r="C687">
        <f>怪しいデータを手直し!D260</f>
        <v>-40.852567834469262</v>
      </c>
      <c r="D687" t="str">
        <f>怪しいデータを手直し!G260</f>
        <v>bp</v>
      </c>
      <c r="E687">
        <f>怪しいデータを手直し!T260</f>
        <v>2.14</v>
      </c>
      <c r="F687">
        <f>IF(怪しいデータを手直し!U260="dead",0,怪しいデータを手直し!U260)</f>
        <v>2.7374650211805998</v>
      </c>
      <c r="G687">
        <f>怪しいデータを手直し!L260</f>
        <v>3.6</v>
      </c>
      <c r="H687">
        <v>828</v>
      </c>
    </row>
    <row r="688" spans="1:9">
      <c r="A688">
        <f>怪しいデータを手直し!F45</f>
        <v>829</v>
      </c>
      <c r="B688">
        <f>怪しいデータを手直し!C45</f>
        <v>45.530277221602518</v>
      </c>
      <c r="C688">
        <f>怪しいデータを手直し!D45</f>
        <v>-41.054956801117626</v>
      </c>
      <c r="D688" t="str">
        <f>怪しいデータを手直し!G45</f>
        <v>lc</v>
      </c>
      <c r="E688">
        <f>怪しいデータを手直し!T45</f>
        <v>0.56000000000000005</v>
      </c>
      <c r="F688">
        <f>IF(怪しいデータを手直し!U45="dead",0,怪しいデータを手直し!U45)</f>
        <v>1</v>
      </c>
      <c r="G688">
        <f>怪しいデータを手直し!L45</f>
        <v>1.4</v>
      </c>
      <c r="H688">
        <v>0</v>
      </c>
    </row>
    <row r="689" spans="1:9">
      <c r="A689">
        <f>怪しいデータを手直し!F565</f>
        <v>830</v>
      </c>
      <c r="B689">
        <f>怪しいデータを手直し!C565</f>
        <v>46.484910842853935</v>
      </c>
      <c r="C689">
        <f>怪しいデータを手直し!D565</f>
        <v>-41.761911280466606</v>
      </c>
      <c r="D689" t="str">
        <f>怪しいデータを手直し!G565</f>
        <v>lc</v>
      </c>
      <c r="E689">
        <f>怪しいデータを手直し!T565</f>
        <v>9.8676064716975116</v>
      </c>
      <c r="F689">
        <f>IF(怪しいデータを手直し!U565="dead",0,怪しいデータを手直し!U565)</f>
        <v>10.790705141630504</v>
      </c>
      <c r="G689">
        <f>怪しいデータを手直し!L565</f>
        <v>6.6</v>
      </c>
      <c r="H689">
        <v>0</v>
      </c>
    </row>
    <row r="690" spans="1:9">
      <c r="A690">
        <f>怪しいデータを手直し!F583</f>
        <v>1000</v>
      </c>
      <c r="B690">
        <f>怪しいデータを手直し!C583</f>
        <v>31.896743692831674</v>
      </c>
      <c r="C690">
        <f>怪しいデータを手直し!D583</f>
        <v>17.510168004924175</v>
      </c>
      <c r="D690" t="str">
        <f>怪しいデータを手直し!G583</f>
        <v>bp</v>
      </c>
      <c r="E690">
        <f>怪しいデータを手直し!T583</f>
        <v>10.981691073340778</v>
      </c>
      <c r="F690">
        <f>IF(怪しいデータを手直し!U583="dead",0,怪しいデータを手直し!U583)</f>
        <v>10.949860084722399</v>
      </c>
      <c r="G690">
        <f>怪しいデータを手直し!L583</f>
        <v>7.6</v>
      </c>
      <c r="H690">
        <v>224</v>
      </c>
      <c r="I690">
        <v>123</v>
      </c>
    </row>
    <row r="691" spans="1:9">
      <c r="A691">
        <f>怪しいデータを手直し!F480</f>
        <v>1001</v>
      </c>
      <c r="B691">
        <f>怪しいデータを手直し!C480</f>
        <v>31.896743692831674</v>
      </c>
      <c r="C691">
        <f>怪しいデータを手直し!D480</f>
        <v>17.510168004924175</v>
      </c>
      <c r="D691" t="str">
        <f>怪しいデータを手直し!G480</f>
        <v>bp</v>
      </c>
      <c r="E691">
        <f>怪しいデータを手直し!T480</f>
        <v>5.6977469626898527</v>
      </c>
      <c r="F691">
        <f>IF(怪しいデータを手直し!U480="dead",0,怪しいデータを手直し!U480)</f>
        <v>5.79323992854499</v>
      </c>
      <c r="G691">
        <f>怪しいデータを手直し!L480</f>
        <v>6</v>
      </c>
      <c r="H691">
        <v>224</v>
      </c>
    </row>
    <row r="692" spans="1:9">
      <c r="A692">
        <f>怪しいデータを手直し!F416</f>
        <v>2001</v>
      </c>
      <c r="B692">
        <f>怪しいデータを手直し!C416</f>
        <v>50.215139710240834</v>
      </c>
      <c r="C692">
        <f>怪しいデータを手直し!D416</f>
        <v>-27.437723206428444</v>
      </c>
      <c r="D692" t="str">
        <f>怪しいデータを手直し!G416</f>
        <v>bp</v>
      </c>
      <c r="E692">
        <f>怪しいデータを手直し!T416</f>
        <v>4.169859509007658</v>
      </c>
      <c r="F692">
        <f>IF(怪しいデータを手直し!U416="dead",0,怪しいデータを手直し!U416)</f>
        <v>4.169859509007658</v>
      </c>
      <c r="G692">
        <f>怪しいデータを手直し!L416</f>
        <v>0</v>
      </c>
      <c r="H692">
        <v>702</v>
      </c>
    </row>
    <row r="693" spans="1:9">
      <c r="A693">
        <f>怪しいデータを手直し!F632</f>
        <v>2002</v>
      </c>
      <c r="B693">
        <f>怪しいデータを手直し!C632</f>
        <v>50.215139710240834</v>
      </c>
      <c r="C693">
        <f>怪しいデータを手直し!D632</f>
        <v>-27.437723206428444</v>
      </c>
      <c r="D693" t="str">
        <f>怪しいデータを手直し!G632</f>
        <v>bp</v>
      </c>
      <c r="E693">
        <f>怪しいデータを手直し!T632</f>
        <v>14.260282901033822</v>
      </c>
      <c r="F693">
        <f>IF(怪しいデータを手直し!U632="dead",0,怪しいデータを手直し!U632)</f>
        <v>14.260282901033822</v>
      </c>
      <c r="G693">
        <f>怪しいデータを手直し!L632</f>
        <v>0</v>
      </c>
      <c r="H693">
        <v>702</v>
      </c>
    </row>
    <row r="694" spans="1:9">
      <c r="A694">
        <f>怪しいデータを手直し!F541</f>
        <v>2003</v>
      </c>
      <c r="B694">
        <f>怪しいデータを手直し!C541</f>
        <v>50.215139710240834</v>
      </c>
      <c r="C694">
        <f>怪しいデータを手直し!D541</f>
        <v>-27.437723206428444</v>
      </c>
      <c r="D694" t="str">
        <f>怪しいデータを手直し!G541</f>
        <v>bp</v>
      </c>
      <c r="E694">
        <f>怪しいデータを手直し!T541</f>
        <v>7.9577471545947667</v>
      </c>
      <c r="F694">
        <f>IF(怪しいデータを手直し!U541="dead",0,怪しいデータを手直し!U541)</f>
        <v>8.1169020976866619</v>
      </c>
      <c r="G694">
        <f>怪しいデータを手直し!L541</f>
        <v>0</v>
      </c>
      <c r="H694">
        <v>702</v>
      </c>
    </row>
    <row r="695" spans="1:9">
      <c r="A695">
        <f>怪しいデータを手直し!F347</f>
        <v>2004</v>
      </c>
      <c r="B695">
        <f>怪しいデータを手直し!C347</f>
        <v>50.215139710240834</v>
      </c>
      <c r="C695">
        <f>怪しいデータを手直し!D347</f>
        <v>-27.437723206428444</v>
      </c>
      <c r="D695" t="str">
        <f>怪しいデータを手直し!G347</f>
        <v>bp</v>
      </c>
      <c r="E695">
        <f>怪しいデータを手直し!T347</f>
        <v>3.1194368846011491</v>
      </c>
      <c r="F695">
        <f>IF(怪しいデータを手直し!U347="dead",0,怪しいデータを手直し!U347)</f>
        <v>3.1194368846011491</v>
      </c>
      <c r="G695">
        <f>怪しいデータを手直し!L347</f>
        <v>0</v>
      </c>
      <c r="H695">
        <v>702</v>
      </c>
    </row>
    <row r="696" spans="1:9">
      <c r="A696">
        <f>怪しいデータを手直し!F402</f>
        <v>2005</v>
      </c>
      <c r="B696">
        <f>怪しいデータを手直し!C402</f>
        <v>50.215139710240834</v>
      </c>
      <c r="C696">
        <f>怪しいデータを手直し!D402</f>
        <v>-27.437723206428444</v>
      </c>
      <c r="D696" t="str">
        <f>怪しいデータを手直し!G402</f>
        <v>bp</v>
      </c>
      <c r="E696">
        <f>怪しいデータを手直し!T402</f>
        <v>3.9470425886790048</v>
      </c>
      <c r="F696">
        <f>IF(怪しいデータを手直し!U402="dead",0,怪しいデータを手直し!U402)</f>
        <v>4.1380285203892786</v>
      </c>
      <c r="G696">
        <f>怪しいデータを手直し!L402</f>
        <v>0</v>
      </c>
      <c r="H696">
        <v>702</v>
      </c>
    </row>
    <row r="697" spans="1:9">
      <c r="A697">
        <f>怪しいデータを手直し!F626</f>
        <v>2006</v>
      </c>
      <c r="B697">
        <f>怪しいデータを手直し!C626</f>
        <v>50.215139710240834</v>
      </c>
      <c r="C697">
        <f>怪しいデータを手直し!D626</f>
        <v>-27.437723206428444</v>
      </c>
      <c r="D697" t="str">
        <f>怪しいデータを手直し!G626</f>
        <v>bp</v>
      </c>
      <c r="E697">
        <f>怪しいデータを手直し!T626</f>
        <v>13.209860276627314</v>
      </c>
      <c r="F697">
        <f>IF(怪しいデータを手直し!U626="dead",0,怪しいデータを手直し!U626)</f>
        <v>13.369015219719209</v>
      </c>
      <c r="G697">
        <f>怪しいデータを手直し!L626</f>
        <v>0</v>
      </c>
      <c r="H697">
        <v>702</v>
      </c>
    </row>
    <row r="698" spans="1:9">
      <c r="A698">
        <f>怪しいデータを手直し!F433</f>
        <v>2007</v>
      </c>
      <c r="B698">
        <f>怪しいデータを手直し!C433</f>
        <v>50.215139710240834</v>
      </c>
      <c r="C698">
        <f>怪しいデータを手直し!D433</f>
        <v>-27.437723206428444</v>
      </c>
      <c r="D698" t="str">
        <f>怪しいデータを手直し!G433</f>
        <v>bp</v>
      </c>
      <c r="E698">
        <f>怪しいデータを手直し!T433</f>
        <v>4.5836623610465859</v>
      </c>
      <c r="F698">
        <f>IF(怪しいデータを手直し!U433="dead",0,怪しいデータを手直し!U433)</f>
        <v>5.0929581789406511</v>
      </c>
      <c r="G698">
        <f>怪しいデータを手直し!L433</f>
        <v>0</v>
      </c>
      <c r="H698">
        <v>702</v>
      </c>
    </row>
    <row r="699" spans="1:9">
      <c r="A699">
        <f>怪しいデータを手直し!F607</f>
        <v>2008</v>
      </c>
      <c r="B699">
        <f>怪しいデータを手直し!C607</f>
        <v>50.215139710240834</v>
      </c>
      <c r="C699">
        <f>怪しいデータを手直し!D607</f>
        <v>-27.437723206428444</v>
      </c>
      <c r="D699" t="str">
        <f>怪しいデータを手直し!G607</f>
        <v>bp</v>
      </c>
      <c r="E699">
        <f>怪しいデータを手直し!T607</f>
        <v>12.223099629457561</v>
      </c>
      <c r="F699">
        <f>IF(怪しいデータを手直し!U607="dead",0,怪しいデータを手直し!U607)</f>
        <v>12.350423583931077</v>
      </c>
      <c r="G699">
        <f>怪しいデータを手直し!L607</f>
        <v>0</v>
      </c>
      <c r="H699">
        <v>702</v>
      </c>
    </row>
    <row r="700" spans="1:9">
      <c r="A700">
        <f>怪しいデータを手直し!F353</f>
        <v>2009</v>
      </c>
      <c r="B700">
        <f>怪しいデータを手直し!C353</f>
        <v>50.215139710240834</v>
      </c>
      <c r="C700">
        <f>怪しいデータを手直し!D353</f>
        <v>-27.437723206428444</v>
      </c>
      <c r="D700" t="str">
        <f>怪しいデータを手直し!G353</f>
        <v>bp</v>
      </c>
      <c r="E700">
        <f>怪しいデータを手直し!T353</f>
        <v>3.183098861837907</v>
      </c>
      <c r="F700">
        <f>IF(怪しいデータを手直し!U353="dead",0,怪しいデータを手直し!U353)</f>
        <v>3.3422538049298023</v>
      </c>
      <c r="G700">
        <f>怪しいデータを手直し!L353</f>
        <v>0</v>
      </c>
      <c r="H700">
        <v>702</v>
      </c>
    </row>
    <row r="701" spans="1:9">
      <c r="A701">
        <f>怪しいデータを手直し!F198</f>
        <v>2010</v>
      </c>
      <c r="B701">
        <f>怪しいデータを手直し!C198</f>
        <v>50.215139710240834</v>
      </c>
      <c r="C701">
        <f>怪しいデータを手直し!D198</f>
        <v>-27.437723206428444</v>
      </c>
      <c r="D701" t="str">
        <f>怪しいデータを手直し!G198</f>
        <v>bp</v>
      </c>
      <c r="E701">
        <f>怪しいデータを手直し!T198</f>
        <v>1.57</v>
      </c>
      <c r="F701">
        <f>IF(怪しいデータを手直し!U198="dead",0,怪しいデータを手直し!U198)</f>
        <v>1.56</v>
      </c>
      <c r="G701">
        <f>怪しいデータを手直し!L198</f>
        <v>0</v>
      </c>
      <c r="H701">
        <v>702</v>
      </c>
    </row>
    <row r="702" spans="1:9">
      <c r="A702">
        <f>怪しいデータを手直し!F702</f>
        <v>3581</v>
      </c>
      <c r="B702">
        <f>怪しいデータを手直し!C702</f>
        <v>17.134050908049542</v>
      </c>
      <c r="C702">
        <f>怪しいデータを手直し!D702</f>
        <v>31.254967768961702</v>
      </c>
      <c r="D702" t="str">
        <f>怪しいデータを手直し!G702</f>
        <v>lc</v>
      </c>
      <c r="E702">
        <f>怪しいデータを手直し!T702</f>
        <v>0</v>
      </c>
      <c r="F702">
        <f>IF(怪しいデータを手直し!U702="dead",0,怪しいデータを手直し!U702)</f>
        <v>0.7</v>
      </c>
      <c r="G702">
        <f>怪しいデータを手直し!L702</f>
        <v>0</v>
      </c>
      <c r="H702">
        <v>0</v>
      </c>
    </row>
    <row r="703" spans="1:9">
      <c r="A703">
        <f>怪しいデータを手直し!F703</f>
        <v>3582</v>
      </c>
      <c r="B703">
        <f>怪しいデータを手直し!C703</f>
        <v>16.471613120300947</v>
      </c>
      <c r="C703">
        <f>怪しいデータを手直し!D703</f>
        <v>13.888537465570909</v>
      </c>
      <c r="D703" t="str">
        <f>怪しいデータを手直し!G703</f>
        <v>bp</v>
      </c>
      <c r="E703">
        <f>怪しいデータを手直し!T703</f>
        <v>0</v>
      </c>
      <c r="F703">
        <f>IF(怪しいデータを手直し!U703="dead",0,怪しいデータを手直し!U703)</f>
        <v>0.65</v>
      </c>
      <c r="G703">
        <f>怪しいデータを手直し!L703</f>
        <v>0</v>
      </c>
      <c r="H703" s="58">
        <v>112</v>
      </c>
    </row>
    <row r="704" spans="1:9">
      <c r="A704">
        <f>怪しいデータを手直し!F704</f>
        <v>3583</v>
      </c>
      <c r="B704">
        <f>怪しいデータを手直し!C704</f>
        <v>16.471613120300947</v>
      </c>
      <c r="C704">
        <f>怪しいデータを手直し!D704</f>
        <v>13.888537465570909</v>
      </c>
      <c r="D704" t="str">
        <f>怪しいデータを手直し!G704</f>
        <v>bp</v>
      </c>
      <c r="E704">
        <f>怪しいデータを手直し!T704</f>
        <v>0</v>
      </c>
      <c r="F704">
        <f>IF(怪しいデータを手直し!U704="dead",0,怪しいデータを手直し!U704)</f>
        <v>0.65</v>
      </c>
      <c r="G704">
        <f>怪しいデータを手直し!L704</f>
        <v>0</v>
      </c>
      <c r="H704" s="58">
        <v>112</v>
      </c>
    </row>
    <row r="705" spans="1:8">
      <c r="A705">
        <f>怪しいデータを手直し!F706</f>
        <v>3584</v>
      </c>
      <c r="B705">
        <f>怪しいデータを手直し!C706</f>
        <v>26.72</v>
      </c>
      <c r="C705">
        <f>怪しいデータを手直し!D706</f>
        <v>7.06</v>
      </c>
      <c r="D705" t="str">
        <f>怪しいデータを手直し!G706</f>
        <v>lc</v>
      </c>
      <c r="E705">
        <f>怪しいデータを手直し!T706</f>
        <v>0</v>
      </c>
      <c r="F705">
        <f>IF(怪しいデータを手直し!U706="dead",0,怪しいデータを手直し!U706)</f>
        <v>0.38400000000000001</v>
      </c>
      <c r="G705">
        <f>怪しいデータを手直し!L706</f>
        <v>0</v>
      </c>
      <c r="H705">
        <v>0</v>
      </c>
    </row>
    <row r="706" spans="1:8">
      <c r="A706">
        <f>怪しいデータを手直し!F705</f>
        <v>3585</v>
      </c>
      <c r="B706">
        <f>怪しいデータを手直し!C705</f>
        <v>20.025377074440154</v>
      </c>
      <c r="C706">
        <f>怪しいデータを手直し!D705</f>
        <v>14.539977854319202</v>
      </c>
      <c r="D706" t="str">
        <f>怪しいデータを手直し!G705</f>
        <v>lc</v>
      </c>
      <c r="E706">
        <f>怪しいデータを手直し!T705</f>
        <v>0</v>
      </c>
      <c r="F706">
        <f>IF(怪しいデータを手直し!U705="dead",0,怪しいデータを手直し!U705)</f>
        <v>0.59000000000000008</v>
      </c>
      <c r="G706">
        <f>怪しいデータを手直し!L705</f>
        <v>0</v>
      </c>
      <c r="H706">
        <v>0</v>
      </c>
    </row>
    <row r="707" spans="1:8">
      <c r="A707">
        <f>怪しいデータを手直し!F707</f>
        <v>3586</v>
      </c>
      <c r="B707">
        <f>怪しいデータを手直し!C707</f>
        <v>25.05</v>
      </c>
      <c r="C707">
        <f>怪しいデータを手直し!D707</f>
        <v>28.61</v>
      </c>
      <c r="D707" t="str">
        <f>怪しいデータを手直し!G707</f>
        <v>pt</v>
      </c>
      <c r="E707">
        <f>怪しいデータを手直し!T707</f>
        <v>0</v>
      </c>
      <c r="F707">
        <f>IF(怪しいデータを手直し!U707="dead",0,怪しいデータを手直し!U707)</f>
        <v>0.57999999999999996</v>
      </c>
      <c r="G707">
        <f>怪しいデータを手直し!L707</f>
        <v>0</v>
      </c>
      <c r="H707">
        <v>0</v>
      </c>
    </row>
    <row r="708" spans="1:8">
      <c r="A708">
        <f>怪しいデータを手直し!F708</f>
        <v>3587</v>
      </c>
      <c r="B708">
        <f>怪しいデータを手直し!C708</f>
        <v>25.43</v>
      </c>
      <c r="C708">
        <f>怪しいデータを手直し!D708</f>
        <v>34.33</v>
      </c>
      <c r="D708" t="str">
        <f>怪しいデータを手直し!G708</f>
        <v>bp</v>
      </c>
      <c r="E708">
        <f>怪しいデータを手直し!T708</f>
        <v>0</v>
      </c>
      <c r="F708">
        <f>IF(怪しいデータを手直し!U708="dead",0,怪しいデータを手直し!U708)</f>
        <v>0.48</v>
      </c>
      <c r="G708">
        <f>怪しいデータを手直し!L708</f>
        <v>0</v>
      </c>
      <c r="H708" s="61">
        <v>170</v>
      </c>
    </row>
    <row r="709" spans="1:8">
      <c r="A709">
        <f>怪しいデータを手直し!F709</f>
        <v>3588</v>
      </c>
      <c r="B709">
        <f>怪しいデータを手直し!C709</f>
        <v>23.54</v>
      </c>
      <c r="C709">
        <f>怪しいデータを手直し!D709</f>
        <v>32.4</v>
      </c>
      <c r="D709" t="str">
        <f>怪しいデータを手直し!G709</f>
        <v>pt</v>
      </c>
      <c r="E709">
        <f>怪しいデータを手直し!T709</f>
        <v>0</v>
      </c>
      <c r="F709">
        <f>IF(怪しいデータを手直し!U709="dead",0,怪しいデータを手直し!U709)</f>
        <v>0.78</v>
      </c>
      <c r="G709">
        <f>怪しいデータを手直し!L709</f>
        <v>0</v>
      </c>
      <c r="H709">
        <v>0</v>
      </c>
    </row>
    <row r="710" spans="1:8">
      <c r="A710">
        <f>怪しいデータを手直し!F710</f>
        <v>3589</v>
      </c>
      <c r="B710">
        <f>怪しいデータを手直し!C710</f>
        <v>24.63</v>
      </c>
      <c r="C710">
        <f>怪しいデータを手直し!D710</f>
        <v>40.14</v>
      </c>
      <c r="D710" t="str">
        <f>怪しいデータを手直し!G710</f>
        <v>lc</v>
      </c>
      <c r="E710">
        <f>怪しいデータを手直し!T710</f>
        <v>0</v>
      </c>
      <c r="F710">
        <f>IF(怪しいデータを手直し!U710="dead",0,怪しいデータを手直し!U710)</f>
        <v>0.28999999999999998</v>
      </c>
      <c r="G710">
        <f>怪しいデータを手直し!L710</f>
        <v>0</v>
      </c>
      <c r="H710">
        <v>0</v>
      </c>
    </row>
    <row r="711" spans="1:8">
      <c r="A711">
        <f>怪しいデータを手直し!F711</f>
        <v>3590</v>
      </c>
      <c r="B711">
        <f>怪しいデータを手直し!C711</f>
        <v>37.44</v>
      </c>
      <c r="C711">
        <f>怪しいデータを手直し!D711</f>
        <v>19.79</v>
      </c>
      <c r="D711" t="str">
        <f>怪しいデータを手直し!G711</f>
        <v>pt</v>
      </c>
      <c r="E711">
        <f>怪しいデータを手直し!T711</f>
        <v>0</v>
      </c>
      <c r="F711">
        <f>IF(怪しいデータを手直し!U711="dead",0,怪しいデータを手直し!U711)</f>
        <v>0.35</v>
      </c>
      <c r="G711">
        <f>怪しいデータを手直し!L711</f>
        <v>0</v>
      </c>
      <c r="H711">
        <v>0</v>
      </c>
    </row>
    <row r="712" spans="1:8">
      <c r="A712">
        <f>怪しいデータを手直し!F712</f>
        <v>3591</v>
      </c>
      <c r="B712">
        <f>怪しいデータを手直し!C712</f>
        <v>49.19</v>
      </c>
      <c r="C712">
        <f>怪しいデータを手直し!D712</f>
        <v>2.8</v>
      </c>
      <c r="D712" t="str">
        <f>怪しいデータを手直し!G712</f>
        <v>pt</v>
      </c>
      <c r="E712">
        <f>怪しいデータを手直し!T712</f>
        <v>0</v>
      </c>
      <c r="F712">
        <f>IF(怪しいデータを手直し!U712="dead",0,怪しいデータを手直し!U712)</f>
        <v>0.55000000000000004</v>
      </c>
      <c r="G712">
        <f>怪しいデータを手直し!L712</f>
        <v>0</v>
      </c>
      <c r="H712">
        <v>0</v>
      </c>
    </row>
    <row r="713" spans="1:8">
      <c r="A713">
        <f>怪しいデータを手直し!F713</f>
        <v>3594</v>
      </c>
      <c r="B713">
        <f>怪しいデータを手直し!C713</f>
        <v>41.89</v>
      </c>
      <c r="C713">
        <f>怪しいデータを手直し!D713</f>
        <v>29.82</v>
      </c>
      <c r="D713" t="str">
        <f>怪しいデータを手直し!G713</f>
        <v>bp</v>
      </c>
      <c r="E713">
        <f>怪しいデータを手直し!T713</f>
        <v>0</v>
      </c>
      <c r="F713">
        <f>IF(怪しいデータを手直し!U713="dead",0,怪しいデータを手直し!U713)</f>
        <v>0.71</v>
      </c>
      <c r="G713">
        <f>怪しいデータを手直し!L713</f>
        <v>0</v>
      </c>
      <c r="H713" s="61">
        <v>302</v>
      </c>
    </row>
    <row r="714" spans="1:8">
      <c r="A714">
        <f>怪しいデータを手直し!F715</f>
        <v>3595</v>
      </c>
      <c r="B714">
        <f>怪しいデータを手直し!C715</f>
        <v>48.9</v>
      </c>
      <c r="C714">
        <f>怪しいデータを手直し!D715</f>
        <v>30.46</v>
      </c>
      <c r="D714" t="str">
        <f>怪しいデータを手直し!G715</f>
        <v>af</v>
      </c>
      <c r="E714">
        <f>怪しいデータを手直し!T715</f>
        <v>0</v>
      </c>
      <c r="F714">
        <f>IF(怪しいデータを手直し!U715="dead",0,怪しいデータを手直し!U715)</f>
        <v>0.91999999999999993</v>
      </c>
      <c r="G714">
        <f>怪しいデータを手直し!L715</f>
        <v>0</v>
      </c>
      <c r="H714">
        <v>0</v>
      </c>
    </row>
    <row r="715" spans="1:8">
      <c r="A715">
        <f>怪しいデータを手直し!F714</f>
        <v>3596</v>
      </c>
      <c r="B715">
        <f>怪しいデータを手直し!C714</f>
        <v>48.92</v>
      </c>
      <c r="C715">
        <f>怪しいデータを手直し!D714</f>
        <v>30.4</v>
      </c>
      <c r="D715" t="str">
        <f>怪しいデータを手直し!G714</f>
        <v>af</v>
      </c>
      <c r="E715">
        <f>怪しいデータを手直し!T714</f>
        <v>0</v>
      </c>
      <c r="F715">
        <f>IF(怪しいデータを手直し!U714="dead",0,怪しいデータを手直し!U714)</f>
        <v>0.49000000000000005</v>
      </c>
      <c r="G715">
        <f>怪しいデータを手直し!L714</f>
        <v>0</v>
      </c>
      <c r="H715">
        <v>0</v>
      </c>
    </row>
    <row r="716" spans="1:8">
      <c r="A716">
        <f>怪しいデータを手直し!F728</f>
        <v>3602</v>
      </c>
      <c r="B716">
        <f>怪しいデータを手直し!C728</f>
        <v>45.6</v>
      </c>
      <c r="C716">
        <f>怪しいデータを手直し!D728</f>
        <v>-28.6</v>
      </c>
      <c r="D716" t="str">
        <f>怪しいデータを手直し!G728</f>
        <v>pt</v>
      </c>
      <c r="E716">
        <f>怪しいデータを手直し!T728</f>
        <v>0</v>
      </c>
      <c r="F716">
        <f>IF(怪しいデータを手直し!U728="dead",0,怪しいデータを手直し!U728)</f>
        <v>0.51</v>
      </c>
      <c r="G716">
        <f>怪しいデータを手直し!L728</f>
        <v>0</v>
      </c>
      <c r="H716">
        <v>0</v>
      </c>
    </row>
    <row r="717" spans="1:8">
      <c r="A717">
        <f>怪しいデータを手直し!F716</f>
        <v>4742</v>
      </c>
      <c r="B717">
        <f>怪しいデータを手直し!C716</f>
        <v>4.5</v>
      </c>
      <c r="C717">
        <f>怪しいデータを手直し!D716</f>
        <v>-6.5</v>
      </c>
      <c r="D717" t="str">
        <f>怪しいデータを手直し!G716</f>
        <v>lc</v>
      </c>
      <c r="E717">
        <f>怪しいデータを手直し!T716</f>
        <v>0</v>
      </c>
      <c r="F717">
        <f>IF(怪しいデータを手直し!U716="dead",0,怪しいデータを手直し!U716)</f>
        <v>0.83000000000000007</v>
      </c>
      <c r="G717">
        <f>怪しいデータを手直し!L716</f>
        <v>0</v>
      </c>
      <c r="H717">
        <v>0</v>
      </c>
    </row>
    <row r="718" spans="1:8">
      <c r="A718">
        <f>怪しいデータを手直し!F717</f>
        <v>4743</v>
      </c>
      <c r="B718">
        <f>怪しいデータを手直し!C717</f>
        <v>38.85</v>
      </c>
      <c r="C718">
        <f>怪しいデータを手直し!D717</f>
        <v>-3.97</v>
      </c>
      <c r="D718" t="str">
        <f>怪しいデータを手直し!G717</f>
        <v>bp</v>
      </c>
      <c r="E718">
        <f>怪しいデータを手直し!T717</f>
        <v>0</v>
      </c>
      <c r="F718">
        <f>IF(怪しいデータを手直し!U717="dead",0,怪しいデータを手直し!U717)</f>
        <v>0.35</v>
      </c>
      <c r="G718">
        <f>怪しいデータを手直し!L717</f>
        <v>0</v>
      </c>
      <c r="H718">
        <v>443</v>
      </c>
    </row>
    <row r="719" spans="1:8">
      <c r="A719">
        <f>怪しいデータを手直し!F718</f>
        <v>4745</v>
      </c>
      <c r="B719">
        <f>怪しいデータを手直し!C718</f>
        <v>47.84</v>
      </c>
      <c r="C719">
        <f>怪しいデータを手直し!D718</f>
        <v>-10.27</v>
      </c>
      <c r="D719" t="str">
        <f>怪しいデータを手直し!G718</f>
        <v>bp</v>
      </c>
      <c r="E719">
        <f>怪しいデータを手直し!T718</f>
        <v>0</v>
      </c>
      <c r="F719">
        <f>IF(怪しいデータを手直し!U718="dead",0,怪しいデータを手直し!U718)</f>
        <v>0.10700000000000001</v>
      </c>
      <c r="G719">
        <f>怪しいデータを手直し!L718</f>
        <v>0</v>
      </c>
      <c r="H719">
        <v>501</v>
      </c>
    </row>
    <row r="720" spans="1:8">
      <c r="A720">
        <f>怪しいデータを手直し!F719</f>
        <v>4747</v>
      </c>
      <c r="B720">
        <f>怪しいデータを手直し!C719</f>
        <v>39.5</v>
      </c>
      <c r="C720">
        <f>怪しいデータを手直し!D719</f>
        <v>-16</v>
      </c>
      <c r="D720" t="str">
        <f>怪しいデータを手直し!G719</f>
        <v>bp</v>
      </c>
      <c r="E720">
        <f>怪しいデータを手直し!T719</f>
        <v>0</v>
      </c>
      <c r="F720">
        <f>IF(怪しいデータを手直し!U719="dead",0,怪しいデータを手直し!U719)</f>
        <v>0.47000000000000003</v>
      </c>
      <c r="G720">
        <f>怪しいデータを手直し!L719</f>
        <v>0</v>
      </c>
      <c r="H720">
        <v>4747</v>
      </c>
    </row>
    <row r="721" spans="1:8">
      <c r="A721">
        <f>怪しいデータを手直し!F720</f>
        <v>4748</v>
      </c>
      <c r="B721">
        <f>怪しいデータを手直し!C720</f>
        <v>39.5</v>
      </c>
      <c r="C721">
        <f>怪しいデータを手直し!D720</f>
        <v>-19</v>
      </c>
      <c r="D721" t="str">
        <f>怪しいデータを手直し!G720</f>
        <v>pt</v>
      </c>
      <c r="E721">
        <f>怪しいデータを手直し!T720</f>
        <v>0</v>
      </c>
      <c r="F721">
        <f>IF(怪しいデータを手直し!U720="dead",0,怪しいデータを手直し!U720)</f>
        <v>0.33999999999999997</v>
      </c>
      <c r="G721">
        <f>怪しいデータを手直し!L720</f>
        <v>0</v>
      </c>
      <c r="H721">
        <v>0</v>
      </c>
    </row>
    <row r="722" spans="1:8">
      <c r="A722">
        <f>怪しいデータを手直し!F721</f>
        <v>4748</v>
      </c>
      <c r="B722">
        <f>怪しいデータを手直し!C721</f>
        <v>38.6</v>
      </c>
      <c r="C722">
        <f>怪しいデータを手直し!D721</f>
        <v>-16.7</v>
      </c>
      <c r="D722" t="str">
        <f>怪しいデータを手直し!G721</f>
        <v>lc</v>
      </c>
      <c r="E722">
        <f>怪しいデータを手直し!T721</f>
        <v>0</v>
      </c>
      <c r="F722">
        <f>IF(怪しいデータを手直し!U721="dead",0,怪しいデータを手直し!U721)</f>
        <v>0.41</v>
      </c>
      <c r="G722">
        <f>怪しいデータを手直し!L721</f>
        <v>0</v>
      </c>
      <c r="H722">
        <v>0</v>
      </c>
    </row>
    <row r="723" spans="1:8">
      <c r="A723">
        <f>怪しいデータを手直し!F722</f>
        <v>4760</v>
      </c>
      <c r="B723">
        <f>怪しいデータを手直し!C722</f>
        <v>5.8</v>
      </c>
      <c r="C723">
        <f>怪しいデータを手直し!D722</f>
        <v>-22.2</v>
      </c>
      <c r="D723" t="str">
        <f>怪しいデータを手直し!G722</f>
        <v>lc</v>
      </c>
      <c r="E723">
        <f>怪しいデータを手直し!T722</f>
        <v>18.600000000000001</v>
      </c>
      <c r="F723">
        <f>IF(怪しいデータを手直し!U722="dead",0,怪しいデータを手直し!U722)</f>
        <v>1.86</v>
      </c>
      <c r="G723">
        <f>怪しいデータを手直し!L722</f>
        <v>2.5</v>
      </c>
      <c r="H723">
        <v>0</v>
      </c>
    </row>
    <row r="724" spans="1:8">
      <c r="A724">
        <f>怪しいデータを手直し!F723</f>
        <v>4777</v>
      </c>
      <c r="B724">
        <f>怪しいデータを手直し!C723</f>
        <v>34.520000000000003</v>
      </c>
      <c r="C724">
        <f>怪しいデータを手直し!D723</f>
        <v>-22.2</v>
      </c>
      <c r="D724" t="str">
        <f>怪しいデータを手直し!G723</f>
        <v>pt</v>
      </c>
      <c r="E724">
        <f>怪しいデータを手直し!T723</f>
        <v>0</v>
      </c>
      <c r="F724">
        <f>IF(怪しいデータを手直し!U723="dead",0,怪しいデータを手直し!U723)</f>
        <v>0.15</v>
      </c>
      <c r="G724">
        <f>怪しいデータを手直し!L723</f>
        <v>0</v>
      </c>
      <c r="H724">
        <v>0</v>
      </c>
    </row>
    <row r="725" spans="1:8">
      <c r="A725">
        <f>怪しいデータを手直し!F726</f>
        <v>4778</v>
      </c>
      <c r="B725">
        <f>怪しいデータを手直し!C726</f>
        <v>40.799999999999997</v>
      </c>
      <c r="C725">
        <f>怪しいデータを手直し!D726</f>
        <v>-21</v>
      </c>
      <c r="D725" t="str">
        <f>怪しいデータを手直し!G726</f>
        <v>bp</v>
      </c>
      <c r="E725">
        <f>怪しいデータを手直し!T726</f>
        <v>0</v>
      </c>
      <c r="F725">
        <f>IF(怪しいデータを手直し!U726="dead",0,怪しいデータを手直し!U726)</f>
        <v>0.4</v>
      </c>
      <c r="G725">
        <f>怪しいデータを手直し!L726</f>
        <v>0</v>
      </c>
      <c r="H725" s="59">
        <v>4778</v>
      </c>
    </row>
    <row r="726" spans="1:8">
      <c r="A726">
        <f>怪しいデータを手直し!F727</f>
        <v>4779</v>
      </c>
      <c r="B726">
        <f>怪しいデータを手直し!C727</f>
        <v>40.5</v>
      </c>
      <c r="C726">
        <f>怪しいデータを手直し!D727</f>
        <v>-21</v>
      </c>
      <c r="D726" t="str">
        <f>怪しいデータを手直し!G727</f>
        <v>bp</v>
      </c>
      <c r="E726">
        <f>怪しいデータを手直し!T727</f>
        <v>0</v>
      </c>
      <c r="F726">
        <f>IF(怪しいデータを手直し!U727="dead",0,怪しいデータを手直し!U727)</f>
        <v>0.27</v>
      </c>
      <c r="G726">
        <f>怪しいデータを手直し!L727</f>
        <v>0</v>
      </c>
      <c r="H726" s="59">
        <v>4778</v>
      </c>
    </row>
    <row r="727" spans="1:8">
      <c r="A727">
        <f>怪しいデータを手直し!F725</f>
        <v>4781</v>
      </c>
      <c r="B727">
        <f>怪しいデータを手直し!C725</f>
        <v>42.24</v>
      </c>
      <c r="C727">
        <f>怪しいデータを手直し!D725</f>
        <v>-25.94</v>
      </c>
      <c r="D727" t="str">
        <f>怪しいデータを手直し!G725</f>
        <v>bp</v>
      </c>
      <c r="E727">
        <f>怪しいデータを手直し!T725</f>
        <v>0</v>
      </c>
      <c r="F727">
        <f>IF(怪しいデータを手直し!U725="dead",0,怪しいデータを手直し!U725)</f>
        <v>0.3</v>
      </c>
      <c r="G727">
        <f>怪しいデータを手直し!L725</f>
        <v>0</v>
      </c>
      <c r="H727" s="60">
        <v>678</v>
      </c>
    </row>
    <row r="728" spans="1:8">
      <c r="A728">
        <f>怪しいデータを手直し!F724</f>
        <v>4782</v>
      </c>
      <c r="B728">
        <f>怪しいデータを手直し!C724</f>
        <v>42.09</v>
      </c>
      <c r="C728">
        <f>怪しいデータを手直し!D724</f>
        <v>-25.31</v>
      </c>
      <c r="D728" t="str">
        <f>怪しいデータを手直し!G724</f>
        <v>bp</v>
      </c>
      <c r="E728">
        <f>怪しいデータを手直し!T724</f>
        <v>1.97</v>
      </c>
      <c r="F728">
        <f>IF(怪しいデータを手直し!U724="dead",0,怪しいデータを手直し!U724)</f>
        <v>1.97</v>
      </c>
      <c r="G728">
        <f>怪しいデータを手直し!L724</f>
        <v>2.7</v>
      </c>
      <c r="H728" s="60">
        <v>678</v>
      </c>
    </row>
    <row r="729" spans="1:8">
      <c r="A729">
        <f>怪しいデータを手直し!F729</f>
        <v>4787</v>
      </c>
      <c r="B729">
        <f>怪しいデータを手直し!C729</f>
        <v>24.12</v>
      </c>
      <c r="C729">
        <f>怪しいデータを手直し!D729</f>
        <v>-32.29</v>
      </c>
      <c r="D729" t="str">
        <f>怪しいデータを手直し!G729</f>
        <v>lc</v>
      </c>
      <c r="E729">
        <f>怪しいデータを手直し!T729</f>
        <v>0</v>
      </c>
      <c r="F729">
        <f>IF(怪しいデータを手直し!U729="dead",0,怪しいデータを手直し!U729)</f>
        <v>0.7</v>
      </c>
      <c r="G729">
        <f>怪しいデータを手直し!L729</f>
        <v>0</v>
      </c>
      <c r="H729">
        <v>0</v>
      </c>
    </row>
  </sheetData>
  <sortState ref="A2:I729">
    <sortCondition ref="A2"/>
  </sortState>
  <phoneticPr fontId="2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26"/>
  <sheetViews>
    <sheetView workbookViewId="0">
      <selection activeCell="K2" sqref="K2"/>
    </sheetView>
  </sheetViews>
  <sheetFormatPr defaultRowHeight="13"/>
  <cols>
    <col min="1" max="1" width="6.6328125" customWidth="1"/>
    <col min="2" max="2" width="4.08984375" customWidth="1"/>
    <col min="3" max="3" width="5.7265625" customWidth="1"/>
    <col min="4" max="4" width="7.36328125" customWidth="1"/>
    <col min="5" max="5" width="6.6328125" style="54" customWidth="1"/>
    <col min="6" max="6" width="6.90625" customWidth="1"/>
    <col min="7" max="7" width="9.6328125" customWidth="1"/>
    <col min="8" max="8" width="11" customWidth="1"/>
    <col min="9" max="9" width="6.7265625" customWidth="1"/>
    <col min="10" max="10" width="11" customWidth="1"/>
    <col min="11" max="11" width="8.6328125" customWidth="1"/>
    <col min="12" max="12" width="10.36328125" customWidth="1"/>
    <col min="13" max="13" width="8" customWidth="1"/>
    <col min="14" max="256" width="11" customWidth="1"/>
    <col min="257" max="257" width="6.6328125" customWidth="1"/>
    <col min="258" max="258" width="4.08984375" customWidth="1"/>
    <col min="259" max="259" width="5.7265625" customWidth="1"/>
    <col min="260" max="260" width="7.36328125" customWidth="1"/>
    <col min="261" max="261" width="6.6328125" customWidth="1"/>
    <col min="262" max="262" width="6.90625" customWidth="1"/>
    <col min="263" max="263" width="9.6328125" customWidth="1"/>
    <col min="264" max="264" width="11" customWidth="1"/>
    <col min="265" max="265" width="6.7265625" customWidth="1"/>
    <col min="266" max="266" width="11" customWidth="1"/>
    <col min="267" max="267" width="8.6328125" customWidth="1"/>
    <col min="268" max="268" width="10.36328125" customWidth="1"/>
    <col min="269" max="269" width="8" customWidth="1"/>
    <col min="270" max="512" width="11" customWidth="1"/>
    <col min="513" max="513" width="6.6328125" customWidth="1"/>
    <col min="514" max="514" width="4.08984375" customWidth="1"/>
    <col min="515" max="515" width="5.7265625" customWidth="1"/>
    <col min="516" max="516" width="7.36328125" customWidth="1"/>
    <col min="517" max="517" width="6.6328125" customWidth="1"/>
    <col min="518" max="518" width="6.90625" customWidth="1"/>
    <col min="519" max="519" width="9.6328125" customWidth="1"/>
    <col min="520" max="520" width="11" customWidth="1"/>
    <col min="521" max="521" width="6.7265625" customWidth="1"/>
    <col min="522" max="522" width="11" customWidth="1"/>
    <col min="523" max="523" width="8.6328125" customWidth="1"/>
    <col min="524" max="524" width="10.36328125" customWidth="1"/>
    <col min="525" max="525" width="8" customWidth="1"/>
    <col min="526" max="768" width="11" customWidth="1"/>
    <col min="769" max="769" width="6.6328125" customWidth="1"/>
    <col min="770" max="770" width="4.08984375" customWidth="1"/>
    <col min="771" max="771" width="5.7265625" customWidth="1"/>
    <col min="772" max="772" width="7.36328125" customWidth="1"/>
    <col min="773" max="773" width="6.6328125" customWidth="1"/>
    <col min="774" max="774" width="6.90625" customWidth="1"/>
    <col min="775" max="775" width="9.6328125" customWidth="1"/>
    <col min="776" max="776" width="11" customWidth="1"/>
    <col min="777" max="777" width="6.7265625" customWidth="1"/>
    <col min="778" max="778" width="11" customWidth="1"/>
    <col min="779" max="779" width="8.6328125" customWidth="1"/>
    <col min="780" max="780" width="10.36328125" customWidth="1"/>
    <col min="781" max="781" width="8" customWidth="1"/>
    <col min="782" max="1024" width="11" customWidth="1"/>
    <col min="1025" max="1025" width="6.6328125" customWidth="1"/>
    <col min="1026" max="1026" width="4.08984375" customWidth="1"/>
    <col min="1027" max="1027" width="5.7265625" customWidth="1"/>
    <col min="1028" max="1028" width="7.36328125" customWidth="1"/>
    <col min="1029" max="1029" width="6.6328125" customWidth="1"/>
    <col min="1030" max="1030" width="6.90625" customWidth="1"/>
    <col min="1031" max="1031" width="9.6328125" customWidth="1"/>
    <col min="1032" max="1032" width="11" customWidth="1"/>
    <col min="1033" max="1033" width="6.7265625" customWidth="1"/>
    <col min="1034" max="1034" width="11" customWidth="1"/>
    <col min="1035" max="1035" width="8.6328125" customWidth="1"/>
    <col min="1036" max="1036" width="10.36328125" customWidth="1"/>
    <col min="1037" max="1037" width="8" customWidth="1"/>
    <col min="1038" max="1280" width="11" customWidth="1"/>
    <col min="1281" max="1281" width="6.6328125" customWidth="1"/>
    <col min="1282" max="1282" width="4.08984375" customWidth="1"/>
    <col min="1283" max="1283" width="5.7265625" customWidth="1"/>
    <col min="1284" max="1284" width="7.36328125" customWidth="1"/>
    <col min="1285" max="1285" width="6.6328125" customWidth="1"/>
    <col min="1286" max="1286" width="6.90625" customWidth="1"/>
    <col min="1287" max="1287" width="9.6328125" customWidth="1"/>
    <col min="1288" max="1288" width="11" customWidth="1"/>
    <col min="1289" max="1289" width="6.7265625" customWidth="1"/>
    <col min="1290" max="1290" width="11" customWidth="1"/>
    <col min="1291" max="1291" width="8.6328125" customWidth="1"/>
    <col min="1292" max="1292" width="10.36328125" customWidth="1"/>
    <col min="1293" max="1293" width="8" customWidth="1"/>
    <col min="1294" max="1536" width="11" customWidth="1"/>
    <col min="1537" max="1537" width="6.6328125" customWidth="1"/>
    <col min="1538" max="1538" width="4.08984375" customWidth="1"/>
    <col min="1539" max="1539" width="5.7265625" customWidth="1"/>
    <col min="1540" max="1540" width="7.36328125" customWidth="1"/>
    <col min="1541" max="1541" width="6.6328125" customWidth="1"/>
    <col min="1542" max="1542" width="6.90625" customWidth="1"/>
    <col min="1543" max="1543" width="9.6328125" customWidth="1"/>
    <col min="1544" max="1544" width="11" customWidth="1"/>
    <col min="1545" max="1545" width="6.7265625" customWidth="1"/>
    <col min="1546" max="1546" width="11" customWidth="1"/>
    <col min="1547" max="1547" width="8.6328125" customWidth="1"/>
    <col min="1548" max="1548" width="10.36328125" customWidth="1"/>
    <col min="1549" max="1549" width="8" customWidth="1"/>
    <col min="1550" max="1792" width="11" customWidth="1"/>
    <col min="1793" max="1793" width="6.6328125" customWidth="1"/>
    <col min="1794" max="1794" width="4.08984375" customWidth="1"/>
    <col min="1795" max="1795" width="5.7265625" customWidth="1"/>
    <col min="1796" max="1796" width="7.36328125" customWidth="1"/>
    <col min="1797" max="1797" width="6.6328125" customWidth="1"/>
    <col min="1798" max="1798" width="6.90625" customWidth="1"/>
    <col min="1799" max="1799" width="9.6328125" customWidth="1"/>
    <col min="1800" max="1800" width="11" customWidth="1"/>
    <col min="1801" max="1801" width="6.7265625" customWidth="1"/>
    <col min="1802" max="1802" width="11" customWidth="1"/>
    <col min="1803" max="1803" width="8.6328125" customWidth="1"/>
    <col min="1804" max="1804" width="10.36328125" customWidth="1"/>
    <col min="1805" max="1805" width="8" customWidth="1"/>
    <col min="1806" max="2048" width="11" customWidth="1"/>
    <col min="2049" max="2049" width="6.6328125" customWidth="1"/>
    <col min="2050" max="2050" width="4.08984375" customWidth="1"/>
    <col min="2051" max="2051" width="5.7265625" customWidth="1"/>
    <col min="2052" max="2052" width="7.36328125" customWidth="1"/>
    <col min="2053" max="2053" width="6.6328125" customWidth="1"/>
    <col min="2054" max="2054" width="6.90625" customWidth="1"/>
    <col min="2055" max="2055" width="9.6328125" customWidth="1"/>
    <col min="2056" max="2056" width="11" customWidth="1"/>
    <col min="2057" max="2057" width="6.7265625" customWidth="1"/>
    <col min="2058" max="2058" width="11" customWidth="1"/>
    <col min="2059" max="2059" width="8.6328125" customWidth="1"/>
    <col min="2060" max="2060" width="10.36328125" customWidth="1"/>
    <col min="2061" max="2061" width="8" customWidth="1"/>
    <col min="2062" max="2304" width="11" customWidth="1"/>
    <col min="2305" max="2305" width="6.6328125" customWidth="1"/>
    <col min="2306" max="2306" width="4.08984375" customWidth="1"/>
    <col min="2307" max="2307" width="5.7265625" customWidth="1"/>
    <col min="2308" max="2308" width="7.36328125" customWidth="1"/>
    <col min="2309" max="2309" width="6.6328125" customWidth="1"/>
    <col min="2310" max="2310" width="6.90625" customWidth="1"/>
    <col min="2311" max="2311" width="9.6328125" customWidth="1"/>
    <col min="2312" max="2312" width="11" customWidth="1"/>
    <col min="2313" max="2313" width="6.7265625" customWidth="1"/>
    <col min="2314" max="2314" width="11" customWidth="1"/>
    <col min="2315" max="2315" width="8.6328125" customWidth="1"/>
    <col min="2316" max="2316" width="10.36328125" customWidth="1"/>
    <col min="2317" max="2317" width="8" customWidth="1"/>
    <col min="2318" max="2560" width="11" customWidth="1"/>
    <col min="2561" max="2561" width="6.6328125" customWidth="1"/>
    <col min="2562" max="2562" width="4.08984375" customWidth="1"/>
    <col min="2563" max="2563" width="5.7265625" customWidth="1"/>
    <col min="2564" max="2564" width="7.36328125" customWidth="1"/>
    <col min="2565" max="2565" width="6.6328125" customWidth="1"/>
    <col min="2566" max="2566" width="6.90625" customWidth="1"/>
    <col min="2567" max="2567" width="9.6328125" customWidth="1"/>
    <col min="2568" max="2568" width="11" customWidth="1"/>
    <col min="2569" max="2569" width="6.7265625" customWidth="1"/>
    <col min="2570" max="2570" width="11" customWidth="1"/>
    <col min="2571" max="2571" width="8.6328125" customWidth="1"/>
    <col min="2572" max="2572" width="10.36328125" customWidth="1"/>
    <col min="2573" max="2573" width="8" customWidth="1"/>
    <col min="2574" max="2816" width="11" customWidth="1"/>
    <col min="2817" max="2817" width="6.6328125" customWidth="1"/>
    <col min="2818" max="2818" width="4.08984375" customWidth="1"/>
    <col min="2819" max="2819" width="5.7265625" customWidth="1"/>
    <col min="2820" max="2820" width="7.36328125" customWidth="1"/>
    <col min="2821" max="2821" width="6.6328125" customWidth="1"/>
    <col min="2822" max="2822" width="6.90625" customWidth="1"/>
    <col min="2823" max="2823" width="9.6328125" customWidth="1"/>
    <col min="2824" max="2824" width="11" customWidth="1"/>
    <col min="2825" max="2825" width="6.7265625" customWidth="1"/>
    <col min="2826" max="2826" width="11" customWidth="1"/>
    <col min="2827" max="2827" width="8.6328125" customWidth="1"/>
    <col min="2828" max="2828" width="10.36328125" customWidth="1"/>
    <col min="2829" max="2829" width="8" customWidth="1"/>
    <col min="2830" max="3072" width="11" customWidth="1"/>
    <col min="3073" max="3073" width="6.6328125" customWidth="1"/>
    <col min="3074" max="3074" width="4.08984375" customWidth="1"/>
    <col min="3075" max="3075" width="5.7265625" customWidth="1"/>
    <col min="3076" max="3076" width="7.36328125" customWidth="1"/>
    <col min="3077" max="3077" width="6.6328125" customWidth="1"/>
    <col min="3078" max="3078" width="6.90625" customWidth="1"/>
    <col min="3079" max="3079" width="9.6328125" customWidth="1"/>
    <col min="3080" max="3080" width="11" customWidth="1"/>
    <col min="3081" max="3081" width="6.7265625" customWidth="1"/>
    <col min="3082" max="3082" width="11" customWidth="1"/>
    <col min="3083" max="3083" width="8.6328125" customWidth="1"/>
    <col min="3084" max="3084" width="10.36328125" customWidth="1"/>
    <col min="3085" max="3085" width="8" customWidth="1"/>
    <col min="3086" max="3328" width="11" customWidth="1"/>
    <col min="3329" max="3329" width="6.6328125" customWidth="1"/>
    <col min="3330" max="3330" width="4.08984375" customWidth="1"/>
    <col min="3331" max="3331" width="5.7265625" customWidth="1"/>
    <col min="3332" max="3332" width="7.36328125" customWidth="1"/>
    <col min="3333" max="3333" width="6.6328125" customWidth="1"/>
    <col min="3334" max="3334" width="6.90625" customWidth="1"/>
    <col min="3335" max="3335" width="9.6328125" customWidth="1"/>
    <col min="3336" max="3336" width="11" customWidth="1"/>
    <col min="3337" max="3337" width="6.7265625" customWidth="1"/>
    <col min="3338" max="3338" width="11" customWidth="1"/>
    <col min="3339" max="3339" width="8.6328125" customWidth="1"/>
    <col min="3340" max="3340" width="10.36328125" customWidth="1"/>
    <col min="3341" max="3341" width="8" customWidth="1"/>
    <col min="3342" max="3584" width="11" customWidth="1"/>
    <col min="3585" max="3585" width="6.6328125" customWidth="1"/>
    <col min="3586" max="3586" width="4.08984375" customWidth="1"/>
    <col min="3587" max="3587" width="5.7265625" customWidth="1"/>
    <col min="3588" max="3588" width="7.36328125" customWidth="1"/>
    <col min="3589" max="3589" width="6.6328125" customWidth="1"/>
    <col min="3590" max="3590" width="6.90625" customWidth="1"/>
    <col min="3591" max="3591" width="9.6328125" customWidth="1"/>
    <col min="3592" max="3592" width="11" customWidth="1"/>
    <col min="3593" max="3593" width="6.7265625" customWidth="1"/>
    <col min="3594" max="3594" width="11" customWidth="1"/>
    <col min="3595" max="3595" width="8.6328125" customWidth="1"/>
    <col min="3596" max="3596" width="10.36328125" customWidth="1"/>
    <col min="3597" max="3597" width="8" customWidth="1"/>
    <col min="3598" max="3840" width="11" customWidth="1"/>
    <col min="3841" max="3841" width="6.6328125" customWidth="1"/>
    <col min="3842" max="3842" width="4.08984375" customWidth="1"/>
    <col min="3843" max="3843" width="5.7265625" customWidth="1"/>
    <col min="3844" max="3844" width="7.36328125" customWidth="1"/>
    <col min="3845" max="3845" width="6.6328125" customWidth="1"/>
    <col min="3846" max="3846" width="6.90625" customWidth="1"/>
    <col min="3847" max="3847" width="9.6328125" customWidth="1"/>
    <col min="3848" max="3848" width="11" customWidth="1"/>
    <col min="3849" max="3849" width="6.7265625" customWidth="1"/>
    <col min="3850" max="3850" width="11" customWidth="1"/>
    <col min="3851" max="3851" width="8.6328125" customWidth="1"/>
    <col min="3852" max="3852" width="10.36328125" customWidth="1"/>
    <col min="3853" max="3853" width="8" customWidth="1"/>
    <col min="3854" max="4096" width="11" customWidth="1"/>
    <col min="4097" max="4097" width="6.6328125" customWidth="1"/>
    <col min="4098" max="4098" width="4.08984375" customWidth="1"/>
    <col min="4099" max="4099" width="5.7265625" customWidth="1"/>
    <col min="4100" max="4100" width="7.36328125" customWidth="1"/>
    <col min="4101" max="4101" width="6.6328125" customWidth="1"/>
    <col min="4102" max="4102" width="6.90625" customWidth="1"/>
    <col min="4103" max="4103" width="9.6328125" customWidth="1"/>
    <col min="4104" max="4104" width="11" customWidth="1"/>
    <col min="4105" max="4105" width="6.7265625" customWidth="1"/>
    <col min="4106" max="4106" width="11" customWidth="1"/>
    <col min="4107" max="4107" width="8.6328125" customWidth="1"/>
    <col min="4108" max="4108" width="10.36328125" customWidth="1"/>
    <col min="4109" max="4109" width="8" customWidth="1"/>
    <col min="4110" max="4352" width="11" customWidth="1"/>
    <col min="4353" max="4353" width="6.6328125" customWidth="1"/>
    <col min="4354" max="4354" width="4.08984375" customWidth="1"/>
    <col min="4355" max="4355" width="5.7265625" customWidth="1"/>
    <col min="4356" max="4356" width="7.36328125" customWidth="1"/>
    <col min="4357" max="4357" width="6.6328125" customWidth="1"/>
    <col min="4358" max="4358" width="6.90625" customWidth="1"/>
    <col min="4359" max="4359" width="9.6328125" customWidth="1"/>
    <col min="4360" max="4360" width="11" customWidth="1"/>
    <col min="4361" max="4361" width="6.7265625" customWidth="1"/>
    <col min="4362" max="4362" width="11" customWidth="1"/>
    <col min="4363" max="4363" width="8.6328125" customWidth="1"/>
    <col min="4364" max="4364" width="10.36328125" customWidth="1"/>
    <col min="4365" max="4365" width="8" customWidth="1"/>
    <col min="4366" max="4608" width="11" customWidth="1"/>
    <col min="4609" max="4609" width="6.6328125" customWidth="1"/>
    <col min="4610" max="4610" width="4.08984375" customWidth="1"/>
    <col min="4611" max="4611" width="5.7265625" customWidth="1"/>
    <col min="4612" max="4612" width="7.36328125" customWidth="1"/>
    <col min="4613" max="4613" width="6.6328125" customWidth="1"/>
    <col min="4614" max="4614" width="6.90625" customWidth="1"/>
    <col min="4615" max="4615" width="9.6328125" customWidth="1"/>
    <col min="4616" max="4616" width="11" customWidth="1"/>
    <col min="4617" max="4617" width="6.7265625" customWidth="1"/>
    <col min="4618" max="4618" width="11" customWidth="1"/>
    <col min="4619" max="4619" width="8.6328125" customWidth="1"/>
    <col min="4620" max="4620" width="10.36328125" customWidth="1"/>
    <col min="4621" max="4621" width="8" customWidth="1"/>
    <col min="4622" max="4864" width="11" customWidth="1"/>
    <col min="4865" max="4865" width="6.6328125" customWidth="1"/>
    <col min="4866" max="4866" width="4.08984375" customWidth="1"/>
    <col min="4867" max="4867" width="5.7265625" customWidth="1"/>
    <col min="4868" max="4868" width="7.36328125" customWidth="1"/>
    <col min="4869" max="4869" width="6.6328125" customWidth="1"/>
    <col min="4870" max="4870" width="6.90625" customWidth="1"/>
    <col min="4871" max="4871" width="9.6328125" customWidth="1"/>
    <col min="4872" max="4872" width="11" customWidth="1"/>
    <col min="4873" max="4873" width="6.7265625" customWidth="1"/>
    <col min="4874" max="4874" width="11" customWidth="1"/>
    <col min="4875" max="4875" width="8.6328125" customWidth="1"/>
    <col min="4876" max="4876" width="10.36328125" customWidth="1"/>
    <col min="4877" max="4877" width="8" customWidth="1"/>
    <col min="4878" max="5120" width="11" customWidth="1"/>
    <col min="5121" max="5121" width="6.6328125" customWidth="1"/>
    <col min="5122" max="5122" width="4.08984375" customWidth="1"/>
    <col min="5123" max="5123" width="5.7265625" customWidth="1"/>
    <col min="5124" max="5124" width="7.36328125" customWidth="1"/>
    <col min="5125" max="5125" width="6.6328125" customWidth="1"/>
    <col min="5126" max="5126" width="6.90625" customWidth="1"/>
    <col min="5127" max="5127" width="9.6328125" customWidth="1"/>
    <col min="5128" max="5128" width="11" customWidth="1"/>
    <col min="5129" max="5129" width="6.7265625" customWidth="1"/>
    <col min="5130" max="5130" width="11" customWidth="1"/>
    <col min="5131" max="5131" width="8.6328125" customWidth="1"/>
    <col min="5132" max="5132" width="10.36328125" customWidth="1"/>
    <col min="5133" max="5133" width="8" customWidth="1"/>
    <col min="5134" max="5376" width="11" customWidth="1"/>
    <col min="5377" max="5377" width="6.6328125" customWidth="1"/>
    <col min="5378" max="5378" width="4.08984375" customWidth="1"/>
    <col min="5379" max="5379" width="5.7265625" customWidth="1"/>
    <col min="5380" max="5380" width="7.36328125" customWidth="1"/>
    <col min="5381" max="5381" width="6.6328125" customWidth="1"/>
    <col min="5382" max="5382" width="6.90625" customWidth="1"/>
    <col min="5383" max="5383" width="9.6328125" customWidth="1"/>
    <col min="5384" max="5384" width="11" customWidth="1"/>
    <col min="5385" max="5385" width="6.7265625" customWidth="1"/>
    <col min="5386" max="5386" width="11" customWidth="1"/>
    <col min="5387" max="5387" width="8.6328125" customWidth="1"/>
    <col min="5388" max="5388" width="10.36328125" customWidth="1"/>
    <col min="5389" max="5389" width="8" customWidth="1"/>
    <col min="5390" max="5632" width="11" customWidth="1"/>
    <col min="5633" max="5633" width="6.6328125" customWidth="1"/>
    <col min="5634" max="5634" width="4.08984375" customWidth="1"/>
    <col min="5635" max="5635" width="5.7265625" customWidth="1"/>
    <col min="5636" max="5636" width="7.36328125" customWidth="1"/>
    <col min="5637" max="5637" width="6.6328125" customWidth="1"/>
    <col min="5638" max="5638" width="6.90625" customWidth="1"/>
    <col min="5639" max="5639" width="9.6328125" customWidth="1"/>
    <col min="5640" max="5640" width="11" customWidth="1"/>
    <col min="5641" max="5641" width="6.7265625" customWidth="1"/>
    <col min="5642" max="5642" width="11" customWidth="1"/>
    <col min="5643" max="5643" width="8.6328125" customWidth="1"/>
    <col min="5644" max="5644" width="10.36328125" customWidth="1"/>
    <col min="5645" max="5645" width="8" customWidth="1"/>
    <col min="5646" max="5888" width="11" customWidth="1"/>
    <col min="5889" max="5889" width="6.6328125" customWidth="1"/>
    <col min="5890" max="5890" width="4.08984375" customWidth="1"/>
    <col min="5891" max="5891" width="5.7265625" customWidth="1"/>
    <col min="5892" max="5892" width="7.36328125" customWidth="1"/>
    <col min="5893" max="5893" width="6.6328125" customWidth="1"/>
    <col min="5894" max="5894" width="6.90625" customWidth="1"/>
    <col min="5895" max="5895" width="9.6328125" customWidth="1"/>
    <col min="5896" max="5896" width="11" customWidth="1"/>
    <col min="5897" max="5897" width="6.7265625" customWidth="1"/>
    <col min="5898" max="5898" width="11" customWidth="1"/>
    <col min="5899" max="5899" width="8.6328125" customWidth="1"/>
    <col min="5900" max="5900" width="10.36328125" customWidth="1"/>
    <col min="5901" max="5901" width="8" customWidth="1"/>
    <col min="5902" max="6144" width="11" customWidth="1"/>
    <col min="6145" max="6145" width="6.6328125" customWidth="1"/>
    <col min="6146" max="6146" width="4.08984375" customWidth="1"/>
    <col min="6147" max="6147" width="5.7265625" customWidth="1"/>
    <col min="6148" max="6148" width="7.36328125" customWidth="1"/>
    <col min="6149" max="6149" width="6.6328125" customWidth="1"/>
    <col min="6150" max="6150" width="6.90625" customWidth="1"/>
    <col min="6151" max="6151" width="9.6328125" customWidth="1"/>
    <col min="6152" max="6152" width="11" customWidth="1"/>
    <col min="6153" max="6153" width="6.7265625" customWidth="1"/>
    <col min="6154" max="6154" width="11" customWidth="1"/>
    <col min="6155" max="6155" width="8.6328125" customWidth="1"/>
    <col min="6156" max="6156" width="10.36328125" customWidth="1"/>
    <col min="6157" max="6157" width="8" customWidth="1"/>
    <col min="6158" max="6400" width="11" customWidth="1"/>
    <col min="6401" max="6401" width="6.6328125" customWidth="1"/>
    <col min="6402" max="6402" width="4.08984375" customWidth="1"/>
    <col min="6403" max="6403" width="5.7265625" customWidth="1"/>
    <col min="6404" max="6404" width="7.36328125" customWidth="1"/>
    <col min="6405" max="6405" width="6.6328125" customWidth="1"/>
    <col min="6406" max="6406" width="6.90625" customWidth="1"/>
    <col min="6407" max="6407" width="9.6328125" customWidth="1"/>
    <col min="6408" max="6408" width="11" customWidth="1"/>
    <col min="6409" max="6409" width="6.7265625" customWidth="1"/>
    <col min="6410" max="6410" width="11" customWidth="1"/>
    <col min="6411" max="6411" width="8.6328125" customWidth="1"/>
    <col min="6412" max="6412" width="10.36328125" customWidth="1"/>
    <col min="6413" max="6413" width="8" customWidth="1"/>
    <col min="6414" max="6656" width="11" customWidth="1"/>
    <col min="6657" max="6657" width="6.6328125" customWidth="1"/>
    <col min="6658" max="6658" width="4.08984375" customWidth="1"/>
    <col min="6659" max="6659" width="5.7265625" customWidth="1"/>
    <col min="6660" max="6660" width="7.36328125" customWidth="1"/>
    <col min="6661" max="6661" width="6.6328125" customWidth="1"/>
    <col min="6662" max="6662" width="6.90625" customWidth="1"/>
    <col min="6663" max="6663" width="9.6328125" customWidth="1"/>
    <col min="6664" max="6664" width="11" customWidth="1"/>
    <col min="6665" max="6665" width="6.7265625" customWidth="1"/>
    <col min="6666" max="6666" width="11" customWidth="1"/>
    <col min="6667" max="6667" width="8.6328125" customWidth="1"/>
    <col min="6668" max="6668" width="10.36328125" customWidth="1"/>
    <col min="6669" max="6669" width="8" customWidth="1"/>
    <col min="6670" max="6912" width="11" customWidth="1"/>
    <col min="6913" max="6913" width="6.6328125" customWidth="1"/>
    <col min="6914" max="6914" width="4.08984375" customWidth="1"/>
    <col min="6915" max="6915" width="5.7265625" customWidth="1"/>
    <col min="6916" max="6916" width="7.36328125" customWidth="1"/>
    <col min="6917" max="6917" width="6.6328125" customWidth="1"/>
    <col min="6918" max="6918" width="6.90625" customWidth="1"/>
    <col min="6919" max="6919" width="9.6328125" customWidth="1"/>
    <col min="6920" max="6920" width="11" customWidth="1"/>
    <col min="6921" max="6921" width="6.7265625" customWidth="1"/>
    <col min="6922" max="6922" width="11" customWidth="1"/>
    <col min="6923" max="6923" width="8.6328125" customWidth="1"/>
    <col min="6924" max="6924" width="10.36328125" customWidth="1"/>
    <col min="6925" max="6925" width="8" customWidth="1"/>
    <col min="6926" max="7168" width="11" customWidth="1"/>
    <col min="7169" max="7169" width="6.6328125" customWidth="1"/>
    <col min="7170" max="7170" width="4.08984375" customWidth="1"/>
    <col min="7171" max="7171" width="5.7265625" customWidth="1"/>
    <col min="7172" max="7172" width="7.36328125" customWidth="1"/>
    <col min="7173" max="7173" width="6.6328125" customWidth="1"/>
    <col min="7174" max="7174" width="6.90625" customWidth="1"/>
    <col min="7175" max="7175" width="9.6328125" customWidth="1"/>
    <col min="7176" max="7176" width="11" customWidth="1"/>
    <col min="7177" max="7177" width="6.7265625" customWidth="1"/>
    <col min="7178" max="7178" width="11" customWidth="1"/>
    <col min="7179" max="7179" width="8.6328125" customWidth="1"/>
    <col min="7180" max="7180" width="10.36328125" customWidth="1"/>
    <col min="7181" max="7181" width="8" customWidth="1"/>
    <col min="7182" max="7424" width="11" customWidth="1"/>
    <col min="7425" max="7425" width="6.6328125" customWidth="1"/>
    <col min="7426" max="7426" width="4.08984375" customWidth="1"/>
    <col min="7427" max="7427" width="5.7265625" customWidth="1"/>
    <col min="7428" max="7428" width="7.36328125" customWidth="1"/>
    <col min="7429" max="7429" width="6.6328125" customWidth="1"/>
    <col min="7430" max="7430" width="6.90625" customWidth="1"/>
    <col min="7431" max="7431" width="9.6328125" customWidth="1"/>
    <col min="7432" max="7432" width="11" customWidth="1"/>
    <col min="7433" max="7433" width="6.7265625" customWidth="1"/>
    <col min="7434" max="7434" width="11" customWidth="1"/>
    <col min="7435" max="7435" width="8.6328125" customWidth="1"/>
    <col min="7436" max="7436" width="10.36328125" customWidth="1"/>
    <col min="7437" max="7437" width="8" customWidth="1"/>
    <col min="7438" max="7680" width="11" customWidth="1"/>
    <col min="7681" max="7681" width="6.6328125" customWidth="1"/>
    <col min="7682" max="7682" width="4.08984375" customWidth="1"/>
    <col min="7683" max="7683" width="5.7265625" customWidth="1"/>
    <col min="7684" max="7684" width="7.36328125" customWidth="1"/>
    <col min="7685" max="7685" width="6.6328125" customWidth="1"/>
    <col min="7686" max="7686" width="6.90625" customWidth="1"/>
    <col min="7687" max="7687" width="9.6328125" customWidth="1"/>
    <col min="7688" max="7688" width="11" customWidth="1"/>
    <col min="7689" max="7689" width="6.7265625" customWidth="1"/>
    <col min="7690" max="7690" width="11" customWidth="1"/>
    <col min="7691" max="7691" width="8.6328125" customWidth="1"/>
    <col min="7692" max="7692" width="10.36328125" customWidth="1"/>
    <col min="7693" max="7693" width="8" customWidth="1"/>
    <col min="7694" max="7936" width="11" customWidth="1"/>
    <col min="7937" max="7937" width="6.6328125" customWidth="1"/>
    <col min="7938" max="7938" width="4.08984375" customWidth="1"/>
    <col min="7939" max="7939" width="5.7265625" customWidth="1"/>
    <col min="7940" max="7940" width="7.36328125" customWidth="1"/>
    <col min="7941" max="7941" width="6.6328125" customWidth="1"/>
    <col min="7942" max="7942" width="6.90625" customWidth="1"/>
    <col min="7943" max="7943" width="9.6328125" customWidth="1"/>
    <col min="7944" max="7944" width="11" customWidth="1"/>
    <col min="7945" max="7945" width="6.7265625" customWidth="1"/>
    <col min="7946" max="7946" width="11" customWidth="1"/>
    <col min="7947" max="7947" width="8.6328125" customWidth="1"/>
    <col min="7948" max="7948" width="10.36328125" customWidth="1"/>
    <col min="7949" max="7949" width="8" customWidth="1"/>
    <col min="7950" max="8192" width="11" customWidth="1"/>
    <col min="8193" max="8193" width="6.6328125" customWidth="1"/>
    <col min="8194" max="8194" width="4.08984375" customWidth="1"/>
    <col min="8195" max="8195" width="5.7265625" customWidth="1"/>
    <col min="8196" max="8196" width="7.36328125" customWidth="1"/>
    <col min="8197" max="8197" width="6.6328125" customWidth="1"/>
    <col min="8198" max="8198" width="6.90625" customWidth="1"/>
    <col min="8199" max="8199" width="9.6328125" customWidth="1"/>
    <col min="8200" max="8200" width="11" customWidth="1"/>
    <col min="8201" max="8201" width="6.7265625" customWidth="1"/>
    <col min="8202" max="8202" width="11" customWidth="1"/>
    <col min="8203" max="8203" width="8.6328125" customWidth="1"/>
    <col min="8204" max="8204" width="10.36328125" customWidth="1"/>
    <col min="8205" max="8205" width="8" customWidth="1"/>
    <col min="8206" max="8448" width="11" customWidth="1"/>
    <col min="8449" max="8449" width="6.6328125" customWidth="1"/>
    <col min="8450" max="8450" width="4.08984375" customWidth="1"/>
    <col min="8451" max="8451" width="5.7265625" customWidth="1"/>
    <col min="8452" max="8452" width="7.36328125" customWidth="1"/>
    <col min="8453" max="8453" width="6.6328125" customWidth="1"/>
    <col min="8454" max="8454" width="6.90625" customWidth="1"/>
    <col min="8455" max="8455" width="9.6328125" customWidth="1"/>
    <col min="8456" max="8456" width="11" customWidth="1"/>
    <col min="8457" max="8457" width="6.7265625" customWidth="1"/>
    <col min="8458" max="8458" width="11" customWidth="1"/>
    <col min="8459" max="8459" width="8.6328125" customWidth="1"/>
    <col min="8460" max="8460" width="10.36328125" customWidth="1"/>
    <col min="8461" max="8461" width="8" customWidth="1"/>
    <col min="8462" max="8704" width="11" customWidth="1"/>
    <col min="8705" max="8705" width="6.6328125" customWidth="1"/>
    <col min="8706" max="8706" width="4.08984375" customWidth="1"/>
    <col min="8707" max="8707" width="5.7265625" customWidth="1"/>
    <col min="8708" max="8708" width="7.36328125" customWidth="1"/>
    <col min="8709" max="8709" width="6.6328125" customWidth="1"/>
    <col min="8710" max="8710" width="6.90625" customWidth="1"/>
    <col min="8711" max="8711" width="9.6328125" customWidth="1"/>
    <col min="8712" max="8712" width="11" customWidth="1"/>
    <col min="8713" max="8713" width="6.7265625" customWidth="1"/>
    <col min="8714" max="8714" width="11" customWidth="1"/>
    <col min="8715" max="8715" width="8.6328125" customWidth="1"/>
    <col min="8716" max="8716" width="10.36328125" customWidth="1"/>
    <col min="8717" max="8717" width="8" customWidth="1"/>
    <col min="8718" max="8960" width="11" customWidth="1"/>
    <col min="8961" max="8961" width="6.6328125" customWidth="1"/>
    <col min="8962" max="8962" width="4.08984375" customWidth="1"/>
    <col min="8963" max="8963" width="5.7265625" customWidth="1"/>
    <col min="8964" max="8964" width="7.36328125" customWidth="1"/>
    <col min="8965" max="8965" width="6.6328125" customWidth="1"/>
    <col min="8966" max="8966" width="6.90625" customWidth="1"/>
    <col min="8967" max="8967" width="9.6328125" customWidth="1"/>
    <col min="8968" max="8968" width="11" customWidth="1"/>
    <col min="8969" max="8969" width="6.7265625" customWidth="1"/>
    <col min="8970" max="8970" width="11" customWidth="1"/>
    <col min="8971" max="8971" width="8.6328125" customWidth="1"/>
    <col min="8972" max="8972" width="10.36328125" customWidth="1"/>
    <col min="8973" max="8973" width="8" customWidth="1"/>
    <col min="8974" max="9216" width="11" customWidth="1"/>
    <col min="9217" max="9217" width="6.6328125" customWidth="1"/>
    <col min="9218" max="9218" width="4.08984375" customWidth="1"/>
    <col min="9219" max="9219" width="5.7265625" customWidth="1"/>
    <col min="9220" max="9220" width="7.36328125" customWidth="1"/>
    <col min="9221" max="9221" width="6.6328125" customWidth="1"/>
    <col min="9222" max="9222" width="6.90625" customWidth="1"/>
    <col min="9223" max="9223" width="9.6328125" customWidth="1"/>
    <col min="9224" max="9224" width="11" customWidth="1"/>
    <col min="9225" max="9225" width="6.7265625" customWidth="1"/>
    <col min="9226" max="9226" width="11" customWidth="1"/>
    <col min="9227" max="9227" width="8.6328125" customWidth="1"/>
    <col min="9228" max="9228" width="10.36328125" customWidth="1"/>
    <col min="9229" max="9229" width="8" customWidth="1"/>
    <col min="9230" max="9472" width="11" customWidth="1"/>
    <col min="9473" max="9473" width="6.6328125" customWidth="1"/>
    <col min="9474" max="9474" width="4.08984375" customWidth="1"/>
    <col min="9475" max="9475" width="5.7265625" customWidth="1"/>
    <col min="9476" max="9476" width="7.36328125" customWidth="1"/>
    <col min="9477" max="9477" width="6.6328125" customWidth="1"/>
    <col min="9478" max="9478" width="6.90625" customWidth="1"/>
    <col min="9479" max="9479" width="9.6328125" customWidth="1"/>
    <col min="9480" max="9480" width="11" customWidth="1"/>
    <col min="9481" max="9481" width="6.7265625" customWidth="1"/>
    <col min="9482" max="9482" width="11" customWidth="1"/>
    <col min="9483" max="9483" width="8.6328125" customWidth="1"/>
    <col min="9484" max="9484" width="10.36328125" customWidth="1"/>
    <col min="9485" max="9485" width="8" customWidth="1"/>
    <col min="9486" max="9728" width="11" customWidth="1"/>
    <col min="9729" max="9729" width="6.6328125" customWidth="1"/>
    <col min="9730" max="9730" width="4.08984375" customWidth="1"/>
    <col min="9731" max="9731" width="5.7265625" customWidth="1"/>
    <col min="9732" max="9732" width="7.36328125" customWidth="1"/>
    <col min="9733" max="9733" width="6.6328125" customWidth="1"/>
    <col min="9734" max="9734" width="6.90625" customWidth="1"/>
    <col min="9735" max="9735" width="9.6328125" customWidth="1"/>
    <col min="9736" max="9736" width="11" customWidth="1"/>
    <col min="9737" max="9737" width="6.7265625" customWidth="1"/>
    <col min="9738" max="9738" width="11" customWidth="1"/>
    <col min="9739" max="9739" width="8.6328125" customWidth="1"/>
    <col min="9740" max="9740" width="10.36328125" customWidth="1"/>
    <col min="9741" max="9741" width="8" customWidth="1"/>
    <col min="9742" max="9984" width="11" customWidth="1"/>
    <col min="9985" max="9985" width="6.6328125" customWidth="1"/>
    <col min="9986" max="9986" width="4.08984375" customWidth="1"/>
    <col min="9987" max="9987" width="5.7265625" customWidth="1"/>
    <col min="9988" max="9988" width="7.36328125" customWidth="1"/>
    <col min="9989" max="9989" width="6.6328125" customWidth="1"/>
    <col min="9990" max="9990" width="6.90625" customWidth="1"/>
    <col min="9991" max="9991" width="9.6328125" customWidth="1"/>
    <col min="9992" max="9992" width="11" customWidth="1"/>
    <col min="9993" max="9993" width="6.7265625" customWidth="1"/>
    <col min="9994" max="9994" width="11" customWidth="1"/>
    <col min="9995" max="9995" width="8.6328125" customWidth="1"/>
    <col min="9996" max="9996" width="10.36328125" customWidth="1"/>
    <col min="9997" max="9997" width="8" customWidth="1"/>
    <col min="9998" max="10240" width="11" customWidth="1"/>
    <col min="10241" max="10241" width="6.6328125" customWidth="1"/>
    <col min="10242" max="10242" width="4.08984375" customWidth="1"/>
    <col min="10243" max="10243" width="5.7265625" customWidth="1"/>
    <col min="10244" max="10244" width="7.36328125" customWidth="1"/>
    <col min="10245" max="10245" width="6.6328125" customWidth="1"/>
    <col min="10246" max="10246" width="6.90625" customWidth="1"/>
    <col min="10247" max="10247" width="9.6328125" customWidth="1"/>
    <col min="10248" max="10248" width="11" customWidth="1"/>
    <col min="10249" max="10249" width="6.7265625" customWidth="1"/>
    <col min="10250" max="10250" width="11" customWidth="1"/>
    <col min="10251" max="10251" width="8.6328125" customWidth="1"/>
    <col min="10252" max="10252" width="10.36328125" customWidth="1"/>
    <col min="10253" max="10253" width="8" customWidth="1"/>
    <col min="10254" max="10496" width="11" customWidth="1"/>
    <col min="10497" max="10497" width="6.6328125" customWidth="1"/>
    <col min="10498" max="10498" width="4.08984375" customWidth="1"/>
    <col min="10499" max="10499" width="5.7265625" customWidth="1"/>
    <col min="10500" max="10500" width="7.36328125" customWidth="1"/>
    <col min="10501" max="10501" width="6.6328125" customWidth="1"/>
    <col min="10502" max="10502" width="6.90625" customWidth="1"/>
    <col min="10503" max="10503" width="9.6328125" customWidth="1"/>
    <col min="10504" max="10504" width="11" customWidth="1"/>
    <col min="10505" max="10505" width="6.7265625" customWidth="1"/>
    <col min="10506" max="10506" width="11" customWidth="1"/>
    <col min="10507" max="10507" width="8.6328125" customWidth="1"/>
    <col min="10508" max="10508" width="10.36328125" customWidth="1"/>
    <col min="10509" max="10509" width="8" customWidth="1"/>
    <col min="10510" max="10752" width="11" customWidth="1"/>
    <col min="10753" max="10753" width="6.6328125" customWidth="1"/>
    <col min="10754" max="10754" width="4.08984375" customWidth="1"/>
    <col min="10755" max="10755" width="5.7265625" customWidth="1"/>
    <col min="10756" max="10756" width="7.36328125" customWidth="1"/>
    <col min="10757" max="10757" width="6.6328125" customWidth="1"/>
    <col min="10758" max="10758" width="6.90625" customWidth="1"/>
    <col min="10759" max="10759" width="9.6328125" customWidth="1"/>
    <col min="10760" max="10760" width="11" customWidth="1"/>
    <col min="10761" max="10761" width="6.7265625" customWidth="1"/>
    <col min="10762" max="10762" width="11" customWidth="1"/>
    <col min="10763" max="10763" width="8.6328125" customWidth="1"/>
    <col min="10764" max="10764" width="10.36328125" customWidth="1"/>
    <col min="10765" max="10765" width="8" customWidth="1"/>
    <col min="10766" max="11008" width="11" customWidth="1"/>
    <col min="11009" max="11009" width="6.6328125" customWidth="1"/>
    <col min="11010" max="11010" width="4.08984375" customWidth="1"/>
    <col min="11011" max="11011" width="5.7265625" customWidth="1"/>
    <col min="11012" max="11012" width="7.36328125" customWidth="1"/>
    <col min="11013" max="11013" width="6.6328125" customWidth="1"/>
    <col min="11014" max="11014" width="6.90625" customWidth="1"/>
    <col min="11015" max="11015" width="9.6328125" customWidth="1"/>
    <col min="11016" max="11016" width="11" customWidth="1"/>
    <col min="11017" max="11017" width="6.7265625" customWidth="1"/>
    <col min="11018" max="11018" width="11" customWidth="1"/>
    <col min="11019" max="11019" width="8.6328125" customWidth="1"/>
    <col min="11020" max="11020" width="10.36328125" customWidth="1"/>
    <col min="11021" max="11021" width="8" customWidth="1"/>
    <col min="11022" max="11264" width="11" customWidth="1"/>
    <col min="11265" max="11265" width="6.6328125" customWidth="1"/>
    <col min="11266" max="11266" width="4.08984375" customWidth="1"/>
    <col min="11267" max="11267" width="5.7265625" customWidth="1"/>
    <col min="11268" max="11268" width="7.36328125" customWidth="1"/>
    <col min="11269" max="11269" width="6.6328125" customWidth="1"/>
    <col min="11270" max="11270" width="6.90625" customWidth="1"/>
    <col min="11271" max="11271" width="9.6328125" customWidth="1"/>
    <col min="11272" max="11272" width="11" customWidth="1"/>
    <col min="11273" max="11273" width="6.7265625" customWidth="1"/>
    <col min="11274" max="11274" width="11" customWidth="1"/>
    <col min="11275" max="11275" width="8.6328125" customWidth="1"/>
    <col min="11276" max="11276" width="10.36328125" customWidth="1"/>
    <col min="11277" max="11277" width="8" customWidth="1"/>
    <col min="11278" max="11520" width="11" customWidth="1"/>
    <col min="11521" max="11521" width="6.6328125" customWidth="1"/>
    <col min="11522" max="11522" width="4.08984375" customWidth="1"/>
    <col min="11523" max="11523" width="5.7265625" customWidth="1"/>
    <col min="11524" max="11524" width="7.36328125" customWidth="1"/>
    <col min="11525" max="11525" width="6.6328125" customWidth="1"/>
    <col min="11526" max="11526" width="6.90625" customWidth="1"/>
    <col min="11527" max="11527" width="9.6328125" customWidth="1"/>
    <col min="11528" max="11528" width="11" customWidth="1"/>
    <col min="11529" max="11529" width="6.7265625" customWidth="1"/>
    <col min="11530" max="11530" width="11" customWidth="1"/>
    <col min="11531" max="11531" width="8.6328125" customWidth="1"/>
    <col min="11532" max="11532" width="10.36328125" customWidth="1"/>
    <col min="11533" max="11533" width="8" customWidth="1"/>
    <col min="11534" max="11776" width="11" customWidth="1"/>
    <col min="11777" max="11777" width="6.6328125" customWidth="1"/>
    <col min="11778" max="11778" width="4.08984375" customWidth="1"/>
    <col min="11779" max="11779" width="5.7265625" customWidth="1"/>
    <col min="11780" max="11780" width="7.36328125" customWidth="1"/>
    <col min="11781" max="11781" width="6.6328125" customWidth="1"/>
    <col min="11782" max="11782" width="6.90625" customWidth="1"/>
    <col min="11783" max="11783" width="9.6328125" customWidth="1"/>
    <col min="11784" max="11784" width="11" customWidth="1"/>
    <col min="11785" max="11785" width="6.7265625" customWidth="1"/>
    <col min="11786" max="11786" width="11" customWidth="1"/>
    <col min="11787" max="11787" width="8.6328125" customWidth="1"/>
    <col min="11788" max="11788" width="10.36328125" customWidth="1"/>
    <col min="11789" max="11789" width="8" customWidth="1"/>
    <col min="11790" max="12032" width="11" customWidth="1"/>
    <col min="12033" max="12033" width="6.6328125" customWidth="1"/>
    <col min="12034" max="12034" width="4.08984375" customWidth="1"/>
    <col min="12035" max="12035" width="5.7265625" customWidth="1"/>
    <col min="12036" max="12036" width="7.36328125" customWidth="1"/>
    <col min="12037" max="12037" width="6.6328125" customWidth="1"/>
    <col min="12038" max="12038" width="6.90625" customWidth="1"/>
    <col min="12039" max="12039" width="9.6328125" customWidth="1"/>
    <col min="12040" max="12040" width="11" customWidth="1"/>
    <col min="12041" max="12041" width="6.7265625" customWidth="1"/>
    <col min="12042" max="12042" width="11" customWidth="1"/>
    <col min="12043" max="12043" width="8.6328125" customWidth="1"/>
    <col min="12044" max="12044" width="10.36328125" customWidth="1"/>
    <col min="12045" max="12045" width="8" customWidth="1"/>
    <col min="12046" max="12288" width="11" customWidth="1"/>
    <col min="12289" max="12289" width="6.6328125" customWidth="1"/>
    <col min="12290" max="12290" width="4.08984375" customWidth="1"/>
    <col min="12291" max="12291" width="5.7265625" customWidth="1"/>
    <col min="12292" max="12292" width="7.36328125" customWidth="1"/>
    <col min="12293" max="12293" width="6.6328125" customWidth="1"/>
    <col min="12294" max="12294" width="6.90625" customWidth="1"/>
    <col min="12295" max="12295" width="9.6328125" customWidth="1"/>
    <col min="12296" max="12296" width="11" customWidth="1"/>
    <col min="12297" max="12297" width="6.7265625" customWidth="1"/>
    <col min="12298" max="12298" width="11" customWidth="1"/>
    <col min="12299" max="12299" width="8.6328125" customWidth="1"/>
    <col min="12300" max="12300" width="10.36328125" customWidth="1"/>
    <col min="12301" max="12301" width="8" customWidth="1"/>
    <col min="12302" max="12544" width="11" customWidth="1"/>
    <col min="12545" max="12545" width="6.6328125" customWidth="1"/>
    <col min="12546" max="12546" width="4.08984375" customWidth="1"/>
    <col min="12547" max="12547" width="5.7265625" customWidth="1"/>
    <col min="12548" max="12548" width="7.36328125" customWidth="1"/>
    <col min="12549" max="12549" width="6.6328125" customWidth="1"/>
    <col min="12550" max="12550" width="6.90625" customWidth="1"/>
    <col min="12551" max="12551" width="9.6328125" customWidth="1"/>
    <col min="12552" max="12552" width="11" customWidth="1"/>
    <col min="12553" max="12553" width="6.7265625" customWidth="1"/>
    <col min="12554" max="12554" width="11" customWidth="1"/>
    <col min="12555" max="12555" width="8.6328125" customWidth="1"/>
    <col min="12556" max="12556" width="10.36328125" customWidth="1"/>
    <col min="12557" max="12557" width="8" customWidth="1"/>
    <col min="12558" max="12800" width="11" customWidth="1"/>
    <col min="12801" max="12801" width="6.6328125" customWidth="1"/>
    <col min="12802" max="12802" width="4.08984375" customWidth="1"/>
    <col min="12803" max="12803" width="5.7265625" customWidth="1"/>
    <col min="12804" max="12804" width="7.36328125" customWidth="1"/>
    <col min="12805" max="12805" width="6.6328125" customWidth="1"/>
    <col min="12806" max="12806" width="6.90625" customWidth="1"/>
    <col min="12807" max="12807" width="9.6328125" customWidth="1"/>
    <col min="12808" max="12808" width="11" customWidth="1"/>
    <col min="12809" max="12809" width="6.7265625" customWidth="1"/>
    <col min="12810" max="12810" width="11" customWidth="1"/>
    <col min="12811" max="12811" width="8.6328125" customWidth="1"/>
    <col min="12812" max="12812" width="10.36328125" customWidth="1"/>
    <col min="12813" max="12813" width="8" customWidth="1"/>
    <col min="12814" max="13056" width="11" customWidth="1"/>
    <col min="13057" max="13057" width="6.6328125" customWidth="1"/>
    <col min="13058" max="13058" width="4.08984375" customWidth="1"/>
    <col min="13059" max="13059" width="5.7265625" customWidth="1"/>
    <col min="13060" max="13060" width="7.36328125" customWidth="1"/>
    <col min="13061" max="13061" width="6.6328125" customWidth="1"/>
    <col min="13062" max="13062" width="6.90625" customWidth="1"/>
    <col min="13063" max="13063" width="9.6328125" customWidth="1"/>
    <col min="13064" max="13064" width="11" customWidth="1"/>
    <col min="13065" max="13065" width="6.7265625" customWidth="1"/>
    <col min="13066" max="13066" width="11" customWidth="1"/>
    <col min="13067" max="13067" width="8.6328125" customWidth="1"/>
    <col min="13068" max="13068" width="10.36328125" customWidth="1"/>
    <col min="13069" max="13069" width="8" customWidth="1"/>
    <col min="13070" max="13312" width="11" customWidth="1"/>
    <col min="13313" max="13313" width="6.6328125" customWidth="1"/>
    <col min="13314" max="13314" width="4.08984375" customWidth="1"/>
    <col min="13315" max="13315" width="5.7265625" customWidth="1"/>
    <col min="13316" max="13316" width="7.36328125" customWidth="1"/>
    <col min="13317" max="13317" width="6.6328125" customWidth="1"/>
    <col min="13318" max="13318" width="6.90625" customWidth="1"/>
    <col min="13319" max="13319" width="9.6328125" customWidth="1"/>
    <col min="13320" max="13320" width="11" customWidth="1"/>
    <col min="13321" max="13321" width="6.7265625" customWidth="1"/>
    <col min="13322" max="13322" width="11" customWidth="1"/>
    <col min="13323" max="13323" width="8.6328125" customWidth="1"/>
    <col min="13324" max="13324" width="10.36328125" customWidth="1"/>
    <col min="13325" max="13325" width="8" customWidth="1"/>
    <col min="13326" max="13568" width="11" customWidth="1"/>
    <col min="13569" max="13569" width="6.6328125" customWidth="1"/>
    <col min="13570" max="13570" width="4.08984375" customWidth="1"/>
    <col min="13571" max="13571" width="5.7265625" customWidth="1"/>
    <col min="13572" max="13572" width="7.36328125" customWidth="1"/>
    <col min="13573" max="13573" width="6.6328125" customWidth="1"/>
    <col min="13574" max="13574" width="6.90625" customWidth="1"/>
    <col min="13575" max="13575" width="9.6328125" customWidth="1"/>
    <col min="13576" max="13576" width="11" customWidth="1"/>
    <col min="13577" max="13577" width="6.7265625" customWidth="1"/>
    <col min="13578" max="13578" width="11" customWidth="1"/>
    <col min="13579" max="13579" width="8.6328125" customWidth="1"/>
    <col min="13580" max="13580" width="10.36328125" customWidth="1"/>
    <col min="13581" max="13581" width="8" customWidth="1"/>
    <col min="13582" max="13824" width="11" customWidth="1"/>
    <col min="13825" max="13825" width="6.6328125" customWidth="1"/>
    <col min="13826" max="13826" width="4.08984375" customWidth="1"/>
    <col min="13827" max="13827" width="5.7265625" customWidth="1"/>
    <col min="13828" max="13828" width="7.36328125" customWidth="1"/>
    <col min="13829" max="13829" width="6.6328125" customWidth="1"/>
    <col min="13830" max="13830" width="6.90625" customWidth="1"/>
    <col min="13831" max="13831" width="9.6328125" customWidth="1"/>
    <col min="13832" max="13832" width="11" customWidth="1"/>
    <col min="13833" max="13833" width="6.7265625" customWidth="1"/>
    <col min="13834" max="13834" width="11" customWidth="1"/>
    <col min="13835" max="13835" width="8.6328125" customWidth="1"/>
    <col min="13836" max="13836" width="10.36328125" customWidth="1"/>
    <col min="13837" max="13837" width="8" customWidth="1"/>
    <col min="13838" max="14080" width="11" customWidth="1"/>
    <col min="14081" max="14081" width="6.6328125" customWidth="1"/>
    <col min="14082" max="14082" width="4.08984375" customWidth="1"/>
    <col min="14083" max="14083" width="5.7265625" customWidth="1"/>
    <col min="14084" max="14084" width="7.36328125" customWidth="1"/>
    <col min="14085" max="14085" width="6.6328125" customWidth="1"/>
    <col min="14086" max="14086" width="6.90625" customWidth="1"/>
    <col min="14087" max="14087" width="9.6328125" customWidth="1"/>
    <col min="14088" max="14088" width="11" customWidth="1"/>
    <col min="14089" max="14089" width="6.7265625" customWidth="1"/>
    <col min="14090" max="14090" width="11" customWidth="1"/>
    <col min="14091" max="14091" width="8.6328125" customWidth="1"/>
    <col min="14092" max="14092" width="10.36328125" customWidth="1"/>
    <col min="14093" max="14093" width="8" customWidth="1"/>
    <col min="14094" max="14336" width="11" customWidth="1"/>
    <col min="14337" max="14337" width="6.6328125" customWidth="1"/>
    <col min="14338" max="14338" width="4.08984375" customWidth="1"/>
    <col min="14339" max="14339" width="5.7265625" customWidth="1"/>
    <col min="14340" max="14340" width="7.36328125" customWidth="1"/>
    <col min="14341" max="14341" width="6.6328125" customWidth="1"/>
    <col min="14342" max="14342" width="6.90625" customWidth="1"/>
    <col min="14343" max="14343" width="9.6328125" customWidth="1"/>
    <col min="14344" max="14344" width="11" customWidth="1"/>
    <col min="14345" max="14345" width="6.7265625" customWidth="1"/>
    <col min="14346" max="14346" width="11" customWidth="1"/>
    <col min="14347" max="14347" width="8.6328125" customWidth="1"/>
    <col min="14348" max="14348" width="10.36328125" customWidth="1"/>
    <col min="14349" max="14349" width="8" customWidth="1"/>
    <col min="14350" max="14592" width="11" customWidth="1"/>
    <col min="14593" max="14593" width="6.6328125" customWidth="1"/>
    <col min="14594" max="14594" width="4.08984375" customWidth="1"/>
    <col min="14595" max="14595" width="5.7265625" customWidth="1"/>
    <col min="14596" max="14596" width="7.36328125" customWidth="1"/>
    <col min="14597" max="14597" width="6.6328125" customWidth="1"/>
    <col min="14598" max="14598" width="6.90625" customWidth="1"/>
    <col min="14599" max="14599" width="9.6328125" customWidth="1"/>
    <col min="14600" max="14600" width="11" customWidth="1"/>
    <col min="14601" max="14601" width="6.7265625" customWidth="1"/>
    <col min="14602" max="14602" width="11" customWidth="1"/>
    <col min="14603" max="14603" width="8.6328125" customWidth="1"/>
    <col min="14604" max="14604" width="10.36328125" customWidth="1"/>
    <col min="14605" max="14605" width="8" customWidth="1"/>
    <col min="14606" max="14848" width="11" customWidth="1"/>
    <col min="14849" max="14849" width="6.6328125" customWidth="1"/>
    <col min="14850" max="14850" width="4.08984375" customWidth="1"/>
    <col min="14851" max="14851" width="5.7265625" customWidth="1"/>
    <col min="14852" max="14852" width="7.36328125" customWidth="1"/>
    <col min="14853" max="14853" width="6.6328125" customWidth="1"/>
    <col min="14854" max="14854" width="6.90625" customWidth="1"/>
    <col min="14855" max="14855" width="9.6328125" customWidth="1"/>
    <col min="14856" max="14856" width="11" customWidth="1"/>
    <col min="14857" max="14857" width="6.7265625" customWidth="1"/>
    <col min="14858" max="14858" width="11" customWidth="1"/>
    <col min="14859" max="14859" width="8.6328125" customWidth="1"/>
    <col min="14860" max="14860" width="10.36328125" customWidth="1"/>
    <col min="14861" max="14861" width="8" customWidth="1"/>
    <col min="14862" max="15104" width="11" customWidth="1"/>
    <col min="15105" max="15105" width="6.6328125" customWidth="1"/>
    <col min="15106" max="15106" width="4.08984375" customWidth="1"/>
    <col min="15107" max="15107" width="5.7265625" customWidth="1"/>
    <col min="15108" max="15108" width="7.36328125" customWidth="1"/>
    <col min="15109" max="15109" width="6.6328125" customWidth="1"/>
    <col min="15110" max="15110" width="6.90625" customWidth="1"/>
    <col min="15111" max="15111" width="9.6328125" customWidth="1"/>
    <col min="15112" max="15112" width="11" customWidth="1"/>
    <col min="15113" max="15113" width="6.7265625" customWidth="1"/>
    <col min="15114" max="15114" width="11" customWidth="1"/>
    <col min="15115" max="15115" width="8.6328125" customWidth="1"/>
    <col min="15116" max="15116" width="10.36328125" customWidth="1"/>
    <col min="15117" max="15117" width="8" customWidth="1"/>
    <col min="15118" max="15360" width="11" customWidth="1"/>
    <col min="15361" max="15361" width="6.6328125" customWidth="1"/>
    <col min="15362" max="15362" width="4.08984375" customWidth="1"/>
    <col min="15363" max="15363" width="5.7265625" customWidth="1"/>
    <col min="15364" max="15364" width="7.36328125" customWidth="1"/>
    <col min="15365" max="15365" width="6.6328125" customWidth="1"/>
    <col min="15366" max="15366" width="6.90625" customWidth="1"/>
    <col min="15367" max="15367" width="9.6328125" customWidth="1"/>
    <col min="15368" max="15368" width="11" customWidth="1"/>
    <col min="15369" max="15369" width="6.7265625" customWidth="1"/>
    <col min="15370" max="15370" width="11" customWidth="1"/>
    <col min="15371" max="15371" width="8.6328125" customWidth="1"/>
    <col min="15372" max="15372" width="10.36328125" customWidth="1"/>
    <col min="15373" max="15373" width="8" customWidth="1"/>
    <col min="15374" max="15616" width="11" customWidth="1"/>
    <col min="15617" max="15617" width="6.6328125" customWidth="1"/>
    <col min="15618" max="15618" width="4.08984375" customWidth="1"/>
    <col min="15619" max="15619" width="5.7265625" customWidth="1"/>
    <col min="15620" max="15620" width="7.36328125" customWidth="1"/>
    <col min="15621" max="15621" width="6.6328125" customWidth="1"/>
    <col min="15622" max="15622" width="6.90625" customWidth="1"/>
    <col min="15623" max="15623" width="9.6328125" customWidth="1"/>
    <col min="15624" max="15624" width="11" customWidth="1"/>
    <col min="15625" max="15625" width="6.7265625" customWidth="1"/>
    <col min="15626" max="15626" width="11" customWidth="1"/>
    <col min="15627" max="15627" width="8.6328125" customWidth="1"/>
    <col min="15628" max="15628" width="10.36328125" customWidth="1"/>
    <col min="15629" max="15629" width="8" customWidth="1"/>
    <col min="15630" max="15872" width="11" customWidth="1"/>
    <col min="15873" max="15873" width="6.6328125" customWidth="1"/>
    <col min="15874" max="15874" width="4.08984375" customWidth="1"/>
    <col min="15875" max="15875" width="5.7265625" customWidth="1"/>
    <col min="15876" max="15876" width="7.36328125" customWidth="1"/>
    <col min="15877" max="15877" width="6.6328125" customWidth="1"/>
    <col min="15878" max="15878" width="6.90625" customWidth="1"/>
    <col min="15879" max="15879" width="9.6328125" customWidth="1"/>
    <col min="15880" max="15880" width="11" customWidth="1"/>
    <col min="15881" max="15881" width="6.7265625" customWidth="1"/>
    <col min="15882" max="15882" width="11" customWidth="1"/>
    <col min="15883" max="15883" width="8.6328125" customWidth="1"/>
    <col min="15884" max="15884" width="10.36328125" customWidth="1"/>
    <col min="15885" max="15885" width="8" customWidth="1"/>
    <col min="15886" max="16128" width="11" customWidth="1"/>
    <col min="16129" max="16129" width="6.6328125" customWidth="1"/>
    <col min="16130" max="16130" width="4.08984375" customWidth="1"/>
    <col min="16131" max="16131" width="5.7265625" customWidth="1"/>
    <col min="16132" max="16132" width="7.36328125" customWidth="1"/>
    <col min="16133" max="16133" width="6.6328125" customWidth="1"/>
    <col min="16134" max="16134" width="6.90625" customWidth="1"/>
    <col min="16135" max="16135" width="9.6328125" customWidth="1"/>
    <col min="16136" max="16136" width="11" customWidth="1"/>
    <col min="16137" max="16137" width="6.7265625" customWidth="1"/>
    <col min="16138" max="16138" width="11" customWidth="1"/>
    <col min="16139" max="16139" width="8.6328125" customWidth="1"/>
    <col min="16140" max="16140" width="10.36328125" customWidth="1"/>
    <col min="16141" max="16141" width="8" customWidth="1"/>
    <col min="16142" max="16384" width="11" customWidth="1"/>
  </cols>
  <sheetData>
    <row r="1" spans="1:15">
      <c r="A1" s="53" t="s">
        <v>2</v>
      </c>
      <c r="B1" t="s">
        <v>3</v>
      </c>
      <c r="C1" s="54" t="s">
        <v>7</v>
      </c>
      <c r="D1" s="54" t="s">
        <v>8</v>
      </c>
      <c r="E1" s="54" t="s">
        <v>195</v>
      </c>
      <c r="F1" s="2" t="s">
        <v>196</v>
      </c>
      <c r="G1" s="2" t="s">
        <v>9</v>
      </c>
      <c r="H1" s="54" t="s">
        <v>10</v>
      </c>
      <c r="I1" s="55" t="s">
        <v>197</v>
      </c>
      <c r="J1" s="53" t="s">
        <v>198</v>
      </c>
      <c r="K1" s="53" t="s">
        <v>199</v>
      </c>
      <c r="L1" s="53" t="s">
        <v>200</v>
      </c>
      <c r="M1" s="53" t="s">
        <v>201</v>
      </c>
      <c r="N1" t="s">
        <v>202</v>
      </c>
      <c r="O1" t="s">
        <v>203</v>
      </c>
    </row>
    <row r="2" spans="1:15">
      <c r="A2">
        <v>2</v>
      </c>
      <c r="B2" t="s">
        <v>13</v>
      </c>
      <c r="C2" s="56">
        <v>4.5347512748652603</v>
      </c>
      <c r="D2" s="56">
        <v>8.6069255682437298</v>
      </c>
      <c r="E2" s="54">
        <v>4.7109863155200999</v>
      </c>
      <c r="F2">
        <v>3.8</v>
      </c>
      <c r="G2">
        <v>2.2000000000000002</v>
      </c>
      <c r="H2" t="s">
        <v>14</v>
      </c>
      <c r="I2" s="56">
        <v>17.430649367424401</v>
      </c>
      <c r="J2" t="s">
        <v>204</v>
      </c>
      <c r="K2">
        <v>4</v>
      </c>
    </row>
    <row r="3" spans="1:15">
      <c r="A3">
        <v>3</v>
      </c>
      <c r="B3" t="s">
        <v>13</v>
      </c>
      <c r="C3" s="56">
        <v>4.64905011769791</v>
      </c>
      <c r="D3" s="56">
        <v>8.6856806487420197</v>
      </c>
      <c r="E3" s="54">
        <v>3.59690171387683</v>
      </c>
      <c r="F3">
        <v>3.1</v>
      </c>
      <c r="G3">
        <v>2.1</v>
      </c>
      <c r="H3" t="s">
        <v>14</v>
      </c>
      <c r="I3" s="56">
        <v>10.161247341702101</v>
      </c>
      <c r="J3" t="s">
        <v>204</v>
      </c>
      <c r="K3">
        <v>4</v>
      </c>
    </row>
    <row r="4" spans="1:15">
      <c r="A4">
        <v>4</v>
      </c>
      <c r="B4" t="s">
        <v>13</v>
      </c>
      <c r="C4" s="56">
        <v>4.5413373125291603</v>
      </c>
      <c r="D4" s="56">
        <v>8.7497993503386695</v>
      </c>
      <c r="E4" s="54">
        <v>8.2760570407785607</v>
      </c>
      <c r="F4">
        <v>8.3000000000000007</v>
      </c>
      <c r="G4">
        <v>3.2</v>
      </c>
      <c r="H4" t="s">
        <v>14</v>
      </c>
      <c r="I4" s="56">
        <v>53.794370765060599</v>
      </c>
      <c r="J4" t="s">
        <v>12</v>
      </c>
      <c r="K4">
        <v>4</v>
      </c>
      <c r="N4" t="s">
        <v>205</v>
      </c>
      <c r="O4">
        <v>0</v>
      </c>
    </row>
    <row r="5" spans="1:15">
      <c r="A5">
        <v>5</v>
      </c>
      <c r="B5" t="s">
        <v>13</v>
      </c>
      <c r="C5" s="56">
        <v>4.4428325442296597</v>
      </c>
      <c r="D5" s="56">
        <v>8.5628187767275108</v>
      </c>
      <c r="E5" s="54">
        <v>1.69</v>
      </c>
      <c r="F5">
        <v>3.6</v>
      </c>
      <c r="G5">
        <v>0.9</v>
      </c>
      <c r="H5" t="s">
        <v>14</v>
      </c>
      <c r="I5" s="56">
        <v>2.2431756944794499</v>
      </c>
      <c r="J5" t="s">
        <v>204</v>
      </c>
      <c r="K5">
        <v>4</v>
      </c>
    </row>
    <row r="6" spans="1:15">
      <c r="A6">
        <v>6</v>
      </c>
      <c r="B6" t="s">
        <v>13</v>
      </c>
      <c r="C6" s="56">
        <v>4.2891456214410901</v>
      </c>
      <c r="D6" s="56">
        <v>8.9312426529400906</v>
      </c>
      <c r="E6" s="54">
        <v>2.5099999999999998</v>
      </c>
      <c r="F6">
        <v>5.3</v>
      </c>
      <c r="G6">
        <v>1.4</v>
      </c>
      <c r="H6" t="s">
        <v>14</v>
      </c>
      <c r="I6" s="56">
        <v>4.9480869692202596</v>
      </c>
      <c r="J6" t="s">
        <v>204</v>
      </c>
      <c r="K6">
        <v>4</v>
      </c>
    </row>
    <row r="7" spans="1:15">
      <c r="A7">
        <v>7</v>
      </c>
      <c r="B7" t="s">
        <v>13</v>
      </c>
      <c r="C7" s="56">
        <v>4.3074786275277903</v>
      </c>
      <c r="D7" s="56">
        <v>9.0576091978658404</v>
      </c>
      <c r="E7" s="54">
        <v>1.83</v>
      </c>
      <c r="F7">
        <v>3.5</v>
      </c>
      <c r="G7">
        <v>1.5</v>
      </c>
      <c r="H7" t="s">
        <v>14</v>
      </c>
      <c r="I7" s="56">
        <v>2.6302199094017098</v>
      </c>
      <c r="J7" t="s">
        <v>204</v>
      </c>
      <c r="K7">
        <v>4</v>
      </c>
    </row>
    <row r="8" spans="1:15">
      <c r="A8">
        <v>8</v>
      </c>
      <c r="B8" t="s">
        <v>13</v>
      </c>
      <c r="C8" s="56">
        <v>4.3847909736452699</v>
      </c>
      <c r="D8" s="56">
        <v>9.0804742579218694</v>
      </c>
      <c r="E8" s="54">
        <v>2.84</v>
      </c>
      <c r="F8">
        <v>4</v>
      </c>
      <c r="G8">
        <v>1.6</v>
      </c>
      <c r="H8" t="s">
        <v>14</v>
      </c>
      <c r="I8" s="56">
        <v>6.3347074266984604</v>
      </c>
      <c r="J8" t="s">
        <v>204</v>
      </c>
      <c r="K8">
        <v>4</v>
      </c>
    </row>
    <row r="9" spans="1:15">
      <c r="A9">
        <v>9</v>
      </c>
      <c r="B9" t="s">
        <v>13</v>
      </c>
      <c r="C9" s="56">
        <v>4.46709212854367</v>
      </c>
      <c r="D9" s="56">
        <v>9.0144389993630298</v>
      </c>
      <c r="E9" s="54">
        <v>5.1566201561774099</v>
      </c>
      <c r="F9">
        <v>6</v>
      </c>
      <c r="G9">
        <v>2.2000000000000002</v>
      </c>
      <c r="H9" t="s">
        <v>14</v>
      </c>
      <c r="I9" s="56">
        <v>20.8843116325185</v>
      </c>
      <c r="J9" t="s">
        <v>204</v>
      </c>
      <c r="K9">
        <v>4</v>
      </c>
    </row>
    <row r="10" spans="1:15">
      <c r="A10">
        <v>10</v>
      </c>
      <c r="B10" t="s">
        <v>13</v>
      </c>
      <c r="C10" s="56">
        <v>4.5733309832961897</v>
      </c>
      <c r="D10" s="56">
        <v>9.2373314067388392</v>
      </c>
      <c r="E10" s="54">
        <v>2.42</v>
      </c>
      <c r="F10">
        <v>4.0999999999999996</v>
      </c>
      <c r="G10">
        <v>0.7</v>
      </c>
      <c r="H10" t="s">
        <v>14</v>
      </c>
      <c r="I10" s="56">
        <v>4.5996058041208201</v>
      </c>
      <c r="J10" t="s">
        <v>204</v>
      </c>
      <c r="K10">
        <v>4</v>
      </c>
    </row>
    <row r="11" spans="1:15">
      <c r="A11">
        <v>11</v>
      </c>
      <c r="B11" t="s">
        <v>13</v>
      </c>
      <c r="C11" s="56">
        <v>4.6543320396682102</v>
      </c>
      <c r="D11" s="56">
        <v>9.1054419762351309</v>
      </c>
      <c r="E11" s="54">
        <v>7.8940851773580096</v>
      </c>
      <c r="F11">
        <v>6.6</v>
      </c>
      <c r="G11">
        <v>3.9</v>
      </c>
      <c r="H11" t="s">
        <v>14</v>
      </c>
      <c r="I11" s="56">
        <v>48.943328099619698</v>
      </c>
      <c r="J11" t="s">
        <v>204</v>
      </c>
      <c r="K11">
        <v>4</v>
      </c>
    </row>
    <row r="12" spans="1:15">
      <c r="A12">
        <v>12</v>
      </c>
      <c r="B12" t="s">
        <v>13</v>
      </c>
      <c r="C12" s="56">
        <v>4.3575671820445896</v>
      </c>
      <c r="D12" s="56">
        <v>8.8929986924760307</v>
      </c>
      <c r="E12" s="54">
        <v>0.76</v>
      </c>
      <c r="F12">
        <v>2.1</v>
      </c>
      <c r="G12">
        <v>0.7</v>
      </c>
      <c r="H12" t="s">
        <v>14</v>
      </c>
      <c r="I12" s="56">
        <v>0.45364597917836602</v>
      </c>
      <c r="J12" t="s">
        <v>204</v>
      </c>
      <c r="K12">
        <v>4</v>
      </c>
    </row>
    <row r="13" spans="1:15">
      <c r="A13">
        <v>13</v>
      </c>
      <c r="B13" t="s">
        <v>13</v>
      </c>
      <c r="C13" s="56">
        <v>4.9059474370510197</v>
      </c>
      <c r="D13" s="56">
        <v>8.7299100481017504</v>
      </c>
      <c r="E13" s="54">
        <v>0.54</v>
      </c>
      <c r="F13">
        <v>1.7</v>
      </c>
      <c r="G13">
        <v>0.6</v>
      </c>
      <c r="H13" t="s">
        <v>14</v>
      </c>
      <c r="I13" s="56">
        <v>0.22902210444669599</v>
      </c>
      <c r="J13" t="s">
        <v>204</v>
      </c>
      <c r="K13">
        <v>4</v>
      </c>
    </row>
    <row r="14" spans="1:15">
      <c r="A14">
        <v>14</v>
      </c>
      <c r="B14" t="s">
        <v>13</v>
      </c>
      <c r="C14" s="56">
        <v>4.9059474370510197</v>
      </c>
      <c r="D14" s="56">
        <v>8.7299100481017504</v>
      </c>
      <c r="E14" s="54">
        <v>0.81</v>
      </c>
      <c r="F14">
        <v>2.1</v>
      </c>
      <c r="G14">
        <v>0.6</v>
      </c>
      <c r="H14" t="s">
        <v>14</v>
      </c>
      <c r="I14" s="56">
        <v>0.51529973500506598</v>
      </c>
      <c r="J14" t="s">
        <v>204</v>
      </c>
      <c r="K14">
        <v>4</v>
      </c>
    </row>
    <row r="15" spans="1:15">
      <c r="A15">
        <v>15</v>
      </c>
      <c r="B15" t="s">
        <v>13</v>
      </c>
      <c r="C15" s="56">
        <v>4.9136324761842101</v>
      </c>
      <c r="D15" s="56">
        <v>8.9188592077476496</v>
      </c>
      <c r="E15" s="54">
        <v>0.39</v>
      </c>
      <c r="F15">
        <v>1.5</v>
      </c>
      <c r="G15">
        <v>0.4</v>
      </c>
      <c r="H15" t="s">
        <v>14</v>
      </c>
      <c r="I15" s="56">
        <v>0.119459060652752</v>
      </c>
      <c r="J15" t="s">
        <v>204</v>
      </c>
      <c r="K15">
        <v>4</v>
      </c>
    </row>
    <row r="16" spans="1:15">
      <c r="A16" s="53">
        <v>19</v>
      </c>
      <c r="B16" t="s">
        <v>13</v>
      </c>
      <c r="C16" s="54">
        <v>6.9093167736498451</v>
      </c>
      <c r="D16" s="54">
        <v>17.281193390808802</v>
      </c>
      <c r="E16" s="54">
        <v>11.045353050577537</v>
      </c>
      <c r="F16" s="2">
        <v>5</v>
      </c>
      <c r="G16" s="2"/>
      <c r="H16" t="s">
        <v>12</v>
      </c>
      <c r="I16" s="57">
        <f>PI()*(E16/2)^2</f>
        <v>95.818437713760133</v>
      </c>
      <c r="J16" t="s">
        <v>12</v>
      </c>
      <c r="K16">
        <v>19</v>
      </c>
      <c r="O16">
        <v>1</v>
      </c>
    </row>
    <row r="17" spans="1:15">
      <c r="A17">
        <v>20</v>
      </c>
      <c r="B17" t="s">
        <v>13</v>
      </c>
      <c r="C17" s="56">
        <v>6.8999120717316202</v>
      </c>
      <c r="D17" s="56">
        <v>17.634595918383901</v>
      </c>
      <c r="E17" s="54">
        <v>10.408733278210001</v>
      </c>
      <c r="F17">
        <v>8.1999999999999993</v>
      </c>
      <c r="G17">
        <v>2.7</v>
      </c>
      <c r="H17" t="s">
        <v>14</v>
      </c>
      <c r="I17" s="56">
        <v>85.091394549366399</v>
      </c>
      <c r="J17" t="s">
        <v>204</v>
      </c>
      <c r="K17">
        <v>19</v>
      </c>
    </row>
    <row r="18" spans="1:15">
      <c r="A18">
        <v>21</v>
      </c>
      <c r="B18" t="s">
        <v>13</v>
      </c>
      <c r="C18" s="56">
        <v>6.8907652746479302</v>
      </c>
      <c r="D18" s="56">
        <v>17.695625992904301</v>
      </c>
      <c r="E18" s="54">
        <v>4.2971834634811703</v>
      </c>
      <c r="F18">
        <v>5.5</v>
      </c>
      <c r="G18">
        <v>1.6</v>
      </c>
      <c r="H18" t="s">
        <v>14</v>
      </c>
      <c r="I18" s="56">
        <v>14.502994189249</v>
      </c>
      <c r="J18" t="s">
        <v>204</v>
      </c>
      <c r="K18">
        <v>19</v>
      </c>
    </row>
    <row r="19" spans="1:15">
      <c r="A19">
        <v>22</v>
      </c>
      <c r="B19" t="s">
        <v>13</v>
      </c>
      <c r="C19" s="56">
        <v>6.8333337259313804</v>
      </c>
      <c r="D19" s="56">
        <v>17.877329795601799</v>
      </c>
      <c r="E19" s="54">
        <v>4.45633840657307</v>
      </c>
      <c r="F19">
        <v>4</v>
      </c>
      <c r="G19">
        <v>2.6</v>
      </c>
      <c r="H19" t="s">
        <v>14</v>
      </c>
      <c r="I19" s="56">
        <v>15.5971844230057</v>
      </c>
      <c r="J19" t="s">
        <v>204</v>
      </c>
      <c r="K19">
        <v>19</v>
      </c>
    </row>
    <row r="20" spans="1:15">
      <c r="A20">
        <v>23</v>
      </c>
      <c r="B20" t="s">
        <v>13</v>
      </c>
      <c r="C20" s="56">
        <v>6.9886929587789997</v>
      </c>
      <c r="D20" s="56">
        <v>17.927321735838198</v>
      </c>
      <c r="E20" s="54">
        <v>2.8966199642724999</v>
      </c>
      <c r="F20">
        <v>2.9</v>
      </c>
      <c r="G20">
        <v>1.1000000000000001</v>
      </c>
      <c r="H20" t="s">
        <v>14</v>
      </c>
      <c r="I20" s="56">
        <v>6.5898104187199298</v>
      </c>
      <c r="J20" t="s">
        <v>204</v>
      </c>
      <c r="K20">
        <v>19</v>
      </c>
    </row>
    <row r="21" spans="1:15">
      <c r="A21">
        <v>24</v>
      </c>
      <c r="B21" t="s">
        <v>13</v>
      </c>
      <c r="C21" s="56">
        <v>6.59703322326639</v>
      </c>
      <c r="D21" s="56">
        <v>17.789083201278999</v>
      </c>
      <c r="E21" s="54">
        <v>1.76</v>
      </c>
      <c r="F21">
        <v>3.1</v>
      </c>
      <c r="G21">
        <v>1.1000000000000001</v>
      </c>
      <c r="H21" t="s">
        <v>14</v>
      </c>
      <c r="I21" s="56">
        <v>2.4328493509399398</v>
      </c>
      <c r="J21" t="s">
        <v>204</v>
      </c>
      <c r="K21">
        <v>19</v>
      </c>
    </row>
    <row r="22" spans="1:15">
      <c r="A22">
        <v>25</v>
      </c>
      <c r="B22" t="s">
        <v>13</v>
      </c>
      <c r="C22" s="56">
        <v>6.5904406558154296</v>
      </c>
      <c r="D22" s="56">
        <v>17.6221653798959</v>
      </c>
      <c r="E22" s="54">
        <v>1.98</v>
      </c>
      <c r="F22">
        <v>3.7</v>
      </c>
      <c r="G22">
        <v>0.9</v>
      </c>
      <c r="H22" t="s">
        <v>14</v>
      </c>
      <c r="I22" s="56">
        <v>3.0790749597833602</v>
      </c>
      <c r="J22" t="s">
        <v>204</v>
      </c>
      <c r="K22">
        <v>19</v>
      </c>
    </row>
    <row r="23" spans="1:15">
      <c r="A23">
        <v>30</v>
      </c>
      <c r="B23" t="s">
        <v>13</v>
      </c>
      <c r="C23" s="56">
        <v>8.3029446827353102</v>
      </c>
      <c r="D23" s="56">
        <v>22.162755093725899</v>
      </c>
      <c r="E23" s="54">
        <v>1.82</v>
      </c>
      <c r="F23">
        <v>3.8</v>
      </c>
      <c r="G23">
        <v>0.8</v>
      </c>
      <c r="H23" t="s">
        <v>14</v>
      </c>
      <c r="I23" s="56">
        <v>2.6015528764377098</v>
      </c>
      <c r="J23" t="s">
        <v>204</v>
      </c>
      <c r="K23">
        <v>37</v>
      </c>
    </row>
    <row r="24" spans="1:15">
      <c r="A24">
        <v>31</v>
      </c>
      <c r="B24" t="s">
        <v>13</v>
      </c>
      <c r="C24" s="56">
        <v>8.4184890926715994</v>
      </c>
      <c r="D24" s="56">
        <v>22.1145783023027</v>
      </c>
      <c r="E24" s="54">
        <v>4.2971834634811703</v>
      </c>
      <c r="F24">
        <v>3.7</v>
      </c>
      <c r="G24">
        <v>1.2</v>
      </c>
      <c r="H24" t="s">
        <v>14</v>
      </c>
      <c r="I24" s="56">
        <v>14.502994189249</v>
      </c>
      <c r="J24" t="s">
        <v>204</v>
      </c>
      <c r="K24">
        <v>37</v>
      </c>
    </row>
    <row r="25" spans="1:15">
      <c r="A25">
        <v>32</v>
      </c>
      <c r="B25" t="s">
        <v>13</v>
      </c>
      <c r="C25" s="56">
        <v>8.6407175818929804</v>
      </c>
      <c r="D25" s="56">
        <v>22.445076618424402</v>
      </c>
      <c r="E25" s="54">
        <v>18.2391564783312</v>
      </c>
      <c r="F25">
        <v>11.9</v>
      </c>
      <c r="G25">
        <v>3.5</v>
      </c>
      <c r="H25" t="s">
        <v>14</v>
      </c>
      <c r="I25" s="56">
        <v>261.275916552095</v>
      </c>
      <c r="J25" t="s">
        <v>12</v>
      </c>
      <c r="K25">
        <v>37</v>
      </c>
    </row>
    <row r="26" spans="1:15">
      <c r="A26">
        <v>33</v>
      </c>
      <c r="B26" t="s">
        <v>13</v>
      </c>
      <c r="C26" s="56">
        <v>8.5072670275945299</v>
      </c>
      <c r="D26" s="56">
        <v>22.715015234064602</v>
      </c>
      <c r="E26" s="54">
        <v>13.591832140047901</v>
      </c>
      <c r="F26">
        <v>5.8</v>
      </c>
      <c r="G26">
        <v>1.9</v>
      </c>
      <c r="H26" t="s">
        <v>14</v>
      </c>
      <c r="I26" s="56">
        <v>145.09280809501101</v>
      </c>
      <c r="J26" t="s">
        <v>12</v>
      </c>
      <c r="K26">
        <v>37</v>
      </c>
    </row>
    <row r="27" spans="1:15">
      <c r="A27">
        <v>34</v>
      </c>
      <c r="B27" t="s">
        <v>13</v>
      </c>
      <c r="C27" s="56">
        <v>8.8119505183786497</v>
      </c>
      <c r="D27" s="56">
        <v>22.148121984815202</v>
      </c>
      <c r="E27" s="54">
        <v>5.8569019057817497</v>
      </c>
      <c r="F27">
        <v>4.3</v>
      </c>
      <c r="G27">
        <v>0.9</v>
      </c>
      <c r="H27" t="s">
        <v>14</v>
      </c>
      <c r="I27" s="56">
        <v>26.941748766596</v>
      </c>
      <c r="J27" t="s">
        <v>204</v>
      </c>
      <c r="K27">
        <v>37</v>
      </c>
    </row>
    <row r="28" spans="1:15">
      <c r="A28">
        <v>35</v>
      </c>
      <c r="B28" t="s">
        <v>13</v>
      </c>
      <c r="C28" s="56">
        <v>8.9461265962646905</v>
      </c>
      <c r="D28" s="56">
        <v>22.2305198774289</v>
      </c>
      <c r="E28" s="54">
        <v>0.62</v>
      </c>
      <c r="F28">
        <v>2.1</v>
      </c>
      <c r="G28">
        <v>0.5</v>
      </c>
      <c r="H28" t="s">
        <v>14</v>
      </c>
      <c r="I28" s="56">
        <v>0.30190705400997903</v>
      </c>
      <c r="J28" t="s">
        <v>204</v>
      </c>
      <c r="K28">
        <v>37</v>
      </c>
    </row>
    <row r="29" spans="1:15">
      <c r="A29">
        <v>36</v>
      </c>
      <c r="B29" t="s">
        <v>13</v>
      </c>
      <c r="C29" s="56">
        <v>8.9167524089241592</v>
      </c>
      <c r="D29" s="56">
        <v>22.422628010641599</v>
      </c>
      <c r="E29" s="54">
        <v>2.9921129301276301</v>
      </c>
      <c r="F29">
        <v>4.5</v>
      </c>
      <c r="G29">
        <v>0.9</v>
      </c>
      <c r="H29" t="s">
        <v>14</v>
      </c>
      <c r="I29" s="56">
        <v>7.0314653857999403</v>
      </c>
      <c r="J29" t="s">
        <v>204</v>
      </c>
      <c r="K29">
        <v>37</v>
      </c>
    </row>
    <row r="30" spans="1:15">
      <c r="A30">
        <v>37</v>
      </c>
      <c r="B30" t="s">
        <v>13</v>
      </c>
      <c r="C30" s="56">
        <v>8.92595550838913</v>
      </c>
      <c r="D30" s="56">
        <v>22.883005074962199</v>
      </c>
      <c r="E30" s="54">
        <v>15.4061984912955</v>
      </c>
      <c r="F30">
        <v>14.2</v>
      </c>
      <c r="G30">
        <v>3</v>
      </c>
      <c r="H30" t="s">
        <v>14</v>
      </c>
      <c r="I30" s="56">
        <v>186.41500174467501</v>
      </c>
      <c r="J30" t="s">
        <v>12</v>
      </c>
      <c r="K30">
        <v>37</v>
      </c>
      <c r="O30">
        <v>0</v>
      </c>
    </row>
    <row r="31" spans="1:15">
      <c r="A31">
        <v>38</v>
      </c>
      <c r="B31" t="s">
        <v>13</v>
      </c>
      <c r="C31" s="56">
        <v>9.0445474699669095</v>
      </c>
      <c r="D31" s="56">
        <v>22.938751616505701</v>
      </c>
      <c r="E31" s="54">
        <v>4.6791553269017196</v>
      </c>
      <c r="F31">
        <v>1.7</v>
      </c>
      <c r="G31">
        <v>1</v>
      </c>
      <c r="H31" t="s">
        <v>14</v>
      </c>
      <c r="I31" s="56">
        <v>17.195895826363799</v>
      </c>
      <c r="J31" t="s">
        <v>204</v>
      </c>
      <c r="K31">
        <v>37</v>
      </c>
    </row>
    <row r="32" spans="1:15">
      <c r="A32">
        <v>50</v>
      </c>
      <c r="B32" t="s">
        <v>13</v>
      </c>
      <c r="C32" s="56">
        <v>1.07007919835586</v>
      </c>
      <c r="D32" s="56">
        <v>30.012983097421401</v>
      </c>
      <c r="E32" s="54">
        <v>1.54</v>
      </c>
      <c r="F32">
        <v>2.2000000000000002</v>
      </c>
      <c r="G32">
        <v>1.2</v>
      </c>
      <c r="H32" t="s">
        <v>14</v>
      </c>
      <c r="I32" s="56">
        <v>1.8626502843133901</v>
      </c>
      <c r="J32" t="s">
        <v>204</v>
      </c>
      <c r="K32">
        <v>50</v>
      </c>
      <c r="N32" t="s">
        <v>206</v>
      </c>
      <c r="O32">
        <v>0</v>
      </c>
    </row>
    <row r="33" spans="1:15">
      <c r="A33">
        <v>51</v>
      </c>
      <c r="B33" t="s">
        <v>13</v>
      </c>
      <c r="C33" s="56">
        <v>1.08755351195965</v>
      </c>
      <c r="D33" s="56">
        <v>30.011100207201199</v>
      </c>
      <c r="E33" s="54">
        <v>0.56999999999999995</v>
      </c>
      <c r="F33">
        <v>2</v>
      </c>
      <c r="G33">
        <v>0.5</v>
      </c>
      <c r="H33" t="s">
        <v>14</v>
      </c>
      <c r="I33" s="56">
        <v>0.25517586328783098</v>
      </c>
      <c r="J33" t="s">
        <v>204</v>
      </c>
      <c r="K33">
        <v>50</v>
      </c>
    </row>
    <row r="34" spans="1:15">
      <c r="A34">
        <v>88</v>
      </c>
      <c r="B34" t="s">
        <v>13</v>
      </c>
      <c r="C34" s="56">
        <v>19.494916087232198</v>
      </c>
      <c r="D34" s="56">
        <v>28.802292130563298</v>
      </c>
      <c r="E34" s="54">
        <v>2.5299999999999998</v>
      </c>
      <c r="F34">
        <v>2.9</v>
      </c>
      <c r="G34">
        <v>0.5</v>
      </c>
      <c r="H34" t="s">
        <v>14</v>
      </c>
      <c r="I34" s="56">
        <v>5.0272551040907301</v>
      </c>
      <c r="J34" t="s">
        <v>204</v>
      </c>
      <c r="K34">
        <v>94</v>
      </c>
    </row>
    <row r="35" spans="1:15">
      <c r="A35">
        <v>89</v>
      </c>
      <c r="B35" t="s">
        <v>13</v>
      </c>
      <c r="C35" s="56">
        <v>19.166810907643399</v>
      </c>
      <c r="D35" s="56">
        <v>28.654146961465401</v>
      </c>
      <c r="E35" s="54">
        <v>1.87</v>
      </c>
      <c r="F35">
        <v>2.8</v>
      </c>
      <c r="G35">
        <v>0.7</v>
      </c>
      <c r="H35" t="s">
        <v>14</v>
      </c>
      <c r="I35" s="56">
        <v>2.74645883758454</v>
      </c>
      <c r="J35" t="s">
        <v>204</v>
      </c>
      <c r="K35">
        <v>94</v>
      </c>
    </row>
    <row r="36" spans="1:15">
      <c r="A36">
        <v>90</v>
      </c>
      <c r="B36" t="s">
        <v>13</v>
      </c>
      <c r="C36" s="56">
        <v>19.014335911764299</v>
      </c>
      <c r="D36" s="56">
        <v>28.505523489744299</v>
      </c>
      <c r="E36" s="54">
        <v>1.86</v>
      </c>
      <c r="F36">
        <v>2.6</v>
      </c>
      <c r="G36">
        <v>1.3</v>
      </c>
      <c r="H36" t="s">
        <v>14</v>
      </c>
      <c r="I36" s="56">
        <v>2.71716348608981</v>
      </c>
      <c r="J36" t="s">
        <v>204</v>
      </c>
      <c r="K36">
        <v>94</v>
      </c>
    </row>
    <row r="37" spans="1:15">
      <c r="A37">
        <v>91</v>
      </c>
      <c r="B37" t="s">
        <v>13</v>
      </c>
      <c r="C37" s="56">
        <v>19.288186164934199</v>
      </c>
      <c r="D37" s="56">
        <v>28.628022627858702</v>
      </c>
      <c r="E37" s="54">
        <v>12.159437652220801</v>
      </c>
      <c r="F37">
        <v>7.4</v>
      </c>
      <c r="G37">
        <v>2.8</v>
      </c>
      <c r="H37" t="s">
        <v>14</v>
      </c>
      <c r="I37" s="56">
        <v>116.122629578709</v>
      </c>
      <c r="J37" t="s">
        <v>12</v>
      </c>
      <c r="K37">
        <v>94</v>
      </c>
    </row>
    <row r="38" spans="1:15">
      <c r="A38">
        <v>92</v>
      </c>
      <c r="B38" t="s">
        <v>13</v>
      </c>
      <c r="C38" s="56">
        <v>19.562907922607799</v>
      </c>
      <c r="D38" s="56">
        <v>28.425119204591201</v>
      </c>
      <c r="E38" s="54">
        <v>3.16</v>
      </c>
      <c r="F38">
        <v>3.7</v>
      </c>
      <c r="G38">
        <v>0.9</v>
      </c>
      <c r="H38" t="s">
        <v>14</v>
      </c>
      <c r="I38" s="56">
        <v>7.8426719004215597</v>
      </c>
      <c r="J38" t="s">
        <v>204</v>
      </c>
      <c r="K38">
        <v>94</v>
      </c>
    </row>
    <row r="39" spans="1:15">
      <c r="A39">
        <v>93</v>
      </c>
      <c r="B39" t="s">
        <v>13</v>
      </c>
      <c r="C39" s="56">
        <v>19.555892102460898</v>
      </c>
      <c r="D39" s="56">
        <v>28.6659785412213</v>
      </c>
      <c r="E39" s="54">
        <v>0.69</v>
      </c>
      <c r="F39">
        <v>1.6</v>
      </c>
      <c r="G39">
        <v>0.7</v>
      </c>
      <c r="H39" t="s">
        <v>14</v>
      </c>
      <c r="I39" s="56">
        <v>0.37392806559352498</v>
      </c>
      <c r="J39" t="s">
        <v>204</v>
      </c>
      <c r="K39">
        <v>94</v>
      </c>
    </row>
    <row r="40" spans="1:15">
      <c r="A40">
        <v>94</v>
      </c>
      <c r="B40" t="s">
        <v>13</v>
      </c>
      <c r="C40" s="56">
        <v>19.074849547210601</v>
      </c>
      <c r="D40" s="56">
        <v>28.293980633645099</v>
      </c>
      <c r="E40" s="54">
        <v>12.923381379061899</v>
      </c>
      <c r="F40">
        <v>6.4</v>
      </c>
      <c r="G40">
        <v>3.1</v>
      </c>
      <c r="H40" t="s">
        <v>14</v>
      </c>
      <c r="I40" s="56">
        <v>131.17232099747801</v>
      </c>
      <c r="J40" t="s">
        <v>12</v>
      </c>
      <c r="K40">
        <v>94</v>
      </c>
      <c r="O40">
        <v>0</v>
      </c>
    </row>
    <row r="41" spans="1:15">
      <c r="A41">
        <v>95</v>
      </c>
      <c r="B41" t="s">
        <v>13</v>
      </c>
      <c r="C41" s="56">
        <v>19.312191825432201</v>
      </c>
      <c r="D41" s="56">
        <v>28.197539075704999</v>
      </c>
      <c r="E41" s="54">
        <v>2.02</v>
      </c>
      <c r="F41">
        <v>3.4</v>
      </c>
      <c r="G41">
        <v>0.7</v>
      </c>
      <c r="H41" t="s">
        <v>14</v>
      </c>
      <c r="I41" s="56">
        <v>3.2047386659269499</v>
      </c>
      <c r="J41" t="s">
        <v>204</v>
      </c>
      <c r="K41">
        <v>94</v>
      </c>
    </row>
    <row r="42" spans="1:15">
      <c r="A42">
        <v>96</v>
      </c>
      <c r="B42" t="s">
        <v>13</v>
      </c>
      <c r="C42" s="56">
        <v>19.395037262242901</v>
      </c>
      <c r="D42" s="56">
        <v>28.232704877269001</v>
      </c>
      <c r="E42" s="54">
        <v>1.24</v>
      </c>
      <c r="F42">
        <v>3.3</v>
      </c>
      <c r="G42">
        <v>0.5</v>
      </c>
      <c r="H42" t="s">
        <v>14</v>
      </c>
      <c r="I42" s="56">
        <v>1.2076282160399201</v>
      </c>
      <c r="J42" t="s">
        <v>204</v>
      </c>
      <c r="K42">
        <v>94</v>
      </c>
    </row>
    <row r="43" spans="1:15">
      <c r="A43">
        <v>105</v>
      </c>
      <c r="B43" t="s">
        <v>13</v>
      </c>
      <c r="C43" s="56">
        <v>19.699163756211998</v>
      </c>
      <c r="D43" s="56">
        <v>20.6534885660379</v>
      </c>
      <c r="E43" s="54">
        <v>3.6287327024952098</v>
      </c>
      <c r="F43">
        <v>3.5</v>
      </c>
      <c r="G43">
        <v>1</v>
      </c>
      <c r="H43" t="s">
        <v>14</v>
      </c>
      <c r="I43" s="56">
        <v>10.3418882021114</v>
      </c>
      <c r="J43" t="s">
        <v>207</v>
      </c>
      <c r="K43">
        <v>105</v>
      </c>
      <c r="O43">
        <v>0</v>
      </c>
    </row>
    <row r="44" spans="1:15">
      <c r="A44">
        <v>108</v>
      </c>
      <c r="B44" t="s">
        <v>13</v>
      </c>
      <c r="C44" s="56">
        <v>19.674728156140301</v>
      </c>
      <c r="D44" s="56">
        <v>13.7331669002049</v>
      </c>
      <c r="E44" s="54">
        <v>0.44</v>
      </c>
      <c r="F44">
        <v>1.6</v>
      </c>
      <c r="G44">
        <v>0.6</v>
      </c>
      <c r="H44" t="s">
        <v>14</v>
      </c>
      <c r="I44" s="56">
        <v>0.15205308443374599</v>
      </c>
      <c r="J44" t="s">
        <v>204</v>
      </c>
      <c r="K44">
        <v>111</v>
      </c>
    </row>
    <row r="45" spans="1:15">
      <c r="A45">
        <v>109</v>
      </c>
      <c r="B45" t="s">
        <v>13</v>
      </c>
      <c r="C45" s="56">
        <v>19.5129063478552</v>
      </c>
      <c r="D45" s="56">
        <v>13.843463648447299</v>
      </c>
      <c r="E45" s="54">
        <v>0.19</v>
      </c>
      <c r="F45">
        <v>1.4</v>
      </c>
      <c r="G45">
        <v>0.4</v>
      </c>
      <c r="H45" t="s">
        <v>14</v>
      </c>
      <c r="I45" s="56">
        <v>2.8352873698647901E-2</v>
      </c>
      <c r="J45" t="s">
        <v>204</v>
      </c>
      <c r="K45">
        <v>111</v>
      </c>
    </row>
    <row r="46" spans="1:15">
      <c r="A46">
        <v>110</v>
      </c>
      <c r="B46" t="s">
        <v>13</v>
      </c>
      <c r="C46" s="56">
        <v>19.669675453237801</v>
      </c>
      <c r="D46" s="56">
        <v>13.8284953479207</v>
      </c>
      <c r="E46" s="54">
        <v>1</v>
      </c>
      <c r="F46">
        <v>2.4</v>
      </c>
      <c r="G46">
        <v>0.9</v>
      </c>
      <c r="H46" t="s">
        <v>14</v>
      </c>
      <c r="I46" s="56">
        <v>0.78539816339744795</v>
      </c>
      <c r="J46" t="s">
        <v>204</v>
      </c>
      <c r="K46">
        <v>111</v>
      </c>
    </row>
    <row r="47" spans="1:15">
      <c r="A47">
        <v>111</v>
      </c>
      <c r="B47" t="s">
        <v>13</v>
      </c>
      <c r="C47" s="56">
        <v>19.450592034892701</v>
      </c>
      <c r="D47" s="56">
        <v>13.8374874840215</v>
      </c>
      <c r="E47" s="54">
        <v>4.2653524748627998</v>
      </c>
      <c r="F47">
        <v>4.9000000000000004</v>
      </c>
      <c r="G47">
        <v>2.6</v>
      </c>
      <c r="H47" t="s">
        <v>14</v>
      </c>
      <c r="I47" s="56">
        <v>14.288930790790401</v>
      </c>
      <c r="J47" t="s">
        <v>12</v>
      </c>
      <c r="K47">
        <v>111</v>
      </c>
      <c r="N47" t="s">
        <v>205</v>
      </c>
      <c r="O47">
        <v>0</v>
      </c>
    </row>
    <row r="48" spans="1:15">
      <c r="A48">
        <v>112</v>
      </c>
      <c r="B48" t="s">
        <v>13</v>
      </c>
      <c r="C48" s="56">
        <v>16.471613120300901</v>
      </c>
      <c r="D48" s="56">
        <v>13.8885374655709</v>
      </c>
      <c r="E48" s="54">
        <v>8.7853528586726206</v>
      </c>
      <c r="F48">
        <v>6.3</v>
      </c>
      <c r="G48">
        <v>1.8</v>
      </c>
      <c r="H48" t="s">
        <v>14</v>
      </c>
      <c r="I48" s="56">
        <v>60.618934724841097</v>
      </c>
      <c r="J48" t="s">
        <v>207</v>
      </c>
      <c r="K48">
        <v>112</v>
      </c>
      <c r="O48">
        <v>3</v>
      </c>
    </row>
    <row r="49" spans="1:15">
      <c r="A49">
        <v>126</v>
      </c>
      <c r="B49" t="s">
        <v>13</v>
      </c>
      <c r="C49" s="56">
        <v>21.8365406195723</v>
      </c>
      <c r="D49" s="56">
        <v>11.595461118586901</v>
      </c>
      <c r="E49" s="54">
        <v>1.01</v>
      </c>
      <c r="H49" t="s">
        <v>14</v>
      </c>
      <c r="I49" s="56">
        <v>0.80118466648173703</v>
      </c>
      <c r="J49" t="s">
        <v>204</v>
      </c>
      <c r="K49">
        <v>146</v>
      </c>
    </row>
    <row r="50" spans="1:15">
      <c r="A50">
        <v>133</v>
      </c>
      <c r="B50" t="s">
        <v>13</v>
      </c>
      <c r="C50" s="56">
        <v>24.4813306981588</v>
      </c>
      <c r="D50" s="56">
        <v>11.261086766992801</v>
      </c>
      <c r="E50" s="54">
        <v>7.6394372684109797</v>
      </c>
      <c r="F50">
        <v>8.5</v>
      </c>
      <c r="G50">
        <v>2.8</v>
      </c>
      <c r="H50" t="s">
        <v>14</v>
      </c>
      <c r="I50" s="56">
        <v>45.8366236104659</v>
      </c>
      <c r="J50" t="s">
        <v>204</v>
      </c>
      <c r="K50">
        <v>139</v>
      </c>
    </row>
    <row r="51" spans="1:15">
      <c r="A51">
        <v>134</v>
      </c>
      <c r="B51" t="s">
        <v>13</v>
      </c>
      <c r="C51" s="56">
        <v>24.483757051699399</v>
      </c>
      <c r="D51" s="56">
        <v>11.3246775981189</v>
      </c>
      <c r="E51" s="54">
        <v>3.78788764558711</v>
      </c>
      <c r="F51">
        <v>4.0999999999999996</v>
      </c>
      <c r="G51">
        <v>1.4</v>
      </c>
      <c r="H51" t="s">
        <v>14</v>
      </c>
      <c r="I51" s="56">
        <v>11.2689657456216</v>
      </c>
      <c r="J51" t="s">
        <v>204</v>
      </c>
      <c r="K51">
        <v>139</v>
      </c>
    </row>
    <row r="52" spans="1:15">
      <c r="A52">
        <v>135</v>
      </c>
      <c r="B52" t="s">
        <v>13</v>
      </c>
      <c r="C52" s="56">
        <v>24.4315607079578</v>
      </c>
      <c r="D52" s="56">
        <v>11.4846580137018</v>
      </c>
      <c r="E52" s="54">
        <v>8.4670429724888301</v>
      </c>
      <c r="F52">
        <v>7.1</v>
      </c>
      <c r="G52">
        <v>2.7</v>
      </c>
      <c r="H52" t="s">
        <v>14</v>
      </c>
      <c r="I52" s="56">
        <v>56.305835767050702</v>
      </c>
      <c r="J52" t="s">
        <v>12</v>
      </c>
      <c r="K52">
        <v>139</v>
      </c>
    </row>
    <row r="53" spans="1:15">
      <c r="A53">
        <v>136</v>
      </c>
      <c r="B53" t="s">
        <v>13</v>
      </c>
      <c r="C53" s="56">
        <v>24.256321189866199</v>
      </c>
      <c r="D53" s="56">
        <v>10.973451140306601</v>
      </c>
      <c r="E53" s="54">
        <v>5.88873289440013</v>
      </c>
      <c r="F53">
        <v>6.6</v>
      </c>
      <c r="G53">
        <v>2.6</v>
      </c>
      <c r="H53" t="s">
        <v>14</v>
      </c>
      <c r="I53" s="56">
        <v>27.235389636600601</v>
      </c>
      <c r="J53" t="s">
        <v>204</v>
      </c>
      <c r="K53">
        <v>139</v>
      </c>
    </row>
    <row r="54" spans="1:15">
      <c r="A54">
        <v>137</v>
      </c>
      <c r="B54" t="s">
        <v>13</v>
      </c>
      <c r="C54" s="56">
        <v>24.042660540170001</v>
      </c>
      <c r="D54" s="56">
        <v>10.755324065640799</v>
      </c>
      <c r="E54" s="54">
        <v>0.63</v>
      </c>
      <c r="F54">
        <v>2.2999999999999998</v>
      </c>
      <c r="G54">
        <v>0.6</v>
      </c>
      <c r="H54" t="s">
        <v>14</v>
      </c>
      <c r="I54" s="56">
        <v>0.31172453105244702</v>
      </c>
      <c r="J54" t="s">
        <v>204</v>
      </c>
      <c r="K54">
        <v>139</v>
      </c>
    </row>
    <row r="55" spans="1:15">
      <c r="A55">
        <v>138</v>
      </c>
      <c r="B55" t="s">
        <v>13</v>
      </c>
      <c r="C55" s="56">
        <v>23.9758106269731</v>
      </c>
      <c r="D55" s="56">
        <v>10.577472753850399</v>
      </c>
      <c r="E55" s="54">
        <v>0.9</v>
      </c>
      <c r="F55">
        <v>1.9</v>
      </c>
      <c r="G55">
        <v>0.7</v>
      </c>
      <c r="H55" t="s">
        <v>14</v>
      </c>
      <c r="I55" s="56">
        <v>0.63617251235193295</v>
      </c>
      <c r="J55" t="s">
        <v>204</v>
      </c>
      <c r="K55">
        <v>139</v>
      </c>
    </row>
    <row r="56" spans="1:15">
      <c r="A56">
        <v>139</v>
      </c>
      <c r="B56" t="s">
        <v>13</v>
      </c>
      <c r="C56" s="56">
        <v>23.904153440943698</v>
      </c>
      <c r="D56" s="56">
        <v>10.785104816809501</v>
      </c>
      <c r="E56" s="54">
        <v>11.1408460164327</v>
      </c>
      <c r="F56">
        <v>1.6</v>
      </c>
      <c r="G56">
        <v>0.4</v>
      </c>
      <c r="H56" t="s">
        <v>14</v>
      </c>
      <c r="I56" s="56">
        <v>97.482402643785903</v>
      </c>
      <c r="J56" t="s">
        <v>12</v>
      </c>
      <c r="K56">
        <v>139</v>
      </c>
      <c r="N56" t="s">
        <v>205</v>
      </c>
      <c r="O56">
        <v>2</v>
      </c>
    </row>
    <row r="57" spans="1:15">
      <c r="A57">
        <v>140</v>
      </c>
      <c r="B57" t="s">
        <v>13</v>
      </c>
      <c r="C57" s="56">
        <v>23.814136091910601</v>
      </c>
      <c r="D57" s="56">
        <v>10.8914629812705</v>
      </c>
      <c r="E57" s="54">
        <v>2.27</v>
      </c>
      <c r="F57">
        <v>2.8</v>
      </c>
      <c r="G57">
        <v>1</v>
      </c>
      <c r="H57" t="s">
        <v>14</v>
      </c>
      <c r="I57" s="56">
        <v>4.0470781961707099</v>
      </c>
      <c r="J57" t="s">
        <v>204</v>
      </c>
      <c r="K57">
        <v>139</v>
      </c>
    </row>
    <row r="58" spans="1:15">
      <c r="A58">
        <v>141</v>
      </c>
      <c r="B58" t="s">
        <v>13</v>
      </c>
      <c r="C58" s="56">
        <v>23.803244960068401</v>
      </c>
      <c r="D58" s="56">
        <v>10.7998994335</v>
      </c>
      <c r="E58" s="54">
        <v>0.55000000000000004</v>
      </c>
      <c r="F58">
        <v>1.5</v>
      </c>
      <c r="G58">
        <v>0.4</v>
      </c>
      <c r="H58" t="s">
        <v>14</v>
      </c>
      <c r="I58" s="56">
        <v>0.23758294442772801</v>
      </c>
      <c r="J58" t="s">
        <v>204</v>
      </c>
      <c r="K58">
        <v>139</v>
      </c>
    </row>
    <row r="59" spans="1:15">
      <c r="A59">
        <v>142</v>
      </c>
      <c r="B59" t="s">
        <v>13</v>
      </c>
      <c r="C59" s="56">
        <v>23.776821029099299</v>
      </c>
      <c r="D59" s="56">
        <v>11.1581370718482</v>
      </c>
      <c r="E59" s="54">
        <v>3.9788735772973798</v>
      </c>
      <c r="F59">
        <v>4.8</v>
      </c>
      <c r="G59">
        <v>1.5</v>
      </c>
      <c r="H59" t="s">
        <v>14</v>
      </c>
      <c r="I59" s="56">
        <v>12.433979929054299</v>
      </c>
      <c r="J59" t="s">
        <v>204</v>
      </c>
      <c r="K59">
        <v>139</v>
      </c>
    </row>
    <row r="60" spans="1:15">
      <c r="A60">
        <v>143</v>
      </c>
      <c r="B60" t="s">
        <v>13</v>
      </c>
      <c r="C60" s="56">
        <v>23.822225534738202</v>
      </c>
      <c r="D60" s="56">
        <v>11.163807234165001</v>
      </c>
      <c r="E60" s="54">
        <v>5.0292962017038896</v>
      </c>
      <c r="F60">
        <v>5.5</v>
      </c>
      <c r="G60">
        <v>1.6</v>
      </c>
      <c r="H60" t="s">
        <v>14</v>
      </c>
      <c r="I60" s="56">
        <v>19.865719996730402</v>
      </c>
      <c r="J60" t="s">
        <v>204</v>
      </c>
      <c r="K60">
        <v>139</v>
      </c>
    </row>
    <row r="61" spans="1:15">
      <c r="A61">
        <v>144</v>
      </c>
      <c r="B61" t="s">
        <v>13</v>
      </c>
      <c r="C61" s="56">
        <v>24.319680469471699</v>
      </c>
      <c r="D61" s="56">
        <v>11.740547714722</v>
      </c>
      <c r="E61" s="54">
        <v>4.9019722472303799</v>
      </c>
      <c r="F61">
        <v>3.3</v>
      </c>
      <c r="G61">
        <v>1.5</v>
      </c>
      <c r="H61" t="s">
        <v>14</v>
      </c>
      <c r="I61" s="56">
        <v>18.872593151836899</v>
      </c>
      <c r="J61" t="s">
        <v>204</v>
      </c>
      <c r="K61">
        <v>139</v>
      </c>
    </row>
    <row r="62" spans="1:15">
      <c r="A62" s="53">
        <v>145</v>
      </c>
      <c r="B62" t="s">
        <v>13</v>
      </c>
      <c r="C62" s="54">
        <v>21.971325740910526</v>
      </c>
      <c r="D62" s="54">
        <v>11.532730588339588</v>
      </c>
      <c r="E62" s="54">
        <v>1.33</v>
      </c>
      <c r="F62" s="2">
        <v>1.3</v>
      </c>
      <c r="G62" s="2"/>
      <c r="H62" t="s">
        <v>12</v>
      </c>
      <c r="I62" s="57">
        <f>PI()*(E62/2)^2</f>
        <v>1.3892908112337463</v>
      </c>
      <c r="J62" t="s">
        <v>204</v>
      </c>
      <c r="K62">
        <v>146</v>
      </c>
    </row>
    <row r="63" spans="1:15">
      <c r="A63">
        <v>146</v>
      </c>
      <c r="B63" t="s">
        <v>13</v>
      </c>
      <c r="C63" s="54">
        <v>21.782757902395126</v>
      </c>
      <c r="D63" s="54">
        <v>10.540297636283698</v>
      </c>
      <c r="E63" s="54">
        <v>19.098593171027442</v>
      </c>
      <c r="F63" s="2">
        <v>7.5</v>
      </c>
      <c r="G63" s="2"/>
      <c r="H63" t="s">
        <v>12</v>
      </c>
      <c r="I63" s="57">
        <f>PI()*(E63/2)^2</f>
        <v>286.47889756541167</v>
      </c>
      <c r="J63" t="s">
        <v>12</v>
      </c>
      <c r="K63">
        <v>146</v>
      </c>
      <c r="O63">
        <v>0</v>
      </c>
    </row>
    <row r="64" spans="1:15">
      <c r="A64">
        <v>147</v>
      </c>
      <c r="B64" t="s">
        <v>13</v>
      </c>
      <c r="C64" s="56">
        <v>21.7135539250371</v>
      </c>
      <c r="D64" s="56">
        <v>11.6041644656559</v>
      </c>
      <c r="E64" s="54">
        <v>2.29</v>
      </c>
      <c r="F64">
        <v>2</v>
      </c>
      <c r="G64">
        <v>1.5</v>
      </c>
      <c r="H64" t="s">
        <v>14</v>
      </c>
      <c r="I64" s="56">
        <v>4.1187065086725596</v>
      </c>
      <c r="J64" t="s">
        <v>204</v>
      </c>
      <c r="K64">
        <v>146</v>
      </c>
    </row>
    <row r="65" spans="1:15">
      <c r="A65">
        <v>148</v>
      </c>
      <c r="B65" t="s">
        <v>13</v>
      </c>
      <c r="C65" s="56">
        <v>21.7855376864457</v>
      </c>
      <c r="D65" s="56">
        <v>11.947311629412001</v>
      </c>
      <c r="E65" s="54">
        <v>3.4695777594033199</v>
      </c>
      <c r="F65">
        <v>4.5999999999999996</v>
      </c>
      <c r="G65">
        <v>1.5</v>
      </c>
      <c r="H65" t="s">
        <v>14</v>
      </c>
      <c r="I65" s="56">
        <v>9.4545993943740392</v>
      </c>
      <c r="J65" t="s">
        <v>204</v>
      </c>
      <c r="K65">
        <v>146</v>
      </c>
    </row>
    <row r="66" spans="1:15">
      <c r="A66">
        <v>149</v>
      </c>
      <c r="B66" t="s">
        <v>13</v>
      </c>
      <c r="C66" s="56">
        <v>21.951670549920301</v>
      </c>
      <c r="D66" s="56">
        <v>12.1846863753062</v>
      </c>
      <c r="E66" s="54">
        <v>5.9842258602552603</v>
      </c>
      <c r="F66">
        <v>5.6</v>
      </c>
      <c r="G66">
        <v>2.2000000000000002</v>
      </c>
      <c r="H66" t="s">
        <v>14</v>
      </c>
      <c r="I66" s="56">
        <v>28.125861543199701</v>
      </c>
      <c r="J66" t="s">
        <v>204</v>
      </c>
      <c r="K66">
        <v>146</v>
      </c>
    </row>
    <row r="67" spans="1:15">
      <c r="A67">
        <v>150</v>
      </c>
      <c r="B67" t="s">
        <v>13</v>
      </c>
      <c r="C67" s="56">
        <v>22.0218331717933</v>
      </c>
      <c r="D67" s="56">
        <v>12.081998618831101</v>
      </c>
      <c r="E67" s="54">
        <v>0.7</v>
      </c>
      <c r="F67">
        <v>2</v>
      </c>
      <c r="G67">
        <v>0.6</v>
      </c>
      <c r="H67" t="s">
        <v>14</v>
      </c>
      <c r="I67" s="56">
        <v>0.38484510006474998</v>
      </c>
      <c r="J67" t="s">
        <v>204</v>
      </c>
      <c r="K67">
        <v>146</v>
      </c>
    </row>
    <row r="68" spans="1:15">
      <c r="A68">
        <v>151</v>
      </c>
      <c r="B68" t="s">
        <v>13</v>
      </c>
      <c r="C68" s="56">
        <v>22.1852256955437</v>
      </c>
      <c r="D68" s="56">
        <v>12.144973802340401</v>
      </c>
      <c r="E68" s="54">
        <v>3.5014087480217002</v>
      </c>
      <c r="F68">
        <v>4.9000000000000004</v>
      </c>
      <c r="G68">
        <v>1.4</v>
      </c>
      <c r="H68" t="s">
        <v>14</v>
      </c>
      <c r="I68" s="56">
        <v>9.6288740570596705</v>
      </c>
      <c r="J68" t="s">
        <v>204</v>
      </c>
      <c r="K68">
        <v>146</v>
      </c>
    </row>
    <row r="69" spans="1:15">
      <c r="A69">
        <v>152</v>
      </c>
      <c r="B69" t="s">
        <v>13</v>
      </c>
      <c r="C69" s="56">
        <v>21.916912528638999</v>
      </c>
      <c r="D69" s="56">
        <v>12.3825016195253</v>
      </c>
      <c r="E69" s="54">
        <v>6.5253526667677102</v>
      </c>
      <c r="F69">
        <v>6.4</v>
      </c>
      <c r="G69">
        <v>2</v>
      </c>
      <c r="H69" t="s">
        <v>14</v>
      </c>
      <c r="I69" s="56">
        <v>33.442432417184499</v>
      </c>
      <c r="J69" t="s">
        <v>204</v>
      </c>
      <c r="K69">
        <v>146</v>
      </c>
    </row>
    <row r="70" spans="1:15">
      <c r="A70">
        <v>153</v>
      </c>
      <c r="B70" t="s">
        <v>13</v>
      </c>
      <c r="C70" s="56">
        <v>22.275538913106601</v>
      </c>
      <c r="D70" s="56">
        <v>12.6469135624048</v>
      </c>
      <c r="E70" s="54">
        <v>0.65</v>
      </c>
      <c r="F70">
        <v>1.3</v>
      </c>
      <c r="G70">
        <v>0.7</v>
      </c>
      <c r="H70" t="s">
        <v>14</v>
      </c>
      <c r="I70" s="56">
        <v>0.33183072403542202</v>
      </c>
      <c r="J70" t="s">
        <v>204</v>
      </c>
      <c r="K70">
        <v>146</v>
      </c>
    </row>
    <row r="71" spans="1:15">
      <c r="A71">
        <v>170</v>
      </c>
      <c r="B71" t="s">
        <v>13</v>
      </c>
      <c r="C71" s="56">
        <v>25.0975786552562</v>
      </c>
      <c r="D71" s="56">
        <v>34.135906561669103</v>
      </c>
      <c r="E71" s="54">
        <v>15.5971844230057</v>
      </c>
      <c r="F71">
        <v>6.1</v>
      </c>
      <c r="G71">
        <v>3.2</v>
      </c>
      <c r="H71" t="s">
        <v>14</v>
      </c>
      <c r="I71" s="56">
        <v>191.06550918182</v>
      </c>
      <c r="J71" t="s">
        <v>12</v>
      </c>
      <c r="K71">
        <v>170</v>
      </c>
      <c r="O71">
        <v>0</v>
      </c>
    </row>
    <row r="72" spans="1:15">
      <c r="A72">
        <v>171</v>
      </c>
      <c r="B72" t="s">
        <v>13</v>
      </c>
      <c r="C72" s="56">
        <v>25.433323914882699</v>
      </c>
      <c r="D72" s="56">
        <v>34.334182209427901</v>
      </c>
      <c r="E72" s="54">
        <v>4.2335214862444204</v>
      </c>
      <c r="F72">
        <v>3.7</v>
      </c>
      <c r="G72">
        <v>1.7</v>
      </c>
      <c r="H72" t="s">
        <v>14</v>
      </c>
      <c r="I72" s="56">
        <v>14.0764589417627</v>
      </c>
      <c r="J72" t="s">
        <v>204</v>
      </c>
      <c r="K72">
        <v>170</v>
      </c>
    </row>
    <row r="73" spans="1:15">
      <c r="A73">
        <v>172</v>
      </c>
      <c r="B73" t="s">
        <v>13</v>
      </c>
      <c r="C73" s="56">
        <v>24.907350780199302</v>
      </c>
      <c r="D73" s="56">
        <v>34.663296118381901</v>
      </c>
      <c r="E73" s="54">
        <v>2.2200000000000002</v>
      </c>
      <c r="F73">
        <v>3.6</v>
      </c>
      <c r="G73">
        <v>1.7</v>
      </c>
      <c r="H73" t="s">
        <v>14</v>
      </c>
      <c r="I73" s="56">
        <v>3.8707563084879801</v>
      </c>
      <c r="J73" t="s">
        <v>204</v>
      </c>
      <c r="K73">
        <v>170</v>
      </c>
    </row>
    <row r="74" spans="1:15">
      <c r="A74">
        <v>173</v>
      </c>
      <c r="B74" t="s">
        <v>13</v>
      </c>
      <c r="C74" s="56">
        <v>20.557772508087002</v>
      </c>
      <c r="D74" s="56">
        <v>33.493865215873399</v>
      </c>
      <c r="E74" s="54">
        <v>7.5121133139374603</v>
      </c>
      <c r="F74">
        <v>7.7</v>
      </c>
      <c r="G74">
        <v>1.3</v>
      </c>
      <c r="H74" t="s">
        <v>14</v>
      </c>
      <c r="I74" s="56">
        <v>44.321468552231003</v>
      </c>
      <c r="J74" t="s">
        <v>204</v>
      </c>
      <c r="K74">
        <v>176</v>
      </c>
    </row>
    <row r="75" spans="1:15">
      <c r="A75">
        <v>174</v>
      </c>
      <c r="B75" t="s">
        <v>13</v>
      </c>
      <c r="C75" s="56">
        <v>20.869370276898501</v>
      </c>
      <c r="D75" s="56">
        <v>33.306219653914098</v>
      </c>
      <c r="E75" s="54">
        <v>3.11943688460115</v>
      </c>
      <c r="F75">
        <v>4.5999999999999996</v>
      </c>
      <c r="G75">
        <v>0.9</v>
      </c>
      <c r="H75" t="s">
        <v>14</v>
      </c>
      <c r="I75" s="56">
        <v>7.6426203672728201</v>
      </c>
      <c r="J75" t="s">
        <v>204</v>
      </c>
      <c r="K75">
        <v>176</v>
      </c>
    </row>
    <row r="76" spans="1:15">
      <c r="A76">
        <v>175</v>
      </c>
      <c r="B76" t="s">
        <v>13</v>
      </c>
      <c r="C76" s="56">
        <v>20.548209621882801</v>
      </c>
      <c r="D76" s="56">
        <v>33.733935349002898</v>
      </c>
      <c r="E76" s="54">
        <v>1.27</v>
      </c>
      <c r="F76">
        <v>2.8</v>
      </c>
      <c r="G76">
        <v>0.8</v>
      </c>
      <c r="H76" t="s">
        <v>14</v>
      </c>
      <c r="I76" s="56">
        <v>1.26676869774374</v>
      </c>
      <c r="J76" t="s">
        <v>204</v>
      </c>
      <c r="K76">
        <v>176</v>
      </c>
    </row>
    <row r="77" spans="1:15">
      <c r="A77">
        <v>176</v>
      </c>
      <c r="B77" t="s">
        <v>13</v>
      </c>
      <c r="C77" s="56">
        <v>20.652257610790201</v>
      </c>
      <c r="D77" s="56">
        <v>33.794183372901998</v>
      </c>
      <c r="E77" s="54">
        <v>10.4405642668283</v>
      </c>
      <c r="F77">
        <v>9.9</v>
      </c>
      <c r="G77">
        <v>2.8</v>
      </c>
      <c r="H77" t="s">
        <v>14</v>
      </c>
      <c r="I77" s="56">
        <v>85.6126269879923</v>
      </c>
      <c r="J77" t="s">
        <v>12</v>
      </c>
      <c r="K77">
        <v>176</v>
      </c>
      <c r="N77" t="s">
        <v>205</v>
      </c>
      <c r="O77">
        <v>0</v>
      </c>
    </row>
    <row r="78" spans="1:15">
      <c r="A78">
        <v>177</v>
      </c>
      <c r="B78" t="s">
        <v>13</v>
      </c>
      <c r="C78" s="56">
        <v>20.851731153255901</v>
      </c>
      <c r="D78" s="56">
        <v>33.616571920780103</v>
      </c>
      <c r="E78" s="54">
        <v>6.1115498147287797</v>
      </c>
      <c r="F78">
        <v>5.6</v>
      </c>
      <c r="G78">
        <v>2.7</v>
      </c>
      <c r="H78" t="s">
        <v>14</v>
      </c>
      <c r="I78" s="56">
        <v>29.335439110698101</v>
      </c>
      <c r="J78" t="s">
        <v>12</v>
      </c>
      <c r="K78">
        <v>176</v>
      </c>
    </row>
    <row r="79" spans="1:15">
      <c r="A79">
        <v>178</v>
      </c>
      <c r="B79" t="s">
        <v>13</v>
      </c>
      <c r="C79" s="56">
        <v>21.000976199357599</v>
      </c>
      <c r="D79" s="56">
        <v>33.607899668472101</v>
      </c>
      <c r="E79" s="54">
        <v>7.67126825702936</v>
      </c>
      <c r="F79">
        <v>9.1999999999999993</v>
      </c>
      <c r="G79">
        <v>1.1000000000000001</v>
      </c>
      <c r="H79" t="s">
        <v>14</v>
      </c>
      <c r="I79" s="56">
        <v>46.219391248601902</v>
      </c>
      <c r="J79" t="s">
        <v>12</v>
      </c>
      <c r="K79">
        <v>176</v>
      </c>
    </row>
    <row r="80" spans="1:15">
      <c r="A80" s="53">
        <v>179</v>
      </c>
      <c r="B80" t="s">
        <v>13</v>
      </c>
      <c r="C80" s="54">
        <v>20.978472868674029</v>
      </c>
      <c r="D80" s="54">
        <v>33.95872605775331</v>
      </c>
      <c r="E80" s="54">
        <v>10.663381187156988</v>
      </c>
      <c r="F80" s="2">
        <v>6.8</v>
      </c>
      <c r="G80" s="2"/>
      <c r="H80" t="s">
        <v>12</v>
      </c>
      <c r="I80" s="57">
        <f>PI()*(E80/2)^2</f>
        <v>89.305817442439775</v>
      </c>
      <c r="J80" t="s">
        <v>12</v>
      </c>
      <c r="K80">
        <v>176</v>
      </c>
    </row>
    <row r="81" spans="1:15">
      <c r="A81">
        <v>180</v>
      </c>
      <c r="B81" t="s">
        <v>13</v>
      </c>
      <c r="C81" s="56">
        <v>20.6057333972226</v>
      </c>
      <c r="D81" s="56">
        <v>34.513335525887399</v>
      </c>
      <c r="E81" s="54">
        <v>1.69</v>
      </c>
      <c r="F81">
        <v>2.7</v>
      </c>
      <c r="G81">
        <v>0.8</v>
      </c>
      <c r="H81" t="s">
        <v>14</v>
      </c>
      <c r="I81" s="56">
        <v>2.2431756944794499</v>
      </c>
      <c r="J81" t="s">
        <v>204</v>
      </c>
      <c r="K81">
        <v>176</v>
      </c>
    </row>
    <row r="82" spans="1:15">
      <c r="A82">
        <v>186</v>
      </c>
      <c r="B82" t="s">
        <v>13</v>
      </c>
      <c r="C82" s="56">
        <v>26.088068052261601</v>
      </c>
      <c r="D82" s="56">
        <v>46.326438760553302</v>
      </c>
      <c r="E82" s="54">
        <v>4.55183137242821</v>
      </c>
      <c r="F82">
        <v>5</v>
      </c>
      <c r="G82">
        <v>2</v>
      </c>
      <c r="H82" t="s">
        <v>14</v>
      </c>
      <c r="I82" s="56">
        <v>16.272797156430801</v>
      </c>
      <c r="J82" t="s">
        <v>204</v>
      </c>
      <c r="K82">
        <v>195</v>
      </c>
    </row>
    <row r="83" spans="1:15">
      <c r="A83">
        <v>187</v>
      </c>
      <c r="B83" t="s">
        <v>13</v>
      </c>
      <c r="C83" s="56">
        <v>26.363027006017901</v>
      </c>
      <c r="D83" s="56">
        <v>46.658527413827102</v>
      </c>
      <c r="E83" s="54">
        <v>6.4616906895309496</v>
      </c>
      <c r="F83">
        <v>6.6</v>
      </c>
      <c r="G83">
        <v>2.1</v>
      </c>
      <c r="H83" t="s">
        <v>14</v>
      </c>
      <c r="I83" s="56">
        <v>32.793080249369602</v>
      </c>
      <c r="J83" t="s">
        <v>204</v>
      </c>
      <c r="K83">
        <v>195</v>
      </c>
    </row>
    <row r="84" spans="1:15">
      <c r="A84">
        <v>188</v>
      </c>
      <c r="B84" t="s">
        <v>13</v>
      </c>
      <c r="C84" s="56">
        <v>26.1091796315085</v>
      </c>
      <c r="D84" s="56">
        <v>46.690405386070502</v>
      </c>
      <c r="E84" s="54">
        <v>5.7295779513082303</v>
      </c>
      <c r="F84">
        <v>6.7</v>
      </c>
      <c r="G84">
        <v>2</v>
      </c>
      <c r="H84" t="s">
        <v>14</v>
      </c>
      <c r="I84" s="56">
        <v>25.783100780887001</v>
      </c>
      <c r="J84" t="s">
        <v>204</v>
      </c>
      <c r="K84">
        <v>195</v>
      </c>
    </row>
    <row r="85" spans="1:15">
      <c r="A85">
        <v>189</v>
      </c>
      <c r="B85" t="s">
        <v>13</v>
      </c>
      <c r="C85" s="56">
        <v>26.356224715782499</v>
      </c>
      <c r="D85" s="56">
        <v>46.8162164990907</v>
      </c>
      <c r="E85" s="54">
        <v>3.9152116000606298</v>
      </c>
      <c r="F85">
        <v>4.5999999999999996</v>
      </c>
      <c r="G85">
        <v>3.3</v>
      </c>
      <c r="H85" t="s">
        <v>14</v>
      </c>
      <c r="I85" s="56">
        <v>12.039275670186401</v>
      </c>
      <c r="J85" t="s">
        <v>204</v>
      </c>
      <c r="K85">
        <v>195</v>
      </c>
    </row>
    <row r="86" spans="1:15">
      <c r="A86">
        <v>190</v>
      </c>
      <c r="B86" t="s">
        <v>13</v>
      </c>
      <c r="C86" s="56">
        <v>25.9334149949688</v>
      </c>
      <c r="D86" s="56">
        <v>46.753864560196597</v>
      </c>
      <c r="E86" s="54">
        <v>1.31</v>
      </c>
      <c r="F86">
        <v>1.8</v>
      </c>
      <c r="G86">
        <v>1.1000000000000001</v>
      </c>
      <c r="H86" t="s">
        <v>14</v>
      </c>
      <c r="I86" s="56">
        <v>1.3478217882063599</v>
      </c>
      <c r="J86" t="s">
        <v>204</v>
      </c>
      <c r="K86">
        <v>195</v>
      </c>
    </row>
    <row r="87" spans="1:15">
      <c r="A87">
        <v>191</v>
      </c>
      <c r="B87" t="s">
        <v>13</v>
      </c>
      <c r="C87" s="56">
        <v>26.645579839866301</v>
      </c>
      <c r="D87" s="56">
        <v>47.052118021698398</v>
      </c>
      <c r="E87" s="54">
        <v>10.567888221301899</v>
      </c>
      <c r="F87">
        <v>9.5</v>
      </c>
      <c r="G87">
        <v>3.6</v>
      </c>
      <c r="H87" t="s">
        <v>14</v>
      </c>
      <c r="I87" s="56">
        <v>87.713472236805401</v>
      </c>
      <c r="J87" t="s">
        <v>12</v>
      </c>
      <c r="K87">
        <v>195</v>
      </c>
    </row>
    <row r="88" spans="1:15">
      <c r="A88">
        <v>192</v>
      </c>
      <c r="B88" t="s">
        <v>13</v>
      </c>
      <c r="C88" s="54">
        <v>26.924600108357865</v>
      </c>
      <c r="D88" s="54">
        <v>46.948813808077624</v>
      </c>
      <c r="E88" s="54">
        <v>3.4695777594033186</v>
      </c>
      <c r="F88" s="2">
        <v>3.5</v>
      </c>
      <c r="G88" s="2"/>
      <c r="H88" t="s">
        <v>12</v>
      </c>
      <c r="I88" s="57">
        <f>PI()*(E88/2)^2</f>
        <v>9.4545993943740445</v>
      </c>
      <c r="J88" t="s">
        <v>204</v>
      </c>
      <c r="K88">
        <v>195</v>
      </c>
    </row>
    <row r="89" spans="1:15">
      <c r="A89">
        <v>193</v>
      </c>
      <c r="B89" t="s">
        <v>13</v>
      </c>
      <c r="C89" s="56">
        <v>26.584828996944498</v>
      </c>
      <c r="D89" s="56">
        <v>47.338911845839199</v>
      </c>
      <c r="E89" s="54">
        <v>4.8701412586119996</v>
      </c>
      <c r="F89">
        <v>4.4000000000000004</v>
      </c>
      <c r="G89">
        <v>2.6</v>
      </c>
      <c r="H89" t="s">
        <v>14</v>
      </c>
      <c r="I89" s="56">
        <v>18.628290314190899</v>
      </c>
      <c r="J89" t="s">
        <v>204</v>
      </c>
      <c r="K89">
        <v>195</v>
      </c>
    </row>
    <row r="90" spans="1:15">
      <c r="A90">
        <v>194</v>
      </c>
      <c r="B90" t="s">
        <v>13</v>
      </c>
      <c r="C90" s="56">
        <v>26.38270086855</v>
      </c>
      <c r="D90" s="56">
        <v>47.290900467199599</v>
      </c>
      <c r="E90" s="54">
        <v>1.35</v>
      </c>
      <c r="F90">
        <v>2.7</v>
      </c>
      <c r="G90">
        <v>1.1000000000000001</v>
      </c>
      <c r="H90" t="s">
        <v>14</v>
      </c>
      <c r="I90" s="56">
        <v>1.4313881527918499</v>
      </c>
      <c r="J90" t="s">
        <v>204</v>
      </c>
      <c r="K90">
        <v>195</v>
      </c>
    </row>
    <row r="91" spans="1:15">
      <c r="A91">
        <v>195</v>
      </c>
      <c r="B91" t="s">
        <v>13</v>
      </c>
      <c r="C91" s="56">
        <v>26.125615719030801</v>
      </c>
      <c r="D91" s="56">
        <v>47.274402522734299</v>
      </c>
      <c r="E91" s="54">
        <v>12.5414095156414</v>
      </c>
      <c r="F91">
        <v>9.6999999999999993</v>
      </c>
      <c r="G91">
        <v>4.2</v>
      </c>
      <c r="H91" t="s">
        <v>14</v>
      </c>
      <c r="I91" s="56">
        <v>123.532883729067</v>
      </c>
      <c r="J91" t="s">
        <v>12</v>
      </c>
      <c r="K91">
        <v>195</v>
      </c>
      <c r="N91" t="s">
        <v>205</v>
      </c>
      <c r="O91">
        <v>1</v>
      </c>
    </row>
    <row r="92" spans="1:15">
      <c r="A92">
        <v>196</v>
      </c>
      <c r="B92" t="s">
        <v>13</v>
      </c>
      <c r="C92" s="54">
        <v>26.402940262221591</v>
      </c>
      <c r="D92" s="54">
        <v>47.576856604055649</v>
      </c>
      <c r="E92" s="54">
        <v>2.38</v>
      </c>
      <c r="F92" s="2">
        <v>3.2</v>
      </c>
      <c r="G92" s="2"/>
      <c r="H92" t="s">
        <v>12</v>
      </c>
      <c r="I92" s="57">
        <f>PI()*(E92/2)^2</f>
        <v>4.4488093567485061</v>
      </c>
      <c r="J92" t="s">
        <v>204</v>
      </c>
      <c r="K92">
        <v>195</v>
      </c>
    </row>
    <row r="93" spans="1:15">
      <c r="A93">
        <v>197</v>
      </c>
      <c r="B93" t="s">
        <v>13</v>
      </c>
      <c r="C93" s="56">
        <v>25.8422013219358</v>
      </c>
      <c r="D93" s="56">
        <v>46.9378371063302</v>
      </c>
      <c r="E93" s="54">
        <v>9.0400007676196505</v>
      </c>
      <c r="F93">
        <v>10.8</v>
      </c>
      <c r="G93">
        <v>3.7</v>
      </c>
      <c r="H93" t="s">
        <v>14</v>
      </c>
      <c r="I93" s="56">
        <v>64.184005450099505</v>
      </c>
      <c r="J93" t="s">
        <v>12</v>
      </c>
      <c r="K93">
        <v>195</v>
      </c>
    </row>
    <row r="94" spans="1:15">
      <c r="A94">
        <v>198</v>
      </c>
      <c r="B94" t="s">
        <v>13</v>
      </c>
      <c r="C94" s="54">
        <v>25.791475915445979</v>
      </c>
      <c r="D94" s="54">
        <v>46.638893486177437</v>
      </c>
      <c r="E94" s="54">
        <v>2.928450952890874</v>
      </c>
      <c r="F94" s="2">
        <v>2.8</v>
      </c>
      <c r="G94" s="2"/>
      <c r="H94" t="s">
        <v>12</v>
      </c>
      <c r="I94" s="57">
        <f>PI()*(E94/2)^2</f>
        <v>6.7354371916490097</v>
      </c>
      <c r="J94" t="s">
        <v>204</v>
      </c>
      <c r="K94">
        <v>195</v>
      </c>
    </row>
    <row r="95" spans="1:15">
      <c r="A95">
        <v>199</v>
      </c>
      <c r="B95" t="s">
        <v>13</v>
      </c>
      <c r="C95" s="56">
        <v>30.5712137606927</v>
      </c>
      <c r="D95" s="56">
        <v>48.901788563302397</v>
      </c>
      <c r="E95" s="54">
        <v>5.9842258602552603</v>
      </c>
      <c r="F95">
        <v>6.9</v>
      </c>
      <c r="G95">
        <v>2.5</v>
      </c>
      <c r="H95" t="s">
        <v>14</v>
      </c>
      <c r="I95" s="56">
        <v>28.125861543199701</v>
      </c>
      <c r="J95" t="s">
        <v>207</v>
      </c>
      <c r="K95">
        <v>199</v>
      </c>
      <c r="O95">
        <v>0</v>
      </c>
    </row>
    <row r="96" spans="1:15">
      <c r="A96">
        <v>200</v>
      </c>
      <c r="B96" t="s">
        <v>13</v>
      </c>
      <c r="C96" s="56">
        <v>37.9726242917612</v>
      </c>
      <c r="D96" s="56">
        <v>45.943877191463002</v>
      </c>
      <c r="E96" s="54">
        <v>12.636902481496501</v>
      </c>
      <c r="F96">
        <v>10.7</v>
      </c>
      <c r="G96">
        <v>2.9</v>
      </c>
      <c r="H96" t="s">
        <v>14</v>
      </c>
      <c r="I96" s="56">
        <v>125.421257128853</v>
      </c>
      <c r="J96" t="s">
        <v>204</v>
      </c>
      <c r="K96">
        <v>202</v>
      </c>
    </row>
    <row r="97" spans="1:15">
      <c r="A97">
        <v>201</v>
      </c>
      <c r="B97" t="s">
        <v>13</v>
      </c>
      <c r="C97" s="56">
        <v>37.586645506147299</v>
      </c>
      <c r="D97" s="56">
        <v>46.055567672903102</v>
      </c>
      <c r="E97" s="54">
        <v>1.0900000000000001</v>
      </c>
      <c r="F97">
        <v>1.9</v>
      </c>
      <c r="G97">
        <v>1.2</v>
      </c>
      <c r="H97" t="s">
        <v>14</v>
      </c>
      <c r="I97" s="56">
        <v>0.93313155793250802</v>
      </c>
      <c r="J97" t="s">
        <v>204</v>
      </c>
      <c r="K97">
        <v>202</v>
      </c>
    </row>
    <row r="98" spans="1:15">
      <c r="A98">
        <v>202</v>
      </c>
      <c r="B98" t="s">
        <v>13</v>
      </c>
      <c r="C98" s="54">
        <v>37.478923043387454</v>
      </c>
      <c r="D98" s="54">
        <v>45.780601114359932</v>
      </c>
      <c r="E98" s="54">
        <v>18.366480432804725</v>
      </c>
      <c r="F98" s="2">
        <v>5.9</v>
      </c>
      <c r="G98" s="2"/>
      <c r="H98" t="s">
        <v>12</v>
      </c>
      <c r="I98" s="57">
        <f>PI()*(E98/2)^2</f>
        <v>264.93648024320817</v>
      </c>
      <c r="J98" t="s">
        <v>12</v>
      </c>
      <c r="K98">
        <v>202</v>
      </c>
      <c r="O98">
        <v>0</v>
      </c>
    </row>
    <row r="99" spans="1:15">
      <c r="A99">
        <v>203</v>
      </c>
      <c r="B99" t="s">
        <v>13</v>
      </c>
      <c r="C99" s="56">
        <v>37.1951018146164</v>
      </c>
      <c r="D99" s="56">
        <v>45.587027258299003</v>
      </c>
      <c r="E99" s="54">
        <v>12.8597194018251</v>
      </c>
      <c r="F99">
        <v>8.3000000000000007</v>
      </c>
      <c r="G99">
        <v>1.9</v>
      </c>
      <c r="H99" t="s">
        <v>14</v>
      </c>
      <c r="I99" s="56">
        <v>129.88316595843401</v>
      </c>
      <c r="J99" t="s">
        <v>12</v>
      </c>
      <c r="K99">
        <v>202</v>
      </c>
    </row>
    <row r="100" spans="1:15">
      <c r="A100">
        <v>211</v>
      </c>
      <c r="B100" t="s">
        <v>13</v>
      </c>
      <c r="C100" s="56">
        <v>35.208951740241403</v>
      </c>
      <c r="D100" s="56">
        <v>23.3440875837567</v>
      </c>
      <c r="E100" s="54">
        <v>1.35</v>
      </c>
      <c r="F100">
        <v>2.6</v>
      </c>
      <c r="G100">
        <v>0.4</v>
      </c>
      <c r="H100" t="s">
        <v>14</v>
      </c>
      <c r="I100" s="56">
        <v>1.4313881527918499</v>
      </c>
      <c r="J100" t="s">
        <v>204</v>
      </c>
      <c r="K100">
        <v>212</v>
      </c>
    </row>
    <row r="101" spans="1:15">
      <c r="A101">
        <v>212</v>
      </c>
      <c r="B101" t="s">
        <v>13</v>
      </c>
      <c r="C101" s="56">
        <v>35.1899477674867</v>
      </c>
      <c r="D101" s="56">
        <v>23.205377071540799</v>
      </c>
      <c r="E101" s="54">
        <v>6.7800005757147401</v>
      </c>
      <c r="F101">
        <v>6</v>
      </c>
      <c r="G101">
        <v>1.4</v>
      </c>
      <c r="H101" t="s">
        <v>14</v>
      </c>
      <c r="I101" s="56">
        <v>36.103503065680997</v>
      </c>
      <c r="J101" t="s">
        <v>12</v>
      </c>
      <c r="K101">
        <v>212</v>
      </c>
      <c r="O101">
        <v>0</v>
      </c>
    </row>
    <row r="102" spans="1:15">
      <c r="A102">
        <v>218</v>
      </c>
      <c r="B102" t="s">
        <v>13</v>
      </c>
      <c r="C102" s="56">
        <v>32.1725155843124</v>
      </c>
      <c r="D102" s="56">
        <v>17.931141368793</v>
      </c>
      <c r="E102" s="54">
        <v>2.06</v>
      </c>
      <c r="F102">
        <v>2.4</v>
      </c>
      <c r="G102">
        <v>1.1000000000000001</v>
      </c>
      <c r="H102" t="s">
        <v>14</v>
      </c>
      <c r="I102" s="56">
        <v>3.3329156461934102</v>
      </c>
      <c r="J102" t="s">
        <v>204</v>
      </c>
      <c r="K102">
        <v>224</v>
      </c>
    </row>
    <row r="103" spans="1:15">
      <c r="A103">
        <v>219</v>
      </c>
      <c r="B103" t="s">
        <v>13</v>
      </c>
      <c r="C103" s="56">
        <v>32.324126605414001</v>
      </c>
      <c r="D103" s="56">
        <v>17.6431937877698</v>
      </c>
      <c r="E103" s="54">
        <v>2.93</v>
      </c>
      <c r="F103">
        <v>4.2</v>
      </c>
      <c r="G103">
        <v>1.7</v>
      </c>
      <c r="H103" t="s">
        <v>14</v>
      </c>
      <c r="I103" s="56">
        <v>6.7425646929507499</v>
      </c>
      <c r="J103" t="s">
        <v>204</v>
      </c>
      <c r="K103">
        <v>224</v>
      </c>
    </row>
    <row r="104" spans="1:15">
      <c r="A104">
        <v>220</v>
      </c>
      <c r="B104" t="s">
        <v>13</v>
      </c>
      <c r="C104" s="56">
        <v>32.410464545492701</v>
      </c>
      <c r="D104" s="56">
        <v>17.503890892824899</v>
      </c>
      <c r="E104" s="54">
        <v>5.5067610309795798</v>
      </c>
      <c r="F104">
        <v>5.6</v>
      </c>
      <c r="G104">
        <v>2.2999999999999998</v>
      </c>
      <c r="H104" t="s">
        <v>14</v>
      </c>
      <c r="I104" s="56">
        <v>23.816741458986701</v>
      </c>
      <c r="J104" t="s">
        <v>204</v>
      </c>
      <c r="K104">
        <v>224</v>
      </c>
    </row>
    <row r="105" spans="1:15">
      <c r="A105">
        <v>221</v>
      </c>
      <c r="B105" t="s">
        <v>13</v>
      </c>
      <c r="C105" s="56">
        <v>31.863786000705499</v>
      </c>
      <c r="D105" s="56">
        <v>17.937307162087802</v>
      </c>
      <c r="E105" s="54">
        <v>9.1354937334747905</v>
      </c>
      <c r="F105">
        <v>7.4</v>
      </c>
      <c r="G105">
        <v>1.7</v>
      </c>
      <c r="H105" t="s">
        <v>14</v>
      </c>
      <c r="I105" s="56">
        <v>65.547167537681602</v>
      </c>
      <c r="J105" t="s">
        <v>204</v>
      </c>
      <c r="K105">
        <v>224</v>
      </c>
    </row>
    <row r="106" spans="1:15">
      <c r="A106">
        <v>222</v>
      </c>
      <c r="B106" t="s">
        <v>13</v>
      </c>
      <c r="C106" s="56">
        <v>31.6855052227186</v>
      </c>
      <c r="D106" s="56">
        <v>18.033487314002699</v>
      </c>
      <c r="E106" s="54">
        <v>7.7667612228844902</v>
      </c>
      <c r="F106">
        <v>7.2</v>
      </c>
      <c r="G106">
        <v>2.8</v>
      </c>
      <c r="H106" t="s">
        <v>14</v>
      </c>
      <c r="I106" s="56">
        <v>47.377243459595398</v>
      </c>
      <c r="J106" t="s">
        <v>204</v>
      </c>
      <c r="K106">
        <v>224</v>
      </c>
    </row>
    <row r="107" spans="1:15">
      <c r="A107">
        <v>223</v>
      </c>
      <c r="B107" t="s">
        <v>13</v>
      </c>
      <c r="C107" s="56">
        <v>31.641290490894399</v>
      </c>
      <c r="D107" s="56">
        <v>17.868740859374501</v>
      </c>
      <c r="E107" s="54">
        <v>6.5890146440044699</v>
      </c>
      <c r="F107">
        <v>5.8</v>
      </c>
      <c r="G107">
        <v>1.9</v>
      </c>
      <c r="H107" t="s">
        <v>14</v>
      </c>
      <c r="I107" s="56">
        <v>34.098150782723103</v>
      </c>
      <c r="J107" t="s">
        <v>204</v>
      </c>
      <c r="K107">
        <v>224</v>
      </c>
    </row>
    <row r="108" spans="1:15">
      <c r="A108">
        <v>224</v>
      </c>
      <c r="B108" t="s">
        <v>13</v>
      </c>
      <c r="C108" s="56">
        <v>31.896743692831699</v>
      </c>
      <c r="D108" s="56">
        <v>17.5101680049242</v>
      </c>
      <c r="E108" s="54">
        <v>21.899720169444802</v>
      </c>
      <c r="F108">
        <v>7.3</v>
      </c>
      <c r="G108">
        <v>3.2</v>
      </c>
      <c r="H108" t="s">
        <v>14</v>
      </c>
      <c r="I108" s="56">
        <v>376.67518691445099</v>
      </c>
      <c r="J108" t="s">
        <v>12</v>
      </c>
      <c r="K108">
        <v>224</v>
      </c>
      <c r="O108">
        <v>3</v>
      </c>
    </row>
    <row r="109" spans="1:15">
      <c r="A109">
        <v>225</v>
      </c>
      <c r="B109" t="s">
        <v>13</v>
      </c>
      <c r="C109" s="56">
        <v>31.8917968313289</v>
      </c>
      <c r="D109" s="56">
        <v>17.247418530002498</v>
      </c>
      <c r="E109" s="54">
        <v>4.9019722472303799</v>
      </c>
      <c r="F109">
        <v>4.3</v>
      </c>
      <c r="G109">
        <v>2</v>
      </c>
      <c r="H109" t="s">
        <v>14</v>
      </c>
      <c r="I109" s="56">
        <v>18.872593151836899</v>
      </c>
      <c r="J109" t="s">
        <v>204</v>
      </c>
      <c r="K109">
        <v>224</v>
      </c>
    </row>
    <row r="110" spans="1:15">
      <c r="A110">
        <v>226</v>
      </c>
      <c r="B110" t="s">
        <v>13</v>
      </c>
      <c r="C110" s="56">
        <v>32.119407180101199</v>
      </c>
      <c r="D110" s="56">
        <v>17.114776749550298</v>
      </c>
      <c r="E110" s="54">
        <v>2.13</v>
      </c>
      <c r="F110">
        <v>1.9</v>
      </c>
      <c r="G110">
        <v>1.5</v>
      </c>
      <c r="H110" t="s">
        <v>14</v>
      </c>
      <c r="I110" s="56">
        <v>3.5632729275178798</v>
      </c>
      <c r="J110" t="s">
        <v>204</v>
      </c>
      <c r="K110">
        <v>224</v>
      </c>
    </row>
    <row r="111" spans="1:15">
      <c r="A111">
        <v>227</v>
      </c>
      <c r="B111" t="s">
        <v>13</v>
      </c>
      <c r="C111" s="56">
        <v>31.999387380366901</v>
      </c>
      <c r="D111" s="56">
        <v>17.176163938322599</v>
      </c>
      <c r="E111" s="54">
        <v>2.8329579870357402</v>
      </c>
      <c r="F111">
        <v>3.1</v>
      </c>
      <c r="G111">
        <v>1.1000000000000001</v>
      </c>
      <c r="H111" t="s">
        <v>14</v>
      </c>
      <c r="I111" s="56">
        <v>6.3033315211545196</v>
      </c>
      <c r="J111" t="s">
        <v>204</v>
      </c>
      <c r="K111">
        <v>224</v>
      </c>
    </row>
    <row r="112" spans="1:15">
      <c r="A112">
        <v>228</v>
      </c>
      <c r="B112" t="s">
        <v>13</v>
      </c>
      <c r="C112" s="56">
        <v>32.261169715280403</v>
      </c>
      <c r="D112" s="56">
        <v>17.237390451276401</v>
      </c>
      <c r="E112" s="54">
        <v>7.2892963936088098</v>
      </c>
      <c r="F112">
        <v>4.3</v>
      </c>
      <c r="G112">
        <v>2.9</v>
      </c>
      <c r="H112" t="s">
        <v>14</v>
      </c>
      <c r="I112" s="56">
        <v>41.731221853410403</v>
      </c>
      <c r="J112" t="s">
        <v>204</v>
      </c>
      <c r="K112">
        <v>224</v>
      </c>
    </row>
    <row r="113" spans="1:15">
      <c r="A113">
        <v>229</v>
      </c>
      <c r="B113" t="s">
        <v>13</v>
      </c>
      <c r="C113" s="56">
        <v>32.249368886906403</v>
      </c>
      <c r="D113" s="56">
        <v>17.100131104581202</v>
      </c>
      <c r="E113" s="54">
        <v>5.8569019057817497</v>
      </c>
      <c r="F113">
        <v>5.6</v>
      </c>
      <c r="G113">
        <v>1.5</v>
      </c>
      <c r="H113" t="s">
        <v>14</v>
      </c>
      <c r="I113" s="56">
        <v>26.941748766596</v>
      </c>
      <c r="J113" t="s">
        <v>204</v>
      </c>
      <c r="K113">
        <v>224</v>
      </c>
    </row>
    <row r="114" spans="1:15">
      <c r="A114">
        <v>230</v>
      </c>
      <c r="B114" t="s">
        <v>13</v>
      </c>
      <c r="C114" s="56">
        <v>31.992592005271501</v>
      </c>
      <c r="D114" s="56">
        <v>17.257432389068899</v>
      </c>
      <c r="E114" s="54">
        <v>0.76</v>
      </c>
      <c r="F114">
        <v>2.1</v>
      </c>
      <c r="G114">
        <v>0.7</v>
      </c>
      <c r="H114" t="s">
        <v>14</v>
      </c>
      <c r="I114" s="56">
        <v>0.45364597917836602</v>
      </c>
      <c r="J114" t="s">
        <v>204</v>
      </c>
      <c r="K114">
        <v>224</v>
      </c>
    </row>
    <row r="115" spans="1:15">
      <c r="A115">
        <v>245</v>
      </c>
      <c r="B115" t="s">
        <v>13</v>
      </c>
      <c r="C115" s="56">
        <v>34.025777339984401</v>
      </c>
      <c r="D115" s="56">
        <v>9.7119086697301906</v>
      </c>
      <c r="E115" s="54">
        <v>7.4484513367006997</v>
      </c>
      <c r="F115">
        <v>6.6</v>
      </c>
      <c r="G115">
        <v>3.4</v>
      </c>
      <c r="H115" t="s">
        <v>14</v>
      </c>
      <c r="I115" s="56">
        <v>43.573440319699102</v>
      </c>
      <c r="J115" t="s">
        <v>12</v>
      </c>
      <c r="K115">
        <v>245</v>
      </c>
      <c r="N115" t="s">
        <v>205</v>
      </c>
      <c r="O115">
        <v>1</v>
      </c>
    </row>
    <row r="116" spans="1:15">
      <c r="A116">
        <v>246</v>
      </c>
      <c r="B116" t="s">
        <v>13</v>
      </c>
      <c r="C116" s="56">
        <v>34.0509378108829</v>
      </c>
      <c r="D116" s="56">
        <v>9.6930927280564507</v>
      </c>
      <c r="E116" s="54">
        <v>0.36</v>
      </c>
      <c r="F116">
        <v>1.6</v>
      </c>
      <c r="G116">
        <v>0.4</v>
      </c>
      <c r="H116" t="s">
        <v>14</v>
      </c>
      <c r="I116" s="56">
        <v>0.101787601976309</v>
      </c>
      <c r="J116" t="s">
        <v>204</v>
      </c>
      <c r="K116">
        <v>245</v>
      </c>
    </row>
    <row r="117" spans="1:15">
      <c r="A117">
        <v>247</v>
      </c>
      <c r="B117" t="s">
        <v>13</v>
      </c>
      <c r="C117" s="56">
        <v>33.894852414965499</v>
      </c>
      <c r="D117" s="56">
        <v>9.4075223287712006</v>
      </c>
      <c r="E117" s="54">
        <v>2.08</v>
      </c>
      <c r="F117">
        <v>3</v>
      </c>
      <c r="G117">
        <v>2</v>
      </c>
      <c r="H117" t="s">
        <v>14</v>
      </c>
      <c r="I117" s="56">
        <v>3.3979466141227199</v>
      </c>
      <c r="J117" t="s">
        <v>204</v>
      </c>
      <c r="K117">
        <v>245</v>
      </c>
    </row>
    <row r="118" spans="1:15">
      <c r="A118">
        <v>248</v>
      </c>
      <c r="B118" t="s">
        <v>13</v>
      </c>
      <c r="C118" s="56">
        <v>34.068567064814403</v>
      </c>
      <c r="D118" s="56">
        <v>9.4180847704201494</v>
      </c>
      <c r="E118" s="54">
        <v>0.96</v>
      </c>
      <c r="F118">
        <v>1.5</v>
      </c>
      <c r="G118">
        <v>0.7</v>
      </c>
      <c r="H118" t="s">
        <v>14</v>
      </c>
      <c r="I118" s="56">
        <v>0.72382294738708797</v>
      </c>
      <c r="J118" t="s">
        <v>204</v>
      </c>
      <c r="K118">
        <v>245</v>
      </c>
    </row>
    <row r="119" spans="1:15">
      <c r="A119">
        <v>249</v>
      </c>
      <c r="B119" t="s">
        <v>13</v>
      </c>
      <c r="C119" s="56">
        <v>33.861205161092599</v>
      </c>
      <c r="D119" s="56">
        <v>9.3143433199608303</v>
      </c>
      <c r="E119" s="54">
        <v>2.93</v>
      </c>
      <c r="F119">
        <v>3.8</v>
      </c>
      <c r="G119">
        <v>1.7</v>
      </c>
      <c r="H119" t="s">
        <v>14</v>
      </c>
      <c r="I119" s="56">
        <v>6.7425646929507499</v>
      </c>
      <c r="J119" t="s">
        <v>204</v>
      </c>
      <c r="K119">
        <v>245</v>
      </c>
    </row>
    <row r="120" spans="1:15">
      <c r="A120">
        <v>250</v>
      </c>
      <c r="B120" t="s">
        <v>13</v>
      </c>
      <c r="C120" s="56">
        <v>33.713362604392699</v>
      </c>
      <c r="D120" s="56">
        <v>9.4955824508264701</v>
      </c>
      <c r="E120" s="54">
        <v>2.34</v>
      </c>
      <c r="F120">
        <v>2.4</v>
      </c>
      <c r="G120">
        <v>1.6</v>
      </c>
      <c r="H120" t="s">
        <v>14</v>
      </c>
      <c r="I120" s="56">
        <v>4.3005261834990698</v>
      </c>
      <c r="J120" t="s">
        <v>204</v>
      </c>
      <c r="K120">
        <v>245</v>
      </c>
    </row>
    <row r="121" spans="1:15">
      <c r="A121" s="53">
        <v>251</v>
      </c>
      <c r="B121" t="s">
        <v>13</v>
      </c>
      <c r="C121" s="54">
        <v>33.495999755650672</v>
      </c>
      <c r="D121" s="54">
        <v>9.0689354720097679</v>
      </c>
      <c r="E121" s="54">
        <v>2.9</v>
      </c>
      <c r="F121" s="2">
        <v>1.4</v>
      </c>
      <c r="G121" s="2"/>
      <c r="H121" t="s">
        <v>12</v>
      </c>
      <c r="I121" s="57">
        <f>PI()*(E121/2)^2</f>
        <v>6.6051985541725404</v>
      </c>
      <c r="J121" t="s">
        <v>204</v>
      </c>
      <c r="K121">
        <v>245</v>
      </c>
    </row>
    <row r="122" spans="1:15">
      <c r="A122">
        <v>252</v>
      </c>
      <c r="B122" t="s">
        <v>13</v>
      </c>
      <c r="C122" s="56">
        <v>33.817488071653003</v>
      </c>
      <c r="D122" s="56">
        <v>9.1455958466208003</v>
      </c>
      <c r="E122" s="54">
        <v>0.73</v>
      </c>
      <c r="F122">
        <v>2.5</v>
      </c>
      <c r="G122">
        <v>0.7</v>
      </c>
      <c r="H122" t="s">
        <v>14</v>
      </c>
      <c r="I122" s="56">
        <v>0.4185386812745</v>
      </c>
      <c r="J122" t="s">
        <v>204</v>
      </c>
      <c r="K122">
        <v>245</v>
      </c>
    </row>
    <row r="123" spans="1:15">
      <c r="A123">
        <v>253</v>
      </c>
      <c r="B123" t="s">
        <v>13</v>
      </c>
      <c r="C123" s="56">
        <v>33.991864086035797</v>
      </c>
      <c r="D123" s="56">
        <v>8.9138005024738103</v>
      </c>
      <c r="E123" s="54">
        <v>4.45633840657307</v>
      </c>
      <c r="F123">
        <v>4</v>
      </c>
      <c r="G123">
        <v>2.1</v>
      </c>
      <c r="H123" t="s">
        <v>14</v>
      </c>
      <c r="I123" s="56">
        <v>15.5971844230057</v>
      </c>
      <c r="J123" t="s">
        <v>12</v>
      </c>
      <c r="K123">
        <v>245</v>
      </c>
    </row>
    <row r="124" spans="1:15">
      <c r="A124">
        <v>261</v>
      </c>
      <c r="B124" t="s">
        <v>13</v>
      </c>
      <c r="C124" s="56">
        <v>40.795535078290101</v>
      </c>
      <c r="D124" s="56">
        <v>5.0333085520429197</v>
      </c>
      <c r="E124" s="54">
        <v>1.84</v>
      </c>
      <c r="F124">
        <v>2</v>
      </c>
      <c r="G124">
        <v>1.5</v>
      </c>
      <c r="H124" t="s">
        <v>14</v>
      </c>
      <c r="I124" s="56">
        <v>2.6590440219984002</v>
      </c>
      <c r="J124" t="s">
        <v>204</v>
      </c>
      <c r="K124">
        <v>265</v>
      </c>
    </row>
    <row r="125" spans="1:15">
      <c r="A125">
        <v>262</v>
      </c>
      <c r="B125" t="s">
        <v>13</v>
      </c>
      <c r="C125" s="56">
        <v>40.675863550722802</v>
      </c>
      <c r="D125" s="56">
        <v>5.0660757544522097</v>
      </c>
      <c r="E125" s="54">
        <v>0.97</v>
      </c>
      <c r="F125">
        <v>2.1</v>
      </c>
      <c r="G125">
        <v>1.4</v>
      </c>
      <c r="H125" t="s">
        <v>14</v>
      </c>
      <c r="I125" s="56">
        <v>0.73898113194065895</v>
      </c>
      <c r="J125" t="s">
        <v>204</v>
      </c>
      <c r="K125">
        <v>265</v>
      </c>
    </row>
    <row r="126" spans="1:15">
      <c r="A126" s="53">
        <v>263</v>
      </c>
      <c r="B126" t="s">
        <v>13</v>
      </c>
      <c r="C126" s="54">
        <v>40.044069004266788</v>
      </c>
      <c r="D126" s="54">
        <v>4.9501922885259351</v>
      </c>
      <c r="E126" s="54">
        <v>1.26</v>
      </c>
      <c r="F126" s="2">
        <v>2.5</v>
      </c>
      <c r="G126" s="2"/>
      <c r="H126" t="s">
        <v>12</v>
      </c>
      <c r="I126" s="57">
        <f>PI()*(E126/2)^2</f>
        <v>1.246898124209789</v>
      </c>
      <c r="J126" t="s">
        <v>204</v>
      </c>
      <c r="K126">
        <v>265</v>
      </c>
    </row>
    <row r="127" spans="1:15">
      <c r="A127">
        <v>264</v>
      </c>
      <c r="B127" t="s">
        <v>13</v>
      </c>
      <c r="C127" s="56">
        <v>40.620282470305902</v>
      </c>
      <c r="D127" s="56">
        <v>5.3511991162202701</v>
      </c>
      <c r="E127" s="54">
        <v>7.4484513367006997</v>
      </c>
      <c r="F127">
        <v>8.1</v>
      </c>
      <c r="G127">
        <v>1.8</v>
      </c>
      <c r="H127" t="s">
        <v>14</v>
      </c>
      <c r="I127" s="56">
        <v>43.573440319699102</v>
      </c>
      <c r="J127" t="s">
        <v>204</v>
      </c>
      <c r="K127">
        <v>265</v>
      </c>
    </row>
    <row r="128" spans="1:15">
      <c r="A128">
        <v>265</v>
      </c>
      <c r="B128" t="s">
        <v>13</v>
      </c>
      <c r="C128" s="56">
        <v>40.876130854070098</v>
      </c>
      <c r="D128" s="56">
        <v>5.1789633141256504</v>
      </c>
      <c r="E128" s="54">
        <v>14.9287336620198</v>
      </c>
      <c r="F128">
        <v>6.6</v>
      </c>
      <c r="G128">
        <v>4.4000000000000004</v>
      </c>
      <c r="H128" t="s">
        <v>14</v>
      </c>
      <c r="I128" s="56">
        <v>175.03940218718199</v>
      </c>
      <c r="J128" t="s">
        <v>12</v>
      </c>
      <c r="K128">
        <v>265</v>
      </c>
      <c r="O128">
        <v>2</v>
      </c>
    </row>
    <row r="129" spans="1:15">
      <c r="A129">
        <v>266</v>
      </c>
      <c r="B129" t="s">
        <v>13</v>
      </c>
      <c r="C129" s="56">
        <v>41.045795804813302</v>
      </c>
      <c r="D129" s="56">
        <v>5.0799175683089599</v>
      </c>
      <c r="E129" s="54">
        <v>5.7614089399266097</v>
      </c>
      <c r="F129">
        <v>4.3</v>
      </c>
      <c r="G129">
        <v>1.6</v>
      </c>
      <c r="H129" t="s">
        <v>14</v>
      </c>
      <c r="I129" s="56">
        <v>26.070375453167902</v>
      </c>
      <c r="J129" t="s">
        <v>204</v>
      </c>
      <c r="K129">
        <v>265</v>
      </c>
    </row>
    <row r="130" spans="1:15">
      <c r="A130">
        <v>267</v>
      </c>
      <c r="B130" t="s">
        <v>13</v>
      </c>
      <c r="C130" s="56">
        <v>41.100623071934002</v>
      </c>
      <c r="D130" s="56">
        <v>5.1944273126372797</v>
      </c>
      <c r="E130" s="54">
        <v>5.6659159740714697</v>
      </c>
      <c r="F130">
        <v>5.0999999999999996</v>
      </c>
      <c r="G130">
        <v>1.9</v>
      </c>
      <c r="H130" t="s">
        <v>14</v>
      </c>
      <c r="I130" s="56">
        <v>25.2133260846181</v>
      </c>
      <c r="J130" t="s">
        <v>204</v>
      </c>
      <c r="K130">
        <v>265</v>
      </c>
    </row>
    <row r="131" spans="1:15">
      <c r="A131">
        <v>268</v>
      </c>
      <c r="B131" t="s">
        <v>13</v>
      </c>
      <c r="C131" s="56">
        <v>40.677648474707503</v>
      </c>
      <c r="D131" s="56">
        <v>5.5715473870971</v>
      </c>
      <c r="E131" s="54">
        <v>4.9019722472303799</v>
      </c>
      <c r="F131">
        <v>4.9000000000000004</v>
      </c>
      <c r="G131">
        <v>1.7</v>
      </c>
      <c r="H131" t="s">
        <v>14</v>
      </c>
      <c r="I131" s="56">
        <v>18.872593151836899</v>
      </c>
      <c r="J131" t="s">
        <v>204</v>
      </c>
      <c r="K131">
        <v>265</v>
      </c>
    </row>
    <row r="132" spans="1:15">
      <c r="A132">
        <v>269</v>
      </c>
      <c r="B132" t="s">
        <v>13</v>
      </c>
      <c r="C132" s="56">
        <v>40.777857411188798</v>
      </c>
      <c r="D132" s="56">
        <v>5.4966859039304499</v>
      </c>
      <c r="E132" s="54">
        <v>5.3157750992692998</v>
      </c>
      <c r="F132">
        <v>5.0999999999999996</v>
      </c>
      <c r="G132">
        <v>1.9</v>
      </c>
      <c r="H132" t="s">
        <v>14</v>
      </c>
      <c r="I132" s="56">
        <v>22.1933610394493</v>
      </c>
      <c r="J132" t="s">
        <v>204</v>
      </c>
      <c r="K132">
        <v>265</v>
      </c>
    </row>
    <row r="133" spans="1:15">
      <c r="A133">
        <v>270</v>
      </c>
      <c r="B133" t="s">
        <v>13</v>
      </c>
      <c r="C133" s="56">
        <v>40.901352263515598</v>
      </c>
      <c r="D133" s="56">
        <v>5.4891725706855796</v>
      </c>
      <c r="E133" s="54">
        <v>6.8754935415698801</v>
      </c>
      <c r="F133">
        <v>5.8</v>
      </c>
      <c r="G133">
        <v>2.1</v>
      </c>
      <c r="H133" t="s">
        <v>14</v>
      </c>
      <c r="I133" s="56">
        <v>37.127665124477403</v>
      </c>
      <c r="J133" t="s">
        <v>204</v>
      </c>
      <c r="K133">
        <v>265</v>
      </c>
    </row>
    <row r="134" spans="1:15">
      <c r="A134">
        <v>284</v>
      </c>
      <c r="B134" t="s">
        <v>13</v>
      </c>
      <c r="C134" s="56">
        <v>42.304581878069598</v>
      </c>
      <c r="D134" s="56">
        <v>19.634808535312299</v>
      </c>
      <c r="E134" s="54">
        <v>15.8200013433344</v>
      </c>
      <c r="F134">
        <v>10.7</v>
      </c>
      <c r="G134">
        <v>3.2</v>
      </c>
      <c r="H134" t="s">
        <v>14</v>
      </c>
      <c r="I134" s="56">
        <v>196.56351669092999</v>
      </c>
      <c r="J134" t="s">
        <v>207</v>
      </c>
      <c r="K134">
        <v>284</v>
      </c>
      <c r="O134">
        <v>0</v>
      </c>
    </row>
    <row r="135" spans="1:15">
      <c r="A135">
        <v>290</v>
      </c>
      <c r="B135" t="s">
        <v>13</v>
      </c>
      <c r="C135" s="56">
        <v>42.291153200946603</v>
      </c>
      <c r="D135" s="56">
        <v>29.228458863258801</v>
      </c>
      <c r="E135" s="54">
        <v>2.4900000000000002</v>
      </c>
      <c r="F135">
        <v>3</v>
      </c>
      <c r="G135">
        <v>1</v>
      </c>
      <c r="H135" t="s">
        <v>14</v>
      </c>
      <c r="I135" s="56">
        <v>4.8695471528805196</v>
      </c>
      <c r="J135" t="s">
        <v>204</v>
      </c>
      <c r="K135">
        <v>302</v>
      </c>
    </row>
    <row r="136" spans="1:15">
      <c r="A136">
        <v>291</v>
      </c>
      <c r="B136" t="s">
        <v>13</v>
      </c>
      <c r="C136" s="56">
        <v>42.314959564929303</v>
      </c>
      <c r="D136" s="56">
        <v>29.2799876570046</v>
      </c>
      <c r="E136" s="54">
        <v>1.24</v>
      </c>
      <c r="F136">
        <v>3.4</v>
      </c>
      <c r="G136">
        <v>1</v>
      </c>
      <c r="H136" t="s">
        <v>14</v>
      </c>
      <c r="I136" s="56">
        <v>1.2076282160399201</v>
      </c>
      <c r="J136" t="s">
        <v>204</v>
      </c>
      <c r="K136">
        <v>302</v>
      </c>
    </row>
    <row r="137" spans="1:15">
      <c r="A137">
        <v>292</v>
      </c>
      <c r="B137" t="s">
        <v>13</v>
      </c>
      <c r="C137" s="56">
        <v>42.394823115934003</v>
      </c>
      <c r="D137" s="56">
        <v>29.3401691593198</v>
      </c>
      <c r="E137" s="54">
        <v>3.59</v>
      </c>
      <c r="F137">
        <v>5.0999999999999996</v>
      </c>
      <c r="G137">
        <v>2.4</v>
      </c>
      <c r="H137" t="s">
        <v>14</v>
      </c>
      <c r="I137" s="56">
        <v>10.1222900696827</v>
      </c>
      <c r="J137" t="s">
        <v>204</v>
      </c>
      <c r="K137">
        <v>302</v>
      </c>
    </row>
    <row r="138" spans="1:15">
      <c r="A138">
        <v>293</v>
      </c>
      <c r="B138" t="s">
        <v>13</v>
      </c>
      <c r="C138" s="56">
        <v>42.218768942491202</v>
      </c>
      <c r="D138" s="56">
        <v>29.274550421988799</v>
      </c>
      <c r="E138" s="54">
        <v>2.65</v>
      </c>
      <c r="F138">
        <v>2.9</v>
      </c>
      <c r="G138">
        <v>2</v>
      </c>
      <c r="H138" t="s">
        <v>14</v>
      </c>
      <c r="I138" s="56">
        <v>5.5154586024585797</v>
      </c>
      <c r="J138" t="s">
        <v>204</v>
      </c>
      <c r="K138">
        <v>302</v>
      </c>
    </row>
    <row r="139" spans="1:15">
      <c r="A139">
        <v>294</v>
      </c>
      <c r="B139" t="s">
        <v>13</v>
      </c>
      <c r="C139" s="56">
        <v>42.210517931122702</v>
      </c>
      <c r="D139" s="56">
        <v>29.3019219440787</v>
      </c>
      <c r="E139" s="54">
        <v>1.8</v>
      </c>
      <c r="F139">
        <v>3.5</v>
      </c>
      <c r="G139">
        <v>2.1</v>
      </c>
      <c r="H139" t="s">
        <v>14</v>
      </c>
      <c r="I139" s="56">
        <v>2.54469004940773</v>
      </c>
      <c r="J139" t="s">
        <v>204</v>
      </c>
      <c r="K139">
        <v>302</v>
      </c>
    </row>
    <row r="140" spans="1:15">
      <c r="A140">
        <v>295</v>
      </c>
      <c r="B140" t="s">
        <v>13</v>
      </c>
      <c r="C140" s="56">
        <v>42.2969767745141</v>
      </c>
      <c r="D140" s="56">
        <v>29.435802149635201</v>
      </c>
      <c r="E140" s="54">
        <v>1.22</v>
      </c>
      <c r="F140">
        <v>2.1</v>
      </c>
      <c r="G140">
        <v>1</v>
      </c>
      <c r="H140" t="s">
        <v>14</v>
      </c>
      <c r="I140" s="56">
        <v>1.16898662640076</v>
      </c>
      <c r="J140" t="s">
        <v>204</v>
      </c>
      <c r="K140">
        <v>302</v>
      </c>
    </row>
    <row r="141" spans="1:15">
      <c r="A141">
        <v>296</v>
      </c>
      <c r="B141" t="s">
        <v>13</v>
      </c>
      <c r="C141" s="56">
        <v>42.367641332774497</v>
      </c>
      <c r="D141" s="56">
        <v>29.524366008498799</v>
      </c>
      <c r="E141" s="54">
        <v>2.0499999999999998</v>
      </c>
      <c r="F141">
        <v>3</v>
      </c>
      <c r="G141">
        <v>2.2000000000000002</v>
      </c>
      <c r="H141" t="s">
        <v>14</v>
      </c>
      <c r="I141" s="56">
        <v>3.30063578167778</v>
      </c>
      <c r="J141" t="s">
        <v>204</v>
      </c>
      <c r="K141">
        <v>302</v>
      </c>
    </row>
    <row r="142" spans="1:15">
      <c r="A142">
        <v>297</v>
      </c>
      <c r="B142" t="s">
        <v>13</v>
      </c>
      <c r="C142" s="56">
        <v>42.470638986410698</v>
      </c>
      <c r="D142" s="56">
        <v>29.603684879806</v>
      </c>
      <c r="E142" s="54">
        <v>1</v>
      </c>
      <c r="F142">
        <v>2.7</v>
      </c>
      <c r="G142">
        <v>1.4</v>
      </c>
      <c r="H142" t="s">
        <v>14</v>
      </c>
      <c r="I142" s="56">
        <v>0.78539816339744795</v>
      </c>
      <c r="J142" t="s">
        <v>204</v>
      </c>
      <c r="K142">
        <v>302</v>
      </c>
    </row>
    <row r="143" spans="1:15">
      <c r="A143">
        <v>298</v>
      </c>
      <c r="B143" t="s">
        <v>13</v>
      </c>
      <c r="C143" s="56">
        <v>42.430857709244002</v>
      </c>
      <c r="D143" s="56">
        <v>29.817299863635</v>
      </c>
      <c r="E143" s="54">
        <v>2.2599999999999998</v>
      </c>
      <c r="F143">
        <v>4.3</v>
      </c>
      <c r="G143">
        <v>2</v>
      </c>
      <c r="H143" t="s">
        <v>14</v>
      </c>
      <c r="I143" s="56">
        <v>4.0114996593688099</v>
      </c>
      <c r="J143" t="s">
        <v>204</v>
      </c>
      <c r="K143">
        <v>302</v>
      </c>
    </row>
    <row r="144" spans="1:15">
      <c r="A144">
        <v>299</v>
      </c>
      <c r="B144" t="s">
        <v>13</v>
      </c>
      <c r="C144" s="56">
        <v>42.499091903781498</v>
      </c>
      <c r="D144" s="56">
        <v>29.730277569567299</v>
      </c>
      <c r="E144" s="54">
        <v>8.5307049497255907</v>
      </c>
      <c r="F144">
        <v>7.3</v>
      </c>
      <c r="G144">
        <v>1.9</v>
      </c>
      <c r="H144" t="s">
        <v>14</v>
      </c>
      <c r="I144" s="56">
        <v>57.155723163161497</v>
      </c>
      <c r="J144" t="s">
        <v>204</v>
      </c>
      <c r="K144">
        <v>302</v>
      </c>
    </row>
    <row r="145" spans="1:15">
      <c r="A145">
        <v>300</v>
      </c>
      <c r="B145" t="s">
        <v>13</v>
      </c>
      <c r="C145" s="56">
        <v>42.576651627563301</v>
      </c>
      <c r="D145" s="56">
        <v>29.825957146197499</v>
      </c>
      <c r="E145" s="54">
        <v>4.1698595090076598</v>
      </c>
      <c r="F145">
        <v>5.5</v>
      </c>
      <c r="G145">
        <v>1.7</v>
      </c>
      <c r="H145" t="s">
        <v>14</v>
      </c>
      <c r="I145" s="56">
        <v>13.6562898920001</v>
      </c>
      <c r="J145" t="s">
        <v>204</v>
      </c>
      <c r="K145">
        <v>302</v>
      </c>
    </row>
    <row r="146" spans="1:15">
      <c r="A146">
        <v>301</v>
      </c>
      <c r="B146" t="s">
        <v>13</v>
      </c>
      <c r="C146" s="56">
        <v>42.537382672775699</v>
      </c>
      <c r="D146" s="56">
        <v>29.972684478934699</v>
      </c>
      <c r="E146" s="54">
        <v>1.31</v>
      </c>
      <c r="F146">
        <v>3.1</v>
      </c>
      <c r="G146">
        <v>1</v>
      </c>
      <c r="H146" t="s">
        <v>14</v>
      </c>
      <c r="I146" s="56">
        <v>1.3478217882063599</v>
      </c>
      <c r="J146" t="s">
        <v>204</v>
      </c>
      <c r="K146">
        <v>302</v>
      </c>
    </row>
    <row r="147" spans="1:15">
      <c r="A147">
        <v>302</v>
      </c>
      <c r="B147" t="s">
        <v>13</v>
      </c>
      <c r="C147" s="56">
        <v>42.202107130563299</v>
      </c>
      <c r="D147" s="56">
        <v>29.671270938933301</v>
      </c>
      <c r="E147" s="54">
        <v>12.923381379061899</v>
      </c>
      <c r="F147">
        <v>8</v>
      </c>
      <c r="G147">
        <v>4</v>
      </c>
      <c r="H147" t="s">
        <v>14</v>
      </c>
      <c r="I147" s="56">
        <v>131.17232099747801</v>
      </c>
      <c r="J147" t="s">
        <v>12</v>
      </c>
      <c r="K147">
        <v>302</v>
      </c>
      <c r="O147">
        <v>4</v>
      </c>
    </row>
    <row r="148" spans="1:15">
      <c r="A148">
        <v>304</v>
      </c>
      <c r="B148" t="s">
        <v>13</v>
      </c>
      <c r="C148" s="56">
        <v>41.946733044397199</v>
      </c>
      <c r="D148" s="56">
        <v>29.300277929498002</v>
      </c>
      <c r="E148" s="54">
        <v>5.1884511447957902</v>
      </c>
      <c r="F148">
        <v>6.6</v>
      </c>
      <c r="G148">
        <v>2.5</v>
      </c>
      <c r="H148" t="s">
        <v>14</v>
      </c>
      <c r="I148" s="56">
        <v>21.142938415042799</v>
      </c>
      <c r="J148" t="s">
        <v>204</v>
      </c>
      <c r="K148">
        <v>302</v>
      </c>
    </row>
    <row r="149" spans="1:15">
      <c r="A149">
        <v>305</v>
      </c>
      <c r="B149" t="s">
        <v>13</v>
      </c>
      <c r="C149" s="56">
        <v>41.897873362675597</v>
      </c>
      <c r="D149" s="56">
        <v>29.3627031057134</v>
      </c>
      <c r="E149" s="54">
        <v>3.21</v>
      </c>
      <c r="F149">
        <v>4.2</v>
      </c>
      <c r="G149">
        <v>3.3</v>
      </c>
      <c r="H149" t="s">
        <v>14</v>
      </c>
      <c r="I149" s="56">
        <v>8.0928212154636494</v>
      </c>
      <c r="J149" t="s">
        <v>204</v>
      </c>
      <c r="K149">
        <v>302</v>
      </c>
    </row>
    <row r="150" spans="1:15">
      <c r="A150">
        <v>306</v>
      </c>
      <c r="B150" t="s">
        <v>13</v>
      </c>
      <c r="C150" s="56">
        <v>41.880792813059699</v>
      </c>
      <c r="D150" s="56">
        <v>29.416600349019198</v>
      </c>
      <c r="E150" s="54">
        <v>2.25</v>
      </c>
      <c r="F150">
        <v>3.6</v>
      </c>
      <c r="G150">
        <v>2</v>
      </c>
      <c r="H150" t="s">
        <v>14</v>
      </c>
      <c r="I150" s="56">
        <v>3.97607820219958</v>
      </c>
      <c r="J150" t="s">
        <v>204</v>
      </c>
      <c r="K150">
        <v>302</v>
      </c>
    </row>
    <row r="151" spans="1:15">
      <c r="A151">
        <v>307</v>
      </c>
      <c r="B151" t="s">
        <v>13</v>
      </c>
      <c r="C151" s="56">
        <v>41.793904923765901</v>
      </c>
      <c r="D151" s="56">
        <v>29.381295574128899</v>
      </c>
      <c r="E151" s="54">
        <v>1.56</v>
      </c>
      <c r="F151">
        <v>3.9</v>
      </c>
      <c r="G151">
        <v>1.2</v>
      </c>
      <c r="H151" t="s">
        <v>14</v>
      </c>
      <c r="I151" s="56">
        <v>1.91134497044403</v>
      </c>
      <c r="J151" t="s">
        <v>204</v>
      </c>
      <c r="K151">
        <v>302</v>
      </c>
    </row>
    <row r="152" spans="1:15">
      <c r="A152">
        <v>308</v>
      </c>
      <c r="B152" t="s">
        <v>13</v>
      </c>
      <c r="C152" s="56">
        <v>41.8187321402282</v>
      </c>
      <c r="D152" s="56">
        <v>29.333872218834799</v>
      </c>
      <c r="E152" s="54">
        <v>0.84</v>
      </c>
      <c r="F152">
        <v>1.6</v>
      </c>
      <c r="G152">
        <v>1</v>
      </c>
      <c r="H152" t="s">
        <v>14</v>
      </c>
      <c r="I152" s="56">
        <v>0.55417694409323903</v>
      </c>
      <c r="J152" t="s">
        <v>204</v>
      </c>
      <c r="K152">
        <v>302</v>
      </c>
    </row>
    <row r="153" spans="1:15">
      <c r="A153">
        <v>309</v>
      </c>
      <c r="B153" t="s">
        <v>13</v>
      </c>
      <c r="C153" s="56">
        <v>41.842468171835499</v>
      </c>
      <c r="D153" s="56">
        <v>29.6241128214014</v>
      </c>
      <c r="E153" s="54">
        <v>3.04</v>
      </c>
      <c r="F153">
        <v>5.0999999999999996</v>
      </c>
      <c r="G153">
        <v>2</v>
      </c>
      <c r="H153" t="s">
        <v>14</v>
      </c>
      <c r="I153" s="56">
        <v>7.2583356668538599</v>
      </c>
      <c r="J153" t="s">
        <v>204</v>
      </c>
      <c r="K153">
        <v>302</v>
      </c>
    </row>
    <row r="154" spans="1:15">
      <c r="A154">
        <v>310</v>
      </c>
      <c r="B154" t="s">
        <v>13</v>
      </c>
      <c r="C154" s="56">
        <v>42.049845489303799</v>
      </c>
      <c r="D154" s="56">
        <v>29.653746613823301</v>
      </c>
      <c r="E154" s="54">
        <v>6.35</v>
      </c>
      <c r="F154">
        <v>5.9</v>
      </c>
      <c r="G154">
        <v>2</v>
      </c>
      <c r="H154" t="s">
        <v>14</v>
      </c>
      <c r="I154" s="56">
        <v>31.669217443593599</v>
      </c>
      <c r="J154" t="s">
        <v>204</v>
      </c>
      <c r="K154">
        <v>302</v>
      </c>
    </row>
    <row r="155" spans="1:15">
      <c r="A155">
        <v>311</v>
      </c>
      <c r="B155" t="s">
        <v>13</v>
      </c>
      <c r="C155" s="56">
        <v>41.934145126044399</v>
      </c>
      <c r="D155" s="56">
        <v>29.733251261038699</v>
      </c>
      <c r="E155" s="54">
        <v>1.0900000000000001</v>
      </c>
      <c r="F155">
        <v>2</v>
      </c>
      <c r="G155">
        <v>1.4</v>
      </c>
      <c r="H155" t="s">
        <v>14</v>
      </c>
      <c r="I155" s="56">
        <v>0.93313155793250802</v>
      </c>
      <c r="J155" t="s">
        <v>204</v>
      </c>
      <c r="K155">
        <v>302</v>
      </c>
    </row>
    <row r="156" spans="1:15">
      <c r="A156">
        <v>312</v>
      </c>
      <c r="B156" t="s">
        <v>13</v>
      </c>
      <c r="C156" s="56">
        <v>41.955044382048797</v>
      </c>
      <c r="D156" s="56">
        <v>29.6121024663308</v>
      </c>
      <c r="E156" s="54">
        <v>1.84</v>
      </c>
      <c r="F156">
        <v>3</v>
      </c>
      <c r="G156">
        <v>2.1</v>
      </c>
      <c r="H156" t="s">
        <v>14</v>
      </c>
      <c r="I156" s="56">
        <v>2.6590440219984002</v>
      </c>
      <c r="J156" t="s">
        <v>204</v>
      </c>
      <c r="K156">
        <v>302</v>
      </c>
    </row>
    <row r="157" spans="1:15">
      <c r="A157">
        <v>313</v>
      </c>
      <c r="B157" t="s">
        <v>13</v>
      </c>
      <c r="C157" s="56">
        <v>41.9945232507608</v>
      </c>
      <c r="D157" s="56">
        <v>29.817403525726998</v>
      </c>
      <c r="E157" s="54">
        <v>1.3</v>
      </c>
      <c r="F157">
        <v>3.1</v>
      </c>
      <c r="G157">
        <v>0.8</v>
      </c>
      <c r="H157" t="s">
        <v>14</v>
      </c>
      <c r="I157" s="56">
        <v>1.3273228961416901</v>
      </c>
      <c r="J157" t="s">
        <v>204</v>
      </c>
      <c r="K157">
        <v>302</v>
      </c>
    </row>
    <row r="158" spans="1:15">
      <c r="A158">
        <v>314</v>
      </c>
      <c r="B158" t="s">
        <v>13</v>
      </c>
      <c r="C158" s="56">
        <v>42.095122478025303</v>
      </c>
      <c r="D158" s="56">
        <v>29.899743039168602</v>
      </c>
      <c r="E158" s="54">
        <v>0.86</v>
      </c>
      <c r="F158">
        <v>2.5</v>
      </c>
      <c r="G158">
        <v>0.7</v>
      </c>
      <c r="H158" t="s">
        <v>14</v>
      </c>
      <c r="I158" s="56">
        <v>0.58088048164875306</v>
      </c>
      <c r="J158" t="s">
        <v>204</v>
      </c>
      <c r="K158">
        <v>302</v>
      </c>
    </row>
    <row r="159" spans="1:15">
      <c r="A159" s="53">
        <v>315</v>
      </c>
      <c r="B159" t="s">
        <v>13</v>
      </c>
      <c r="C159" s="54">
        <v>42.033215261247165</v>
      </c>
      <c r="D159" s="54">
        <v>29.849072569358412</v>
      </c>
      <c r="E159" s="54">
        <v>1.23</v>
      </c>
      <c r="F159" s="2">
        <v>1.5</v>
      </c>
      <c r="G159" s="2"/>
      <c r="H159" t="s">
        <v>12</v>
      </c>
      <c r="I159" s="57">
        <f>PI()*(E159/2)^2</f>
        <v>1.1882288814039994</v>
      </c>
      <c r="J159" t="s">
        <v>204</v>
      </c>
      <c r="K159">
        <v>302</v>
      </c>
    </row>
    <row r="160" spans="1:15">
      <c r="A160">
        <v>316</v>
      </c>
      <c r="B160" t="s">
        <v>13</v>
      </c>
      <c r="C160" s="56">
        <v>42.0332152612472</v>
      </c>
      <c r="D160" s="56">
        <v>29.849072569358398</v>
      </c>
      <c r="E160" s="54">
        <v>4.1061975317709001</v>
      </c>
      <c r="F160">
        <v>5.2</v>
      </c>
      <c r="G160">
        <v>2.2999999999999998</v>
      </c>
      <c r="H160" t="s">
        <v>14</v>
      </c>
      <c r="I160" s="56">
        <v>13.242487039961199</v>
      </c>
      <c r="J160" t="s">
        <v>204</v>
      </c>
      <c r="K160">
        <v>302</v>
      </c>
    </row>
    <row r="161" spans="1:15">
      <c r="A161">
        <v>317</v>
      </c>
      <c r="B161" t="s">
        <v>13</v>
      </c>
      <c r="C161" s="56">
        <v>42.255591812176398</v>
      </c>
      <c r="D161" s="56">
        <v>29.9243825668559</v>
      </c>
      <c r="E161" s="54">
        <v>0.87</v>
      </c>
      <c r="F161">
        <v>2</v>
      </c>
      <c r="G161">
        <v>0.7</v>
      </c>
      <c r="H161" t="s">
        <v>14</v>
      </c>
      <c r="I161" s="56">
        <v>0.59446786987552902</v>
      </c>
      <c r="J161" t="s">
        <v>204</v>
      </c>
      <c r="K161">
        <v>302</v>
      </c>
    </row>
    <row r="162" spans="1:15">
      <c r="A162">
        <v>346</v>
      </c>
      <c r="B162" t="s">
        <v>13</v>
      </c>
      <c r="C162" s="56">
        <v>48.602251723417801</v>
      </c>
      <c r="D162" s="56">
        <v>41.659879439992999</v>
      </c>
      <c r="E162" s="54">
        <v>3.3422538049298001</v>
      </c>
      <c r="F162">
        <v>3.3</v>
      </c>
      <c r="G162">
        <v>1.5</v>
      </c>
      <c r="H162" t="s">
        <v>14</v>
      </c>
      <c r="I162" s="56">
        <v>8.7734162379407294</v>
      </c>
      <c r="J162" t="s">
        <v>204</v>
      </c>
      <c r="K162">
        <v>347</v>
      </c>
    </row>
    <row r="163" spans="1:15">
      <c r="A163">
        <v>347</v>
      </c>
      <c r="B163" t="s">
        <v>13</v>
      </c>
      <c r="C163" s="56">
        <v>49.006355480452697</v>
      </c>
      <c r="D163" s="56">
        <v>42.140623873727897</v>
      </c>
      <c r="E163" s="54">
        <v>8.5625359383439701</v>
      </c>
      <c r="F163">
        <v>8.6</v>
      </c>
      <c r="G163">
        <v>2.2999999999999998</v>
      </c>
      <c r="H163" t="s">
        <v>14</v>
      </c>
      <c r="I163" s="56">
        <v>57.583054185363203</v>
      </c>
      <c r="J163" t="s">
        <v>12</v>
      </c>
      <c r="K163">
        <v>347</v>
      </c>
      <c r="N163" t="s">
        <v>208</v>
      </c>
      <c r="O163">
        <v>0</v>
      </c>
    </row>
    <row r="164" spans="1:15">
      <c r="A164">
        <v>348</v>
      </c>
      <c r="B164" t="s">
        <v>13</v>
      </c>
      <c r="C164" s="56">
        <v>49.324167809501198</v>
      </c>
      <c r="D164" s="56">
        <v>42.156583142446799</v>
      </c>
      <c r="E164" s="54">
        <v>3.78788764558711</v>
      </c>
      <c r="F164">
        <v>5.4</v>
      </c>
      <c r="G164">
        <v>2.5</v>
      </c>
      <c r="H164" t="s">
        <v>14</v>
      </c>
      <c r="I164" s="56">
        <v>11.2689657456216</v>
      </c>
      <c r="J164" t="s">
        <v>204</v>
      </c>
      <c r="K164">
        <v>347</v>
      </c>
    </row>
    <row r="165" spans="1:15">
      <c r="A165">
        <v>349</v>
      </c>
      <c r="B165" t="s">
        <v>13</v>
      </c>
      <c r="C165" s="56">
        <v>49.595437133407401</v>
      </c>
      <c r="D165" s="56">
        <v>42.182825894792003</v>
      </c>
      <c r="E165" s="54">
        <v>5.7295779513082303</v>
      </c>
      <c r="F165">
        <v>6.8</v>
      </c>
      <c r="G165">
        <v>2.5</v>
      </c>
      <c r="H165" t="s">
        <v>14</v>
      </c>
      <c r="I165" s="56">
        <v>25.783100780887001</v>
      </c>
      <c r="J165" t="s">
        <v>204</v>
      </c>
      <c r="K165">
        <v>347</v>
      </c>
    </row>
    <row r="166" spans="1:15">
      <c r="A166">
        <v>350</v>
      </c>
      <c r="B166" t="s">
        <v>13</v>
      </c>
      <c r="C166" s="56">
        <v>49.2663312680885</v>
      </c>
      <c r="D166" s="56">
        <v>42.285110542581101</v>
      </c>
      <c r="E166" s="54">
        <v>1.63</v>
      </c>
      <c r="F166">
        <v>3.4</v>
      </c>
      <c r="G166">
        <v>2.1</v>
      </c>
      <c r="H166" t="s">
        <v>14</v>
      </c>
      <c r="I166" s="56">
        <v>2.0867243803306801</v>
      </c>
      <c r="J166" t="s">
        <v>204</v>
      </c>
      <c r="K166">
        <v>347</v>
      </c>
    </row>
    <row r="167" spans="1:15">
      <c r="A167">
        <v>351</v>
      </c>
      <c r="B167" t="s">
        <v>13</v>
      </c>
      <c r="C167" s="56">
        <v>49.237615308286401</v>
      </c>
      <c r="D167" s="56">
        <v>42.694210381882002</v>
      </c>
      <c r="E167" s="54">
        <v>1.05</v>
      </c>
      <c r="F167">
        <v>2.2000000000000002</v>
      </c>
      <c r="G167">
        <v>1.3</v>
      </c>
      <c r="H167" t="s">
        <v>14</v>
      </c>
      <c r="I167" s="56">
        <v>0.86590147514568705</v>
      </c>
      <c r="J167" t="s">
        <v>204</v>
      </c>
      <c r="K167">
        <v>347</v>
      </c>
    </row>
    <row r="168" spans="1:15">
      <c r="A168">
        <v>352</v>
      </c>
      <c r="B168" t="s">
        <v>13</v>
      </c>
      <c r="C168" s="56">
        <v>49.818309622430903</v>
      </c>
      <c r="D168" s="56">
        <v>45.476987183360798</v>
      </c>
      <c r="E168" s="54">
        <v>3.21492985045629</v>
      </c>
      <c r="F168">
        <v>4.7</v>
      </c>
      <c r="G168">
        <v>1.6</v>
      </c>
      <c r="H168" t="s">
        <v>14</v>
      </c>
      <c r="I168" s="56">
        <v>8.11769787240212</v>
      </c>
      <c r="J168" t="s">
        <v>207</v>
      </c>
      <c r="K168">
        <v>352</v>
      </c>
      <c r="O168">
        <v>1</v>
      </c>
    </row>
    <row r="169" spans="1:15">
      <c r="A169">
        <v>356</v>
      </c>
      <c r="B169" t="s">
        <v>13</v>
      </c>
      <c r="C169" s="56">
        <v>41.559646857088602</v>
      </c>
      <c r="D169" s="56">
        <v>45.418610414390898</v>
      </c>
      <c r="E169" s="54">
        <v>1.51</v>
      </c>
      <c r="F169">
        <v>2.9</v>
      </c>
      <c r="G169">
        <v>1.5</v>
      </c>
      <c r="H169" t="s">
        <v>14</v>
      </c>
      <c r="I169" s="56">
        <v>1.79078635236252</v>
      </c>
      <c r="J169" t="s">
        <v>204</v>
      </c>
      <c r="K169">
        <v>358</v>
      </c>
    </row>
    <row r="170" spans="1:15">
      <c r="A170">
        <v>357</v>
      </c>
      <c r="B170" t="s">
        <v>13</v>
      </c>
      <c r="C170" s="56">
        <v>41.650284459931001</v>
      </c>
      <c r="D170" s="56">
        <v>45.4847379518013</v>
      </c>
      <c r="E170" s="54">
        <v>3.4059157821665602</v>
      </c>
      <c r="F170">
        <v>4.4000000000000004</v>
      </c>
      <c r="G170">
        <v>1.2</v>
      </c>
      <c r="H170" t="s">
        <v>14</v>
      </c>
      <c r="I170" s="56">
        <v>9.1108247172955501</v>
      </c>
      <c r="J170" t="s">
        <v>12</v>
      </c>
      <c r="K170">
        <v>358</v>
      </c>
    </row>
    <row r="171" spans="1:15">
      <c r="A171">
        <v>358</v>
      </c>
      <c r="B171" t="s">
        <v>13</v>
      </c>
      <c r="C171" s="54">
        <v>41.490106932122359</v>
      </c>
      <c r="D171" s="54">
        <v>45.568717982919232</v>
      </c>
      <c r="E171" s="54">
        <v>4.1061975317709001</v>
      </c>
      <c r="F171" s="2">
        <v>1.6</v>
      </c>
      <c r="G171" s="2"/>
      <c r="H171" t="s">
        <v>12</v>
      </c>
      <c r="I171" s="57">
        <f>PI()*(E171/2)^2</f>
        <v>13.242487039961153</v>
      </c>
      <c r="J171" t="s">
        <v>12</v>
      </c>
      <c r="K171">
        <v>358</v>
      </c>
      <c r="O171">
        <v>2</v>
      </c>
    </row>
    <row r="172" spans="1:15">
      <c r="A172">
        <v>359</v>
      </c>
      <c r="B172" t="s">
        <v>13</v>
      </c>
      <c r="C172" s="56">
        <v>41.480789789383898</v>
      </c>
      <c r="D172" s="56">
        <v>45.6816069370675</v>
      </c>
      <c r="E172" s="54">
        <v>3.4059157821665602</v>
      </c>
      <c r="F172">
        <v>4.7</v>
      </c>
      <c r="G172">
        <v>2</v>
      </c>
      <c r="H172" t="s">
        <v>14</v>
      </c>
      <c r="I172" s="56">
        <v>9.1108247172955501</v>
      </c>
      <c r="J172" t="s">
        <v>12</v>
      </c>
      <c r="K172">
        <v>358</v>
      </c>
    </row>
    <row r="173" spans="1:15">
      <c r="A173">
        <v>360</v>
      </c>
      <c r="B173" t="s">
        <v>13</v>
      </c>
      <c r="C173" s="56">
        <v>41.347856998834303</v>
      </c>
      <c r="D173" s="56">
        <v>45.661803730913</v>
      </c>
      <c r="E173" s="54">
        <v>1.22</v>
      </c>
      <c r="F173">
        <v>2.8</v>
      </c>
      <c r="G173">
        <v>0.4</v>
      </c>
      <c r="H173" t="s">
        <v>14</v>
      </c>
      <c r="I173" s="56">
        <v>1.16898662640076</v>
      </c>
      <c r="J173" t="s">
        <v>204</v>
      </c>
      <c r="K173">
        <v>358</v>
      </c>
    </row>
    <row r="174" spans="1:15">
      <c r="A174">
        <v>362</v>
      </c>
      <c r="B174" t="s">
        <v>13</v>
      </c>
      <c r="C174" s="54">
        <v>41.820429060124383</v>
      </c>
      <c r="D174" s="54">
        <v>49.212872474941911</v>
      </c>
      <c r="E174" s="54">
        <v>3.2785918276930444</v>
      </c>
      <c r="F174" s="2">
        <v>3.8</v>
      </c>
      <c r="G174" s="2"/>
      <c r="H174" t="s">
        <v>12</v>
      </c>
      <c r="I174" s="57">
        <f>PI()*(E174/2)^2</f>
        <v>8.4423739563095896</v>
      </c>
      <c r="J174" t="s">
        <v>204</v>
      </c>
      <c r="K174">
        <v>364</v>
      </c>
    </row>
    <row r="175" spans="1:15">
      <c r="A175">
        <v>363</v>
      </c>
      <c r="B175" t="s">
        <v>13</v>
      </c>
      <c r="C175" s="56">
        <v>41.6247498349016</v>
      </c>
      <c r="D175" s="56">
        <v>49.400174714973097</v>
      </c>
      <c r="E175" s="54">
        <v>4.0425355545341404</v>
      </c>
      <c r="F175">
        <v>4.7</v>
      </c>
      <c r="G175">
        <v>1.2</v>
      </c>
      <c r="H175" t="s">
        <v>14</v>
      </c>
      <c r="I175" s="56">
        <v>12.8350503856459</v>
      </c>
      <c r="J175" t="s">
        <v>204</v>
      </c>
      <c r="K175">
        <v>364</v>
      </c>
    </row>
    <row r="176" spans="1:15">
      <c r="A176">
        <v>364</v>
      </c>
      <c r="B176" t="s">
        <v>13</v>
      </c>
      <c r="C176" s="56">
        <v>41.733447275510599</v>
      </c>
      <c r="D176" s="56">
        <v>49.442807106641297</v>
      </c>
      <c r="E176" s="54">
        <v>6.9391555188066398</v>
      </c>
      <c r="F176">
        <v>6.9</v>
      </c>
      <c r="G176">
        <v>3.4</v>
      </c>
      <c r="H176" t="s">
        <v>14</v>
      </c>
      <c r="I176" s="56">
        <v>37.818397577496199</v>
      </c>
      <c r="J176" t="s">
        <v>12</v>
      </c>
      <c r="K176">
        <v>364</v>
      </c>
      <c r="O176">
        <v>0</v>
      </c>
    </row>
    <row r="177" spans="1:15">
      <c r="A177">
        <v>365</v>
      </c>
      <c r="B177" t="s">
        <v>13</v>
      </c>
      <c r="C177" s="56">
        <v>41.858379274283301</v>
      </c>
      <c r="D177" s="56">
        <v>49.432158393420899</v>
      </c>
      <c r="E177" s="54">
        <v>2.9921129301276301</v>
      </c>
      <c r="F177">
        <v>4.2</v>
      </c>
      <c r="G177">
        <v>1.4</v>
      </c>
      <c r="H177" t="s">
        <v>14</v>
      </c>
      <c r="I177" s="56">
        <v>7.0314653857999403</v>
      </c>
      <c r="J177" t="s">
        <v>204</v>
      </c>
      <c r="K177">
        <v>364</v>
      </c>
    </row>
    <row r="178" spans="1:15">
      <c r="A178">
        <v>366</v>
      </c>
      <c r="B178" t="s">
        <v>13</v>
      </c>
      <c r="C178" s="56">
        <v>41.910792172546998</v>
      </c>
      <c r="D178" s="56">
        <v>49.3055691241468</v>
      </c>
      <c r="E178" s="54">
        <v>3.4377467707849401</v>
      </c>
      <c r="F178">
        <v>4.5</v>
      </c>
      <c r="G178">
        <v>2.1</v>
      </c>
      <c r="H178" t="s">
        <v>14</v>
      </c>
      <c r="I178" s="56">
        <v>9.2819162811193401</v>
      </c>
      <c r="J178" t="s">
        <v>204</v>
      </c>
      <c r="K178">
        <v>364</v>
      </c>
    </row>
    <row r="179" spans="1:15">
      <c r="A179">
        <v>367</v>
      </c>
      <c r="B179" t="s">
        <v>13</v>
      </c>
      <c r="C179" s="56">
        <v>41.956430674594102</v>
      </c>
      <c r="D179" s="56">
        <v>49.384593358659103</v>
      </c>
      <c r="E179" s="54">
        <v>1.88</v>
      </c>
      <c r="F179">
        <v>4</v>
      </c>
      <c r="G179">
        <v>1.5</v>
      </c>
      <c r="H179" t="s">
        <v>14</v>
      </c>
      <c r="I179" s="56">
        <v>2.77591126871194</v>
      </c>
      <c r="J179" t="s">
        <v>204</v>
      </c>
      <c r="K179">
        <v>364</v>
      </c>
    </row>
    <row r="180" spans="1:15">
      <c r="A180">
        <v>368</v>
      </c>
      <c r="B180" t="s">
        <v>13</v>
      </c>
      <c r="C180" s="56">
        <v>41.8961568103215</v>
      </c>
      <c r="D180" s="56">
        <v>49.159728465249501</v>
      </c>
      <c r="E180" s="54">
        <v>0.49</v>
      </c>
      <c r="F180">
        <v>2.1</v>
      </c>
      <c r="G180">
        <v>0.7</v>
      </c>
      <c r="H180" t="s">
        <v>14</v>
      </c>
      <c r="I180" s="56">
        <v>0.188574099031727</v>
      </c>
      <c r="J180" t="s">
        <v>204</v>
      </c>
      <c r="K180">
        <v>364</v>
      </c>
    </row>
    <row r="181" spans="1:15">
      <c r="A181" s="53">
        <v>409</v>
      </c>
      <c r="B181" t="s">
        <v>13</v>
      </c>
      <c r="C181" s="54">
        <v>17.002655475487977</v>
      </c>
      <c r="D181" s="54">
        <v>-10.07550079607055</v>
      </c>
      <c r="E181" s="54">
        <v>12.095775674984045</v>
      </c>
      <c r="F181" s="2">
        <v>2.8</v>
      </c>
      <c r="G181" s="2"/>
      <c r="H181" t="s">
        <v>12</v>
      </c>
      <c r="I181" s="57">
        <f>PI()*(E181/2)^2</f>
        <v>114.90986891234843</v>
      </c>
      <c r="J181" t="s">
        <v>207</v>
      </c>
      <c r="K181">
        <v>409</v>
      </c>
      <c r="O181">
        <v>0</v>
      </c>
    </row>
    <row r="182" spans="1:15">
      <c r="A182">
        <v>410</v>
      </c>
      <c r="B182" t="s">
        <v>13</v>
      </c>
      <c r="C182" s="56">
        <v>21.744004719749299</v>
      </c>
      <c r="D182" s="56">
        <v>-9.6175914129298992</v>
      </c>
      <c r="E182" s="54">
        <v>2.59</v>
      </c>
      <c r="F182">
        <v>2.7</v>
      </c>
      <c r="G182">
        <v>1.4</v>
      </c>
      <c r="H182" t="s">
        <v>14</v>
      </c>
      <c r="I182" s="56">
        <v>5.2685294198864199</v>
      </c>
      <c r="J182" t="s">
        <v>204</v>
      </c>
      <c r="K182">
        <v>411</v>
      </c>
    </row>
    <row r="183" spans="1:15">
      <c r="A183">
        <v>411</v>
      </c>
      <c r="B183" t="s">
        <v>13</v>
      </c>
      <c r="C183" s="56">
        <v>21.766250392445802</v>
      </c>
      <c r="D183" s="56">
        <v>-9.5225324628643904</v>
      </c>
      <c r="E183" s="54">
        <v>9.00816977900128</v>
      </c>
      <c r="F183">
        <v>4.4000000000000004</v>
      </c>
      <c r="G183">
        <v>2.2000000000000002</v>
      </c>
      <c r="H183" t="s">
        <v>14</v>
      </c>
      <c r="I183" s="56">
        <v>63.732801186434003</v>
      </c>
      <c r="J183" t="s">
        <v>12</v>
      </c>
      <c r="K183">
        <v>411</v>
      </c>
      <c r="O183">
        <v>2</v>
      </c>
    </row>
    <row r="184" spans="1:15">
      <c r="A184">
        <v>412</v>
      </c>
      <c r="B184" t="s">
        <v>13</v>
      </c>
      <c r="C184" s="56">
        <v>21.573591821388099</v>
      </c>
      <c r="D184" s="56">
        <v>-9.2921288004261307</v>
      </c>
      <c r="E184" s="54">
        <v>3.1512678732195298</v>
      </c>
      <c r="F184">
        <v>2.6</v>
      </c>
      <c r="G184">
        <v>1.7</v>
      </c>
      <c r="H184" t="s">
        <v>14</v>
      </c>
      <c r="I184" s="56">
        <v>7.7993879862183304</v>
      </c>
      <c r="J184" t="s">
        <v>204</v>
      </c>
      <c r="K184">
        <v>411</v>
      </c>
    </row>
    <row r="185" spans="1:15">
      <c r="A185">
        <v>413</v>
      </c>
      <c r="B185" t="s">
        <v>13</v>
      </c>
      <c r="C185" s="56">
        <v>21.622350838410501</v>
      </c>
      <c r="D185" s="56">
        <v>-9.3261221968864305</v>
      </c>
      <c r="E185" s="54">
        <v>5.0292962017038896</v>
      </c>
      <c r="F185">
        <v>5.7</v>
      </c>
      <c r="G185">
        <v>1.5</v>
      </c>
      <c r="H185" t="s">
        <v>14</v>
      </c>
      <c r="I185" s="56">
        <v>19.865719996730402</v>
      </c>
      <c r="J185" t="s">
        <v>204</v>
      </c>
      <c r="K185">
        <v>411</v>
      </c>
    </row>
    <row r="186" spans="1:15">
      <c r="A186">
        <v>414</v>
      </c>
      <c r="B186" t="s">
        <v>13</v>
      </c>
      <c r="C186" s="56">
        <v>22.085349303121198</v>
      </c>
      <c r="D186" s="56">
        <v>-9.5621753675044605</v>
      </c>
      <c r="E186" s="54">
        <v>2.62</v>
      </c>
      <c r="F186">
        <v>3</v>
      </c>
      <c r="G186">
        <v>1.3</v>
      </c>
      <c r="H186" t="s">
        <v>14</v>
      </c>
      <c r="I186" s="56">
        <v>5.3912871528254396</v>
      </c>
      <c r="J186" t="s">
        <v>204</v>
      </c>
      <c r="K186">
        <v>411</v>
      </c>
    </row>
    <row r="187" spans="1:15">
      <c r="A187">
        <v>415</v>
      </c>
      <c r="B187" t="s">
        <v>13</v>
      </c>
      <c r="C187" s="56">
        <v>22.256082481683901</v>
      </c>
      <c r="D187" s="56">
        <v>-9.5353591675352494</v>
      </c>
      <c r="E187" s="54">
        <v>3.5650707252584599</v>
      </c>
      <c r="F187">
        <v>3.4</v>
      </c>
      <c r="G187">
        <v>1.8</v>
      </c>
      <c r="H187" t="s">
        <v>14</v>
      </c>
      <c r="I187" s="56">
        <v>9.9821980307236693</v>
      </c>
      <c r="J187" t="s">
        <v>204</v>
      </c>
      <c r="K187">
        <v>411</v>
      </c>
    </row>
    <row r="188" spans="1:15">
      <c r="A188">
        <v>416</v>
      </c>
      <c r="B188" t="s">
        <v>13</v>
      </c>
      <c r="C188" s="56">
        <v>21.464943970627001</v>
      </c>
      <c r="D188" s="56">
        <v>-9.25555524852102</v>
      </c>
      <c r="E188" s="54">
        <v>0.43</v>
      </c>
      <c r="F188">
        <v>1.4</v>
      </c>
      <c r="G188">
        <v>0.9</v>
      </c>
      <c r="H188" t="s">
        <v>14</v>
      </c>
      <c r="I188" s="56">
        <v>0.14522012041218799</v>
      </c>
      <c r="J188" t="s">
        <v>204</v>
      </c>
      <c r="K188">
        <v>411</v>
      </c>
    </row>
    <row r="189" spans="1:15">
      <c r="A189">
        <v>417</v>
      </c>
      <c r="B189" t="s">
        <v>13</v>
      </c>
      <c r="C189" s="56">
        <v>21.4876364540882</v>
      </c>
      <c r="D189" s="56">
        <v>-9.1917327521203198</v>
      </c>
      <c r="E189" s="54">
        <v>0.5</v>
      </c>
      <c r="F189">
        <v>1.7</v>
      </c>
      <c r="G189">
        <v>1.2</v>
      </c>
      <c r="H189" t="s">
        <v>14</v>
      </c>
      <c r="I189" s="56">
        <v>0.19634954084936199</v>
      </c>
      <c r="J189" t="s">
        <v>204</v>
      </c>
      <c r="K189">
        <v>411</v>
      </c>
    </row>
    <row r="190" spans="1:15">
      <c r="A190">
        <v>418</v>
      </c>
      <c r="B190" t="s">
        <v>13</v>
      </c>
      <c r="C190" s="56">
        <v>28.096502686916899</v>
      </c>
      <c r="D190" s="56">
        <v>-4.7002215407223202</v>
      </c>
      <c r="E190" s="54">
        <v>10.3132403123548</v>
      </c>
      <c r="F190">
        <v>6.1</v>
      </c>
      <c r="G190">
        <v>2.4</v>
      </c>
      <c r="H190" t="s">
        <v>14</v>
      </c>
      <c r="I190" s="56">
        <v>83.537246530074</v>
      </c>
      <c r="J190" t="s">
        <v>12</v>
      </c>
      <c r="K190">
        <v>418</v>
      </c>
      <c r="O190">
        <v>0</v>
      </c>
    </row>
    <row r="191" spans="1:15">
      <c r="A191">
        <v>419</v>
      </c>
      <c r="B191" t="s">
        <v>13</v>
      </c>
      <c r="C191" s="56">
        <v>28.216300026750002</v>
      </c>
      <c r="D191" s="56">
        <v>-4.6050009323052103</v>
      </c>
      <c r="E191" s="54">
        <v>4.36084544071793</v>
      </c>
      <c r="F191">
        <v>4.7</v>
      </c>
      <c r="G191">
        <v>1.4</v>
      </c>
      <c r="H191" t="s">
        <v>14</v>
      </c>
      <c r="I191" s="56">
        <v>14.9358956344589</v>
      </c>
      <c r="J191" t="s">
        <v>204</v>
      </c>
      <c r="K191">
        <v>418</v>
      </c>
    </row>
    <row r="192" spans="1:15">
      <c r="A192">
        <v>422</v>
      </c>
      <c r="B192" t="s">
        <v>13</v>
      </c>
      <c r="C192" s="56">
        <v>32.579202742904599</v>
      </c>
      <c r="D192" s="56">
        <v>-4.1813516974227403</v>
      </c>
      <c r="E192" s="54">
        <v>3.3422538049298001</v>
      </c>
      <c r="F192">
        <v>4.0999999999999996</v>
      </c>
      <c r="G192">
        <v>1.8</v>
      </c>
      <c r="H192" t="s">
        <v>14</v>
      </c>
      <c r="I192" s="56">
        <v>8.7734162379407294</v>
      </c>
      <c r="J192" t="s">
        <v>204</v>
      </c>
      <c r="K192">
        <v>423</v>
      </c>
    </row>
    <row r="193" spans="1:15">
      <c r="A193">
        <v>423</v>
      </c>
      <c r="B193" t="s">
        <v>13</v>
      </c>
      <c r="C193" s="56">
        <v>32.700022916406603</v>
      </c>
      <c r="D193" s="56">
        <v>-4.04628396889711</v>
      </c>
      <c r="E193" s="54">
        <v>11.6183108457084</v>
      </c>
      <c r="F193">
        <v>8.1</v>
      </c>
      <c r="G193">
        <v>3.1</v>
      </c>
      <c r="H193" t="s">
        <v>14</v>
      </c>
      <c r="I193" s="56">
        <v>106.017086467089</v>
      </c>
      <c r="J193" t="s">
        <v>12</v>
      </c>
      <c r="K193">
        <v>423</v>
      </c>
      <c r="O193">
        <v>1</v>
      </c>
    </row>
    <row r="194" spans="1:15">
      <c r="A194">
        <v>424</v>
      </c>
      <c r="B194" t="s">
        <v>13</v>
      </c>
      <c r="C194" s="56">
        <v>32.8090333076196</v>
      </c>
      <c r="D194" s="56">
        <v>-4.19762134732012</v>
      </c>
      <c r="E194" s="54">
        <v>2.36</v>
      </c>
      <c r="F194">
        <v>4.8</v>
      </c>
      <c r="G194">
        <v>1.7</v>
      </c>
      <c r="H194" t="s">
        <v>14</v>
      </c>
      <c r="I194" s="56">
        <v>4.3743536108584298</v>
      </c>
      <c r="J194" t="s">
        <v>204</v>
      </c>
      <c r="K194">
        <v>423</v>
      </c>
    </row>
    <row r="195" spans="1:15">
      <c r="A195">
        <v>425</v>
      </c>
      <c r="B195" t="s">
        <v>13</v>
      </c>
      <c r="C195" s="56">
        <v>32.773001461476397</v>
      </c>
      <c r="D195" s="56">
        <v>-3.8493421389108899</v>
      </c>
      <c r="E195" s="54">
        <v>6.8118315643331204</v>
      </c>
      <c r="F195">
        <v>6.9</v>
      </c>
      <c r="G195">
        <v>1.9</v>
      </c>
      <c r="H195" t="s">
        <v>14</v>
      </c>
      <c r="I195" s="56">
        <v>36.4432988691822</v>
      </c>
      <c r="J195" t="s">
        <v>12</v>
      </c>
      <c r="K195">
        <v>423</v>
      </c>
    </row>
    <row r="196" spans="1:15">
      <c r="A196">
        <v>426</v>
      </c>
      <c r="B196" t="s">
        <v>13</v>
      </c>
      <c r="C196" s="56">
        <v>33.758862366994698</v>
      </c>
      <c r="D196" s="56">
        <v>-1.9829056980795501</v>
      </c>
      <c r="E196" s="54">
        <v>3.88338061144225</v>
      </c>
      <c r="F196">
        <v>4.7</v>
      </c>
      <c r="G196">
        <v>1.5</v>
      </c>
      <c r="H196" t="s">
        <v>14</v>
      </c>
      <c r="I196" s="56">
        <v>11.8443108648988</v>
      </c>
      <c r="J196" t="s">
        <v>204</v>
      </c>
      <c r="K196">
        <v>427</v>
      </c>
    </row>
    <row r="197" spans="1:15">
      <c r="A197">
        <v>427</v>
      </c>
      <c r="B197" t="s">
        <v>13</v>
      </c>
      <c r="C197" s="56">
        <v>33.650700844801698</v>
      </c>
      <c r="D197" s="56">
        <v>-1.9024386240178399</v>
      </c>
      <c r="E197" s="54">
        <v>5.3476060878876801</v>
      </c>
      <c r="F197">
        <v>5.7</v>
      </c>
      <c r="G197">
        <v>1.8</v>
      </c>
      <c r="H197" t="s">
        <v>14</v>
      </c>
      <c r="I197" s="56">
        <v>22.459945569128301</v>
      </c>
      <c r="J197" t="s">
        <v>12</v>
      </c>
      <c r="K197">
        <v>427</v>
      </c>
      <c r="O197">
        <v>5</v>
      </c>
    </row>
    <row r="198" spans="1:15">
      <c r="A198">
        <v>429</v>
      </c>
      <c r="B198" t="s">
        <v>13</v>
      </c>
      <c r="C198" s="56">
        <v>33.766064591840603</v>
      </c>
      <c r="D198" s="56">
        <v>-6.9729636066118301</v>
      </c>
      <c r="E198" s="54">
        <v>4.0743665431525198</v>
      </c>
      <c r="F198">
        <v>4.7</v>
      </c>
      <c r="G198">
        <v>1.8</v>
      </c>
      <c r="H198" t="s">
        <v>14</v>
      </c>
      <c r="I198" s="56">
        <v>13.0379729380881</v>
      </c>
      <c r="J198" t="s">
        <v>204</v>
      </c>
      <c r="K198">
        <v>430</v>
      </c>
    </row>
    <row r="199" spans="1:15">
      <c r="A199">
        <v>430</v>
      </c>
      <c r="B199" t="s">
        <v>13</v>
      </c>
      <c r="C199" s="56">
        <v>34.217457461745397</v>
      </c>
      <c r="D199" s="56">
        <v>-7.32809023481785</v>
      </c>
      <c r="E199" s="54">
        <v>9.3901416424218294</v>
      </c>
      <c r="F199">
        <v>8.6</v>
      </c>
      <c r="G199">
        <v>3.3</v>
      </c>
      <c r="H199" t="s">
        <v>14</v>
      </c>
      <c r="I199" s="56">
        <v>69.252294612860993</v>
      </c>
      <c r="J199" t="s">
        <v>12</v>
      </c>
      <c r="K199">
        <v>430</v>
      </c>
      <c r="O199">
        <v>1</v>
      </c>
    </row>
    <row r="200" spans="1:15">
      <c r="A200" s="53">
        <v>431</v>
      </c>
      <c r="B200" t="s">
        <v>13</v>
      </c>
      <c r="C200" s="54">
        <v>34.096027688842931</v>
      </c>
      <c r="D200" s="54">
        <v>-6.9396714311873886</v>
      </c>
      <c r="E200" s="54">
        <v>9.9312684489342686</v>
      </c>
      <c r="F200" s="2">
        <v>3.4</v>
      </c>
      <c r="G200" s="2"/>
      <c r="H200" t="s">
        <v>12</v>
      </c>
      <c r="I200" s="57">
        <f>PI()*(E200/2)^2</f>
        <v>77.463893901687285</v>
      </c>
      <c r="J200" t="s">
        <v>12</v>
      </c>
      <c r="K200">
        <v>430</v>
      </c>
    </row>
    <row r="201" spans="1:15">
      <c r="A201">
        <v>434</v>
      </c>
      <c r="B201" t="s">
        <v>13</v>
      </c>
      <c r="C201" s="56">
        <v>36.1404341471709</v>
      </c>
      <c r="D201" s="56">
        <v>-1.9804145102333801</v>
      </c>
      <c r="E201" s="54">
        <v>1.1299999999999999</v>
      </c>
      <c r="F201">
        <v>2.7</v>
      </c>
      <c r="G201">
        <v>0.6</v>
      </c>
      <c r="H201" t="s">
        <v>14</v>
      </c>
      <c r="I201" s="56">
        <v>1.0028749148422</v>
      </c>
      <c r="J201" t="s">
        <v>204</v>
      </c>
      <c r="K201">
        <v>435</v>
      </c>
    </row>
    <row r="202" spans="1:15">
      <c r="A202">
        <v>435</v>
      </c>
      <c r="B202" t="s">
        <v>13</v>
      </c>
      <c r="C202" s="56">
        <v>36.224931257984402</v>
      </c>
      <c r="D202" s="56">
        <v>-1.83000269320382</v>
      </c>
      <c r="E202" s="54">
        <v>7.3211273822271901</v>
      </c>
      <c r="F202">
        <v>6.4</v>
      </c>
      <c r="G202">
        <v>2.2000000000000002</v>
      </c>
      <c r="H202" t="s">
        <v>14</v>
      </c>
      <c r="I202" s="56">
        <v>42.096482447806302</v>
      </c>
      <c r="J202" t="s">
        <v>12</v>
      </c>
      <c r="K202">
        <v>435</v>
      </c>
      <c r="O202">
        <v>0</v>
      </c>
    </row>
    <row r="203" spans="1:15">
      <c r="A203">
        <v>436</v>
      </c>
      <c r="B203" t="s">
        <v>13</v>
      </c>
      <c r="C203" s="56">
        <v>36.376280380840498</v>
      </c>
      <c r="D203" s="56">
        <v>-1.9368581730371099</v>
      </c>
      <c r="E203" s="54">
        <v>1.18</v>
      </c>
      <c r="F203">
        <v>3.2</v>
      </c>
      <c r="G203">
        <v>1</v>
      </c>
      <c r="H203" t="s">
        <v>14</v>
      </c>
      <c r="I203" s="56">
        <v>1.0935884027146101</v>
      </c>
      <c r="J203" t="s">
        <v>204</v>
      </c>
      <c r="K203">
        <v>435</v>
      </c>
    </row>
    <row r="204" spans="1:15">
      <c r="A204">
        <v>437</v>
      </c>
      <c r="B204" t="s">
        <v>13</v>
      </c>
      <c r="C204" s="56">
        <v>36.357692293398003</v>
      </c>
      <c r="D204" s="56">
        <v>-1.85751913908126</v>
      </c>
      <c r="E204" s="54">
        <v>1.22</v>
      </c>
      <c r="F204">
        <v>3.1</v>
      </c>
      <c r="G204">
        <v>0.8</v>
      </c>
      <c r="H204" t="s">
        <v>14</v>
      </c>
      <c r="I204" s="56">
        <v>1.16898662640076</v>
      </c>
      <c r="J204" t="s">
        <v>204</v>
      </c>
      <c r="K204">
        <v>435</v>
      </c>
    </row>
    <row r="205" spans="1:15">
      <c r="A205">
        <v>438</v>
      </c>
      <c r="B205" t="s">
        <v>13</v>
      </c>
      <c r="C205" s="56">
        <v>36.443441690078103</v>
      </c>
      <c r="D205" s="56">
        <v>-2.0492143163001999</v>
      </c>
      <c r="E205" s="54">
        <v>1.99</v>
      </c>
      <c r="F205">
        <v>2.4</v>
      </c>
      <c r="G205">
        <v>0.9</v>
      </c>
      <c r="H205" t="s">
        <v>14</v>
      </c>
      <c r="I205" s="56">
        <v>3.1102552668702401</v>
      </c>
      <c r="J205" t="s">
        <v>204</v>
      </c>
      <c r="K205">
        <v>435</v>
      </c>
    </row>
    <row r="206" spans="1:15">
      <c r="A206">
        <v>440</v>
      </c>
      <c r="B206" t="s">
        <v>13</v>
      </c>
      <c r="C206" s="56">
        <v>38.8494787284436</v>
      </c>
      <c r="D206" s="56">
        <v>-3.9687562805258501</v>
      </c>
      <c r="E206" s="54">
        <v>1.73</v>
      </c>
      <c r="F206">
        <v>3</v>
      </c>
      <c r="G206">
        <v>1.3</v>
      </c>
      <c r="H206" t="s">
        <v>14</v>
      </c>
      <c r="I206" s="56">
        <v>2.3506181632322201</v>
      </c>
      <c r="J206" t="s">
        <v>204</v>
      </c>
      <c r="K206">
        <v>443</v>
      </c>
    </row>
    <row r="207" spans="1:15">
      <c r="A207">
        <v>441</v>
      </c>
      <c r="B207" t="s">
        <v>13</v>
      </c>
      <c r="C207" s="56">
        <v>38.8878569738404</v>
      </c>
      <c r="D207" s="56">
        <v>-4.1141493487037399</v>
      </c>
      <c r="E207" s="54">
        <v>1.68</v>
      </c>
      <c r="F207">
        <v>1.6</v>
      </c>
      <c r="G207">
        <v>1.3</v>
      </c>
      <c r="H207" t="s">
        <v>14</v>
      </c>
      <c r="I207" s="56">
        <v>2.2167077763729601</v>
      </c>
      <c r="J207" t="s">
        <v>204</v>
      </c>
      <c r="K207">
        <v>443</v>
      </c>
    </row>
    <row r="208" spans="1:15">
      <c r="A208">
        <v>442</v>
      </c>
      <c r="B208" t="s">
        <v>13</v>
      </c>
      <c r="C208" s="56">
        <v>38.881333551923198</v>
      </c>
      <c r="D208" s="56">
        <v>-4.1357451131497296</v>
      </c>
      <c r="E208" s="54">
        <v>0.69</v>
      </c>
      <c r="F208">
        <v>1.4</v>
      </c>
      <c r="G208">
        <v>1</v>
      </c>
      <c r="H208" t="s">
        <v>14</v>
      </c>
      <c r="I208" s="56">
        <v>0.37392806559352498</v>
      </c>
      <c r="J208" t="s">
        <v>204</v>
      </c>
      <c r="K208">
        <v>443</v>
      </c>
    </row>
    <row r="209" spans="1:15">
      <c r="A209">
        <v>443</v>
      </c>
      <c r="B209" t="s">
        <v>13</v>
      </c>
      <c r="C209" s="56">
        <v>38.935523972621603</v>
      </c>
      <c r="D209" s="56">
        <v>-4.0240656975551703</v>
      </c>
      <c r="E209" s="54">
        <v>2.59</v>
      </c>
      <c r="F209">
        <v>3.4</v>
      </c>
      <c r="G209">
        <v>1.1000000000000001</v>
      </c>
      <c r="H209" t="s">
        <v>14</v>
      </c>
      <c r="I209" s="56">
        <v>5.2685294198864199</v>
      </c>
      <c r="J209" t="s">
        <v>204</v>
      </c>
      <c r="K209">
        <v>443</v>
      </c>
      <c r="N209" t="s">
        <v>209</v>
      </c>
      <c r="O209">
        <v>4</v>
      </c>
    </row>
    <row r="210" spans="1:15">
      <c r="A210">
        <v>444</v>
      </c>
      <c r="B210" t="s">
        <v>13</v>
      </c>
      <c r="C210" s="54">
        <v>38.977269466040433</v>
      </c>
      <c r="D210" s="54">
        <v>-4.0167799426306585</v>
      </c>
      <c r="E210" s="54">
        <v>0.26</v>
      </c>
      <c r="F210" s="2">
        <v>1</v>
      </c>
      <c r="G210" s="2"/>
      <c r="H210" t="s">
        <v>12</v>
      </c>
      <c r="I210" s="57">
        <f>PI()*(E210/2)^2</f>
        <v>5.3092915845667513E-2</v>
      </c>
      <c r="J210" t="s">
        <v>204</v>
      </c>
      <c r="K210">
        <v>443</v>
      </c>
    </row>
    <row r="211" spans="1:15">
      <c r="A211">
        <v>446</v>
      </c>
      <c r="B211" t="s">
        <v>13</v>
      </c>
      <c r="C211" s="56">
        <v>39.014880784184598</v>
      </c>
      <c r="D211" s="56">
        <v>-2.2019784476681998</v>
      </c>
      <c r="E211" s="54">
        <v>1.0900000000000001</v>
      </c>
      <c r="F211">
        <v>2</v>
      </c>
      <c r="G211">
        <v>1.1000000000000001</v>
      </c>
      <c r="H211" t="s">
        <v>14</v>
      </c>
      <c r="I211" s="56">
        <v>0.93313155793250802</v>
      </c>
      <c r="J211" t="s">
        <v>207</v>
      </c>
      <c r="K211">
        <v>446</v>
      </c>
      <c r="O211">
        <v>0</v>
      </c>
    </row>
    <row r="212" spans="1:15">
      <c r="A212">
        <v>447</v>
      </c>
      <c r="B212" t="s">
        <v>13</v>
      </c>
      <c r="C212" s="56">
        <v>43.411546288263899</v>
      </c>
      <c r="D212" s="56">
        <v>-9.4229801363622894</v>
      </c>
      <c r="E212" s="54">
        <v>1.33</v>
      </c>
      <c r="F212">
        <v>1.8</v>
      </c>
      <c r="G212">
        <v>1.3</v>
      </c>
      <c r="H212" t="s">
        <v>14</v>
      </c>
      <c r="I212" s="56">
        <v>1.3892908112337501</v>
      </c>
      <c r="J212" t="s">
        <v>204</v>
      </c>
      <c r="K212">
        <v>453</v>
      </c>
    </row>
    <row r="213" spans="1:15">
      <c r="A213">
        <v>448</v>
      </c>
      <c r="B213" t="s">
        <v>13</v>
      </c>
      <c r="C213" s="56">
        <v>43.598885535307303</v>
      </c>
      <c r="D213" s="56">
        <v>-9.3912940744862308</v>
      </c>
      <c r="E213" s="54">
        <v>0.95</v>
      </c>
      <c r="F213">
        <v>2</v>
      </c>
      <c r="G213">
        <v>1.2</v>
      </c>
      <c r="H213" t="s">
        <v>14</v>
      </c>
      <c r="I213" s="56">
        <v>0.70882184246619695</v>
      </c>
      <c r="J213" t="s">
        <v>204</v>
      </c>
      <c r="K213">
        <v>453</v>
      </c>
    </row>
    <row r="214" spans="1:15">
      <c r="A214">
        <v>449</v>
      </c>
      <c r="B214" t="s">
        <v>13</v>
      </c>
      <c r="C214" s="56">
        <v>43.511176741472497</v>
      </c>
      <c r="D214" s="56">
        <v>-9.4124305231359902</v>
      </c>
      <c r="E214" s="54">
        <v>1.22</v>
      </c>
      <c r="F214">
        <v>1.8</v>
      </c>
      <c r="G214">
        <v>1.6</v>
      </c>
      <c r="H214" t="s">
        <v>14</v>
      </c>
      <c r="I214" s="56">
        <v>1.16898662640076</v>
      </c>
      <c r="J214" t="s">
        <v>204</v>
      </c>
      <c r="K214">
        <v>453</v>
      </c>
    </row>
    <row r="215" spans="1:15">
      <c r="A215">
        <v>450</v>
      </c>
      <c r="B215" t="s">
        <v>13</v>
      </c>
      <c r="C215" s="56">
        <v>43.452236059635901</v>
      </c>
      <c r="D215" s="56">
        <v>-9.6493346487751701</v>
      </c>
      <c r="E215" s="54">
        <v>6.5253526667677102</v>
      </c>
      <c r="F215">
        <v>6.2</v>
      </c>
      <c r="G215">
        <v>2.4</v>
      </c>
      <c r="H215" t="s">
        <v>14</v>
      </c>
      <c r="I215" s="56">
        <v>33.442432417184499</v>
      </c>
      <c r="J215" t="s">
        <v>204</v>
      </c>
      <c r="K215">
        <v>453</v>
      </c>
    </row>
    <row r="216" spans="1:15">
      <c r="A216">
        <v>451</v>
      </c>
      <c r="B216" t="s">
        <v>13</v>
      </c>
      <c r="C216" s="56">
        <v>43.455869235201398</v>
      </c>
      <c r="D216" s="56">
        <v>-9.8309797965071795</v>
      </c>
      <c r="E216" s="54">
        <v>3.4377467707849401</v>
      </c>
      <c r="F216">
        <v>3.9</v>
      </c>
      <c r="G216">
        <v>2</v>
      </c>
      <c r="H216" t="s">
        <v>14</v>
      </c>
      <c r="I216" s="56">
        <v>9.2819162811193401</v>
      </c>
      <c r="J216" t="s">
        <v>204</v>
      </c>
      <c r="K216">
        <v>453</v>
      </c>
    </row>
    <row r="217" spans="1:15">
      <c r="A217">
        <v>452</v>
      </c>
      <c r="B217" t="s">
        <v>13</v>
      </c>
      <c r="C217" s="56">
        <v>43.482322601613802</v>
      </c>
      <c r="D217" s="56">
        <v>-9.5600803501892901</v>
      </c>
      <c r="E217" s="54">
        <v>7.48028232531908</v>
      </c>
      <c r="F217">
        <v>5.3</v>
      </c>
      <c r="G217">
        <v>2</v>
      </c>
      <c r="H217" t="s">
        <v>14</v>
      </c>
      <c r="I217" s="56">
        <v>43.9466586612496</v>
      </c>
      <c r="J217" t="s">
        <v>204</v>
      </c>
      <c r="K217">
        <v>453</v>
      </c>
    </row>
    <row r="218" spans="1:15">
      <c r="A218" s="53">
        <v>453</v>
      </c>
      <c r="B218" t="s">
        <v>13</v>
      </c>
      <c r="C218" s="54">
        <v>43.624437901391879</v>
      </c>
      <c r="D218" s="54">
        <v>-9.6637710616945149</v>
      </c>
      <c r="E218" s="54">
        <v>13.846480048994895</v>
      </c>
      <c r="F218" s="2">
        <v>3.9</v>
      </c>
      <c r="G218" s="2"/>
      <c r="H218" t="s">
        <v>12</v>
      </c>
      <c r="I218" s="57">
        <f>PI()*(E218/2)^2</f>
        <v>150.5804705328195</v>
      </c>
      <c r="J218" t="s">
        <v>12</v>
      </c>
      <c r="K218">
        <v>453</v>
      </c>
      <c r="O218">
        <v>0</v>
      </c>
    </row>
    <row r="219" spans="1:15">
      <c r="A219">
        <v>454</v>
      </c>
      <c r="B219" t="s">
        <v>13</v>
      </c>
      <c r="C219" s="56">
        <v>43.779331656060201</v>
      </c>
      <c r="D219" s="56">
        <v>-9.7158306253282198</v>
      </c>
      <c r="E219" s="54">
        <v>2.69</v>
      </c>
      <c r="F219">
        <v>2.2999999999999998</v>
      </c>
      <c r="G219">
        <v>1.3</v>
      </c>
      <c r="H219" t="s">
        <v>14</v>
      </c>
      <c r="I219" s="56">
        <v>5.6832196501602796</v>
      </c>
      <c r="J219" t="s">
        <v>204</v>
      </c>
      <c r="K219">
        <v>453</v>
      </c>
    </row>
    <row r="220" spans="1:15">
      <c r="A220">
        <v>455</v>
      </c>
      <c r="B220" t="s">
        <v>13</v>
      </c>
      <c r="C220" s="56">
        <v>43.818712041029102</v>
      </c>
      <c r="D220" s="56">
        <v>-9.7061661222742792</v>
      </c>
      <c r="E220" s="54">
        <v>2.2200000000000002</v>
      </c>
      <c r="F220">
        <v>2.2999999999999998</v>
      </c>
      <c r="G220">
        <v>6</v>
      </c>
      <c r="H220" t="s">
        <v>14</v>
      </c>
      <c r="I220" s="56">
        <v>3.8707563084879801</v>
      </c>
      <c r="J220" t="s">
        <v>204</v>
      </c>
      <c r="K220">
        <v>453</v>
      </c>
    </row>
    <row r="221" spans="1:15">
      <c r="A221">
        <v>457</v>
      </c>
      <c r="B221" t="s">
        <v>13</v>
      </c>
      <c r="C221" s="56">
        <v>46.774147756904398</v>
      </c>
      <c r="D221" s="56">
        <v>-3.4593030086586798</v>
      </c>
      <c r="E221" s="54">
        <v>5.5385920195979601</v>
      </c>
      <c r="F221">
        <v>4.2</v>
      </c>
      <c r="G221">
        <v>2.1</v>
      </c>
      <c r="H221" t="s">
        <v>14</v>
      </c>
      <c r="I221" s="56">
        <v>24.0928752852511</v>
      </c>
      <c r="J221" t="s">
        <v>204</v>
      </c>
      <c r="K221">
        <v>460</v>
      </c>
    </row>
    <row r="222" spans="1:15">
      <c r="A222">
        <v>458</v>
      </c>
      <c r="B222" t="s">
        <v>13</v>
      </c>
      <c r="C222" s="56">
        <v>47.831262169247502</v>
      </c>
      <c r="D222" s="56">
        <v>-2.5663546562124</v>
      </c>
      <c r="E222" s="54">
        <v>6.0160568488736397</v>
      </c>
      <c r="F222">
        <v>5.4</v>
      </c>
      <c r="G222">
        <v>1.9</v>
      </c>
      <c r="H222" t="s">
        <v>14</v>
      </c>
      <c r="I222" s="56">
        <v>28.425868610927999</v>
      </c>
      <c r="J222" t="s">
        <v>204</v>
      </c>
      <c r="K222">
        <v>460</v>
      </c>
    </row>
    <row r="223" spans="1:15">
      <c r="A223">
        <v>459</v>
      </c>
      <c r="B223" t="s">
        <v>13</v>
      </c>
      <c r="C223" s="56">
        <v>47.761100883618901</v>
      </c>
      <c r="D223" s="56">
        <v>-2.75496474508624</v>
      </c>
      <c r="E223" s="54">
        <v>3.1830988618379101</v>
      </c>
      <c r="F223">
        <v>2.9</v>
      </c>
      <c r="G223">
        <v>2.2000000000000002</v>
      </c>
      <c r="H223" t="s">
        <v>14</v>
      </c>
      <c r="I223" s="56">
        <v>7.9577471545947702</v>
      </c>
      <c r="J223" t="s">
        <v>204</v>
      </c>
      <c r="K223">
        <v>460</v>
      </c>
    </row>
    <row r="224" spans="1:15">
      <c r="A224">
        <v>460</v>
      </c>
      <c r="B224" t="s">
        <v>13</v>
      </c>
      <c r="C224" s="56">
        <v>47.995502870026897</v>
      </c>
      <c r="D224" s="56">
        <v>-2.5199982650647699</v>
      </c>
      <c r="E224" s="54">
        <v>8.1169020976866602</v>
      </c>
      <c r="F224">
        <v>6.6</v>
      </c>
      <c r="G224">
        <v>2.2999999999999998</v>
      </c>
      <c r="H224" t="s">
        <v>14</v>
      </c>
      <c r="I224" s="56">
        <v>51.7452508727525</v>
      </c>
      <c r="J224" t="s">
        <v>12</v>
      </c>
      <c r="K224">
        <v>460</v>
      </c>
      <c r="N224" t="s">
        <v>208</v>
      </c>
      <c r="O224">
        <v>5</v>
      </c>
    </row>
    <row r="225" spans="1:15">
      <c r="A225" s="53">
        <v>461</v>
      </c>
      <c r="B225" t="s">
        <v>13</v>
      </c>
      <c r="C225" s="54">
        <v>47.95645499176517</v>
      </c>
      <c r="D225" s="54">
        <v>-2.6922711229217842</v>
      </c>
      <c r="E225" s="54">
        <v>4.2016904976260365</v>
      </c>
      <c r="F225" s="2">
        <v>4.7</v>
      </c>
      <c r="G225" s="2"/>
      <c r="H225" t="s">
        <v>12</v>
      </c>
      <c r="I225" s="57">
        <f>PI()*(E225/2)^2</f>
        <v>13.865578642165918</v>
      </c>
      <c r="J225" t="s">
        <v>12</v>
      </c>
      <c r="K225">
        <v>460</v>
      </c>
    </row>
    <row r="226" spans="1:15">
      <c r="A226">
        <v>462</v>
      </c>
      <c r="B226" t="s">
        <v>13</v>
      </c>
      <c r="C226" s="56">
        <v>47.838459784886197</v>
      </c>
      <c r="D226" s="56">
        <v>-2.6503101513682901</v>
      </c>
      <c r="E226" s="54">
        <v>0.22</v>
      </c>
      <c r="F226">
        <v>1.4</v>
      </c>
      <c r="G226">
        <v>0.4</v>
      </c>
      <c r="H226" t="s">
        <v>14</v>
      </c>
      <c r="I226" s="56">
        <v>3.8013271108436497E-2</v>
      </c>
      <c r="J226" t="s">
        <v>204</v>
      </c>
      <c r="K226">
        <v>460</v>
      </c>
    </row>
    <row r="227" spans="1:15">
      <c r="A227">
        <v>463</v>
      </c>
      <c r="B227" t="s">
        <v>13</v>
      </c>
      <c r="C227" s="56">
        <v>48.186840600406804</v>
      </c>
      <c r="D227" s="56">
        <v>-2.4773681582814699</v>
      </c>
      <c r="E227" s="54">
        <v>5.69774696268985</v>
      </c>
      <c r="F227">
        <v>5.3</v>
      </c>
      <c r="G227">
        <v>1.9</v>
      </c>
      <c r="H227" t="s">
        <v>14</v>
      </c>
      <c r="I227" s="56">
        <v>25.497417658037101</v>
      </c>
      <c r="J227" t="s">
        <v>204</v>
      </c>
      <c r="K227">
        <v>460</v>
      </c>
    </row>
    <row r="228" spans="1:15">
      <c r="A228">
        <v>464</v>
      </c>
      <c r="B228" t="s">
        <v>13</v>
      </c>
      <c r="C228" s="56">
        <v>48.415466708767497</v>
      </c>
      <c r="D228" s="56">
        <v>-2.6060994319050601</v>
      </c>
      <c r="E228" s="54">
        <v>5.0929581789406502</v>
      </c>
      <c r="F228">
        <v>5.0999999999999996</v>
      </c>
      <c r="G228">
        <v>1</v>
      </c>
      <c r="H228" t="s">
        <v>14</v>
      </c>
      <c r="I228" s="56">
        <v>20.371832715762601</v>
      </c>
      <c r="J228" t="s">
        <v>204</v>
      </c>
      <c r="K228">
        <v>460</v>
      </c>
    </row>
    <row r="229" spans="1:15">
      <c r="A229">
        <v>465</v>
      </c>
      <c r="B229" t="s">
        <v>13</v>
      </c>
      <c r="C229" s="56">
        <v>48.14</v>
      </c>
      <c r="D229" s="56">
        <v>-3.22161450207811</v>
      </c>
      <c r="E229" s="54">
        <v>3.78788764558711</v>
      </c>
      <c r="F229">
        <v>4.3</v>
      </c>
      <c r="G229">
        <v>2.5</v>
      </c>
      <c r="H229" t="s">
        <v>14</v>
      </c>
      <c r="I229" s="56">
        <v>11.2689657456216</v>
      </c>
      <c r="J229" t="s">
        <v>204</v>
      </c>
      <c r="K229">
        <v>460</v>
      </c>
    </row>
    <row r="230" spans="1:15">
      <c r="A230">
        <v>466</v>
      </c>
      <c r="B230" t="s">
        <v>13</v>
      </c>
      <c r="C230" s="56">
        <v>48.209032601146298</v>
      </c>
      <c r="D230" s="56">
        <v>-3.34014008332632</v>
      </c>
      <c r="E230" s="54">
        <v>4.7109863155200999</v>
      </c>
      <c r="F230">
        <v>4.0999999999999996</v>
      </c>
      <c r="G230">
        <v>1.6</v>
      </c>
      <c r="H230" t="s">
        <v>14</v>
      </c>
      <c r="I230" s="56">
        <v>17.430649367424401</v>
      </c>
      <c r="J230" t="s">
        <v>204</v>
      </c>
      <c r="K230">
        <v>460</v>
      </c>
    </row>
    <row r="231" spans="1:15">
      <c r="A231">
        <v>467</v>
      </c>
      <c r="B231" t="s">
        <v>13</v>
      </c>
      <c r="C231" s="56">
        <v>48.343280774778101</v>
      </c>
      <c r="D231" s="56">
        <v>-3.1961353864910498</v>
      </c>
      <c r="E231" s="54">
        <v>4.8383102699936202</v>
      </c>
      <c r="F231">
        <v>5</v>
      </c>
      <c r="G231">
        <v>2.5</v>
      </c>
      <c r="H231" t="s">
        <v>14</v>
      </c>
      <c r="I231" s="56">
        <v>18.385579025975801</v>
      </c>
      <c r="J231" t="s">
        <v>204</v>
      </c>
      <c r="K231">
        <v>460</v>
      </c>
    </row>
    <row r="232" spans="1:15">
      <c r="A232">
        <v>468</v>
      </c>
      <c r="B232" t="s">
        <v>13</v>
      </c>
      <c r="C232" s="56">
        <v>48.3067778157098</v>
      </c>
      <c r="D232" s="56">
        <v>-3.13154891940516</v>
      </c>
      <c r="E232" s="54">
        <v>2.9602819415092498</v>
      </c>
      <c r="F232">
        <v>4</v>
      </c>
      <c r="G232">
        <v>2.5</v>
      </c>
      <c r="H232" t="s">
        <v>14</v>
      </c>
      <c r="I232" s="56">
        <v>6.8826555140090102</v>
      </c>
      <c r="J232" t="s">
        <v>204</v>
      </c>
      <c r="K232">
        <v>460</v>
      </c>
    </row>
    <row r="233" spans="1:15">
      <c r="A233">
        <v>469</v>
      </c>
      <c r="B233" t="s">
        <v>13</v>
      </c>
      <c r="C233" s="56">
        <v>48.401628678836502</v>
      </c>
      <c r="D233" s="56">
        <v>-3.05740234834769</v>
      </c>
      <c r="E233" s="54">
        <v>2.9602819415092498</v>
      </c>
      <c r="F233">
        <v>2.8</v>
      </c>
      <c r="G233">
        <v>1.6</v>
      </c>
      <c r="H233" t="s">
        <v>14</v>
      </c>
      <c r="I233" s="56">
        <v>6.8826555140090102</v>
      </c>
      <c r="J233" t="s">
        <v>204</v>
      </c>
      <c r="K233">
        <v>460</v>
      </c>
    </row>
    <row r="234" spans="1:15">
      <c r="A234">
        <v>470</v>
      </c>
      <c r="B234" t="s">
        <v>13</v>
      </c>
      <c r="C234" s="54">
        <v>48.499274544622907</v>
      </c>
      <c r="D234" s="54">
        <v>-2.9838604370149775</v>
      </c>
      <c r="E234" s="54">
        <v>1.34</v>
      </c>
      <c r="F234" s="2">
        <v>2</v>
      </c>
      <c r="G234" s="2"/>
      <c r="H234" t="s">
        <v>12</v>
      </c>
      <c r="I234" s="57">
        <f>PI()*(E234/2)^2</f>
        <v>1.4102609421964585</v>
      </c>
      <c r="J234" t="s">
        <v>204</v>
      </c>
      <c r="K234">
        <v>460</v>
      </c>
    </row>
    <row r="235" spans="1:15">
      <c r="A235">
        <v>471</v>
      </c>
      <c r="B235" t="s">
        <v>13</v>
      </c>
      <c r="C235" s="56">
        <v>48.531267151121099</v>
      </c>
      <c r="D235" s="56">
        <v>-2.63879211356711</v>
      </c>
      <c r="E235" s="54">
        <v>4.45633840657307</v>
      </c>
      <c r="F235">
        <v>3.8</v>
      </c>
      <c r="G235">
        <v>2.1</v>
      </c>
      <c r="H235" t="s">
        <v>14</v>
      </c>
      <c r="I235" s="56">
        <v>15.5971844230057</v>
      </c>
      <c r="J235" t="s">
        <v>204</v>
      </c>
      <c r="K235">
        <v>460</v>
      </c>
    </row>
    <row r="236" spans="1:15">
      <c r="A236">
        <v>501</v>
      </c>
      <c r="B236" t="s">
        <v>13</v>
      </c>
      <c r="C236" s="56">
        <v>47.835224083829701</v>
      </c>
      <c r="D236" s="56">
        <v>-10.2736120541476</v>
      </c>
      <c r="E236" s="54">
        <v>7.7030992456477296</v>
      </c>
      <c r="F236">
        <v>7.6</v>
      </c>
      <c r="G236">
        <v>2.2000000000000002</v>
      </c>
      <c r="H236" t="s">
        <v>14</v>
      </c>
      <c r="I236" s="56">
        <v>46.603750436168802</v>
      </c>
      <c r="J236" t="s">
        <v>12</v>
      </c>
      <c r="K236">
        <v>501</v>
      </c>
      <c r="N236" t="s">
        <v>210</v>
      </c>
      <c r="O236">
        <v>1</v>
      </c>
    </row>
    <row r="237" spans="1:15">
      <c r="A237">
        <v>502</v>
      </c>
      <c r="B237" t="s">
        <v>13</v>
      </c>
      <c r="C237" s="56">
        <v>47.913619609306402</v>
      </c>
      <c r="D237" s="56">
        <v>-10.3178437968579</v>
      </c>
      <c r="E237" s="54">
        <v>2.92845095289087</v>
      </c>
      <c r="F237">
        <v>2.7</v>
      </c>
      <c r="G237">
        <v>1.7</v>
      </c>
      <c r="H237" t="s">
        <v>14</v>
      </c>
      <c r="I237" s="56">
        <v>6.7354371916490097</v>
      </c>
      <c r="J237" t="s">
        <v>204</v>
      </c>
      <c r="K237">
        <v>501</v>
      </c>
    </row>
    <row r="238" spans="1:15">
      <c r="A238">
        <v>503</v>
      </c>
      <c r="B238" t="s">
        <v>13</v>
      </c>
      <c r="C238" s="56">
        <v>49.439942488289503</v>
      </c>
      <c r="D238" s="56">
        <v>-10.0329517493597</v>
      </c>
      <c r="E238" s="54">
        <v>1.8</v>
      </c>
      <c r="F238">
        <v>3.7</v>
      </c>
      <c r="G238">
        <v>1.3</v>
      </c>
      <c r="H238" t="s">
        <v>14</v>
      </c>
      <c r="I238" s="56">
        <v>2.54469004940773</v>
      </c>
      <c r="J238" t="s">
        <v>204</v>
      </c>
      <c r="K238">
        <v>501</v>
      </c>
    </row>
    <row r="239" spans="1:15">
      <c r="A239">
        <v>504</v>
      </c>
      <c r="B239" t="s">
        <v>13</v>
      </c>
      <c r="C239" s="56">
        <v>49.4494818505041</v>
      </c>
      <c r="D239" s="56">
        <v>-10.0989583598985</v>
      </c>
      <c r="E239" s="54">
        <v>2.65</v>
      </c>
      <c r="F239">
        <v>3.2</v>
      </c>
      <c r="G239">
        <v>1.5</v>
      </c>
      <c r="H239" t="s">
        <v>14</v>
      </c>
      <c r="I239" s="56">
        <v>5.5154586024585797</v>
      </c>
      <c r="J239" t="s">
        <v>204</v>
      </c>
      <c r="K239">
        <v>501</v>
      </c>
    </row>
    <row r="240" spans="1:15">
      <c r="A240">
        <v>505</v>
      </c>
      <c r="B240" t="s">
        <v>13</v>
      </c>
      <c r="C240" s="56">
        <v>48.785924558911901</v>
      </c>
      <c r="D240" s="56">
        <v>-16.383347839896299</v>
      </c>
      <c r="E240" s="54">
        <v>5.2521131220325499</v>
      </c>
      <c r="F240">
        <v>5.6</v>
      </c>
      <c r="G240">
        <v>2.2999999999999998</v>
      </c>
      <c r="H240" t="s">
        <v>14</v>
      </c>
      <c r="I240" s="56">
        <v>21.664966628384299</v>
      </c>
      <c r="J240" t="s">
        <v>12</v>
      </c>
      <c r="K240">
        <v>507</v>
      </c>
    </row>
    <row r="241" spans="1:15">
      <c r="A241">
        <v>506</v>
      </c>
      <c r="B241" t="s">
        <v>13</v>
      </c>
      <c r="C241" s="56">
        <v>48.947736636769697</v>
      </c>
      <c r="D241" s="56">
        <v>-16.311933862059199</v>
      </c>
      <c r="E241" s="54">
        <v>3.6605636911135901</v>
      </c>
      <c r="F241">
        <v>2.8</v>
      </c>
      <c r="G241">
        <v>1.5</v>
      </c>
      <c r="H241" t="s">
        <v>14</v>
      </c>
      <c r="I241" s="56">
        <v>10.5241206119516</v>
      </c>
      <c r="J241" t="s">
        <v>12</v>
      </c>
      <c r="K241">
        <v>507</v>
      </c>
    </row>
    <row r="242" spans="1:15">
      <c r="A242" s="53">
        <v>507</v>
      </c>
      <c r="B242" t="s">
        <v>13</v>
      </c>
      <c r="C242" s="54">
        <v>49.112968455015206</v>
      </c>
      <c r="D242" s="54">
        <v>-16.596689013277626</v>
      </c>
      <c r="E242" s="54">
        <v>12.159437652220806</v>
      </c>
      <c r="F242" s="2">
        <v>7.8</v>
      </c>
      <c r="G242" s="2"/>
      <c r="H242" t="s">
        <v>12</v>
      </c>
      <c r="I242" s="57">
        <f>PI()*(E242/2)^2</f>
        <v>116.12262957870871</v>
      </c>
      <c r="J242" t="s">
        <v>12</v>
      </c>
      <c r="K242">
        <v>507</v>
      </c>
      <c r="O242">
        <v>5</v>
      </c>
    </row>
    <row r="243" spans="1:15">
      <c r="A243">
        <v>508</v>
      </c>
      <c r="B243" t="s">
        <v>13</v>
      </c>
      <c r="C243" s="56">
        <v>49.102832546654398</v>
      </c>
      <c r="D243" s="56">
        <v>-16.139938080108799</v>
      </c>
      <c r="E243" s="54">
        <v>2.89</v>
      </c>
      <c r="F243">
        <v>3.7</v>
      </c>
      <c r="G243">
        <v>1.3</v>
      </c>
      <c r="H243" t="s">
        <v>14</v>
      </c>
      <c r="I243" s="56">
        <v>6.5597240005118298</v>
      </c>
      <c r="J243" t="s">
        <v>204</v>
      </c>
      <c r="K243">
        <v>507</v>
      </c>
    </row>
    <row r="244" spans="1:15">
      <c r="A244">
        <v>509</v>
      </c>
      <c r="B244" t="s">
        <v>13</v>
      </c>
      <c r="C244" s="56">
        <v>49.246140094845501</v>
      </c>
      <c r="D244" s="56">
        <v>-16.426234772126701</v>
      </c>
      <c r="E244" s="54">
        <v>2.33</v>
      </c>
      <c r="F244">
        <v>3.6</v>
      </c>
      <c r="G244">
        <v>1.5</v>
      </c>
      <c r="H244" t="s">
        <v>14</v>
      </c>
      <c r="I244" s="56">
        <v>4.2638480892684099</v>
      </c>
      <c r="J244" t="s">
        <v>204</v>
      </c>
      <c r="K244">
        <v>507</v>
      </c>
    </row>
    <row r="245" spans="1:15">
      <c r="A245">
        <v>527</v>
      </c>
      <c r="B245" t="s">
        <v>13</v>
      </c>
      <c r="C245" s="56">
        <v>30.3484734961729</v>
      </c>
      <c r="D245" s="56">
        <v>-13.3610171296683</v>
      </c>
      <c r="E245" s="54">
        <v>19.034931193790701</v>
      </c>
      <c r="F245">
        <v>11.3</v>
      </c>
      <c r="G245">
        <v>4.0999999999999996</v>
      </c>
      <c r="H245" t="s">
        <v>14</v>
      </c>
      <c r="I245" s="56">
        <v>284.57222134717102</v>
      </c>
      <c r="J245" t="s">
        <v>12</v>
      </c>
      <c r="K245">
        <v>527</v>
      </c>
      <c r="O245">
        <v>1</v>
      </c>
    </row>
    <row r="246" spans="1:15">
      <c r="A246">
        <v>528</v>
      </c>
      <c r="B246" t="s">
        <v>13</v>
      </c>
      <c r="C246" s="56">
        <v>30.241353318908999</v>
      </c>
      <c r="D246" s="56">
        <v>-13.0021517206218</v>
      </c>
      <c r="E246" s="54">
        <v>0.61</v>
      </c>
      <c r="F246">
        <v>1.3</v>
      </c>
      <c r="G246">
        <v>1</v>
      </c>
      <c r="H246" t="s">
        <v>14</v>
      </c>
      <c r="I246" s="56">
        <v>0.292246656600191</v>
      </c>
      <c r="J246" t="s">
        <v>204</v>
      </c>
      <c r="K246">
        <v>527</v>
      </c>
    </row>
    <row r="247" spans="1:15">
      <c r="A247">
        <v>529</v>
      </c>
      <c r="B247" t="s">
        <v>13</v>
      </c>
      <c r="C247" s="56">
        <v>30.102245775782599</v>
      </c>
      <c r="D247" s="56">
        <v>-13.0260471438803</v>
      </c>
      <c r="E247" s="54">
        <v>2.34</v>
      </c>
      <c r="F247">
        <v>2.8</v>
      </c>
      <c r="G247">
        <v>2</v>
      </c>
      <c r="H247" t="s">
        <v>14</v>
      </c>
      <c r="I247" s="56">
        <v>4.3005261834990698</v>
      </c>
      <c r="J247" t="s">
        <v>204</v>
      </c>
      <c r="K247">
        <v>527</v>
      </c>
    </row>
    <row r="248" spans="1:15">
      <c r="A248">
        <v>530</v>
      </c>
      <c r="B248" t="s">
        <v>13</v>
      </c>
      <c r="C248" s="56">
        <v>30.072596810592501</v>
      </c>
      <c r="D248" s="56">
        <v>-12.9972597343142</v>
      </c>
      <c r="E248" s="54">
        <v>0.28000000000000003</v>
      </c>
      <c r="F248">
        <v>1.4</v>
      </c>
      <c r="G248">
        <v>0.3</v>
      </c>
      <c r="H248" t="s">
        <v>14</v>
      </c>
      <c r="I248" s="56">
        <v>6.157521601036E-2</v>
      </c>
      <c r="J248" t="s">
        <v>204</v>
      </c>
      <c r="K248">
        <v>527</v>
      </c>
    </row>
    <row r="249" spans="1:15">
      <c r="A249">
        <v>531</v>
      </c>
      <c r="B249" t="s">
        <v>13</v>
      </c>
      <c r="C249" s="56">
        <v>30.272031637104199</v>
      </c>
      <c r="D249" s="56">
        <v>-12.789450040867999</v>
      </c>
      <c r="E249" s="54">
        <v>1.3</v>
      </c>
      <c r="F249">
        <v>2.7</v>
      </c>
      <c r="G249">
        <v>1.4</v>
      </c>
      <c r="H249" t="s">
        <v>14</v>
      </c>
      <c r="I249" s="56">
        <v>1.3273228961416901</v>
      </c>
      <c r="J249" t="s">
        <v>204</v>
      </c>
      <c r="K249">
        <v>527</v>
      </c>
    </row>
    <row r="250" spans="1:15">
      <c r="A250">
        <v>532</v>
      </c>
      <c r="B250" t="s">
        <v>13</v>
      </c>
      <c r="C250" s="56">
        <v>30.209660419134099</v>
      </c>
      <c r="D250" s="56">
        <v>-12.8258363171512</v>
      </c>
      <c r="E250" s="54">
        <v>2.4900000000000002</v>
      </c>
      <c r="F250">
        <v>2.6</v>
      </c>
      <c r="G250">
        <v>1</v>
      </c>
      <c r="H250" t="s">
        <v>14</v>
      </c>
      <c r="I250" s="56">
        <v>4.8695471528805196</v>
      </c>
      <c r="J250" t="s">
        <v>204</v>
      </c>
      <c r="K250">
        <v>527</v>
      </c>
    </row>
    <row r="251" spans="1:15">
      <c r="A251">
        <v>533</v>
      </c>
      <c r="B251" t="s">
        <v>13</v>
      </c>
      <c r="C251" s="56">
        <v>30.1388607087538</v>
      </c>
      <c r="D251" s="56">
        <v>-12.939733300597201</v>
      </c>
      <c r="E251" s="54">
        <v>5.6022539968347198</v>
      </c>
      <c r="F251">
        <v>5.2</v>
      </c>
      <c r="G251">
        <v>2.7</v>
      </c>
      <c r="H251" t="s">
        <v>14</v>
      </c>
      <c r="I251" s="56">
        <v>24.649917586072799</v>
      </c>
      <c r="J251" t="s">
        <v>204</v>
      </c>
      <c r="K251">
        <v>527</v>
      </c>
    </row>
    <row r="252" spans="1:15">
      <c r="A252">
        <v>534</v>
      </c>
      <c r="B252" t="s">
        <v>13</v>
      </c>
      <c r="C252" s="56">
        <v>30.008426910538301</v>
      </c>
      <c r="D252" s="56">
        <v>-12.921740439865401</v>
      </c>
      <c r="E252" s="54">
        <v>2.2799999999999998</v>
      </c>
      <c r="F252">
        <v>4</v>
      </c>
      <c r="G252">
        <v>1.6</v>
      </c>
      <c r="H252" t="s">
        <v>14</v>
      </c>
      <c r="I252" s="56">
        <v>4.0828138126052904</v>
      </c>
      <c r="J252" t="s">
        <v>204</v>
      </c>
      <c r="K252">
        <v>527</v>
      </c>
    </row>
    <row r="253" spans="1:15">
      <c r="A253">
        <v>535</v>
      </c>
      <c r="B253" t="s">
        <v>13</v>
      </c>
      <c r="C253" s="56">
        <v>29.8440117711603</v>
      </c>
      <c r="D253" s="56">
        <v>-12.8930093493921</v>
      </c>
      <c r="E253" s="54">
        <v>3.19</v>
      </c>
      <c r="F253">
        <v>4.2</v>
      </c>
      <c r="G253">
        <v>2.6</v>
      </c>
      <c r="H253" t="s">
        <v>14</v>
      </c>
      <c r="I253" s="56">
        <v>7.9922902505487698</v>
      </c>
      <c r="J253" t="s">
        <v>204</v>
      </c>
      <c r="K253">
        <v>527</v>
      </c>
    </row>
    <row r="254" spans="1:15">
      <c r="A254">
        <v>536</v>
      </c>
      <c r="B254" t="s">
        <v>13</v>
      </c>
      <c r="C254" s="56">
        <v>29.7138896491719</v>
      </c>
      <c r="D254" s="56">
        <v>-12.9106758408637</v>
      </c>
      <c r="E254" s="54">
        <v>2.77</v>
      </c>
      <c r="F254">
        <v>2.4</v>
      </c>
      <c r="G254">
        <v>1.8</v>
      </c>
      <c r="H254" t="s">
        <v>14</v>
      </c>
      <c r="I254" s="56">
        <v>6.0262815679322799</v>
      </c>
      <c r="J254" t="s">
        <v>204</v>
      </c>
      <c r="K254">
        <v>527</v>
      </c>
    </row>
    <row r="255" spans="1:15">
      <c r="A255">
        <v>537</v>
      </c>
      <c r="B255" t="s">
        <v>13</v>
      </c>
      <c r="C255" s="56">
        <v>29.705651689543199</v>
      </c>
      <c r="D255" s="56">
        <v>-12.9907846567405</v>
      </c>
      <c r="E255" s="54">
        <v>3.08</v>
      </c>
      <c r="F255">
        <v>4.8</v>
      </c>
      <c r="G255">
        <v>2.2999999999999998</v>
      </c>
      <c r="H255" t="s">
        <v>14</v>
      </c>
      <c r="I255" s="56">
        <v>7.4506011372535497</v>
      </c>
      <c r="J255" t="s">
        <v>204</v>
      </c>
      <c r="K255">
        <v>527</v>
      </c>
    </row>
    <row r="256" spans="1:15">
      <c r="A256">
        <v>538</v>
      </c>
      <c r="B256" t="s">
        <v>13</v>
      </c>
      <c r="C256" s="56">
        <v>29.893250275501298</v>
      </c>
      <c r="D256" s="56">
        <v>-12.9554204449359</v>
      </c>
      <c r="E256" s="54">
        <v>0.86</v>
      </c>
      <c r="F256">
        <v>1.7</v>
      </c>
      <c r="G256">
        <v>0.9</v>
      </c>
      <c r="H256" t="s">
        <v>14</v>
      </c>
      <c r="I256" s="56">
        <v>0.58088048164875306</v>
      </c>
      <c r="J256" t="s">
        <v>204</v>
      </c>
      <c r="K256">
        <v>527</v>
      </c>
    </row>
    <row r="257" spans="1:15">
      <c r="A257">
        <v>539</v>
      </c>
      <c r="B257" t="s">
        <v>13</v>
      </c>
      <c r="C257" s="56">
        <v>29.815354348993701</v>
      </c>
      <c r="D257" s="56">
        <v>-13.113758655297101</v>
      </c>
      <c r="E257" s="54">
        <v>1.25</v>
      </c>
      <c r="F257">
        <v>2.2999999999999998</v>
      </c>
      <c r="G257">
        <v>1.3</v>
      </c>
      <c r="H257" t="s">
        <v>14</v>
      </c>
      <c r="I257" s="56">
        <v>1.2271846303085101</v>
      </c>
      <c r="J257" t="s">
        <v>204</v>
      </c>
      <c r="K257">
        <v>527</v>
      </c>
    </row>
    <row r="258" spans="1:15">
      <c r="A258">
        <v>540</v>
      </c>
      <c r="B258" t="s">
        <v>13</v>
      </c>
      <c r="C258" s="56">
        <v>27.573886755230099</v>
      </c>
      <c r="D258" s="56">
        <v>-13.029159888179301</v>
      </c>
      <c r="E258" s="54">
        <v>1.51</v>
      </c>
      <c r="F258">
        <v>3.3</v>
      </c>
      <c r="G258">
        <v>1.3</v>
      </c>
      <c r="H258" t="s">
        <v>14</v>
      </c>
      <c r="I258" s="56">
        <v>1.79078635236252</v>
      </c>
      <c r="J258" t="s">
        <v>204</v>
      </c>
      <c r="K258">
        <v>546</v>
      </c>
    </row>
    <row r="259" spans="1:15">
      <c r="A259">
        <v>541</v>
      </c>
      <c r="B259" t="s">
        <v>13</v>
      </c>
      <c r="C259" s="56">
        <v>27.404388389571999</v>
      </c>
      <c r="D259" s="56">
        <v>-13.093778944794201</v>
      </c>
      <c r="E259" s="54">
        <v>6.5571836553860896</v>
      </c>
      <c r="F259">
        <v>5.9</v>
      </c>
      <c r="G259">
        <v>2.1</v>
      </c>
      <c r="H259" t="s">
        <v>14</v>
      </c>
      <c r="I259" s="56">
        <v>33.769495825238401</v>
      </c>
      <c r="J259" t="s">
        <v>204</v>
      </c>
      <c r="K259">
        <v>546</v>
      </c>
    </row>
    <row r="260" spans="1:15">
      <c r="A260">
        <v>542</v>
      </c>
      <c r="B260" t="s">
        <v>13</v>
      </c>
      <c r="C260" s="54">
        <v>27.296469722438403</v>
      </c>
      <c r="D260" s="54">
        <v>-13.073307418250858</v>
      </c>
      <c r="E260" s="54">
        <v>1.84</v>
      </c>
      <c r="F260" s="2">
        <v>2.5</v>
      </c>
      <c r="G260" s="2"/>
      <c r="H260" t="s">
        <v>12</v>
      </c>
      <c r="I260" s="57">
        <f>PI()*(E260/2)^2</f>
        <v>2.6590440219984011</v>
      </c>
      <c r="J260" t="s">
        <v>204</v>
      </c>
      <c r="K260">
        <v>546</v>
      </c>
    </row>
    <row r="261" spans="1:15">
      <c r="A261" s="53">
        <v>543</v>
      </c>
      <c r="B261" t="s">
        <v>13</v>
      </c>
      <c r="C261" s="54">
        <v>27.258718247585577</v>
      </c>
      <c r="D261" s="54">
        <v>-13.129558963430984</v>
      </c>
      <c r="E261" s="54">
        <v>1.02</v>
      </c>
      <c r="F261" s="2">
        <v>2.1</v>
      </c>
      <c r="G261" s="2"/>
      <c r="H261" t="s">
        <v>12</v>
      </c>
      <c r="I261" s="57">
        <f>PI()*(E261/2)^2</f>
        <v>0.81712824919870519</v>
      </c>
      <c r="J261" t="s">
        <v>204</v>
      </c>
      <c r="K261">
        <v>546</v>
      </c>
    </row>
    <row r="262" spans="1:15">
      <c r="A262">
        <v>544</v>
      </c>
      <c r="B262" t="s">
        <v>13</v>
      </c>
      <c r="C262" s="56">
        <v>27.200450190790999</v>
      </c>
      <c r="D262" s="56">
        <v>-13.1438709708857</v>
      </c>
      <c r="E262" s="54">
        <v>0.84</v>
      </c>
      <c r="F262">
        <v>2.6</v>
      </c>
      <c r="G262">
        <v>1.5</v>
      </c>
      <c r="H262" t="s">
        <v>14</v>
      </c>
      <c r="I262" s="56">
        <v>0.55417694409323903</v>
      </c>
      <c r="J262" t="s">
        <v>204</v>
      </c>
      <c r="K262">
        <v>546</v>
      </c>
    </row>
    <row r="263" spans="1:15">
      <c r="A263">
        <v>545</v>
      </c>
      <c r="B263" t="s">
        <v>13</v>
      </c>
      <c r="C263" s="56">
        <v>27.340618084048799</v>
      </c>
      <c r="D263" s="56">
        <v>-13.2503768252447</v>
      </c>
      <c r="E263" s="54">
        <v>0.65</v>
      </c>
      <c r="F263">
        <v>2.1</v>
      </c>
      <c r="G263">
        <v>1.1000000000000001</v>
      </c>
      <c r="H263" t="s">
        <v>14</v>
      </c>
      <c r="I263" s="56">
        <v>0.33183072403542202</v>
      </c>
      <c r="J263" t="s">
        <v>204</v>
      </c>
      <c r="K263">
        <v>546</v>
      </c>
    </row>
    <row r="264" spans="1:15">
      <c r="A264">
        <v>546</v>
      </c>
      <c r="B264" t="s">
        <v>13</v>
      </c>
      <c r="C264" s="54">
        <v>27.094591953759824</v>
      </c>
      <c r="D264" s="54">
        <v>-13.337565454045706</v>
      </c>
      <c r="E264" s="54">
        <v>15.278874536821952</v>
      </c>
      <c r="F264" s="2">
        <v>4.3</v>
      </c>
      <c r="G264" s="2"/>
      <c r="H264" t="s">
        <v>12</v>
      </c>
      <c r="I264" s="57">
        <f>PI()*(E264/2)^2</f>
        <v>183.34649444186343</v>
      </c>
      <c r="J264" t="s">
        <v>12</v>
      </c>
      <c r="K264">
        <v>546</v>
      </c>
      <c r="O264">
        <v>11</v>
      </c>
    </row>
    <row r="265" spans="1:15">
      <c r="A265">
        <v>547</v>
      </c>
      <c r="B265" t="s">
        <v>13</v>
      </c>
      <c r="C265" s="56">
        <v>27.385008708664799</v>
      </c>
      <c r="D265" s="56">
        <v>-13.380176729038901</v>
      </c>
      <c r="E265" s="54">
        <v>7.0346484846617701</v>
      </c>
      <c r="F265">
        <v>7.1</v>
      </c>
      <c r="G265">
        <v>3.4</v>
      </c>
      <c r="H265" t="s">
        <v>14</v>
      </c>
      <c r="I265" s="56">
        <v>38.866432877756303</v>
      </c>
      <c r="J265" t="s">
        <v>12</v>
      </c>
      <c r="K265">
        <v>546</v>
      </c>
    </row>
    <row r="266" spans="1:15">
      <c r="A266">
        <v>548</v>
      </c>
      <c r="B266" t="s">
        <v>13</v>
      </c>
      <c r="C266" s="56">
        <v>27.449991754626499</v>
      </c>
      <c r="D266" s="56">
        <v>-13.504025262616899</v>
      </c>
      <c r="E266" s="54">
        <v>3.2785918276930399</v>
      </c>
      <c r="F266">
        <v>4</v>
      </c>
      <c r="G266">
        <v>2.1</v>
      </c>
      <c r="H266" t="s">
        <v>14</v>
      </c>
      <c r="I266" s="56">
        <v>8.4423739563095896</v>
      </c>
      <c r="J266" t="s">
        <v>204</v>
      </c>
      <c r="K266">
        <v>546</v>
      </c>
    </row>
    <row r="267" spans="1:15">
      <c r="A267">
        <v>549</v>
      </c>
      <c r="B267" t="s">
        <v>13</v>
      </c>
      <c r="C267" s="56">
        <v>27.221745045931101</v>
      </c>
      <c r="D267" s="56">
        <v>-13.6158816806988</v>
      </c>
      <c r="E267" s="54">
        <v>3.7242256683503498</v>
      </c>
      <c r="F267">
        <v>4.2</v>
      </c>
      <c r="G267">
        <v>2.6</v>
      </c>
      <c r="H267" t="s">
        <v>14</v>
      </c>
      <c r="I267" s="56">
        <v>10.8933600799248</v>
      </c>
      <c r="J267" t="s">
        <v>204</v>
      </c>
      <c r="K267">
        <v>546</v>
      </c>
    </row>
    <row r="268" spans="1:15">
      <c r="A268">
        <v>550</v>
      </c>
      <c r="B268" t="s">
        <v>13</v>
      </c>
      <c r="C268" s="56">
        <v>26.978042096895699</v>
      </c>
      <c r="D268" s="56">
        <v>-13.6357959747184</v>
      </c>
      <c r="E268" s="54">
        <v>4.0743665431525198</v>
      </c>
      <c r="F268">
        <v>4.2</v>
      </c>
      <c r="G268">
        <v>3</v>
      </c>
      <c r="H268" t="s">
        <v>14</v>
      </c>
      <c r="I268" s="56">
        <v>13.0379729380881</v>
      </c>
      <c r="J268" t="s">
        <v>204</v>
      </c>
      <c r="K268">
        <v>546</v>
      </c>
    </row>
    <row r="269" spans="1:15">
      <c r="A269">
        <v>551</v>
      </c>
      <c r="B269" t="s">
        <v>13</v>
      </c>
      <c r="C269" s="56">
        <v>27.245017801982701</v>
      </c>
      <c r="D269" s="56">
        <v>-13.5133074343505</v>
      </c>
      <c r="E269" s="54">
        <v>1.06</v>
      </c>
      <c r="F269">
        <v>2</v>
      </c>
      <c r="G269">
        <v>1.7</v>
      </c>
      <c r="H269" t="s">
        <v>14</v>
      </c>
      <c r="I269" s="56">
        <v>0.88247337639337298</v>
      </c>
      <c r="J269" t="s">
        <v>204</v>
      </c>
      <c r="K269">
        <v>546</v>
      </c>
    </row>
    <row r="270" spans="1:15">
      <c r="A270">
        <v>552</v>
      </c>
      <c r="B270" t="s">
        <v>13</v>
      </c>
      <c r="C270" s="56">
        <v>26.959183702450598</v>
      </c>
      <c r="D270" s="56">
        <v>-13.567563635531799</v>
      </c>
      <c r="E270" s="54">
        <v>6.14338080334716</v>
      </c>
      <c r="F270">
        <v>6.6</v>
      </c>
      <c r="G270">
        <v>3.5</v>
      </c>
      <c r="H270" t="s">
        <v>14</v>
      </c>
      <c r="I270" s="56">
        <v>29.641812376150099</v>
      </c>
      <c r="J270" t="s">
        <v>12</v>
      </c>
      <c r="K270">
        <v>546</v>
      </c>
    </row>
    <row r="271" spans="1:15">
      <c r="A271">
        <v>553</v>
      </c>
      <c r="B271" t="s">
        <v>13</v>
      </c>
      <c r="C271" s="56">
        <v>26.875698166707</v>
      </c>
      <c r="D271" s="56">
        <v>-13.3697479710838</v>
      </c>
      <c r="E271" s="54">
        <v>0.99</v>
      </c>
      <c r="F271">
        <v>3.4</v>
      </c>
      <c r="G271">
        <v>1.3</v>
      </c>
      <c r="H271" t="s">
        <v>14</v>
      </c>
      <c r="I271" s="56">
        <v>0.76976873994583905</v>
      </c>
      <c r="J271" t="s">
        <v>204</v>
      </c>
      <c r="K271">
        <v>546</v>
      </c>
    </row>
    <row r="272" spans="1:15">
      <c r="A272">
        <v>554</v>
      </c>
      <c r="B272" t="s">
        <v>13</v>
      </c>
      <c r="C272" s="56">
        <v>26.831865447207299</v>
      </c>
      <c r="D272" s="56">
        <v>-13.479171223085499</v>
      </c>
      <c r="E272" s="54">
        <v>2.8</v>
      </c>
      <c r="F272">
        <v>4.2</v>
      </c>
      <c r="G272">
        <v>1.1000000000000001</v>
      </c>
      <c r="H272" t="s">
        <v>14</v>
      </c>
      <c r="I272" s="56">
        <v>6.1575216010359899</v>
      </c>
      <c r="J272" t="s">
        <v>204</v>
      </c>
      <c r="K272">
        <v>546</v>
      </c>
    </row>
    <row r="273" spans="1:15">
      <c r="A273">
        <v>555</v>
      </c>
      <c r="B273" t="s">
        <v>13</v>
      </c>
      <c r="C273" s="56">
        <v>26.880206616637501</v>
      </c>
      <c r="D273" s="56">
        <v>-13.4663989351887</v>
      </c>
      <c r="E273" s="54">
        <v>3.6</v>
      </c>
      <c r="F273">
        <v>2.2000000000000002</v>
      </c>
      <c r="G273">
        <v>0.9</v>
      </c>
      <c r="H273" t="s">
        <v>14</v>
      </c>
      <c r="I273" s="56">
        <v>10.178760197630901</v>
      </c>
      <c r="J273" t="s">
        <v>204</v>
      </c>
      <c r="K273">
        <v>546</v>
      </c>
    </row>
    <row r="274" spans="1:15">
      <c r="A274">
        <v>556</v>
      </c>
      <c r="B274" t="s">
        <v>13</v>
      </c>
      <c r="C274" s="54">
        <v>27.354652244018268</v>
      </c>
      <c r="D274" s="54">
        <v>-13.459375685046041</v>
      </c>
      <c r="E274" s="54">
        <v>1.05</v>
      </c>
      <c r="F274" s="2">
        <v>1</v>
      </c>
      <c r="G274" s="2"/>
      <c r="H274" t="s">
        <v>12</v>
      </c>
      <c r="I274" s="57">
        <f>PI()*(E274/2)^2</f>
        <v>0.86590147514568672</v>
      </c>
      <c r="J274" t="s">
        <v>204</v>
      </c>
      <c r="K274">
        <v>546</v>
      </c>
    </row>
    <row r="275" spans="1:15">
      <c r="A275">
        <v>557</v>
      </c>
      <c r="B275" t="s">
        <v>13</v>
      </c>
      <c r="C275" s="56">
        <v>26.865716922766499</v>
      </c>
      <c r="D275" s="56">
        <v>-13.6424590659466</v>
      </c>
      <c r="E275" s="54">
        <v>1.61</v>
      </c>
      <c r="F275">
        <v>0.9</v>
      </c>
      <c r="G275">
        <v>0</v>
      </c>
      <c r="H275" t="s">
        <v>14</v>
      </c>
      <c r="I275" s="56">
        <v>2.0358305793425302</v>
      </c>
      <c r="J275" t="s">
        <v>204</v>
      </c>
      <c r="K275">
        <v>546</v>
      </c>
    </row>
    <row r="276" spans="1:15">
      <c r="A276">
        <v>560</v>
      </c>
      <c r="B276" t="s">
        <v>13</v>
      </c>
      <c r="C276" s="56">
        <v>27.802826060536901</v>
      </c>
      <c r="D276" s="56">
        <v>-18.5405531372671</v>
      </c>
      <c r="E276" s="54">
        <v>5.2202821334141696</v>
      </c>
      <c r="F276">
        <v>6</v>
      </c>
      <c r="G276">
        <v>1.4</v>
      </c>
      <c r="H276" t="s">
        <v>14</v>
      </c>
      <c r="I276" s="56">
        <v>21.4031567469981</v>
      </c>
      <c r="J276" t="s">
        <v>204</v>
      </c>
      <c r="K276">
        <v>562</v>
      </c>
    </row>
    <row r="277" spans="1:15">
      <c r="A277">
        <v>561</v>
      </c>
      <c r="B277" t="s">
        <v>13</v>
      </c>
      <c r="C277" s="56">
        <v>27.731279138370301</v>
      </c>
      <c r="D277" s="56">
        <v>-18.7511935425639</v>
      </c>
      <c r="E277" s="54">
        <v>4.1061975317709001</v>
      </c>
      <c r="F277">
        <v>4.4000000000000004</v>
      </c>
      <c r="G277">
        <v>2.5</v>
      </c>
      <c r="H277" t="s">
        <v>14</v>
      </c>
      <c r="I277" s="56">
        <v>13.242487039961199</v>
      </c>
      <c r="J277" t="s">
        <v>204</v>
      </c>
      <c r="K277">
        <v>562</v>
      </c>
    </row>
    <row r="278" spans="1:15">
      <c r="A278">
        <v>562</v>
      </c>
      <c r="B278" t="s">
        <v>13</v>
      </c>
      <c r="C278" s="56">
        <v>27.816973727695199</v>
      </c>
      <c r="D278" s="56">
        <v>-18.819040245306301</v>
      </c>
      <c r="E278" s="54">
        <v>11.4591559026165</v>
      </c>
      <c r="F278">
        <v>9.1999999999999993</v>
      </c>
      <c r="G278">
        <v>3.3</v>
      </c>
      <c r="H278" t="s">
        <v>14</v>
      </c>
      <c r="I278" s="56">
        <v>103.132403123548</v>
      </c>
      <c r="J278" t="s">
        <v>12</v>
      </c>
      <c r="K278">
        <v>562</v>
      </c>
      <c r="O278">
        <v>4</v>
      </c>
    </row>
    <row r="279" spans="1:15">
      <c r="A279">
        <v>563</v>
      </c>
      <c r="B279" t="s">
        <v>13</v>
      </c>
      <c r="C279" s="56">
        <v>27.6463104958946</v>
      </c>
      <c r="D279" s="56">
        <v>-18.975480802506102</v>
      </c>
      <c r="E279" s="54">
        <v>3.5014087480217002</v>
      </c>
      <c r="F279">
        <v>3.8</v>
      </c>
      <c r="G279">
        <v>1.4</v>
      </c>
      <c r="H279" t="s">
        <v>14</v>
      </c>
      <c r="I279" s="56">
        <v>9.6288740570596705</v>
      </c>
      <c r="J279" t="s">
        <v>204</v>
      </c>
      <c r="K279">
        <v>562</v>
      </c>
    </row>
    <row r="280" spans="1:15">
      <c r="A280">
        <v>564</v>
      </c>
      <c r="B280" t="s">
        <v>13</v>
      </c>
      <c r="C280" s="56">
        <v>27.711031855444499</v>
      </c>
      <c r="D280" s="56">
        <v>-18.928457982322701</v>
      </c>
      <c r="E280" s="54">
        <v>0.84</v>
      </c>
      <c r="F280">
        <v>2.2000000000000002</v>
      </c>
      <c r="G280">
        <v>0.6</v>
      </c>
      <c r="H280" t="s">
        <v>14</v>
      </c>
      <c r="I280" s="56">
        <v>0.55417694409323903</v>
      </c>
      <c r="J280" t="s">
        <v>204</v>
      </c>
      <c r="K280">
        <v>562</v>
      </c>
    </row>
    <row r="281" spans="1:15">
      <c r="A281">
        <v>565</v>
      </c>
      <c r="B281" t="s">
        <v>13</v>
      </c>
      <c r="C281" s="56">
        <v>28.085472499046801</v>
      </c>
      <c r="D281" s="56">
        <v>-18.593028245562198</v>
      </c>
      <c r="E281" s="54">
        <v>0.9</v>
      </c>
      <c r="F281">
        <v>1.8</v>
      </c>
      <c r="G281">
        <v>0.5</v>
      </c>
      <c r="H281" t="s">
        <v>14</v>
      </c>
      <c r="I281" s="56">
        <v>0.63617251235193295</v>
      </c>
      <c r="J281" t="s">
        <v>204</v>
      </c>
      <c r="K281">
        <v>562</v>
      </c>
    </row>
    <row r="282" spans="1:15">
      <c r="A282">
        <v>573</v>
      </c>
      <c r="B282" t="s">
        <v>13</v>
      </c>
      <c r="C282" s="56">
        <v>16.298395004410601</v>
      </c>
      <c r="D282" s="56">
        <v>-11.763555350964401</v>
      </c>
      <c r="E282" s="54">
        <v>4.0743665431525198</v>
      </c>
      <c r="F282">
        <v>2.9</v>
      </c>
      <c r="G282">
        <v>1.8</v>
      </c>
      <c r="H282" t="s">
        <v>14</v>
      </c>
      <c r="I282" s="56">
        <v>13.0379729380881</v>
      </c>
      <c r="J282" t="s">
        <v>204</v>
      </c>
      <c r="K282">
        <v>574</v>
      </c>
    </row>
    <row r="283" spans="1:15">
      <c r="A283">
        <v>574</v>
      </c>
      <c r="B283" t="s">
        <v>13</v>
      </c>
      <c r="C283" s="56">
        <v>16.067810813302</v>
      </c>
      <c r="D283" s="56">
        <v>-11.937817404696499</v>
      </c>
      <c r="E283" s="54">
        <v>14.2284519124154</v>
      </c>
      <c r="F283">
        <v>10.199999999999999</v>
      </c>
      <c r="G283">
        <v>2.8</v>
      </c>
      <c r="H283" t="s">
        <v>14</v>
      </c>
      <c r="I283" s="56">
        <v>159.002950121243</v>
      </c>
      <c r="J283" t="s">
        <v>12</v>
      </c>
      <c r="K283">
        <v>574</v>
      </c>
      <c r="O283">
        <v>0</v>
      </c>
    </row>
    <row r="284" spans="1:15">
      <c r="A284">
        <v>575</v>
      </c>
      <c r="B284" t="s">
        <v>13</v>
      </c>
      <c r="C284" s="56">
        <v>16.117883851958702</v>
      </c>
      <c r="D284" s="56">
        <v>-12.281271204847499</v>
      </c>
      <c r="E284" s="54">
        <v>11.204507993669401</v>
      </c>
      <c r="F284">
        <v>7.3</v>
      </c>
      <c r="G284">
        <v>4.3</v>
      </c>
      <c r="H284" t="s">
        <v>14</v>
      </c>
      <c r="I284" s="56">
        <v>98.599670344290999</v>
      </c>
      <c r="J284" t="s">
        <v>204</v>
      </c>
      <c r="K284">
        <v>574</v>
      </c>
    </row>
    <row r="285" spans="1:15">
      <c r="A285">
        <v>581</v>
      </c>
      <c r="B285" t="s">
        <v>13</v>
      </c>
      <c r="C285" s="56">
        <v>7.8356849124416197</v>
      </c>
      <c r="D285" s="56">
        <v>-16.883817396832601</v>
      </c>
      <c r="E285" s="54">
        <v>7.0983104618985298</v>
      </c>
      <c r="F285">
        <v>6.3</v>
      </c>
      <c r="G285">
        <v>1.5</v>
      </c>
      <c r="H285" t="s">
        <v>14</v>
      </c>
      <c r="I285" s="56">
        <v>39.573080825084297</v>
      </c>
      <c r="J285" t="s">
        <v>207</v>
      </c>
      <c r="K285">
        <v>581</v>
      </c>
      <c r="O285">
        <v>0</v>
      </c>
    </row>
    <row r="286" spans="1:15">
      <c r="A286">
        <v>608</v>
      </c>
      <c r="B286" t="s">
        <v>13</v>
      </c>
      <c r="C286" s="56">
        <v>9.0173586714432492</v>
      </c>
      <c r="D286" s="56">
        <v>-23.071405532326899</v>
      </c>
      <c r="E286" s="54">
        <v>16.456621115701999</v>
      </c>
      <c r="F286">
        <v>6.6</v>
      </c>
      <c r="G286">
        <v>5</v>
      </c>
      <c r="H286" t="s">
        <v>14</v>
      </c>
      <c r="I286" s="56">
        <v>212.70182792044801</v>
      </c>
      <c r="J286" t="s">
        <v>12</v>
      </c>
      <c r="K286">
        <v>608</v>
      </c>
      <c r="O286">
        <v>0</v>
      </c>
    </row>
    <row r="287" spans="1:15">
      <c r="A287">
        <v>609</v>
      </c>
      <c r="B287" t="s">
        <v>13</v>
      </c>
      <c r="C287" s="56">
        <v>9.3092863288182706</v>
      </c>
      <c r="D287" s="56">
        <v>-23.1479765761914</v>
      </c>
      <c r="E287" s="54">
        <v>1.27</v>
      </c>
      <c r="F287">
        <v>2.2999999999999998</v>
      </c>
      <c r="G287">
        <v>1.7</v>
      </c>
      <c r="H287" t="s">
        <v>14</v>
      </c>
      <c r="I287" s="56">
        <v>1.26676869774374</v>
      </c>
      <c r="J287" t="s">
        <v>204</v>
      </c>
      <c r="K287">
        <v>608</v>
      </c>
    </row>
    <row r="288" spans="1:15">
      <c r="A288">
        <v>610</v>
      </c>
      <c r="B288" t="s">
        <v>13</v>
      </c>
      <c r="C288" s="56">
        <v>9.2331769958039391</v>
      </c>
      <c r="D288" s="56">
        <v>-22.944436741865498</v>
      </c>
      <c r="E288" s="54">
        <v>3.69239467973197</v>
      </c>
      <c r="F288">
        <v>4.7</v>
      </c>
      <c r="G288">
        <v>1.6</v>
      </c>
      <c r="H288" t="s">
        <v>14</v>
      </c>
      <c r="I288" s="56">
        <v>10.707944571222701</v>
      </c>
      <c r="J288" t="s">
        <v>204</v>
      </c>
      <c r="K288">
        <v>608</v>
      </c>
    </row>
    <row r="289" spans="1:15">
      <c r="A289">
        <v>611</v>
      </c>
      <c r="B289" t="s">
        <v>13</v>
      </c>
      <c r="C289" s="56">
        <v>9.3944202602946802</v>
      </c>
      <c r="D289" s="56">
        <v>-23.025684932968598</v>
      </c>
      <c r="E289" s="54">
        <v>4.0743665431525198</v>
      </c>
      <c r="F289">
        <v>4.8</v>
      </c>
      <c r="G289">
        <v>1.5</v>
      </c>
      <c r="H289" t="s">
        <v>14</v>
      </c>
      <c r="I289" s="56">
        <v>13.0379729380881</v>
      </c>
      <c r="J289" t="s">
        <v>204</v>
      </c>
      <c r="K289">
        <v>608</v>
      </c>
    </row>
    <row r="290" spans="1:15">
      <c r="A290">
        <v>641</v>
      </c>
      <c r="B290" t="s">
        <v>13</v>
      </c>
      <c r="C290" s="56">
        <v>24.934351111620799</v>
      </c>
      <c r="D290" s="56">
        <v>-25.7458507933693</v>
      </c>
      <c r="E290" s="54">
        <v>5.1566201561774099</v>
      </c>
      <c r="F290">
        <v>6.4</v>
      </c>
      <c r="G290">
        <v>2</v>
      </c>
      <c r="H290" t="s">
        <v>14</v>
      </c>
      <c r="I290" s="56">
        <v>20.8843116325185</v>
      </c>
      <c r="J290" t="s">
        <v>204</v>
      </c>
      <c r="K290">
        <v>646</v>
      </c>
    </row>
    <row r="291" spans="1:15">
      <c r="A291">
        <v>642</v>
      </c>
      <c r="B291" t="s">
        <v>13</v>
      </c>
      <c r="C291" s="56">
        <v>24.6256192832914</v>
      </c>
      <c r="D291" s="56">
        <v>-25.803803228217799</v>
      </c>
      <c r="E291" s="54">
        <v>2.09</v>
      </c>
      <c r="F291">
        <v>3.9</v>
      </c>
      <c r="G291">
        <v>1.8</v>
      </c>
      <c r="H291" t="s">
        <v>14</v>
      </c>
      <c r="I291" s="56">
        <v>3.4306977175363902</v>
      </c>
      <c r="J291" t="s">
        <v>204</v>
      </c>
      <c r="K291">
        <v>646</v>
      </c>
    </row>
    <row r="292" spans="1:15">
      <c r="A292">
        <v>643</v>
      </c>
      <c r="B292" t="s">
        <v>13</v>
      </c>
      <c r="C292" s="56">
        <v>24.491891167551501</v>
      </c>
      <c r="D292" s="56">
        <v>-26.0745976895514</v>
      </c>
      <c r="E292" s="54">
        <v>6.3980287122941899</v>
      </c>
      <c r="F292">
        <v>6.4</v>
      </c>
      <c r="G292">
        <v>3.6</v>
      </c>
      <c r="H292" t="s">
        <v>14</v>
      </c>
      <c r="I292" s="56">
        <v>32.150094279278299</v>
      </c>
      <c r="J292" t="s">
        <v>204</v>
      </c>
      <c r="K292">
        <v>646</v>
      </c>
    </row>
    <row r="293" spans="1:15">
      <c r="A293">
        <v>644</v>
      </c>
      <c r="B293" t="s">
        <v>13</v>
      </c>
      <c r="C293" s="56">
        <v>24.426142049030702</v>
      </c>
      <c r="D293" s="56">
        <v>-26.190396396226699</v>
      </c>
      <c r="E293" s="54">
        <v>10.281409323736399</v>
      </c>
      <c r="F293">
        <v>7.9</v>
      </c>
      <c r="G293">
        <v>2.7</v>
      </c>
      <c r="H293" t="s">
        <v>14</v>
      </c>
      <c r="I293" s="56">
        <v>83.022380289171707</v>
      </c>
      <c r="J293" t="s">
        <v>12</v>
      </c>
      <c r="K293">
        <v>646</v>
      </c>
    </row>
    <row r="294" spans="1:15">
      <c r="A294">
        <v>645</v>
      </c>
      <c r="B294" t="s">
        <v>13</v>
      </c>
      <c r="C294" s="56">
        <v>24.416937663290799</v>
      </c>
      <c r="D294" s="56">
        <v>-26.422578527695801</v>
      </c>
      <c r="E294" s="54">
        <v>2.94</v>
      </c>
      <c r="F294">
        <v>5.4</v>
      </c>
      <c r="G294">
        <v>2.1</v>
      </c>
      <c r="H294" t="s">
        <v>14</v>
      </c>
      <c r="I294" s="56">
        <v>6.7886675651421804</v>
      </c>
      <c r="J294" t="s">
        <v>204</v>
      </c>
      <c r="K294">
        <v>646</v>
      </c>
    </row>
    <row r="295" spans="1:15">
      <c r="A295">
        <v>646</v>
      </c>
      <c r="B295" t="s">
        <v>13</v>
      </c>
      <c r="C295" s="56">
        <v>24.6311253275178</v>
      </c>
      <c r="D295" s="56">
        <v>-26.197998447174601</v>
      </c>
      <c r="E295" s="54">
        <v>16.615776058793902</v>
      </c>
      <c r="F295">
        <v>11.9</v>
      </c>
      <c r="G295">
        <v>4.0999999999999996</v>
      </c>
      <c r="H295" t="s">
        <v>14</v>
      </c>
      <c r="I295" s="56">
        <v>216.83587756726001</v>
      </c>
      <c r="J295" t="s">
        <v>12</v>
      </c>
      <c r="K295">
        <v>646</v>
      </c>
      <c r="O295">
        <v>0</v>
      </c>
    </row>
    <row r="296" spans="1:15">
      <c r="A296">
        <v>647</v>
      </c>
      <c r="B296" t="s">
        <v>13</v>
      </c>
      <c r="C296" s="56">
        <v>24.9783391895077</v>
      </c>
      <c r="D296" s="56">
        <v>-25.9423331027775</v>
      </c>
      <c r="E296" s="54">
        <v>9.5492965855137193</v>
      </c>
      <c r="F296">
        <v>7.9</v>
      </c>
      <c r="G296">
        <v>3.3</v>
      </c>
      <c r="H296" t="s">
        <v>14</v>
      </c>
      <c r="I296" s="56">
        <v>71.619724391352904</v>
      </c>
      <c r="J296" t="s">
        <v>12</v>
      </c>
      <c r="K296">
        <v>646</v>
      </c>
    </row>
    <row r="297" spans="1:15">
      <c r="A297">
        <v>648</v>
      </c>
      <c r="B297" t="s">
        <v>13</v>
      </c>
      <c r="C297" s="56">
        <v>24.9311249926279</v>
      </c>
      <c r="D297" s="56">
        <v>-26.2150547994075</v>
      </c>
      <c r="E297" s="54">
        <v>3.13</v>
      </c>
      <c r="F297">
        <v>4.8</v>
      </c>
      <c r="G297">
        <v>1.7</v>
      </c>
      <c r="H297" t="s">
        <v>14</v>
      </c>
      <c r="I297" s="56">
        <v>7.6944672669884602</v>
      </c>
      <c r="J297" t="s">
        <v>204</v>
      </c>
      <c r="K297">
        <v>646</v>
      </c>
    </row>
    <row r="298" spans="1:15">
      <c r="A298">
        <v>676</v>
      </c>
      <c r="B298" t="s">
        <v>13</v>
      </c>
      <c r="C298" s="56">
        <v>42.086746232082199</v>
      </c>
      <c r="D298" s="56">
        <v>-25.3057106518587</v>
      </c>
      <c r="E298" s="54">
        <v>5.0292962017038896</v>
      </c>
      <c r="F298">
        <v>5.8</v>
      </c>
      <c r="G298">
        <v>2.5</v>
      </c>
      <c r="H298" t="s">
        <v>14</v>
      </c>
      <c r="I298" s="56">
        <v>19.865719996730402</v>
      </c>
      <c r="J298" t="s">
        <v>204</v>
      </c>
      <c r="K298">
        <v>678</v>
      </c>
    </row>
    <row r="299" spans="1:15">
      <c r="A299">
        <v>677</v>
      </c>
      <c r="B299" t="s">
        <v>13</v>
      </c>
      <c r="C299" s="56">
        <v>42.268491342012098</v>
      </c>
      <c r="D299" s="56">
        <v>-25.4879613875258</v>
      </c>
      <c r="E299" s="54">
        <v>7.0346484846617701</v>
      </c>
      <c r="F299">
        <v>5.2</v>
      </c>
      <c r="G299">
        <v>2.2000000000000002</v>
      </c>
      <c r="H299" t="s">
        <v>14</v>
      </c>
      <c r="I299" s="56">
        <v>38.866432877756303</v>
      </c>
      <c r="J299" t="s">
        <v>204</v>
      </c>
      <c r="K299">
        <v>678</v>
      </c>
    </row>
    <row r="300" spans="1:15">
      <c r="A300">
        <v>678</v>
      </c>
      <c r="B300" t="s">
        <v>13</v>
      </c>
      <c r="C300" s="54">
        <v>42.374703444130603</v>
      </c>
      <c r="D300" s="54">
        <v>-25.665581582664061</v>
      </c>
      <c r="E300" s="54">
        <v>13.209860276627314</v>
      </c>
      <c r="F300" s="2">
        <v>4.3</v>
      </c>
      <c r="G300" s="2"/>
      <c r="H300" t="s">
        <v>12</v>
      </c>
      <c r="I300" s="57">
        <f>PI()*(E300/2)^2</f>
        <v>137.0523003700084</v>
      </c>
      <c r="J300" t="s">
        <v>12</v>
      </c>
      <c r="K300">
        <v>678</v>
      </c>
      <c r="O300">
        <v>4</v>
      </c>
    </row>
    <row r="301" spans="1:15">
      <c r="A301">
        <v>679</v>
      </c>
      <c r="B301" t="s">
        <v>13</v>
      </c>
      <c r="C301" s="56">
        <v>42.600771010641097</v>
      </c>
      <c r="D301" s="56">
        <v>-25.452840538415501</v>
      </c>
      <c r="E301" s="54">
        <v>2.2599999999999998</v>
      </c>
      <c r="F301">
        <v>1.5</v>
      </c>
      <c r="G301">
        <v>1.4</v>
      </c>
      <c r="H301" t="s">
        <v>14</v>
      </c>
      <c r="I301" s="56">
        <v>4.0114996593688099</v>
      </c>
      <c r="J301" t="s">
        <v>204</v>
      </c>
      <c r="K301">
        <v>678</v>
      </c>
    </row>
    <row r="302" spans="1:15">
      <c r="A302">
        <v>680</v>
      </c>
      <c r="B302" t="s">
        <v>13</v>
      </c>
      <c r="C302" s="56">
        <v>42.781270294175002</v>
      </c>
      <c r="D302" s="56">
        <v>-25.663879383182501</v>
      </c>
      <c r="E302" s="54">
        <v>1.54</v>
      </c>
      <c r="F302">
        <v>2.8</v>
      </c>
      <c r="G302">
        <v>1.1000000000000001</v>
      </c>
      <c r="H302" t="s">
        <v>14</v>
      </c>
      <c r="I302" s="56">
        <v>1.8626502843133901</v>
      </c>
      <c r="J302" t="s">
        <v>204</v>
      </c>
      <c r="K302">
        <v>678</v>
      </c>
    </row>
    <row r="303" spans="1:15">
      <c r="A303">
        <v>681</v>
      </c>
      <c r="B303" t="s">
        <v>13</v>
      </c>
      <c r="C303" s="56">
        <v>42.713143904854199</v>
      </c>
      <c r="D303" s="56">
        <v>-25.7669378403506</v>
      </c>
      <c r="E303" s="54">
        <v>6.1752117919655403</v>
      </c>
      <c r="F303">
        <v>5.0999999999999996</v>
      </c>
      <c r="G303">
        <v>1.9</v>
      </c>
      <c r="H303" t="s">
        <v>14</v>
      </c>
      <c r="I303" s="56">
        <v>29.949777191032901</v>
      </c>
      <c r="J303" t="s">
        <v>204</v>
      </c>
      <c r="K303">
        <v>678</v>
      </c>
    </row>
    <row r="304" spans="1:15">
      <c r="A304">
        <v>682</v>
      </c>
      <c r="B304" t="s">
        <v>13</v>
      </c>
      <c r="C304" s="56">
        <v>42.673689076497801</v>
      </c>
      <c r="D304" s="56">
        <v>-25.829245679524998</v>
      </c>
      <c r="E304" s="54">
        <v>1.38</v>
      </c>
      <c r="F304">
        <v>1.8</v>
      </c>
      <c r="G304">
        <v>1.2</v>
      </c>
      <c r="H304" t="s">
        <v>14</v>
      </c>
      <c r="I304" s="56">
        <v>1.4957122623740999</v>
      </c>
      <c r="J304" t="s">
        <v>204</v>
      </c>
      <c r="K304">
        <v>678</v>
      </c>
    </row>
    <row r="305" spans="1:15">
      <c r="A305">
        <v>684</v>
      </c>
      <c r="B305" t="s">
        <v>13</v>
      </c>
      <c r="C305" s="56">
        <v>42.331454315224597</v>
      </c>
      <c r="D305" s="56">
        <v>-26.014452133946101</v>
      </c>
      <c r="E305" s="54">
        <v>1.4</v>
      </c>
      <c r="F305">
        <v>1.7</v>
      </c>
      <c r="G305">
        <v>1.3</v>
      </c>
      <c r="H305" t="s">
        <v>14</v>
      </c>
      <c r="I305" s="56">
        <v>1.5393804002589999</v>
      </c>
      <c r="J305" t="s">
        <v>204</v>
      </c>
      <c r="K305">
        <v>678</v>
      </c>
    </row>
    <row r="306" spans="1:15">
      <c r="A306">
        <v>685</v>
      </c>
      <c r="B306" t="s">
        <v>13</v>
      </c>
      <c r="C306" s="56">
        <v>42.3070795856895</v>
      </c>
      <c r="D306" s="56">
        <v>-26.109287362000899</v>
      </c>
      <c r="E306" s="54">
        <v>3.41</v>
      </c>
      <c r="F306">
        <v>1.7</v>
      </c>
      <c r="G306">
        <v>0.5</v>
      </c>
      <c r="H306" t="s">
        <v>14</v>
      </c>
      <c r="I306" s="56">
        <v>9.1326883838018702</v>
      </c>
      <c r="J306" t="s">
        <v>204</v>
      </c>
      <c r="K306">
        <v>678</v>
      </c>
    </row>
    <row r="307" spans="1:15">
      <c r="A307">
        <v>686</v>
      </c>
      <c r="B307" t="s">
        <v>13</v>
      </c>
      <c r="C307" s="56">
        <v>42.242981371580001</v>
      </c>
      <c r="D307" s="56">
        <v>-25.944872339684402</v>
      </c>
      <c r="E307" s="54">
        <v>7.3529583708455704</v>
      </c>
      <c r="F307">
        <v>5.9</v>
      </c>
      <c r="G307">
        <v>1.6</v>
      </c>
      <c r="H307" t="s">
        <v>14</v>
      </c>
      <c r="I307" s="56">
        <v>42.4633345916331</v>
      </c>
      <c r="J307" t="s">
        <v>204</v>
      </c>
      <c r="K307">
        <v>678</v>
      </c>
    </row>
    <row r="308" spans="1:15">
      <c r="A308" s="53">
        <v>687</v>
      </c>
      <c r="B308" t="s">
        <v>13</v>
      </c>
      <c r="C308" s="54">
        <v>42.241277722406934</v>
      </c>
      <c r="D308" s="54">
        <v>-25.786425470262586</v>
      </c>
      <c r="E308" s="54">
        <v>6.1752117919655385</v>
      </c>
      <c r="F308" s="2">
        <v>2.8</v>
      </c>
      <c r="G308" s="2"/>
      <c r="H308" t="s">
        <v>12</v>
      </c>
      <c r="I308" s="57">
        <f>PI()*(E308/2)^2</f>
        <v>29.949777191032862</v>
      </c>
      <c r="J308" t="s">
        <v>204</v>
      </c>
      <c r="K308">
        <v>678</v>
      </c>
    </row>
    <row r="309" spans="1:15">
      <c r="A309">
        <v>688</v>
      </c>
      <c r="B309" t="s">
        <v>13</v>
      </c>
      <c r="C309" s="56">
        <v>42.059526159725102</v>
      </c>
      <c r="D309" s="56">
        <v>-25.726284030932</v>
      </c>
      <c r="E309" s="54">
        <v>6.4616906895309496</v>
      </c>
      <c r="F309">
        <v>5.0999999999999996</v>
      </c>
      <c r="G309">
        <v>1.8</v>
      </c>
      <c r="H309" t="s">
        <v>14</v>
      </c>
      <c r="I309" s="56">
        <v>32.793080249369602</v>
      </c>
      <c r="J309" t="s">
        <v>204</v>
      </c>
      <c r="K309">
        <v>678</v>
      </c>
    </row>
    <row r="310" spans="1:15">
      <c r="A310">
        <v>689</v>
      </c>
      <c r="B310" t="s">
        <v>13</v>
      </c>
      <c r="C310" s="56">
        <v>41.913207673811598</v>
      </c>
      <c r="D310" s="56">
        <v>-25.707852741674198</v>
      </c>
      <c r="E310" s="54">
        <v>3.9470425886789999</v>
      </c>
      <c r="H310" t="s">
        <v>14</v>
      </c>
      <c r="I310" s="56">
        <v>12.2358320249049</v>
      </c>
      <c r="J310" t="s">
        <v>204</v>
      </c>
      <c r="K310">
        <v>678</v>
      </c>
    </row>
    <row r="311" spans="1:15">
      <c r="A311">
        <v>690</v>
      </c>
      <c r="B311" t="s">
        <v>13</v>
      </c>
      <c r="C311" s="56">
        <v>41.859970636357197</v>
      </c>
      <c r="D311" s="56">
        <v>-25.656915812061001</v>
      </c>
      <c r="E311" s="54">
        <v>3.02394391874601</v>
      </c>
      <c r="F311">
        <v>5</v>
      </c>
      <c r="G311">
        <v>0.2</v>
      </c>
      <c r="H311" t="s">
        <v>14</v>
      </c>
      <c r="I311" s="56">
        <v>7.1818668070217804</v>
      </c>
      <c r="J311" t="s">
        <v>204</v>
      </c>
      <c r="K311">
        <v>678</v>
      </c>
    </row>
    <row r="312" spans="1:15">
      <c r="A312">
        <v>691</v>
      </c>
      <c r="B312" t="s">
        <v>13</v>
      </c>
      <c r="C312" s="56">
        <v>41.972325866754097</v>
      </c>
      <c r="D312" s="56">
        <v>-25.582787237594601</v>
      </c>
      <c r="E312" s="54">
        <v>6.1752117919655403</v>
      </c>
      <c r="F312">
        <v>5</v>
      </c>
      <c r="G312">
        <v>3.4</v>
      </c>
      <c r="H312" t="s">
        <v>14</v>
      </c>
      <c r="I312" s="56">
        <v>29.949777191032901</v>
      </c>
      <c r="J312" t="s">
        <v>204</v>
      </c>
      <c r="K312">
        <v>678</v>
      </c>
    </row>
    <row r="313" spans="1:15">
      <c r="A313">
        <v>692</v>
      </c>
      <c r="B313" t="s">
        <v>13</v>
      </c>
      <c r="C313" s="56">
        <v>42.046818434004301</v>
      </c>
      <c r="D313" s="56">
        <v>-25.5409173986023</v>
      </c>
      <c r="E313" s="54">
        <v>3.4377467707849401</v>
      </c>
      <c r="F313">
        <v>3</v>
      </c>
      <c r="G313">
        <v>2.2999999999999998</v>
      </c>
      <c r="H313" t="s">
        <v>14</v>
      </c>
      <c r="I313" s="56">
        <v>9.2819162811193401</v>
      </c>
      <c r="J313" t="s">
        <v>204</v>
      </c>
      <c r="K313">
        <v>678</v>
      </c>
    </row>
    <row r="314" spans="1:15">
      <c r="A314">
        <v>696</v>
      </c>
      <c r="B314" t="s">
        <v>13</v>
      </c>
      <c r="C314" s="56">
        <v>48.043097408521298</v>
      </c>
      <c r="D314" s="56">
        <v>-23.901055742566498</v>
      </c>
      <c r="E314" s="54">
        <v>16.233804195373299</v>
      </c>
      <c r="F314">
        <v>9.5</v>
      </c>
      <c r="G314">
        <v>4.2</v>
      </c>
      <c r="H314" t="s">
        <v>14</v>
      </c>
      <c r="I314" s="56">
        <v>206.98100349101</v>
      </c>
      <c r="J314" t="s">
        <v>12</v>
      </c>
      <c r="K314">
        <v>696</v>
      </c>
      <c r="O314">
        <v>1</v>
      </c>
    </row>
    <row r="315" spans="1:15">
      <c r="A315">
        <v>697</v>
      </c>
      <c r="B315" t="s">
        <v>13</v>
      </c>
      <c r="C315" s="56">
        <v>47.825175149350301</v>
      </c>
      <c r="D315" s="56">
        <v>-23.723873104039001</v>
      </c>
      <c r="E315" s="54">
        <v>22.6636638962859</v>
      </c>
      <c r="F315">
        <v>5.5</v>
      </c>
      <c r="G315">
        <v>1.9</v>
      </c>
      <c r="H315" t="s">
        <v>14</v>
      </c>
      <c r="I315" s="56">
        <v>403.41321735388902</v>
      </c>
      <c r="J315" t="s">
        <v>204</v>
      </c>
      <c r="K315">
        <v>696</v>
      </c>
    </row>
    <row r="316" spans="1:15">
      <c r="A316">
        <v>698</v>
      </c>
      <c r="B316" t="s">
        <v>13</v>
      </c>
      <c r="C316" s="54">
        <v>48.053490775127813</v>
      </c>
      <c r="D316" s="54">
        <v>-23.804467220567812</v>
      </c>
      <c r="E316" s="54">
        <v>11.681972822945118</v>
      </c>
      <c r="F316" s="2">
        <v>6.4</v>
      </c>
      <c r="G316" s="2"/>
      <c r="H316" t="s">
        <v>12</v>
      </c>
      <c r="I316" s="57">
        <f>PI()*(E316/2)^2</f>
        <v>107.18210065052146</v>
      </c>
      <c r="J316" t="s">
        <v>204</v>
      </c>
      <c r="K316">
        <v>696</v>
      </c>
    </row>
    <row r="317" spans="1:15">
      <c r="A317">
        <v>699</v>
      </c>
      <c r="B317" t="s">
        <v>13</v>
      </c>
      <c r="C317" s="56">
        <v>48.147670373959997</v>
      </c>
      <c r="D317" s="56">
        <v>-23.593335497569502</v>
      </c>
      <c r="E317" s="54">
        <v>6.2070427805839197</v>
      </c>
      <c r="F317">
        <v>6.2</v>
      </c>
      <c r="G317">
        <v>2.5</v>
      </c>
      <c r="H317" t="s">
        <v>14</v>
      </c>
      <c r="I317" s="56">
        <v>30.259333555346601</v>
      </c>
      <c r="J317" t="s">
        <v>204</v>
      </c>
      <c r="K317">
        <v>696</v>
      </c>
    </row>
    <row r="318" spans="1:15">
      <c r="A318">
        <v>700</v>
      </c>
      <c r="B318" t="s">
        <v>13</v>
      </c>
      <c r="C318" s="56">
        <v>48.268851088723402</v>
      </c>
      <c r="D318" s="56">
        <v>-23.650476667238099</v>
      </c>
      <c r="E318" s="54">
        <v>0.79</v>
      </c>
      <c r="F318">
        <v>2.4</v>
      </c>
      <c r="G318">
        <v>1.3</v>
      </c>
      <c r="H318" t="s">
        <v>14</v>
      </c>
      <c r="I318" s="56">
        <v>0.49016699377634798</v>
      </c>
      <c r="J318" t="s">
        <v>204</v>
      </c>
      <c r="K318">
        <v>696</v>
      </c>
    </row>
    <row r="319" spans="1:15">
      <c r="A319">
        <v>701</v>
      </c>
      <c r="B319" t="s">
        <v>13</v>
      </c>
      <c r="C319" s="56">
        <v>50.215139710240798</v>
      </c>
      <c r="D319" s="56">
        <v>-27.437723206428402</v>
      </c>
      <c r="E319" s="54">
        <v>3.61</v>
      </c>
      <c r="F319">
        <v>5.2</v>
      </c>
      <c r="G319">
        <v>1.8</v>
      </c>
      <c r="H319" t="s">
        <v>14</v>
      </c>
      <c r="I319" s="56">
        <v>10.235387405211901</v>
      </c>
      <c r="J319" t="s">
        <v>204</v>
      </c>
      <c r="K319">
        <v>702</v>
      </c>
    </row>
    <row r="320" spans="1:15">
      <c r="A320">
        <v>702</v>
      </c>
      <c r="B320" t="s">
        <v>13</v>
      </c>
      <c r="C320" s="56">
        <v>50.122764376874997</v>
      </c>
      <c r="D320" s="56">
        <v>-27.6841365053447</v>
      </c>
      <c r="E320" s="54">
        <v>9.4538036196585793</v>
      </c>
      <c r="F320">
        <v>11</v>
      </c>
      <c r="G320">
        <v>4.0999999999999996</v>
      </c>
      <c r="H320" t="s">
        <v>14</v>
      </c>
      <c r="I320" s="56">
        <v>70.194491875964999</v>
      </c>
      <c r="J320" t="s">
        <v>12</v>
      </c>
      <c r="K320">
        <v>702</v>
      </c>
      <c r="O320">
        <v>1</v>
      </c>
    </row>
    <row r="321" spans="1:15">
      <c r="A321">
        <v>703</v>
      </c>
      <c r="B321" t="s">
        <v>13</v>
      </c>
      <c r="C321" s="56">
        <v>50.277366863519198</v>
      </c>
      <c r="D321" s="56">
        <v>-27.7837518641239</v>
      </c>
      <c r="E321" s="54">
        <v>5.79323992854499</v>
      </c>
      <c r="F321">
        <v>6.6</v>
      </c>
      <c r="G321">
        <v>3.4</v>
      </c>
      <c r="H321" t="s">
        <v>14</v>
      </c>
      <c r="I321" s="56">
        <v>26.359241674879701</v>
      </c>
      <c r="J321" t="s">
        <v>204</v>
      </c>
      <c r="K321">
        <v>702</v>
      </c>
    </row>
    <row r="322" spans="1:15">
      <c r="A322">
        <v>704</v>
      </c>
      <c r="B322" t="s">
        <v>13</v>
      </c>
      <c r="C322" s="56">
        <v>50.189114493623599</v>
      </c>
      <c r="D322" s="56">
        <v>-27.7903309277179</v>
      </c>
      <c r="E322" s="54">
        <v>8.8490148359093794</v>
      </c>
      <c r="F322">
        <v>6.9</v>
      </c>
      <c r="G322">
        <v>2.2999999999999998</v>
      </c>
      <c r="H322" t="s">
        <v>14</v>
      </c>
      <c r="I322" s="56">
        <v>61.500653109570202</v>
      </c>
      <c r="J322" t="s">
        <v>12</v>
      </c>
      <c r="K322">
        <v>702</v>
      </c>
    </row>
    <row r="323" spans="1:15">
      <c r="A323">
        <v>706</v>
      </c>
      <c r="B323" t="s">
        <v>13</v>
      </c>
      <c r="C323" s="56">
        <v>49.938192270330802</v>
      </c>
      <c r="D323" s="56">
        <v>-27.773576332121699</v>
      </c>
      <c r="E323" s="54">
        <v>4.6473243382833402</v>
      </c>
      <c r="F323">
        <v>5.2</v>
      </c>
      <c r="G323">
        <v>1.6</v>
      </c>
      <c r="H323" t="s">
        <v>14</v>
      </c>
      <c r="I323" s="56">
        <v>16.962733834734198</v>
      </c>
      <c r="J323" t="s">
        <v>204</v>
      </c>
      <c r="K323">
        <v>702</v>
      </c>
    </row>
    <row r="324" spans="1:15">
      <c r="A324">
        <v>828</v>
      </c>
      <c r="B324" t="s">
        <v>13</v>
      </c>
      <c r="C324" s="56">
        <v>45.382901456243502</v>
      </c>
      <c r="D324" s="56">
        <v>-40.852567834469298</v>
      </c>
      <c r="E324" s="54">
        <v>2.14</v>
      </c>
      <c r="F324">
        <v>3.6</v>
      </c>
      <c r="G324">
        <v>1.5</v>
      </c>
      <c r="H324" t="s">
        <v>14</v>
      </c>
      <c r="I324" s="56">
        <v>3.5968094290949502</v>
      </c>
      <c r="J324" t="s">
        <v>207</v>
      </c>
      <c r="K324">
        <v>828</v>
      </c>
      <c r="O324">
        <v>0</v>
      </c>
    </row>
    <row r="325" spans="1:15">
      <c r="A325">
        <v>1000</v>
      </c>
      <c r="B325" t="s">
        <v>13</v>
      </c>
      <c r="C325" s="56">
        <v>31.896743692831699</v>
      </c>
      <c r="D325" s="56">
        <v>17.5101680049242</v>
      </c>
      <c r="E325" s="54">
        <v>10.9816910733408</v>
      </c>
      <c r="F325">
        <v>7.6</v>
      </c>
      <c r="G325">
        <v>3.4</v>
      </c>
      <c r="H325" t="s">
        <v>14</v>
      </c>
      <c r="I325" s="56">
        <v>94.717085507564207</v>
      </c>
      <c r="J325" t="s">
        <v>204</v>
      </c>
      <c r="K325">
        <v>224</v>
      </c>
    </row>
    <row r="326" spans="1:15">
      <c r="A326">
        <v>1001</v>
      </c>
      <c r="B326" t="s">
        <v>13</v>
      </c>
      <c r="C326" s="56">
        <v>31.896743692831699</v>
      </c>
      <c r="D326" s="56">
        <v>17.5101680049242</v>
      </c>
      <c r="E326" s="54">
        <v>5.69774696268985</v>
      </c>
      <c r="F326">
        <v>6</v>
      </c>
      <c r="G326">
        <v>2.1</v>
      </c>
      <c r="H326" t="s">
        <v>14</v>
      </c>
      <c r="I326" s="56">
        <v>25.497417658037101</v>
      </c>
      <c r="J326" t="s">
        <v>204</v>
      </c>
      <c r="K326">
        <v>224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42"/>
  <sheetViews>
    <sheetView workbookViewId="0">
      <selection activeCell="F2" sqref="F2"/>
    </sheetView>
  </sheetViews>
  <sheetFormatPr defaultRowHeight="13"/>
  <sheetData>
    <row r="1" spans="1:21">
      <c r="A1" s="3" t="s">
        <v>58</v>
      </c>
      <c r="B1" s="3" t="s">
        <v>59</v>
      </c>
      <c r="C1" s="5" t="s">
        <v>7</v>
      </c>
      <c r="D1" s="5" t="s">
        <v>8</v>
      </c>
      <c r="E1" s="4" t="s">
        <v>60</v>
      </c>
      <c r="F1" s="32"/>
      <c r="G1" s="6" t="s">
        <v>3</v>
      </c>
      <c r="H1" s="7" t="s">
        <v>93</v>
      </c>
      <c r="I1" s="8" t="s">
        <v>61</v>
      </c>
      <c r="J1" s="7" t="s">
        <v>67</v>
      </c>
      <c r="K1" s="8" t="s">
        <v>94</v>
      </c>
      <c r="L1" s="7" t="s">
        <v>62</v>
      </c>
      <c r="M1" s="7" t="s">
        <v>66</v>
      </c>
      <c r="N1" s="22" t="s">
        <v>145</v>
      </c>
      <c r="O1" s="22" t="s">
        <v>146</v>
      </c>
      <c r="P1" s="5" t="s">
        <v>68</v>
      </c>
      <c r="Q1" s="5" t="s">
        <v>69</v>
      </c>
      <c r="R1" s="5" t="s">
        <v>75</v>
      </c>
      <c r="S1" s="22" t="s">
        <v>76</v>
      </c>
      <c r="T1" s="22" t="s">
        <v>157</v>
      </c>
      <c r="U1" s="22" t="s">
        <v>158</v>
      </c>
    </row>
    <row r="2" spans="1:21">
      <c r="A2" s="12">
        <v>10</v>
      </c>
      <c r="B2" s="12">
        <v>30</v>
      </c>
      <c r="C2" s="24">
        <v>17.134050908049542</v>
      </c>
      <c r="D2" s="24">
        <v>31.254967768961702</v>
      </c>
      <c r="E2" s="24" t="s">
        <v>147</v>
      </c>
      <c r="F2" s="23">
        <v>581</v>
      </c>
      <c r="G2" s="23" t="s">
        <v>11</v>
      </c>
      <c r="H2" s="25"/>
      <c r="I2" s="26"/>
      <c r="J2" s="26"/>
      <c r="K2" s="26">
        <v>7</v>
      </c>
      <c r="L2" s="25"/>
      <c r="M2" s="25"/>
      <c r="N2" s="30">
        <v>1.73</v>
      </c>
      <c r="O2" s="30">
        <v>7.0000000000000007E-2</v>
      </c>
      <c r="P2" s="23" t="s">
        <v>14</v>
      </c>
      <c r="Q2" s="23"/>
      <c r="R2" s="23"/>
      <c r="S2" s="30"/>
      <c r="T2" s="32">
        <f t="shared" ref="T2:T65" si="0">IF(H2="",I2,H2/PI())</f>
        <v>0</v>
      </c>
      <c r="U2" s="32">
        <f t="shared" ref="U2:U65" si="1">IF(J2="dead","dead",J2/PI()+K2)</f>
        <v>7</v>
      </c>
    </row>
    <row r="3" spans="1:21">
      <c r="A3" s="12">
        <v>10</v>
      </c>
      <c r="B3" s="12">
        <v>20</v>
      </c>
      <c r="C3" s="11"/>
      <c r="D3" s="11"/>
      <c r="E3" s="11"/>
      <c r="F3" s="10">
        <v>103</v>
      </c>
      <c r="G3" s="12"/>
      <c r="H3" s="13"/>
      <c r="I3" s="14"/>
      <c r="J3" s="14" t="s">
        <v>70</v>
      </c>
      <c r="K3" s="14"/>
      <c r="L3" s="13"/>
      <c r="M3" s="13"/>
      <c r="P3" s="12"/>
      <c r="Q3" s="12"/>
      <c r="R3" s="12" t="s">
        <v>20</v>
      </c>
      <c r="T3">
        <f t="shared" si="0"/>
        <v>0</v>
      </c>
      <c r="U3" t="str">
        <f t="shared" si="1"/>
        <v>dead</v>
      </c>
    </row>
    <row r="4" spans="1:21">
      <c r="A4" s="12">
        <v>10</v>
      </c>
      <c r="B4" s="23">
        <v>10</v>
      </c>
      <c r="C4" s="24">
        <v>16.471613120300947</v>
      </c>
      <c r="D4" s="24">
        <v>13.888537465570909</v>
      </c>
      <c r="E4" s="24" t="s">
        <v>147</v>
      </c>
      <c r="F4" s="23">
        <v>582</v>
      </c>
      <c r="G4" s="23" t="s">
        <v>13</v>
      </c>
      <c r="H4" s="25"/>
      <c r="I4" s="26"/>
      <c r="J4" s="23"/>
      <c r="K4" s="26">
        <v>6.5</v>
      </c>
      <c r="L4" s="25"/>
      <c r="M4" s="25"/>
      <c r="N4" s="27">
        <v>1.85</v>
      </c>
      <c r="O4" s="27">
        <v>0.15</v>
      </c>
      <c r="P4" s="23" t="s">
        <v>14</v>
      </c>
      <c r="Q4" s="23"/>
      <c r="R4" s="23"/>
      <c r="S4" s="27" t="s">
        <v>148</v>
      </c>
      <c r="T4">
        <f t="shared" si="0"/>
        <v>0</v>
      </c>
      <c r="U4">
        <f t="shared" si="1"/>
        <v>6.5</v>
      </c>
    </row>
    <row r="5" spans="1:21">
      <c r="A5" s="12">
        <v>10</v>
      </c>
      <c r="B5" s="23">
        <v>10</v>
      </c>
      <c r="C5" s="24">
        <v>16.471613120300947</v>
      </c>
      <c r="D5" s="24">
        <v>13.888537465570909</v>
      </c>
      <c r="E5" s="24" t="s">
        <v>147</v>
      </c>
      <c r="F5" s="23">
        <v>583</v>
      </c>
      <c r="G5" s="23" t="s">
        <v>13</v>
      </c>
      <c r="H5" s="25"/>
      <c r="I5" s="26"/>
      <c r="J5" s="23"/>
      <c r="K5" s="26">
        <v>6.5</v>
      </c>
      <c r="L5" s="25"/>
      <c r="M5" s="25"/>
      <c r="N5" s="23">
        <v>1.62</v>
      </c>
      <c r="O5" s="23">
        <v>0.26</v>
      </c>
      <c r="P5" s="23" t="s">
        <v>14</v>
      </c>
      <c r="Q5" s="23"/>
      <c r="R5" s="30"/>
      <c r="S5" s="23"/>
      <c r="T5">
        <f t="shared" si="0"/>
        <v>0</v>
      </c>
      <c r="U5">
        <f t="shared" si="1"/>
        <v>6.5</v>
      </c>
    </row>
    <row r="6" spans="1:21">
      <c r="A6" s="12"/>
      <c r="B6" s="12"/>
      <c r="C6" s="11"/>
      <c r="D6" s="11"/>
      <c r="E6" s="11"/>
      <c r="F6" s="12"/>
      <c r="G6" s="12"/>
      <c r="H6" s="13"/>
      <c r="I6" s="14"/>
      <c r="J6" s="14"/>
      <c r="K6" s="14"/>
      <c r="L6" s="13"/>
      <c r="M6" s="13"/>
      <c r="N6" s="32"/>
      <c r="O6" s="32"/>
      <c r="P6" s="12"/>
      <c r="Q6" s="12"/>
      <c r="R6" s="12"/>
      <c r="S6" s="32"/>
      <c r="T6">
        <f t="shared" si="0"/>
        <v>0</v>
      </c>
      <c r="U6">
        <f t="shared" si="1"/>
        <v>0</v>
      </c>
    </row>
    <row r="7" spans="1:21">
      <c r="A7" s="12"/>
      <c r="B7" s="12"/>
      <c r="C7" s="11"/>
      <c r="D7" s="11"/>
      <c r="E7" s="11"/>
      <c r="F7" s="12">
        <v>130</v>
      </c>
      <c r="G7" s="12"/>
      <c r="H7" s="13"/>
      <c r="I7" s="14"/>
      <c r="J7" s="14" t="s">
        <v>80</v>
      </c>
      <c r="K7" s="14"/>
      <c r="L7" s="13"/>
      <c r="M7" s="13"/>
      <c r="P7" s="12" t="s">
        <v>14</v>
      </c>
      <c r="Q7" s="12"/>
      <c r="R7" s="12" t="s">
        <v>22</v>
      </c>
      <c r="T7">
        <f t="shared" si="0"/>
        <v>0</v>
      </c>
      <c r="U7" t="e">
        <f t="shared" si="1"/>
        <v>#VALUE!</v>
      </c>
    </row>
    <row r="8" spans="1:21">
      <c r="A8" s="12"/>
      <c r="B8" s="12"/>
      <c r="C8" s="11"/>
      <c r="D8" s="11"/>
      <c r="E8" s="11"/>
      <c r="F8" s="10">
        <v>131</v>
      </c>
      <c r="G8" s="12"/>
      <c r="H8" s="13"/>
      <c r="I8" s="14"/>
      <c r="J8" s="14" t="s">
        <v>80</v>
      </c>
      <c r="K8" s="14"/>
      <c r="L8" s="13"/>
      <c r="M8" s="13"/>
      <c r="P8" s="12" t="s">
        <v>14</v>
      </c>
      <c r="Q8" s="12"/>
      <c r="R8" s="12" t="s">
        <v>22</v>
      </c>
      <c r="T8">
        <f t="shared" si="0"/>
        <v>0</v>
      </c>
      <c r="U8" t="e">
        <f t="shared" si="1"/>
        <v>#VALUE!</v>
      </c>
    </row>
    <row r="9" spans="1:21">
      <c r="A9" s="23">
        <v>20</v>
      </c>
      <c r="B9" s="12">
        <v>10</v>
      </c>
      <c r="C9" s="24">
        <v>20.025377074440154</v>
      </c>
      <c r="D9" s="24">
        <v>14.539977854319202</v>
      </c>
      <c r="E9" s="24" t="s">
        <v>147</v>
      </c>
      <c r="F9" s="23">
        <v>585</v>
      </c>
      <c r="G9" s="23" t="s">
        <v>11</v>
      </c>
      <c r="H9" s="25"/>
      <c r="I9" s="26"/>
      <c r="J9" s="26"/>
      <c r="K9" s="26">
        <v>5.9</v>
      </c>
      <c r="L9" s="25"/>
      <c r="M9" s="25"/>
      <c r="N9" s="27">
        <v>1.62</v>
      </c>
      <c r="O9" s="27">
        <v>0</v>
      </c>
      <c r="P9" s="23"/>
      <c r="Q9" s="23"/>
      <c r="R9" s="23"/>
      <c r="S9" s="27"/>
      <c r="T9">
        <f t="shared" si="0"/>
        <v>0</v>
      </c>
      <c r="U9">
        <f t="shared" si="1"/>
        <v>5.9</v>
      </c>
    </row>
    <row r="10" spans="1:21">
      <c r="A10" s="23">
        <v>20</v>
      </c>
      <c r="B10" s="23">
        <v>0</v>
      </c>
      <c r="C10" s="24">
        <v>26.72</v>
      </c>
      <c r="D10" s="24">
        <v>7.06</v>
      </c>
      <c r="E10" s="24" t="s">
        <v>147</v>
      </c>
      <c r="F10" s="23">
        <v>584</v>
      </c>
      <c r="G10" s="23" t="s">
        <v>11</v>
      </c>
      <c r="H10" s="25"/>
      <c r="I10" s="26"/>
      <c r="J10" s="23"/>
      <c r="K10" s="26">
        <v>3.84</v>
      </c>
      <c r="L10" s="25"/>
      <c r="M10" s="25"/>
      <c r="N10" s="27">
        <v>1.4</v>
      </c>
      <c r="O10" s="27">
        <v>0</v>
      </c>
      <c r="P10" s="23"/>
      <c r="Q10" s="23"/>
      <c r="R10" s="23"/>
      <c r="S10" s="27"/>
      <c r="T10">
        <f t="shared" si="0"/>
        <v>0</v>
      </c>
      <c r="U10">
        <f t="shared" si="1"/>
        <v>3.84</v>
      </c>
    </row>
    <row r="11" spans="1:21">
      <c r="A11" s="23">
        <v>20</v>
      </c>
      <c r="B11" s="23">
        <v>20</v>
      </c>
      <c r="C11" s="24">
        <v>25.05</v>
      </c>
      <c r="D11" s="24">
        <v>28.61</v>
      </c>
      <c r="E11" s="24" t="s">
        <v>147</v>
      </c>
      <c r="F11" s="23">
        <v>586</v>
      </c>
      <c r="G11" s="23" t="s">
        <v>149</v>
      </c>
      <c r="H11" s="25"/>
      <c r="I11" s="26"/>
      <c r="J11" s="26"/>
      <c r="K11" s="26">
        <v>5.8</v>
      </c>
      <c r="L11" s="25"/>
      <c r="M11" s="25"/>
      <c r="N11" s="27">
        <v>1.75</v>
      </c>
      <c r="O11" s="27">
        <v>0.25</v>
      </c>
      <c r="P11" s="23"/>
      <c r="Q11" s="23"/>
      <c r="R11" s="23"/>
      <c r="S11" s="27"/>
      <c r="T11">
        <f t="shared" si="0"/>
        <v>0</v>
      </c>
      <c r="U11">
        <f t="shared" si="1"/>
        <v>5.8</v>
      </c>
    </row>
    <row r="12" spans="1:21">
      <c r="A12" s="23">
        <v>20</v>
      </c>
      <c r="B12" s="23">
        <v>30</v>
      </c>
      <c r="C12" s="24">
        <v>25.43</v>
      </c>
      <c r="D12" s="24">
        <v>34.33</v>
      </c>
      <c r="E12" s="24" t="s">
        <v>147</v>
      </c>
      <c r="F12" s="23">
        <v>587</v>
      </c>
      <c r="G12" s="23" t="s">
        <v>150</v>
      </c>
      <c r="H12" s="25"/>
      <c r="I12" s="26"/>
      <c r="J12" s="26"/>
      <c r="K12" s="26">
        <v>4.8</v>
      </c>
      <c r="L12" s="25"/>
      <c r="M12" s="25"/>
      <c r="N12" s="27">
        <v>169</v>
      </c>
      <c r="O12" s="27">
        <v>0.63</v>
      </c>
      <c r="P12" s="23"/>
      <c r="Q12" s="23"/>
      <c r="R12" s="23"/>
      <c r="S12" s="27"/>
      <c r="T12">
        <f t="shared" si="0"/>
        <v>0</v>
      </c>
      <c r="U12">
        <f t="shared" si="1"/>
        <v>4.8</v>
      </c>
    </row>
    <row r="13" spans="1:21">
      <c r="A13" s="23">
        <v>20</v>
      </c>
      <c r="B13" s="23">
        <v>30</v>
      </c>
      <c r="C13" s="24">
        <v>23.54</v>
      </c>
      <c r="D13" s="24">
        <v>32.4</v>
      </c>
      <c r="E13" s="24" t="s">
        <v>147</v>
      </c>
      <c r="F13" s="23">
        <v>588</v>
      </c>
      <c r="G13" s="23" t="s">
        <v>149</v>
      </c>
      <c r="H13" s="25"/>
      <c r="I13" s="26"/>
      <c r="J13" s="26"/>
      <c r="K13" s="26">
        <v>7.8</v>
      </c>
      <c r="L13" s="25"/>
      <c r="M13" s="25"/>
      <c r="N13" s="23">
        <v>2.1800000000000002</v>
      </c>
      <c r="O13" s="23">
        <v>0.39</v>
      </c>
      <c r="P13" s="23"/>
      <c r="Q13" s="23"/>
      <c r="R13" s="30"/>
      <c r="S13" s="23" t="s">
        <v>151</v>
      </c>
      <c r="T13">
        <f t="shared" si="0"/>
        <v>0</v>
      </c>
      <c r="U13">
        <f t="shared" si="1"/>
        <v>7.8</v>
      </c>
    </row>
    <row r="14" spans="1:21">
      <c r="A14" s="23">
        <v>20</v>
      </c>
      <c r="B14" s="23">
        <v>40</v>
      </c>
      <c r="C14" s="24">
        <v>24.63</v>
      </c>
      <c r="D14" s="24">
        <v>40.14</v>
      </c>
      <c r="E14" s="24" t="s">
        <v>147</v>
      </c>
      <c r="F14" s="23">
        <v>589</v>
      </c>
      <c r="G14" s="23" t="s">
        <v>152</v>
      </c>
      <c r="H14" s="25"/>
      <c r="I14" s="26"/>
      <c r="J14" s="26"/>
      <c r="K14" s="26">
        <v>2.9</v>
      </c>
      <c r="L14" s="25"/>
      <c r="M14" s="25"/>
      <c r="N14" s="30">
        <v>1.4</v>
      </c>
      <c r="O14" s="30">
        <v>0</v>
      </c>
      <c r="P14" s="23"/>
      <c r="Q14" s="23"/>
      <c r="R14" s="23"/>
      <c r="S14" s="30"/>
      <c r="T14">
        <f t="shared" si="0"/>
        <v>0</v>
      </c>
      <c r="U14">
        <f t="shared" si="1"/>
        <v>2.9</v>
      </c>
    </row>
    <row r="15" spans="1:21">
      <c r="A15" s="23">
        <v>30</v>
      </c>
      <c r="B15" s="23">
        <v>10</v>
      </c>
      <c r="C15" s="24">
        <v>37.44</v>
      </c>
      <c r="D15" s="24">
        <v>19.79</v>
      </c>
      <c r="E15" s="24" t="s">
        <v>147</v>
      </c>
      <c r="F15" s="23">
        <v>590</v>
      </c>
      <c r="G15" s="23"/>
      <c r="H15" s="25"/>
      <c r="I15" s="26"/>
      <c r="J15" s="26"/>
      <c r="K15" s="26">
        <v>3.5</v>
      </c>
      <c r="L15" s="25"/>
      <c r="M15" s="25"/>
      <c r="N15" s="27">
        <v>1.6</v>
      </c>
      <c r="O15" s="27">
        <v>0.53</v>
      </c>
      <c r="P15" s="23"/>
      <c r="Q15" s="23"/>
      <c r="R15" s="23"/>
      <c r="S15" s="27"/>
      <c r="T15">
        <f t="shared" si="0"/>
        <v>0</v>
      </c>
      <c r="U15">
        <f t="shared" si="1"/>
        <v>3.5</v>
      </c>
    </row>
    <row r="16" spans="1:21">
      <c r="A16" s="23">
        <v>40</v>
      </c>
      <c r="B16" s="23">
        <v>0</v>
      </c>
      <c r="C16" s="24"/>
      <c r="D16" s="24"/>
      <c r="E16" s="24" t="s">
        <v>147</v>
      </c>
      <c r="F16" s="23">
        <v>591</v>
      </c>
      <c r="G16" s="23"/>
      <c r="H16" s="25"/>
      <c r="I16" s="26"/>
      <c r="J16" s="26"/>
      <c r="K16" s="26">
        <v>5.5</v>
      </c>
      <c r="L16" s="25"/>
      <c r="M16" s="25"/>
      <c r="N16" s="27">
        <v>1.7</v>
      </c>
      <c r="O16" s="27">
        <v>0.56999999999999995</v>
      </c>
      <c r="P16" s="23"/>
      <c r="Q16" s="23"/>
      <c r="R16" s="23"/>
      <c r="S16" s="27"/>
      <c r="T16">
        <f t="shared" si="0"/>
        <v>0</v>
      </c>
      <c r="U16">
        <f t="shared" si="1"/>
        <v>5.5</v>
      </c>
    </row>
    <row r="17" spans="1:21">
      <c r="A17" s="23">
        <v>40</v>
      </c>
      <c r="B17" s="23">
        <v>20</v>
      </c>
      <c r="C17" s="24">
        <v>41.89</v>
      </c>
      <c r="D17" s="24">
        <v>29.82</v>
      </c>
      <c r="E17" s="24" t="s">
        <v>147</v>
      </c>
      <c r="F17" s="23">
        <v>594</v>
      </c>
      <c r="G17" s="23" t="s">
        <v>150</v>
      </c>
      <c r="H17" s="25"/>
      <c r="I17" s="26"/>
      <c r="J17" s="26"/>
      <c r="K17" s="26">
        <v>7.1</v>
      </c>
      <c r="L17" s="25"/>
      <c r="M17" s="25"/>
      <c r="N17" s="27">
        <v>1.59</v>
      </c>
      <c r="O17" s="27">
        <v>0.68</v>
      </c>
      <c r="P17" s="23"/>
      <c r="Q17" s="23"/>
      <c r="R17" s="23"/>
      <c r="S17" s="27"/>
      <c r="T17">
        <f t="shared" si="0"/>
        <v>0</v>
      </c>
      <c r="U17">
        <f t="shared" si="1"/>
        <v>7.1</v>
      </c>
    </row>
    <row r="18" spans="1:21">
      <c r="A18" s="23">
        <v>40</v>
      </c>
      <c r="B18" s="23">
        <v>30</v>
      </c>
      <c r="C18" s="24">
        <v>48.92</v>
      </c>
      <c r="D18" s="24">
        <v>30.4</v>
      </c>
      <c r="E18" s="24" t="s">
        <v>147</v>
      </c>
      <c r="F18" s="23">
        <v>596</v>
      </c>
      <c r="G18" s="23" t="s">
        <v>153</v>
      </c>
      <c r="H18" s="25"/>
      <c r="I18" s="26"/>
      <c r="J18" s="26"/>
      <c r="K18" s="26">
        <v>4.9000000000000004</v>
      </c>
      <c r="L18" s="25"/>
      <c r="M18" s="25"/>
      <c r="N18" s="27">
        <v>1.48</v>
      </c>
      <c r="O18" s="27">
        <v>0.67</v>
      </c>
      <c r="P18" s="23"/>
      <c r="Q18" s="23"/>
      <c r="R18" s="23"/>
      <c r="S18" s="27"/>
      <c r="T18">
        <f t="shared" si="0"/>
        <v>0</v>
      </c>
      <c r="U18">
        <f t="shared" si="1"/>
        <v>4.9000000000000004</v>
      </c>
    </row>
    <row r="19" spans="1:21">
      <c r="A19" s="23">
        <v>40</v>
      </c>
      <c r="B19" s="23">
        <v>30</v>
      </c>
      <c r="C19" s="24">
        <v>48.9</v>
      </c>
      <c r="D19" s="24">
        <v>30.46</v>
      </c>
      <c r="E19" s="24" t="s">
        <v>147</v>
      </c>
      <c r="F19" s="23">
        <v>595</v>
      </c>
      <c r="G19" s="23" t="s">
        <v>153</v>
      </c>
      <c r="H19" s="25"/>
      <c r="I19" s="26"/>
      <c r="J19" s="26"/>
      <c r="K19" s="26">
        <v>9.1999999999999993</v>
      </c>
      <c r="L19" s="25"/>
      <c r="M19" s="25"/>
      <c r="N19" s="27">
        <v>1.51</v>
      </c>
      <c r="O19" s="27">
        <v>0.69</v>
      </c>
      <c r="P19" s="23"/>
      <c r="Q19" s="23"/>
      <c r="R19" s="23"/>
      <c r="S19" s="27"/>
      <c r="T19">
        <f t="shared" si="0"/>
        <v>0</v>
      </c>
      <c r="U19">
        <f t="shared" si="1"/>
        <v>9.1999999999999993</v>
      </c>
    </row>
    <row r="20" spans="1:21">
      <c r="A20" s="12"/>
      <c r="B20" s="12"/>
      <c r="C20" s="12"/>
      <c r="D20" s="12"/>
      <c r="E20" s="12"/>
      <c r="F20" s="12"/>
      <c r="G20" s="12"/>
      <c r="H20" s="13"/>
      <c r="I20" s="14"/>
      <c r="J20" s="14"/>
      <c r="K20" s="14"/>
      <c r="L20" s="13"/>
      <c r="M20" s="13"/>
      <c r="P20" s="12"/>
      <c r="Q20" s="12"/>
      <c r="R20" s="12"/>
      <c r="T20">
        <f t="shared" si="0"/>
        <v>0</v>
      </c>
      <c r="U20">
        <f t="shared" si="1"/>
        <v>0</v>
      </c>
    </row>
    <row r="21" spans="1:21">
      <c r="A21" s="29">
        <v>0</v>
      </c>
      <c r="B21" s="29">
        <v>-10</v>
      </c>
      <c r="C21" s="24">
        <v>4.5</v>
      </c>
      <c r="D21" s="24">
        <v>-6.5</v>
      </c>
      <c r="E21" s="24" t="s">
        <v>155</v>
      </c>
      <c r="F21" s="23">
        <v>742</v>
      </c>
      <c r="G21" s="23" t="s">
        <v>152</v>
      </c>
      <c r="H21" s="25"/>
      <c r="I21" s="26"/>
      <c r="J21" s="26"/>
      <c r="K21" s="26">
        <v>8.3000000000000007</v>
      </c>
      <c r="L21" s="25"/>
      <c r="M21" s="25"/>
      <c r="N21" s="27">
        <v>1.56</v>
      </c>
      <c r="O21" s="27"/>
      <c r="P21" s="23"/>
      <c r="Q21" s="23"/>
      <c r="R21" s="23"/>
      <c r="S21" s="27"/>
      <c r="T21">
        <f t="shared" si="0"/>
        <v>0</v>
      </c>
      <c r="U21">
        <f t="shared" si="1"/>
        <v>8.3000000000000007</v>
      </c>
    </row>
    <row r="22" spans="1:21">
      <c r="A22" s="23">
        <v>30</v>
      </c>
      <c r="B22" s="23">
        <v>-10</v>
      </c>
      <c r="C22" s="24">
        <v>38.85</v>
      </c>
      <c r="D22" s="24">
        <v>-3.97</v>
      </c>
      <c r="E22" s="24" t="s">
        <v>155</v>
      </c>
      <c r="F22" s="23">
        <v>743</v>
      </c>
      <c r="G22" s="23" t="s">
        <v>150</v>
      </c>
      <c r="H22" s="25"/>
      <c r="I22" s="26"/>
      <c r="J22" s="26"/>
      <c r="K22" s="26">
        <v>3.5</v>
      </c>
      <c r="L22" s="25"/>
      <c r="M22" s="25"/>
      <c r="N22" s="27">
        <v>1.34</v>
      </c>
      <c r="O22" s="27"/>
      <c r="P22" s="23"/>
      <c r="Q22" s="23"/>
      <c r="R22" s="23"/>
      <c r="S22" s="27"/>
      <c r="T22">
        <f t="shared" si="0"/>
        <v>0</v>
      </c>
      <c r="U22">
        <f t="shared" si="1"/>
        <v>3.5</v>
      </c>
    </row>
    <row r="23" spans="1:21">
      <c r="A23" s="12"/>
      <c r="B23" s="12"/>
      <c r="C23" s="11"/>
      <c r="D23" s="11"/>
      <c r="E23" s="11"/>
      <c r="F23" s="10">
        <v>473</v>
      </c>
      <c r="G23" s="12"/>
      <c r="H23" s="13"/>
      <c r="I23" s="14"/>
      <c r="J23" s="14"/>
      <c r="K23" s="14"/>
      <c r="L23" s="13"/>
      <c r="M23" s="13"/>
      <c r="P23" s="12" t="s">
        <v>14</v>
      </c>
      <c r="Q23" s="12"/>
      <c r="R23" s="12"/>
      <c r="T23">
        <f t="shared" si="0"/>
        <v>0</v>
      </c>
      <c r="U23">
        <f t="shared" si="1"/>
        <v>0</v>
      </c>
    </row>
    <row r="24" spans="1:21">
      <c r="A24" s="12"/>
      <c r="B24" s="12"/>
      <c r="C24" s="11"/>
      <c r="D24" s="11"/>
      <c r="E24" s="11"/>
      <c r="F24" s="12">
        <v>474</v>
      </c>
      <c r="G24" s="12"/>
      <c r="H24" s="13"/>
      <c r="I24" s="14"/>
      <c r="J24" s="14"/>
      <c r="K24" s="14"/>
      <c r="L24" s="13"/>
      <c r="M24" s="13"/>
      <c r="P24" s="12" t="s">
        <v>14</v>
      </c>
      <c r="Q24" s="12"/>
      <c r="R24" s="12" t="s">
        <v>37</v>
      </c>
      <c r="T24">
        <f t="shared" si="0"/>
        <v>0</v>
      </c>
      <c r="U24">
        <f t="shared" si="1"/>
        <v>0</v>
      </c>
    </row>
    <row r="25" spans="1:21">
      <c r="A25" s="12"/>
      <c r="B25" s="12"/>
      <c r="C25" s="11"/>
      <c r="D25" s="11"/>
      <c r="E25" s="11"/>
      <c r="F25" s="10">
        <v>475</v>
      </c>
      <c r="G25" s="12"/>
      <c r="H25" s="13"/>
      <c r="I25" s="14"/>
      <c r="J25" s="14"/>
      <c r="K25" s="14"/>
      <c r="L25" s="13"/>
      <c r="M25" s="13"/>
      <c r="P25" s="12" t="s">
        <v>14</v>
      </c>
      <c r="Q25" s="12"/>
      <c r="R25" s="12" t="s">
        <v>37</v>
      </c>
      <c r="T25">
        <f t="shared" si="0"/>
        <v>0</v>
      </c>
      <c r="U25">
        <f t="shared" si="1"/>
        <v>0</v>
      </c>
    </row>
    <row r="26" spans="1:21">
      <c r="A26" s="12"/>
      <c r="B26" s="12"/>
      <c r="C26" s="11"/>
      <c r="D26" s="11"/>
      <c r="E26" s="11"/>
      <c r="F26" s="12">
        <v>476</v>
      </c>
      <c r="G26" s="12"/>
      <c r="H26" s="13"/>
      <c r="I26" s="14"/>
      <c r="J26" s="14"/>
      <c r="K26" s="14"/>
      <c r="L26" s="13"/>
      <c r="M26" s="13"/>
      <c r="P26" s="12" t="s">
        <v>14</v>
      </c>
      <c r="Q26" s="12"/>
      <c r="R26" s="12" t="s">
        <v>37</v>
      </c>
      <c r="T26">
        <f t="shared" si="0"/>
        <v>0</v>
      </c>
      <c r="U26">
        <f t="shared" si="1"/>
        <v>0</v>
      </c>
    </row>
    <row r="27" spans="1:21">
      <c r="A27" s="12"/>
      <c r="B27" s="12"/>
      <c r="C27" s="11"/>
      <c r="D27" s="11"/>
      <c r="E27" s="11"/>
      <c r="F27" s="10">
        <v>477</v>
      </c>
      <c r="G27" s="12"/>
      <c r="H27" s="13"/>
      <c r="I27" s="14"/>
      <c r="J27" s="14"/>
      <c r="K27" s="14"/>
      <c r="L27" s="13"/>
      <c r="M27" s="13"/>
      <c r="P27" s="12" t="s">
        <v>14</v>
      </c>
      <c r="Q27" s="12"/>
      <c r="R27" s="12" t="s">
        <v>37</v>
      </c>
      <c r="T27">
        <f t="shared" si="0"/>
        <v>0</v>
      </c>
      <c r="U27">
        <f t="shared" si="1"/>
        <v>0</v>
      </c>
    </row>
    <row r="28" spans="1:21">
      <c r="A28" s="12"/>
      <c r="B28" s="12"/>
      <c r="C28" s="11"/>
      <c r="D28" s="11"/>
      <c r="E28" s="11"/>
      <c r="F28" s="12">
        <v>478</v>
      </c>
      <c r="G28" s="12"/>
      <c r="H28" s="13"/>
      <c r="I28" s="14"/>
      <c r="J28" s="14"/>
      <c r="K28" s="14"/>
      <c r="L28" s="13"/>
      <c r="M28" s="13"/>
      <c r="P28" s="12" t="s">
        <v>14</v>
      </c>
      <c r="Q28" s="12"/>
      <c r="R28" s="12" t="s">
        <v>37</v>
      </c>
      <c r="T28">
        <f t="shared" si="0"/>
        <v>0</v>
      </c>
      <c r="U28">
        <f t="shared" si="1"/>
        <v>0</v>
      </c>
    </row>
    <row r="29" spans="1:21">
      <c r="A29" s="12"/>
      <c r="B29" s="12"/>
      <c r="C29" s="11"/>
      <c r="D29" s="11"/>
      <c r="E29" s="11"/>
      <c r="F29" s="10">
        <v>479</v>
      </c>
      <c r="G29" s="12"/>
      <c r="H29" s="13"/>
      <c r="I29" s="14"/>
      <c r="J29" s="14"/>
      <c r="K29" s="14"/>
      <c r="L29" s="13"/>
      <c r="M29" s="13"/>
      <c r="P29" s="12" t="s">
        <v>14</v>
      </c>
      <c r="Q29" s="12"/>
      <c r="R29" s="12" t="s">
        <v>37</v>
      </c>
      <c r="T29">
        <f t="shared" si="0"/>
        <v>0</v>
      </c>
      <c r="U29">
        <f t="shared" si="1"/>
        <v>0</v>
      </c>
    </row>
    <row r="30" spans="1:21">
      <c r="A30" s="12"/>
      <c r="B30" s="12"/>
      <c r="C30" s="11"/>
      <c r="D30" s="11"/>
      <c r="E30" s="11"/>
      <c r="F30" s="12">
        <v>480</v>
      </c>
      <c r="G30" s="12"/>
      <c r="H30" s="13"/>
      <c r="I30" s="14"/>
      <c r="J30" s="14"/>
      <c r="K30" s="14"/>
      <c r="L30" s="13"/>
      <c r="M30" s="13"/>
      <c r="P30" s="12" t="s">
        <v>14</v>
      </c>
      <c r="Q30" s="12"/>
      <c r="R30" s="12" t="s">
        <v>37</v>
      </c>
      <c r="T30">
        <f t="shared" si="0"/>
        <v>0</v>
      </c>
      <c r="U30">
        <f t="shared" si="1"/>
        <v>0</v>
      </c>
    </row>
    <row r="31" spans="1:21">
      <c r="A31" s="12"/>
      <c r="B31" s="12"/>
      <c r="C31" s="11"/>
      <c r="D31" s="11"/>
      <c r="E31" s="11"/>
      <c r="F31" s="10">
        <v>481</v>
      </c>
      <c r="G31" s="12"/>
      <c r="H31" s="13"/>
      <c r="I31" s="14"/>
      <c r="J31" s="14"/>
      <c r="K31" s="14"/>
      <c r="L31" s="13"/>
      <c r="M31" s="13"/>
      <c r="P31" s="12" t="s">
        <v>14</v>
      </c>
      <c r="Q31" s="12"/>
      <c r="R31" s="12" t="s">
        <v>37</v>
      </c>
      <c r="T31">
        <f t="shared" si="0"/>
        <v>0</v>
      </c>
      <c r="U31">
        <f t="shared" si="1"/>
        <v>0</v>
      </c>
    </row>
    <row r="32" spans="1:21">
      <c r="A32" s="12"/>
      <c r="B32" s="12"/>
      <c r="C32" s="11"/>
      <c r="D32" s="11"/>
      <c r="E32" s="11"/>
      <c r="F32" s="12">
        <v>482</v>
      </c>
      <c r="G32" s="12"/>
      <c r="H32" s="13"/>
      <c r="I32" s="14"/>
      <c r="J32" s="14"/>
      <c r="K32" s="14"/>
      <c r="L32" s="13"/>
      <c r="M32" s="13"/>
      <c r="P32" s="12" t="s">
        <v>14</v>
      </c>
      <c r="Q32" s="12"/>
      <c r="R32" s="12" t="s">
        <v>37</v>
      </c>
      <c r="T32">
        <f t="shared" si="0"/>
        <v>0</v>
      </c>
      <c r="U32">
        <f t="shared" si="1"/>
        <v>0</v>
      </c>
    </row>
    <row r="33" spans="1:21">
      <c r="A33" s="12"/>
      <c r="B33" s="12"/>
      <c r="C33" s="11"/>
      <c r="D33" s="11"/>
      <c r="E33" s="11"/>
      <c r="F33" s="10">
        <v>483</v>
      </c>
      <c r="G33" s="12"/>
      <c r="H33" s="13"/>
      <c r="I33" s="14"/>
      <c r="J33" s="14"/>
      <c r="K33" s="14"/>
      <c r="L33" s="13"/>
      <c r="M33" s="13"/>
      <c r="P33" s="12" t="s">
        <v>14</v>
      </c>
      <c r="Q33" s="12"/>
      <c r="R33" s="12" t="s">
        <v>37</v>
      </c>
      <c r="T33">
        <f t="shared" si="0"/>
        <v>0</v>
      </c>
      <c r="U33">
        <f t="shared" si="1"/>
        <v>0</v>
      </c>
    </row>
    <row r="34" spans="1:21">
      <c r="A34" s="12"/>
      <c r="B34" s="12"/>
      <c r="C34" s="11"/>
      <c r="D34" s="11"/>
      <c r="E34" s="11"/>
      <c r="F34" s="12">
        <v>484</v>
      </c>
      <c r="G34" s="12"/>
      <c r="H34" s="13"/>
      <c r="I34" s="14"/>
      <c r="J34" s="14"/>
      <c r="K34" s="14"/>
      <c r="L34" s="13"/>
      <c r="M34" s="13"/>
      <c r="P34" s="12" t="s">
        <v>14</v>
      </c>
      <c r="Q34" s="12"/>
      <c r="R34" s="12" t="s">
        <v>37</v>
      </c>
      <c r="T34">
        <f t="shared" si="0"/>
        <v>0</v>
      </c>
      <c r="U34">
        <f t="shared" si="1"/>
        <v>0</v>
      </c>
    </row>
    <row r="35" spans="1:21">
      <c r="A35" s="12"/>
      <c r="B35" s="12"/>
      <c r="C35" s="11"/>
      <c r="D35" s="11"/>
      <c r="E35" s="11"/>
      <c r="F35" s="10">
        <v>485</v>
      </c>
      <c r="G35" s="12"/>
      <c r="H35" s="13"/>
      <c r="I35" s="14"/>
      <c r="J35" s="14"/>
      <c r="K35" s="14"/>
      <c r="L35" s="13"/>
      <c r="M35" s="13"/>
      <c r="P35" s="12" t="s">
        <v>14</v>
      </c>
      <c r="Q35" s="12"/>
      <c r="R35" s="12" t="s">
        <v>37</v>
      </c>
      <c r="T35">
        <f t="shared" si="0"/>
        <v>0</v>
      </c>
      <c r="U35">
        <f t="shared" si="1"/>
        <v>0</v>
      </c>
    </row>
    <row r="36" spans="1:21">
      <c r="A36" s="12"/>
      <c r="B36" s="12"/>
      <c r="C36" s="11"/>
      <c r="D36" s="11"/>
      <c r="E36" s="11"/>
      <c r="F36" s="12">
        <v>486</v>
      </c>
      <c r="G36" s="12"/>
      <c r="H36" s="13"/>
      <c r="I36" s="14"/>
      <c r="J36" s="14"/>
      <c r="K36" s="14"/>
      <c r="L36" s="13"/>
      <c r="M36" s="13"/>
      <c r="P36" s="12" t="s">
        <v>14</v>
      </c>
      <c r="Q36" s="12"/>
      <c r="R36" s="12" t="s">
        <v>37</v>
      </c>
      <c r="T36">
        <f t="shared" si="0"/>
        <v>0</v>
      </c>
      <c r="U36">
        <f t="shared" si="1"/>
        <v>0</v>
      </c>
    </row>
    <row r="37" spans="1:21">
      <c r="A37" s="12"/>
      <c r="B37" s="12"/>
      <c r="C37" s="11"/>
      <c r="D37" s="11"/>
      <c r="E37" s="11"/>
      <c r="F37" s="10">
        <v>487</v>
      </c>
      <c r="G37" s="12"/>
      <c r="H37" s="13"/>
      <c r="I37" s="14"/>
      <c r="J37" s="14"/>
      <c r="K37" s="14"/>
      <c r="L37" s="13"/>
      <c r="M37" s="13"/>
      <c r="P37" s="12" t="s">
        <v>14</v>
      </c>
      <c r="Q37" s="12"/>
      <c r="R37" s="12" t="s">
        <v>37</v>
      </c>
      <c r="T37">
        <f t="shared" si="0"/>
        <v>0</v>
      </c>
      <c r="U37">
        <f t="shared" si="1"/>
        <v>0</v>
      </c>
    </row>
    <row r="38" spans="1:21">
      <c r="A38" s="12"/>
      <c r="B38" s="12"/>
      <c r="C38" s="11"/>
      <c r="D38" s="11"/>
      <c r="E38" s="11"/>
      <c r="F38" s="12">
        <v>488</v>
      </c>
      <c r="G38" s="12"/>
      <c r="H38" s="13"/>
      <c r="I38" s="14"/>
      <c r="J38" s="14"/>
      <c r="K38" s="14"/>
      <c r="L38" s="13"/>
      <c r="M38" s="13"/>
      <c r="P38" s="12" t="s">
        <v>14</v>
      </c>
      <c r="Q38" s="12"/>
      <c r="R38" s="12" t="s">
        <v>37</v>
      </c>
      <c r="T38">
        <f t="shared" si="0"/>
        <v>0</v>
      </c>
      <c r="U38">
        <f t="shared" si="1"/>
        <v>0</v>
      </c>
    </row>
    <row r="39" spans="1:21">
      <c r="A39" s="12"/>
      <c r="B39" s="12"/>
      <c r="C39" s="11"/>
      <c r="D39" s="11"/>
      <c r="E39" s="11"/>
      <c r="F39" s="10">
        <v>489</v>
      </c>
      <c r="G39" s="12"/>
      <c r="H39" s="13"/>
      <c r="I39" s="14"/>
      <c r="J39" s="14"/>
      <c r="K39" s="14"/>
      <c r="L39" s="13"/>
      <c r="M39" s="13"/>
      <c r="P39" s="12" t="s">
        <v>14</v>
      </c>
      <c r="Q39" s="12"/>
      <c r="R39" s="12" t="s">
        <v>37</v>
      </c>
      <c r="T39">
        <f t="shared" si="0"/>
        <v>0</v>
      </c>
      <c r="U39">
        <f t="shared" si="1"/>
        <v>0</v>
      </c>
    </row>
    <row r="40" spans="1:21">
      <c r="A40" s="12"/>
      <c r="B40" s="12"/>
      <c r="C40" s="11"/>
      <c r="D40" s="11"/>
      <c r="E40" s="11"/>
      <c r="F40" s="12">
        <v>490</v>
      </c>
      <c r="G40" s="12"/>
      <c r="H40" s="13"/>
      <c r="I40" s="14"/>
      <c r="J40" s="14"/>
      <c r="K40" s="14"/>
      <c r="L40" s="13"/>
      <c r="M40" s="13"/>
      <c r="P40" s="12" t="s">
        <v>14</v>
      </c>
      <c r="Q40" s="12"/>
      <c r="R40" s="12" t="s">
        <v>37</v>
      </c>
      <c r="T40">
        <f t="shared" si="0"/>
        <v>0</v>
      </c>
      <c r="U40">
        <f t="shared" si="1"/>
        <v>0</v>
      </c>
    </row>
    <row r="41" spans="1:21">
      <c r="A41" s="12"/>
      <c r="B41" s="12"/>
      <c r="C41" s="11"/>
      <c r="D41" s="11"/>
      <c r="E41" s="11"/>
      <c r="F41" s="10">
        <v>491</v>
      </c>
      <c r="G41" s="12"/>
      <c r="H41" s="13"/>
      <c r="I41" s="14"/>
      <c r="J41" s="14"/>
      <c r="K41" s="14"/>
      <c r="L41" s="13"/>
      <c r="M41" s="13"/>
      <c r="P41" s="12" t="s">
        <v>14</v>
      </c>
      <c r="Q41" s="12"/>
      <c r="R41" s="12" t="s">
        <v>37</v>
      </c>
      <c r="T41">
        <f t="shared" si="0"/>
        <v>0</v>
      </c>
      <c r="U41">
        <f t="shared" si="1"/>
        <v>0</v>
      </c>
    </row>
    <row r="42" spans="1:21">
      <c r="A42" s="12"/>
      <c r="B42" s="12"/>
      <c r="C42" s="11"/>
      <c r="D42" s="11"/>
      <c r="E42" s="11"/>
      <c r="F42" s="12">
        <v>492</v>
      </c>
      <c r="G42" s="12"/>
      <c r="H42" s="13"/>
      <c r="I42" s="14"/>
      <c r="J42" s="14"/>
      <c r="K42" s="14"/>
      <c r="L42" s="13"/>
      <c r="M42" s="13"/>
      <c r="P42" s="12" t="s">
        <v>14</v>
      </c>
      <c r="Q42" s="12"/>
      <c r="R42" s="12" t="s">
        <v>37</v>
      </c>
      <c r="T42">
        <f t="shared" si="0"/>
        <v>0</v>
      </c>
      <c r="U42">
        <f t="shared" si="1"/>
        <v>0</v>
      </c>
    </row>
    <row r="43" spans="1:21">
      <c r="A43" s="12"/>
      <c r="B43" s="12"/>
      <c r="C43" s="11"/>
      <c r="D43" s="11"/>
      <c r="E43" s="11"/>
      <c r="F43" s="10">
        <v>493</v>
      </c>
      <c r="G43" s="12"/>
      <c r="H43" s="13"/>
      <c r="I43" s="14"/>
      <c r="J43" s="14"/>
      <c r="K43" s="14"/>
      <c r="L43" s="13"/>
      <c r="M43" s="13"/>
      <c r="P43" s="12" t="s">
        <v>14</v>
      </c>
      <c r="Q43" s="12"/>
      <c r="R43" s="12" t="s">
        <v>37</v>
      </c>
      <c r="T43">
        <f t="shared" si="0"/>
        <v>0</v>
      </c>
      <c r="U43">
        <f t="shared" si="1"/>
        <v>0</v>
      </c>
    </row>
    <row r="44" spans="1:21">
      <c r="A44" s="12"/>
      <c r="B44" s="12"/>
      <c r="C44" s="11"/>
      <c r="D44" s="11"/>
      <c r="E44" s="11"/>
      <c r="F44" s="12">
        <v>494</v>
      </c>
      <c r="G44" s="12"/>
      <c r="H44" s="13"/>
      <c r="I44" s="14"/>
      <c r="J44" s="14"/>
      <c r="K44" s="14"/>
      <c r="L44" s="13"/>
      <c r="M44" s="13"/>
      <c r="P44" s="12" t="s">
        <v>14</v>
      </c>
      <c r="Q44" s="12"/>
      <c r="R44" s="12" t="s">
        <v>37</v>
      </c>
      <c r="T44">
        <f t="shared" si="0"/>
        <v>0</v>
      </c>
      <c r="U44">
        <f t="shared" si="1"/>
        <v>0</v>
      </c>
    </row>
    <row r="45" spans="1:21">
      <c r="A45" s="12"/>
      <c r="B45" s="12"/>
      <c r="C45" s="11"/>
      <c r="D45" s="11"/>
      <c r="E45" s="11"/>
      <c r="F45" s="10">
        <v>495</v>
      </c>
      <c r="G45" s="12"/>
      <c r="H45" s="13"/>
      <c r="I45" s="14"/>
      <c r="J45" s="14"/>
      <c r="K45" s="14"/>
      <c r="L45" s="13"/>
      <c r="M45" s="13"/>
      <c r="P45" s="12" t="s">
        <v>14</v>
      </c>
      <c r="Q45" s="12"/>
      <c r="R45" s="12" t="s">
        <v>37</v>
      </c>
      <c r="T45">
        <f t="shared" si="0"/>
        <v>0</v>
      </c>
      <c r="U45">
        <f t="shared" si="1"/>
        <v>0</v>
      </c>
    </row>
    <row r="46" spans="1:21">
      <c r="A46" s="12"/>
      <c r="B46" s="12"/>
      <c r="C46" s="11"/>
      <c r="D46" s="11"/>
      <c r="E46" s="11"/>
      <c r="F46" s="12">
        <v>496</v>
      </c>
      <c r="G46" s="12"/>
      <c r="H46" s="13"/>
      <c r="I46" s="14"/>
      <c r="J46" s="14"/>
      <c r="K46" s="14"/>
      <c r="L46" s="13"/>
      <c r="M46" s="13"/>
      <c r="P46" s="12" t="s">
        <v>14</v>
      </c>
      <c r="Q46" s="12"/>
      <c r="R46" s="12" t="s">
        <v>37</v>
      </c>
      <c r="T46">
        <f t="shared" si="0"/>
        <v>0</v>
      </c>
      <c r="U46">
        <f t="shared" si="1"/>
        <v>0</v>
      </c>
    </row>
    <row r="47" spans="1:21">
      <c r="A47" s="12"/>
      <c r="B47" s="12"/>
      <c r="C47" s="11"/>
      <c r="D47" s="11"/>
      <c r="E47" s="11"/>
      <c r="F47" s="10">
        <v>497</v>
      </c>
      <c r="G47" s="12"/>
      <c r="H47" s="13"/>
      <c r="I47" s="14"/>
      <c r="J47" s="14"/>
      <c r="K47" s="14"/>
      <c r="L47" s="13"/>
      <c r="M47" s="13"/>
      <c r="P47" s="12" t="s">
        <v>14</v>
      </c>
      <c r="Q47" s="12"/>
      <c r="R47" s="12" t="s">
        <v>37</v>
      </c>
      <c r="T47">
        <f t="shared" si="0"/>
        <v>0</v>
      </c>
      <c r="U47">
        <f t="shared" si="1"/>
        <v>0</v>
      </c>
    </row>
    <row r="48" spans="1:21">
      <c r="A48" s="12"/>
      <c r="B48" s="12"/>
      <c r="C48" s="11"/>
      <c r="D48" s="11"/>
      <c r="E48" s="11"/>
      <c r="F48" s="12">
        <v>498</v>
      </c>
      <c r="G48" s="12"/>
      <c r="H48" s="13"/>
      <c r="I48" s="14"/>
      <c r="J48" s="14"/>
      <c r="K48" s="14"/>
      <c r="L48" s="13"/>
      <c r="M48" s="13"/>
      <c r="P48" s="12" t="s">
        <v>14</v>
      </c>
      <c r="Q48" s="12"/>
      <c r="R48" s="12" t="s">
        <v>37</v>
      </c>
      <c r="T48">
        <f t="shared" si="0"/>
        <v>0</v>
      </c>
      <c r="U48">
        <f t="shared" si="1"/>
        <v>0</v>
      </c>
    </row>
    <row r="49" spans="1:21">
      <c r="A49" s="12"/>
      <c r="B49" s="12"/>
      <c r="C49" s="11"/>
      <c r="D49" s="11"/>
      <c r="E49" s="11"/>
      <c r="F49" s="10">
        <v>499</v>
      </c>
      <c r="G49" s="12"/>
      <c r="H49" s="13"/>
      <c r="I49" s="14"/>
      <c r="J49" s="14"/>
      <c r="K49" s="14"/>
      <c r="L49" s="13"/>
      <c r="M49" s="13"/>
      <c r="P49" s="12" t="s">
        <v>14</v>
      </c>
      <c r="Q49" s="12"/>
      <c r="R49" s="12" t="s">
        <v>37</v>
      </c>
      <c r="T49">
        <f t="shared" si="0"/>
        <v>0</v>
      </c>
      <c r="U49">
        <f t="shared" si="1"/>
        <v>0</v>
      </c>
    </row>
    <row r="50" spans="1:21">
      <c r="A50" s="12"/>
      <c r="B50" s="12"/>
      <c r="C50" s="11"/>
      <c r="D50" s="11"/>
      <c r="E50" s="11"/>
      <c r="F50" s="12">
        <v>500</v>
      </c>
      <c r="G50" s="12"/>
      <c r="H50" s="13"/>
      <c r="I50" s="14"/>
      <c r="J50" s="14"/>
      <c r="K50" s="14"/>
      <c r="L50" s="13"/>
      <c r="M50" s="13"/>
      <c r="P50" s="12" t="s">
        <v>14</v>
      </c>
      <c r="Q50" s="12"/>
      <c r="R50" s="12" t="s">
        <v>37</v>
      </c>
      <c r="T50">
        <f t="shared" si="0"/>
        <v>0</v>
      </c>
      <c r="U50">
        <f t="shared" si="1"/>
        <v>0</v>
      </c>
    </row>
    <row r="51" spans="1:21">
      <c r="A51" s="23">
        <v>40</v>
      </c>
      <c r="B51" s="23">
        <v>-20</v>
      </c>
      <c r="C51" s="24">
        <v>47.84</v>
      </c>
      <c r="D51" s="24">
        <v>-10.27</v>
      </c>
      <c r="E51" s="24" t="s">
        <v>155</v>
      </c>
      <c r="F51" s="23">
        <v>745</v>
      </c>
      <c r="G51" s="23"/>
      <c r="H51" s="25"/>
      <c r="I51" s="26"/>
      <c r="J51" s="26"/>
      <c r="K51" s="26">
        <v>1.07</v>
      </c>
      <c r="L51" s="25"/>
      <c r="M51" s="25"/>
      <c r="N51" s="27">
        <v>2.08</v>
      </c>
      <c r="O51" s="27"/>
      <c r="P51" s="23"/>
      <c r="Q51" s="23"/>
      <c r="R51" s="23"/>
      <c r="S51" s="27"/>
      <c r="T51">
        <f t="shared" si="0"/>
        <v>0</v>
      </c>
      <c r="U51">
        <f t="shared" si="1"/>
        <v>1.07</v>
      </c>
    </row>
    <row r="52" spans="1:21">
      <c r="A52" s="23">
        <v>30</v>
      </c>
      <c r="B52" s="23">
        <v>-20</v>
      </c>
      <c r="C52" s="24">
        <v>39.5</v>
      </c>
      <c r="D52" s="24">
        <v>-16</v>
      </c>
      <c r="E52" s="24" t="s">
        <v>155</v>
      </c>
      <c r="F52" s="23">
        <v>747</v>
      </c>
      <c r="G52" s="23" t="s">
        <v>150</v>
      </c>
      <c r="H52" s="25"/>
      <c r="I52" s="26"/>
      <c r="J52" s="26"/>
      <c r="K52" s="26">
        <v>4.7</v>
      </c>
      <c r="L52" s="25"/>
      <c r="M52" s="25"/>
      <c r="N52" s="27">
        <v>1.45</v>
      </c>
      <c r="O52" s="27"/>
      <c r="P52" s="23"/>
      <c r="Q52" s="23"/>
      <c r="R52" s="23"/>
      <c r="S52" s="27"/>
      <c r="T52">
        <f t="shared" si="0"/>
        <v>0</v>
      </c>
      <c r="U52">
        <f t="shared" si="1"/>
        <v>4.7</v>
      </c>
    </row>
    <row r="53" spans="1:21">
      <c r="A53" s="23">
        <v>30</v>
      </c>
      <c r="B53" s="23">
        <v>-20</v>
      </c>
      <c r="C53" s="24">
        <v>39.5</v>
      </c>
      <c r="D53" s="24">
        <v>-19</v>
      </c>
      <c r="E53" s="24" t="s">
        <v>155</v>
      </c>
      <c r="F53" s="23">
        <v>748</v>
      </c>
      <c r="G53" s="23" t="s">
        <v>149</v>
      </c>
      <c r="H53" s="25"/>
      <c r="I53" s="26"/>
      <c r="J53" s="26"/>
      <c r="K53" s="26">
        <v>3.4</v>
      </c>
      <c r="L53" s="25"/>
      <c r="M53" s="25"/>
      <c r="N53" s="27">
        <v>1.4</v>
      </c>
      <c r="O53" s="27"/>
      <c r="P53" s="23"/>
      <c r="Q53" s="23"/>
      <c r="R53" s="23"/>
      <c r="S53" s="27"/>
      <c r="T53">
        <f t="shared" si="0"/>
        <v>0</v>
      </c>
      <c r="U53">
        <f t="shared" si="1"/>
        <v>3.4</v>
      </c>
    </row>
    <row r="54" spans="1:21">
      <c r="A54" s="23">
        <v>30</v>
      </c>
      <c r="B54" s="23">
        <v>-20</v>
      </c>
      <c r="C54" s="24">
        <v>38.6</v>
      </c>
      <c r="D54" s="24">
        <v>-16.7</v>
      </c>
      <c r="E54" s="24" t="s">
        <v>155</v>
      </c>
      <c r="F54" s="23">
        <v>748</v>
      </c>
      <c r="G54" s="23" t="s">
        <v>152</v>
      </c>
      <c r="H54" s="25"/>
      <c r="I54" s="26"/>
      <c r="J54" s="26"/>
      <c r="K54" s="26">
        <v>4.0999999999999996</v>
      </c>
      <c r="L54" s="25"/>
      <c r="M54" s="25"/>
      <c r="N54" s="27">
        <v>1.4</v>
      </c>
      <c r="O54" s="27"/>
      <c r="P54" s="23"/>
      <c r="Q54" s="23"/>
      <c r="R54" s="23"/>
      <c r="S54" s="27"/>
      <c r="T54">
        <f t="shared" si="0"/>
        <v>0</v>
      </c>
      <c r="U54">
        <f t="shared" si="1"/>
        <v>4.0999999999999996</v>
      </c>
    </row>
    <row r="55" spans="1:21">
      <c r="A55" s="12"/>
      <c r="B55" s="12"/>
      <c r="C55" s="11"/>
      <c r="D55" s="11"/>
      <c r="E55" s="11"/>
      <c r="F55" s="10">
        <v>591</v>
      </c>
      <c r="G55" s="12"/>
      <c r="H55" s="13"/>
      <c r="I55" s="14"/>
      <c r="J55" s="14"/>
      <c r="K55" s="14"/>
      <c r="L55" s="13"/>
      <c r="M55" s="13"/>
      <c r="P55" s="12" t="s">
        <v>14</v>
      </c>
      <c r="Q55" s="12"/>
      <c r="R55" s="12" t="s">
        <v>37</v>
      </c>
      <c r="T55">
        <f t="shared" si="0"/>
        <v>0</v>
      </c>
      <c r="U55">
        <f t="shared" si="1"/>
        <v>0</v>
      </c>
    </row>
    <row r="56" spans="1:21">
      <c r="A56" s="12"/>
      <c r="B56" s="12"/>
      <c r="C56" s="11"/>
      <c r="D56" s="11"/>
      <c r="E56" s="11"/>
      <c r="F56" s="12">
        <v>592</v>
      </c>
      <c r="G56" s="12"/>
      <c r="H56" s="13"/>
      <c r="I56" s="14"/>
      <c r="J56" s="14"/>
      <c r="K56" s="14"/>
      <c r="L56" s="13"/>
      <c r="M56" s="13"/>
      <c r="P56" s="12" t="s">
        <v>14</v>
      </c>
      <c r="Q56" s="12"/>
      <c r="R56" s="12" t="s">
        <v>37</v>
      </c>
      <c r="T56">
        <f t="shared" si="0"/>
        <v>0</v>
      </c>
      <c r="U56">
        <f t="shared" si="1"/>
        <v>0</v>
      </c>
    </row>
    <row r="57" spans="1:21">
      <c r="A57" s="12"/>
      <c r="B57" s="12"/>
      <c r="C57" s="11"/>
      <c r="D57" s="11"/>
      <c r="E57" s="11"/>
      <c r="F57" s="10">
        <v>593</v>
      </c>
      <c r="G57" s="12"/>
      <c r="H57" s="13"/>
      <c r="I57" s="14"/>
      <c r="J57" s="14"/>
      <c r="K57" s="14"/>
      <c r="L57" s="13"/>
      <c r="M57" s="13"/>
      <c r="P57" s="12" t="s">
        <v>14</v>
      </c>
      <c r="Q57" s="12"/>
      <c r="R57" s="12" t="s">
        <v>37</v>
      </c>
      <c r="T57">
        <f t="shared" si="0"/>
        <v>0</v>
      </c>
      <c r="U57">
        <f t="shared" si="1"/>
        <v>0</v>
      </c>
    </row>
    <row r="58" spans="1:21">
      <c r="A58" s="12"/>
      <c r="B58" s="12"/>
      <c r="C58" s="11"/>
      <c r="D58" s="11"/>
      <c r="E58" s="11"/>
      <c r="F58" s="12">
        <v>594</v>
      </c>
      <c r="G58" s="12"/>
      <c r="H58" s="13"/>
      <c r="I58" s="14"/>
      <c r="J58" s="14"/>
      <c r="K58" s="14"/>
      <c r="L58" s="13"/>
      <c r="M58" s="13"/>
      <c r="P58" s="12" t="s">
        <v>14</v>
      </c>
      <c r="Q58" s="12"/>
      <c r="R58" s="12" t="s">
        <v>37</v>
      </c>
      <c r="T58">
        <f t="shared" si="0"/>
        <v>0</v>
      </c>
      <c r="U58">
        <f t="shared" si="1"/>
        <v>0</v>
      </c>
    </row>
    <row r="59" spans="1:21">
      <c r="A59" s="12"/>
      <c r="B59" s="12"/>
      <c r="C59" s="11"/>
      <c r="D59" s="11"/>
      <c r="E59" s="11"/>
      <c r="F59" s="10">
        <v>595</v>
      </c>
      <c r="G59" s="12"/>
      <c r="H59" s="13"/>
      <c r="I59" s="14"/>
      <c r="J59" s="14"/>
      <c r="K59" s="14"/>
      <c r="L59" s="13"/>
      <c r="M59" s="13"/>
      <c r="P59" s="12" t="s">
        <v>14</v>
      </c>
      <c r="Q59" s="12"/>
      <c r="R59" s="12" t="s">
        <v>37</v>
      </c>
      <c r="T59">
        <f t="shared" si="0"/>
        <v>0</v>
      </c>
      <c r="U59">
        <f t="shared" si="1"/>
        <v>0</v>
      </c>
    </row>
    <row r="60" spans="1:21">
      <c r="A60" s="12"/>
      <c r="B60" s="12"/>
      <c r="C60" s="11"/>
      <c r="D60" s="11"/>
      <c r="E60" s="11"/>
      <c r="F60" s="12">
        <v>596</v>
      </c>
      <c r="G60" s="12"/>
      <c r="H60" s="13"/>
      <c r="I60" s="14"/>
      <c r="J60" s="14"/>
      <c r="K60" s="14"/>
      <c r="L60" s="13"/>
      <c r="M60" s="13"/>
      <c r="P60" s="12" t="s">
        <v>14</v>
      </c>
      <c r="Q60" s="12"/>
      <c r="R60" s="12" t="s">
        <v>37</v>
      </c>
      <c r="T60">
        <f t="shared" si="0"/>
        <v>0</v>
      </c>
      <c r="U60">
        <f t="shared" si="1"/>
        <v>0</v>
      </c>
    </row>
    <row r="61" spans="1:21">
      <c r="A61" s="12"/>
      <c r="B61" s="12"/>
      <c r="C61" s="11"/>
      <c r="D61" s="11"/>
      <c r="E61" s="11"/>
      <c r="F61" s="10">
        <v>597</v>
      </c>
      <c r="G61" s="12"/>
      <c r="H61" s="13"/>
      <c r="I61" s="14"/>
      <c r="J61" s="14"/>
      <c r="K61" s="14"/>
      <c r="L61" s="13"/>
      <c r="M61" s="13"/>
      <c r="P61" s="12" t="s">
        <v>14</v>
      </c>
      <c r="Q61" s="12"/>
      <c r="R61" s="12" t="s">
        <v>37</v>
      </c>
      <c r="T61">
        <f t="shared" si="0"/>
        <v>0</v>
      </c>
      <c r="U61">
        <f t="shared" si="1"/>
        <v>0</v>
      </c>
    </row>
    <row r="62" spans="1:21">
      <c r="A62" s="12"/>
      <c r="B62" s="12"/>
      <c r="C62" s="11"/>
      <c r="D62" s="11"/>
      <c r="E62" s="11"/>
      <c r="F62" s="12">
        <v>598</v>
      </c>
      <c r="G62" s="12"/>
      <c r="H62" s="13"/>
      <c r="I62" s="14"/>
      <c r="J62" s="14"/>
      <c r="K62" s="14"/>
      <c r="L62" s="13"/>
      <c r="M62" s="13"/>
      <c r="P62" s="12" t="s">
        <v>14</v>
      </c>
      <c r="Q62" s="12"/>
      <c r="R62" s="12" t="s">
        <v>37</v>
      </c>
      <c r="T62">
        <f t="shared" si="0"/>
        <v>0</v>
      </c>
      <c r="U62">
        <f t="shared" si="1"/>
        <v>0</v>
      </c>
    </row>
    <row r="63" spans="1:21">
      <c r="A63" s="12"/>
      <c r="B63" s="12"/>
      <c r="C63" s="11"/>
      <c r="D63" s="11"/>
      <c r="E63" s="11"/>
      <c r="F63" s="10">
        <v>599</v>
      </c>
      <c r="G63" s="12"/>
      <c r="H63" s="13"/>
      <c r="I63" s="14"/>
      <c r="J63" s="14"/>
      <c r="K63" s="14"/>
      <c r="L63" s="13"/>
      <c r="M63" s="13"/>
      <c r="P63" s="12" t="s">
        <v>14</v>
      </c>
      <c r="Q63" s="12"/>
      <c r="R63" s="12" t="s">
        <v>37</v>
      </c>
      <c r="T63">
        <f t="shared" si="0"/>
        <v>0</v>
      </c>
      <c r="U63">
        <f t="shared" si="1"/>
        <v>0</v>
      </c>
    </row>
    <row r="64" spans="1:21">
      <c r="A64" s="12"/>
      <c r="B64" s="12"/>
      <c r="C64" s="11"/>
      <c r="D64" s="11"/>
      <c r="E64" s="11"/>
      <c r="F64" s="12">
        <v>600</v>
      </c>
      <c r="G64" s="12"/>
      <c r="H64" s="13"/>
      <c r="I64" s="14"/>
      <c r="J64" s="14"/>
      <c r="K64" s="14"/>
      <c r="L64" s="13"/>
      <c r="M64" s="13"/>
      <c r="P64" s="12" t="s">
        <v>14</v>
      </c>
      <c r="Q64" s="12"/>
      <c r="R64" s="12" t="s">
        <v>37</v>
      </c>
      <c r="T64">
        <f t="shared" si="0"/>
        <v>0</v>
      </c>
      <c r="U64">
        <f t="shared" si="1"/>
        <v>0</v>
      </c>
    </row>
    <row r="65" spans="1:21">
      <c r="A65" s="23">
        <v>0</v>
      </c>
      <c r="B65" s="23">
        <v>-30</v>
      </c>
      <c r="C65" s="24">
        <v>5.8</v>
      </c>
      <c r="D65" s="24">
        <v>-22.2</v>
      </c>
      <c r="E65" s="24" t="s">
        <v>155</v>
      </c>
      <c r="F65" s="23">
        <v>760</v>
      </c>
      <c r="G65" s="23" t="s">
        <v>152</v>
      </c>
      <c r="H65" s="25"/>
      <c r="I65" s="26"/>
      <c r="J65" s="26"/>
      <c r="K65" s="26">
        <v>18.600000000000001</v>
      </c>
      <c r="L65" s="25"/>
      <c r="M65" s="25"/>
      <c r="N65" s="27">
        <v>2.5</v>
      </c>
      <c r="O65" s="27"/>
      <c r="P65" s="23"/>
      <c r="Q65" s="23"/>
      <c r="R65" s="23"/>
      <c r="S65" s="27" t="s">
        <v>154</v>
      </c>
      <c r="T65">
        <f t="shared" si="0"/>
        <v>0</v>
      </c>
      <c r="U65">
        <f t="shared" si="1"/>
        <v>18.600000000000001</v>
      </c>
    </row>
    <row r="66" spans="1:21">
      <c r="A66" s="23">
        <v>30</v>
      </c>
      <c r="B66" s="23">
        <v>-30</v>
      </c>
      <c r="C66" s="24">
        <v>34.520000000000003</v>
      </c>
      <c r="D66" s="24">
        <v>-22.2</v>
      </c>
      <c r="E66" s="24" t="s">
        <v>155</v>
      </c>
      <c r="F66" s="23">
        <v>777</v>
      </c>
      <c r="G66" s="23" t="s">
        <v>149</v>
      </c>
      <c r="H66" s="25"/>
      <c r="I66" s="26"/>
      <c r="J66" s="26"/>
      <c r="K66" s="26">
        <v>1.5</v>
      </c>
      <c r="L66" s="25"/>
      <c r="M66" s="25"/>
      <c r="N66" s="27">
        <v>1.3</v>
      </c>
      <c r="O66" s="27"/>
      <c r="P66" s="23"/>
      <c r="Q66" s="23"/>
      <c r="R66" s="23"/>
      <c r="S66" s="27"/>
      <c r="T66">
        <f t="shared" ref="T66:T129" si="2">IF(H66="",I66,H66/PI())</f>
        <v>0</v>
      </c>
      <c r="U66">
        <f t="shared" ref="U66:U129" si="3">IF(J66="dead","dead",J66/PI()+K66)</f>
        <v>1.5</v>
      </c>
    </row>
    <row r="67" spans="1:21">
      <c r="A67" s="23">
        <v>40</v>
      </c>
      <c r="B67" s="23">
        <v>-30</v>
      </c>
      <c r="C67" s="24">
        <v>42.09</v>
      </c>
      <c r="D67" s="24">
        <v>-25.31</v>
      </c>
      <c r="E67" s="24" t="s">
        <v>155</v>
      </c>
      <c r="F67" s="23">
        <v>782</v>
      </c>
      <c r="G67" s="23" t="s">
        <v>150</v>
      </c>
      <c r="H67" s="25"/>
      <c r="I67" s="26"/>
      <c r="J67" s="26"/>
      <c r="K67" s="26">
        <v>19.7</v>
      </c>
      <c r="L67" s="25"/>
      <c r="M67" s="25"/>
      <c r="N67" s="27">
        <v>2.7</v>
      </c>
      <c r="O67" s="27"/>
      <c r="P67" s="23"/>
      <c r="Q67" s="23"/>
      <c r="R67" s="23"/>
      <c r="S67" s="27" t="s">
        <v>154</v>
      </c>
      <c r="T67">
        <f t="shared" si="2"/>
        <v>0</v>
      </c>
      <c r="U67">
        <f t="shared" si="3"/>
        <v>19.7</v>
      </c>
    </row>
    <row r="68" spans="1:21">
      <c r="A68" s="23">
        <v>40</v>
      </c>
      <c r="B68" s="23">
        <v>-30</v>
      </c>
      <c r="C68" s="24">
        <v>42.24</v>
      </c>
      <c r="D68" s="24">
        <v>-25.94</v>
      </c>
      <c r="E68" s="24" t="s">
        <v>155</v>
      </c>
      <c r="F68" s="23">
        <v>781</v>
      </c>
      <c r="G68" s="23" t="s">
        <v>150</v>
      </c>
      <c r="H68" s="25"/>
      <c r="I68" s="26"/>
      <c r="J68" s="26"/>
      <c r="K68" s="26">
        <v>3</v>
      </c>
      <c r="L68" s="25"/>
      <c r="M68" s="25"/>
      <c r="N68" s="27">
        <v>1.3</v>
      </c>
      <c r="O68" s="27"/>
      <c r="P68" s="23"/>
      <c r="Q68" s="23"/>
      <c r="R68" s="23"/>
      <c r="S68" s="27" t="s">
        <v>154</v>
      </c>
      <c r="T68">
        <f t="shared" si="2"/>
        <v>0</v>
      </c>
      <c r="U68">
        <f t="shared" si="3"/>
        <v>3</v>
      </c>
    </row>
    <row r="69" spans="1:21">
      <c r="A69" s="23">
        <v>40</v>
      </c>
      <c r="B69" s="23">
        <v>-30</v>
      </c>
      <c r="C69" s="24">
        <v>40.799999999999997</v>
      </c>
      <c r="D69" s="24">
        <v>-21</v>
      </c>
      <c r="E69" s="24" t="s">
        <v>155</v>
      </c>
      <c r="F69" s="23">
        <v>778</v>
      </c>
      <c r="G69" s="23" t="s">
        <v>150</v>
      </c>
      <c r="H69" s="25"/>
      <c r="I69" s="26"/>
      <c r="J69" s="26"/>
      <c r="K69" s="26">
        <v>4</v>
      </c>
      <c r="L69" s="25"/>
      <c r="M69" s="25"/>
      <c r="N69" s="27">
        <v>1.3</v>
      </c>
      <c r="O69" s="27"/>
      <c r="P69" s="23"/>
      <c r="Q69" s="23"/>
      <c r="R69" s="23"/>
      <c r="S69" s="27"/>
      <c r="T69">
        <f t="shared" si="2"/>
        <v>0</v>
      </c>
      <c r="U69">
        <f t="shared" si="3"/>
        <v>4</v>
      </c>
    </row>
    <row r="70" spans="1:21">
      <c r="A70" s="23">
        <v>40</v>
      </c>
      <c r="B70" s="23">
        <v>-30</v>
      </c>
      <c r="C70" s="24">
        <v>40.5</v>
      </c>
      <c r="D70" s="24">
        <v>-21</v>
      </c>
      <c r="E70" s="24" t="s">
        <v>155</v>
      </c>
      <c r="F70" s="23">
        <v>779</v>
      </c>
      <c r="G70" s="23" t="s">
        <v>150</v>
      </c>
      <c r="H70" s="25"/>
      <c r="I70" s="26"/>
      <c r="J70" s="26"/>
      <c r="K70" s="26">
        <v>2.7</v>
      </c>
      <c r="L70" s="25"/>
      <c r="M70" s="25"/>
      <c r="N70" s="27">
        <v>1.5</v>
      </c>
      <c r="O70" s="27"/>
      <c r="P70" s="23"/>
      <c r="Q70" s="23"/>
      <c r="R70" s="23"/>
      <c r="S70" s="27"/>
      <c r="T70">
        <f t="shared" si="2"/>
        <v>0</v>
      </c>
      <c r="U70">
        <f t="shared" si="3"/>
        <v>2.7</v>
      </c>
    </row>
    <row r="71" spans="1:21">
      <c r="A71" s="23">
        <v>40</v>
      </c>
      <c r="B71" s="23">
        <v>-30</v>
      </c>
      <c r="C71" s="24">
        <v>45.6</v>
      </c>
      <c r="D71" s="24">
        <v>-28.6</v>
      </c>
      <c r="E71" s="24" t="s">
        <v>147</v>
      </c>
      <c r="F71" s="23">
        <v>602</v>
      </c>
      <c r="G71" s="23" t="s">
        <v>149</v>
      </c>
      <c r="H71" s="25"/>
      <c r="I71" s="26"/>
      <c r="J71" s="26"/>
      <c r="K71" s="26">
        <v>5.0999999999999996</v>
      </c>
      <c r="L71" s="25"/>
      <c r="M71" s="25"/>
      <c r="N71" s="27">
        <v>1.9</v>
      </c>
      <c r="O71" s="27"/>
      <c r="P71" s="23"/>
      <c r="Q71" s="23"/>
      <c r="R71" s="23"/>
      <c r="S71" s="27"/>
      <c r="T71">
        <f t="shared" si="2"/>
        <v>0</v>
      </c>
      <c r="U71">
        <f t="shared" si="3"/>
        <v>5.0999999999999996</v>
      </c>
    </row>
    <row r="72" spans="1:21">
      <c r="A72" s="23">
        <v>20</v>
      </c>
      <c r="B72" s="23">
        <v>-40</v>
      </c>
      <c r="C72" s="24">
        <v>24.12</v>
      </c>
      <c r="D72" s="24">
        <v>-32.29</v>
      </c>
      <c r="E72" s="24" t="s">
        <v>155</v>
      </c>
      <c r="F72" s="23">
        <v>787</v>
      </c>
      <c r="G72" s="23" t="s">
        <v>152</v>
      </c>
      <c r="H72" s="25"/>
      <c r="I72" s="26"/>
      <c r="J72" s="26"/>
      <c r="K72" s="26">
        <v>7</v>
      </c>
      <c r="L72" s="25"/>
      <c r="M72" s="25"/>
      <c r="N72" s="27">
        <v>1.73</v>
      </c>
      <c r="O72" s="27">
        <v>0</v>
      </c>
      <c r="P72" s="23"/>
      <c r="Q72" s="23"/>
      <c r="R72" s="23"/>
      <c r="S72" s="27"/>
      <c r="T72">
        <f t="shared" si="2"/>
        <v>0</v>
      </c>
      <c r="U72">
        <f t="shared" si="3"/>
        <v>7</v>
      </c>
    </row>
    <row r="73" spans="1:21">
      <c r="A73" s="12"/>
      <c r="B73" s="12"/>
      <c r="C73" s="11"/>
      <c r="D73" s="11"/>
      <c r="E73" s="11"/>
      <c r="F73" s="12">
        <v>732</v>
      </c>
      <c r="G73" s="12"/>
      <c r="H73" s="13"/>
      <c r="I73" s="14"/>
      <c r="J73" s="14"/>
      <c r="K73" s="14"/>
      <c r="L73" s="13"/>
      <c r="M73" s="13"/>
      <c r="P73" s="12" t="s">
        <v>14</v>
      </c>
      <c r="Q73" s="12"/>
      <c r="R73" s="12" t="s">
        <v>37</v>
      </c>
      <c r="T73">
        <f t="shared" si="2"/>
        <v>0</v>
      </c>
      <c r="U73">
        <f t="shared" si="3"/>
        <v>0</v>
      </c>
    </row>
    <row r="74" spans="1:21">
      <c r="A74" s="12"/>
      <c r="B74" s="12"/>
      <c r="C74" s="11"/>
      <c r="D74" s="11"/>
      <c r="E74" s="11"/>
      <c r="F74" s="10">
        <v>733</v>
      </c>
      <c r="G74" s="12"/>
      <c r="H74" s="13"/>
      <c r="I74" s="14"/>
      <c r="J74" s="14"/>
      <c r="K74" s="14"/>
      <c r="L74" s="13"/>
      <c r="M74" s="13"/>
      <c r="P74" s="12" t="s">
        <v>14</v>
      </c>
      <c r="Q74" s="12"/>
      <c r="R74" s="12" t="s">
        <v>37</v>
      </c>
      <c r="T74">
        <f t="shared" si="2"/>
        <v>0</v>
      </c>
      <c r="U74">
        <f t="shared" si="3"/>
        <v>0</v>
      </c>
    </row>
    <row r="75" spans="1:21">
      <c r="A75" s="12"/>
      <c r="B75" s="12"/>
      <c r="C75" s="11"/>
      <c r="D75" s="11"/>
      <c r="E75" s="11"/>
      <c r="F75" s="12">
        <v>734</v>
      </c>
      <c r="G75" s="12"/>
      <c r="H75" s="13"/>
      <c r="I75" s="14"/>
      <c r="J75" s="14"/>
      <c r="K75" s="14"/>
      <c r="L75" s="13"/>
      <c r="M75" s="13"/>
      <c r="P75" s="12" t="s">
        <v>14</v>
      </c>
      <c r="Q75" s="12"/>
      <c r="R75" s="12" t="s">
        <v>37</v>
      </c>
      <c r="T75">
        <f t="shared" si="2"/>
        <v>0</v>
      </c>
      <c r="U75">
        <f t="shared" si="3"/>
        <v>0</v>
      </c>
    </row>
    <row r="76" spans="1:21">
      <c r="A76" s="12"/>
      <c r="B76" s="12"/>
      <c r="C76" s="11"/>
      <c r="D76" s="11"/>
      <c r="E76" s="11"/>
      <c r="F76" s="10">
        <v>735</v>
      </c>
      <c r="G76" s="12"/>
      <c r="H76" s="13"/>
      <c r="I76" s="14"/>
      <c r="J76" s="14"/>
      <c r="K76" s="14"/>
      <c r="L76" s="13"/>
      <c r="M76" s="13"/>
      <c r="P76" s="12" t="s">
        <v>14</v>
      </c>
      <c r="Q76" s="12"/>
      <c r="R76" s="12" t="s">
        <v>37</v>
      </c>
      <c r="T76">
        <f t="shared" si="2"/>
        <v>0</v>
      </c>
      <c r="U76">
        <f t="shared" si="3"/>
        <v>0</v>
      </c>
    </row>
    <row r="77" spans="1:21">
      <c r="A77" s="12"/>
      <c r="B77" s="12"/>
      <c r="C77" s="11"/>
      <c r="D77" s="11"/>
      <c r="E77" s="11"/>
      <c r="F77" s="12">
        <v>736</v>
      </c>
      <c r="G77" s="12"/>
      <c r="H77" s="13"/>
      <c r="I77" s="14"/>
      <c r="J77" s="14"/>
      <c r="K77" s="14"/>
      <c r="L77" s="13"/>
      <c r="M77" s="13"/>
      <c r="P77" s="12" t="s">
        <v>14</v>
      </c>
      <c r="Q77" s="12"/>
      <c r="R77" s="12" t="s">
        <v>37</v>
      </c>
      <c r="T77">
        <f t="shared" si="2"/>
        <v>0</v>
      </c>
      <c r="U77">
        <f t="shared" si="3"/>
        <v>0</v>
      </c>
    </row>
    <row r="78" spans="1:21">
      <c r="A78" s="12"/>
      <c r="B78" s="12"/>
      <c r="C78" s="11"/>
      <c r="D78" s="11"/>
      <c r="E78" s="11"/>
      <c r="F78" s="10">
        <v>737</v>
      </c>
      <c r="G78" s="12"/>
      <c r="H78" s="13"/>
      <c r="I78" s="14"/>
      <c r="J78" s="14"/>
      <c r="K78" s="14"/>
      <c r="L78" s="13"/>
      <c r="M78" s="13"/>
      <c r="P78" s="12" t="s">
        <v>14</v>
      </c>
      <c r="Q78" s="12"/>
      <c r="R78" s="12" t="s">
        <v>37</v>
      </c>
      <c r="T78">
        <f t="shared" si="2"/>
        <v>0</v>
      </c>
      <c r="U78">
        <f t="shared" si="3"/>
        <v>0</v>
      </c>
    </row>
    <row r="79" spans="1:21">
      <c r="A79" s="12"/>
      <c r="B79" s="12"/>
      <c r="C79" s="11"/>
      <c r="D79" s="11"/>
      <c r="E79" s="11"/>
      <c r="F79" s="12">
        <v>738</v>
      </c>
      <c r="G79" s="12"/>
      <c r="H79" s="13"/>
      <c r="I79" s="14"/>
      <c r="J79" s="14"/>
      <c r="K79" s="14"/>
      <c r="L79" s="13"/>
      <c r="M79" s="13"/>
      <c r="P79" s="12" t="s">
        <v>14</v>
      </c>
      <c r="Q79" s="12"/>
      <c r="R79" s="12" t="s">
        <v>37</v>
      </c>
      <c r="T79">
        <f t="shared" si="2"/>
        <v>0</v>
      </c>
      <c r="U79">
        <f t="shared" si="3"/>
        <v>0</v>
      </c>
    </row>
    <row r="80" spans="1:21">
      <c r="A80" s="12"/>
      <c r="B80" s="12"/>
      <c r="C80" s="11"/>
      <c r="D80" s="11"/>
      <c r="E80" s="11"/>
      <c r="F80" s="10">
        <v>739</v>
      </c>
      <c r="G80" s="12"/>
      <c r="H80" s="13"/>
      <c r="I80" s="14"/>
      <c r="J80" s="14"/>
      <c r="K80" s="14"/>
      <c r="L80" s="13"/>
      <c r="M80" s="13"/>
      <c r="P80" s="12" t="s">
        <v>14</v>
      </c>
      <c r="Q80" s="12"/>
      <c r="R80" s="12" t="s">
        <v>37</v>
      </c>
      <c r="T80">
        <f t="shared" si="2"/>
        <v>0</v>
      </c>
      <c r="U80">
        <f t="shared" si="3"/>
        <v>0</v>
      </c>
    </row>
    <row r="81" spans="1:21">
      <c r="A81" s="12"/>
      <c r="B81" s="12"/>
      <c r="C81" s="11"/>
      <c r="D81" s="11"/>
      <c r="E81" s="11"/>
      <c r="F81" s="12">
        <v>740</v>
      </c>
      <c r="G81" s="12"/>
      <c r="H81" s="13"/>
      <c r="I81" s="14"/>
      <c r="J81" s="14"/>
      <c r="K81" s="14"/>
      <c r="L81" s="13"/>
      <c r="M81" s="13"/>
      <c r="N81" s="12"/>
      <c r="O81" s="12"/>
      <c r="P81" s="12" t="s">
        <v>14</v>
      </c>
      <c r="Q81" s="12"/>
      <c r="R81" s="32" t="s">
        <v>37</v>
      </c>
      <c r="S81" s="12"/>
      <c r="T81">
        <f t="shared" si="2"/>
        <v>0</v>
      </c>
      <c r="U81">
        <f t="shared" si="3"/>
        <v>0</v>
      </c>
    </row>
    <row r="82" spans="1:21">
      <c r="A82" s="12"/>
      <c r="B82" s="12"/>
      <c r="C82" s="11"/>
      <c r="D82" s="11"/>
      <c r="E82" s="11"/>
      <c r="F82" s="10">
        <v>741</v>
      </c>
      <c r="G82" s="12"/>
      <c r="H82" s="13"/>
      <c r="I82" s="14"/>
      <c r="J82" s="14"/>
      <c r="K82" s="14"/>
      <c r="L82" s="13"/>
      <c r="M82" s="13"/>
      <c r="N82" s="32"/>
      <c r="O82" s="32"/>
      <c r="P82" s="12" t="s">
        <v>14</v>
      </c>
      <c r="Q82" s="12"/>
      <c r="R82" s="12" t="s">
        <v>37</v>
      </c>
      <c r="S82" s="32"/>
      <c r="T82">
        <f t="shared" si="2"/>
        <v>0</v>
      </c>
      <c r="U82">
        <f t="shared" si="3"/>
        <v>0</v>
      </c>
    </row>
    <row r="83" spans="1:21">
      <c r="A83" s="12"/>
      <c r="B83" s="12"/>
      <c r="C83" s="11"/>
      <c r="D83" s="11"/>
      <c r="E83" s="11"/>
      <c r="F83" s="12">
        <v>742</v>
      </c>
      <c r="G83" s="12"/>
      <c r="H83" s="13"/>
      <c r="I83" s="14"/>
      <c r="J83" s="14"/>
      <c r="K83" s="14"/>
      <c r="L83" s="13"/>
      <c r="M83" s="13"/>
      <c r="P83" s="12" t="s">
        <v>14</v>
      </c>
      <c r="Q83" s="12"/>
      <c r="R83" s="12" t="s">
        <v>37</v>
      </c>
      <c r="T83">
        <f t="shared" si="2"/>
        <v>0</v>
      </c>
      <c r="U83">
        <f t="shared" si="3"/>
        <v>0</v>
      </c>
    </row>
    <row r="84" spans="1:21">
      <c r="A84" s="12"/>
      <c r="B84" s="12"/>
      <c r="C84" s="11"/>
      <c r="D84" s="11"/>
      <c r="E84" s="11"/>
      <c r="F84" s="10">
        <v>743</v>
      </c>
      <c r="G84" s="12"/>
      <c r="H84" s="13"/>
      <c r="I84" s="14"/>
      <c r="J84" s="14"/>
      <c r="K84" s="14"/>
      <c r="L84" s="13"/>
      <c r="M84" s="13"/>
      <c r="P84" s="12" t="s">
        <v>14</v>
      </c>
      <c r="Q84" s="12"/>
      <c r="R84" s="12" t="s">
        <v>37</v>
      </c>
      <c r="T84">
        <f t="shared" si="2"/>
        <v>0</v>
      </c>
      <c r="U84">
        <f t="shared" si="3"/>
        <v>0</v>
      </c>
    </row>
    <row r="85" spans="1:21">
      <c r="A85" s="12"/>
      <c r="B85" s="12"/>
      <c r="C85" s="11"/>
      <c r="D85" s="11"/>
      <c r="E85" s="11"/>
      <c r="F85" s="12">
        <v>744</v>
      </c>
      <c r="G85" s="12"/>
      <c r="H85" s="13"/>
      <c r="I85" s="14"/>
      <c r="J85" s="14"/>
      <c r="K85" s="14"/>
      <c r="L85" s="13"/>
      <c r="M85" s="13"/>
      <c r="P85" s="12" t="s">
        <v>14</v>
      </c>
      <c r="Q85" s="12"/>
      <c r="R85" s="12" t="s">
        <v>37</v>
      </c>
      <c r="T85">
        <f t="shared" si="2"/>
        <v>0</v>
      </c>
      <c r="U85">
        <f t="shared" si="3"/>
        <v>0</v>
      </c>
    </row>
    <row r="86" spans="1:21">
      <c r="A86" s="12"/>
      <c r="B86" s="12"/>
      <c r="C86" s="11"/>
      <c r="D86" s="11"/>
      <c r="E86" s="11"/>
      <c r="F86" s="10">
        <v>745</v>
      </c>
      <c r="G86" s="12"/>
      <c r="H86" s="13"/>
      <c r="I86" s="14"/>
      <c r="J86" s="14"/>
      <c r="K86" s="14"/>
      <c r="L86" s="13"/>
      <c r="M86" s="13"/>
      <c r="P86" s="12" t="s">
        <v>14</v>
      </c>
      <c r="Q86" s="12"/>
      <c r="R86" s="12" t="s">
        <v>37</v>
      </c>
      <c r="T86">
        <f t="shared" si="2"/>
        <v>0</v>
      </c>
      <c r="U86">
        <f t="shared" si="3"/>
        <v>0</v>
      </c>
    </row>
    <row r="87" spans="1:21">
      <c r="A87" s="12"/>
      <c r="B87" s="12"/>
      <c r="C87" s="11"/>
      <c r="D87" s="11"/>
      <c r="E87" s="11"/>
      <c r="F87" s="12">
        <v>746</v>
      </c>
      <c r="G87" s="12"/>
      <c r="H87" s="13"/>
      <c r="I87" s="14"/>
      <c r="J87" s="14"/>
      <c r="K87" s="14"/>
      <c r="L87" s="13"/>
      <c r="M87" s="13"/>
      <c r="P87" s="12" t="s">
        <v>14</v>
      </c>
      <c r="Q87" s="12"/>
      <c r="R87" s="12" t="s">
        <v>37</v>
      </c>
      <c r="T87">
        <f t="shared" si="2"/>
        <v>0</v>
      </c>
      <c r="U87">
        <f t="shared" si="3"/>
        <v>0</v>
      </c>
    </row>
    <row r="88" spans="1:21">
      <c r="A88" s="12"/>
      <c r="B88" s="12"/>
      <c r="C88" s="11"/>
      <c r="D88" s="11"/>
      <c r="E88" s="11"/>
      <c r="F88" s="10">
        <v>747</v>
      </c>
      <c r="G88" s="12"/>
      <c r="H88" s="13"/>
      <c r="I88" s="14"/>
      <c r="J88" s="14"/>
      <c r="K88" s="14"/>
      <c r="L88" s="13"/>
      <c r="M88" s="13"/>
      <c r="P88" s="12" t="s">
        <v>14</v>
      </c>
      <c r="Q88" s="12"/>
      <c r="R88" s="12" t="s">
        <v>37</v>
      </c>
      <c r="T88">
        <f t="shared" si="2"/>
        <v>0</v>
      </c>
      <c r="U88">
        <f t="shared" si="3"/>
        <v>0</v>
      </c>
    </row>
    <row r="89" spans="1:21">
      <c r="A89" s="12"/>
      <c r="B89" s="12"/>
      <c r="C89" s="11"/>
      <c r="D89" s="11"/>
      <c r="E89" s="11"/>
      <c r="F89" s="12">
        <v>748</v>
      </c>
      <c r="G89" s="12"/>
      <c r="H89" s="13"/>
      <c r="I89" s="14"/>
      <c r="J89" s="14"/>
      <c r="K89" s="14"/>
      <c r="L89" s="13"/>
      <c r="M89" s="13"/>
      <c r="P89" s="12" t="s">
        <v>14</v>
      </c>
      <c r="Q89" s="12"/>
      <c r="R89" s="12" t="s">
        <v>37</v>
      </c>
      <c r="T89">
        <f t="shared" si="2"/>
        <v>0</v>
      </c>
      <c r="U89">
        <f t="shared" si="3"/>
        <v>0</v>
      </c>
    </row>
    <row r="90" spans="1:21">
      <c r="A90" s="12"/>
      <c r="B90" s="12"/>
      <c r="C90" s="11"/>
      <c r="D90" s="11"/>
      <c r="E90" s="11"/>
      <c r="F90" s="10">
        <v>749</v>
      </c>
      <c r="G90" s="12"/>
      <c r="H90" s="13"/>
      <c r="I90" s="14"/>
      <c r="J90" s="14"/>
      <c r="K90" s="14"/>
      <c r="L90" s="13"/>
      <c r="M90" s="13"/>
      <c r="P90" s="12" t="s">
        <v>14</v>
      </c>
      <c r="Q90" s="12"/>
      <c r="R90" s="12" t="s">
        <v>37</v>
      </c>
      <c r="T90">
        <f t="shared" si="2"/>
        <v>0</v>
      </c>
      <c r="U90">
        <f t="shared" si="3"/>
        <v>0</v>
      </c>
    </row>
    <row r="91" spans="1:21">
      <c r="A91" s="12"/>
      <c r="B91" s="12"/>
      <c r="C91" s="11"/>
      <c r="D91" s="11"/>
      <c r="E91" s="11"/>
      <c r="F91" s="12">
        <v>750</v>
      </c>
      <c r="G91" s="12"/>
      <c r="H91" s="13"/>
      <c r="I91" s="14"/>
      <c r="J91" s="14"/>
      <c r="K91" s="14"/>
      <c r="L91" s="13"/>
      <c r="M91" s="13"/>
      <c r="P91" s="12" t="s">
        <v>14</v>
      </c>
      <c r="Q91" s="12"/>
      <c r="R91" s="12" t="s">
        <v>37</v>
      </c>
      <c r="T91">
        <f t="shared" si="2"/>
        <v>0</v>
      </c>
      <c r="U91">
        <f t="shared" si="3"/>
        <v>0</v>
      </c>
    </row>
    <row r="92" spans="1:21">
      <c r="A92" s="12"/>
      <c r="B92" s="12"/>
      <c r="C92" s="11"/>
      <c r="D92" s="11"/>
      <c r="E92" s="11"/>
      <c r="F92" s="10">
        <v>751</v>
      </c>
      <c r="G92" s="12"/>
      <c r="H92" s="13"/>
      <c r="I92" s="14"/>
      <c r="J92" s="14"/>
      <c r="K92" s="14"/>
      <c r="L92" s="13"/>
      <c r="M92" s="13"/>
      <c r="P92" s="12" t="s">
        <v>14</v>
      </c>
      <c r="Q92" s="12"/>
      <c r="R92" s="12" t="s">
        <v>37</v>
      </c>
      <c r="T92">
        <f t="shared" si="2"/>
        <v>0</v>
      </c>
      <c r="U92">
        <f t="shared" si="3"/>
        <v>0</v>
      </c>
    </row>
    <row r="93" spans="1:21">
      <c r="A93" s="12"/>
      <c r="B93" s="12"/>
      <c r="C93" s="11"/>
      <c r="D93" s="11"/>
      <c r="E93" s="11"/>
      <c r="F93" s="12">
        <v>752</v>
      </c>
      <c r="G93" s="12"/>
      <c r="H93" s="13"/>
      <c r="I93" s="14"/>
      <c r="J93" s="14"/>
      <c r="K93" s="14"/>
      <c r="L93" s="13"/>
      <c r="M93" s="13"/>
      <c r="P93" s="12" t="s">
        <v>14</v>
      </c>
      <c r="Q93" s="12"/>
      <c r="R93" s="12" t="s">
        <v>37</v>
      </c>
      <c r="T93">
        <f t="shared" si="2"/>
        <v>0</v>
      </c>
      <c r="U93">
        <f t="shared" si="3"/>
        <v>0</v>
      </c>
    </row>
    <row r="94" spans="1:21">
      <c r="A94" s="12"/>
      <c r="B94" s="12"/>
      <c r="C94" s="11"/>
      <c r="D94" s="11"/>
      <c r="E94" s="11"/>
      <c r="F94" s="10">
        <v>753</v>
      </c>
      <c r="G94" s="12"/>
      <c r="H94" s="13"/>
      <c r="I94" s="14"/>
      <c r="J94" s="14"/>
      <c r="K94" s="14"/>
      <c r="L94" s="13"/>
      <c r="M94" s="13"/>
      <c r="P94" s="12" t="s">
        <v>14</v>
      </c>
      <c r="Q94" s="12"/>
      <c r="R94" s="12" t="s">
        <v>37</v>
      </c>
      <c r="T94">
        <f t="shared" si="2"/>
        <v>0</v>
      </c>
      <c r="U94">
        <f t="shared" si="3"/>
        <v>0</v>
      </c>
    </row>
    <row r="95" spans="1:21">
      <c r="A95" s="12"/>
      <c r="B95" s="12"/>
      <c r="C95" s="11"/>
      <c r="D95" s="11"/>
      <c r="E95" s="11"/>
      <c r="F95" s="12">
        <v>754</v>
      </c>
      <c r="G95" s="12"/>
      <c r="H95" s="13"/>
      <c r="I95" s="14"/>
      <c r="J95" s="14"/>
      <c r="K95" s="14"/>
      <c r="L95" s="13"/>
      <c r="M95" s="13"/>
      <c r="P95" s="12" t="s">
        <v>14</v>
      </c>
      <c r="Q95" s="12"/>
      <c r="R95" s="12" t="s">
        <v>37</v>
      </c>
      <c r="T95">
        <f t="shared" si="2"/>
        <v>0</v>
      </c>
      <c r="U95">
        <f t="shared" si="3"/>
        <v>0</v>
      </c>
    </row>
    <row r="96" spans="1:21">
      <c r="A96" s="12"/>
      <c r="B96" s="12"/>
      <c r="C96" s="11"/>
      <c r="D96" s="11"/>
      <c r="E96" s="11"/>
      <c r="F96" s="10">
        <v>755</v>
      </c>
      <c r="G96" s="12"/>
      <c r="H96" s="13"/>
      <c r="I96" s="14"/>
      <c r="J96" s="14"/>
      <c r="K96" s="14"/>
      <c r="L96" s="13"/>
      <c r="M96" s="13"/>
      <c r="P96" s="12" t="s">
        <v>14</v>
      </c>
      <c r="Q96" s="12"/>
      <c r="R96" s="12" t="s">
        <v>37</v>
      </c>
      <c r="T96">
        <f t="shared" si="2"/>
        <v>0</v>
      </c>
      <c r="U96">
        <f t="shared" si="3"/>
        <v>0</v>
      </c>
    </row>
    <row r="97" spans="1:21">
      <c r="A97" s="12"/>
      <c r="B97" s="12"/>
      <c r="C97" s="11"/>
      <c r="D97" s="11"/>
      <c r="E97" s="11"/>
      <c r="F97" s="12">
        <v>756</v>
      </c>
      <c r="G97" s="12"/>
      <c r="H97" s="13"/>
      <c r="I97" s="14"/>
      <c r="J97" s="14"/>
      <c r="K97" s="14"/>
      <c r="L97" s="13"/>
      <c r="M97" s="13"/>
      <c r="P97" s="12" t="s">
        <v>14</v>
      </c>
      <c r="Q97" s="12"/>
      <c r="R97" s="12" t="s">
        <v>37</v>
      </c>
      <c r="T97">
        <f t="shared" si="2"/>
        <v>0</v>
      </c>
      <c r="U97">
        <f t="shared" si="3"/>
        <v>0</v>
      </c>
    </row>
    <row r="98" spans="1:21">
      <c r="A98" s="12"/>
      <c r="B98" s="12"/>
      <c r="C98" s="11"/>
      <c r="D98" s="11"/>
      <c r="E98" s="11"/>
      <c r="F98" s="10">
        <v>757</v>
      </c>
      <c r="G98" s="12"/>
      <c r="H98" s="13"/>
      <c r="I98" s="14"/>
      <c r="J98" s="14"/>
      <c r="K98" s="14"/>
      <c r="L98" s="13"/>
      <c r="M98" s="13"/>
      <c r="P98" s="12" t="s">
        <v>14</v>
      </c>
      <c r="Q98" s="12"/>
      <c r="R98" s="12" t="s">
        <v>37</v>
      </c>
      <c r="T98">
        <f t="shared" si="2"/>
        <v>0</v>
      </c>
      <c r="U98">
        <f t="shared" si="3"/>
        <v>0</v>
      </c>
    </row>
    <row r="99" spans="1:21">
      <c r="A99" s="12"/>
      <c r="B99" s="12"/>
      <c r="C99" s="11"/>
      <c r="D99" s="11"/>
      <c r="E99" s="11"/>
      <c r="F99" s="12">
        <v>758</v>
      </c>
      <c r="G99" s="12"/>
      <c r="H99" s="13"/>
      <c r="I99" s="14"/>
      <c r="J99" s="14"/>
      <c r="K99" s="14"/>
      <c r="L99" s="13"/>
      <c r="M99" s="13"/>
      <c r="P99" s="12" t="s">
        <v>14</v>
      </c>
      <c r="Q99" s="12"/>
      <c r="R99" s="12" t="s">
        <v>37</v>
      </c>
      <c r="T99">
        <f t="shared" si="2"/>
        <v>0</v>
      </c>
      <c r="U99">
        <f t="shared" si="3"/>
        <v>0</v>
      </c>
    </row>
    <row r="100" spans="1:21">
      <c r="A100" s="12"/>
      <c r="B100" s="12"/>
      <c r="C100" s="11"/>
      <c r="D100" s="11"/>
      <c r="E100" s="11"/>
      <c r="F100" s="10">
        <v>759</v>
      </c>
      <c r="G100" s="12"/>
      <c r="H100" s="13"/>
      <c r="I100" s="14"/>
      <c r="J100" s="14"/>
      <c r="K100" s="14"/>
      <c r="L100" s="13"/>
      <c r="M100" s="13"/>
      <c r="P100" s="12" t="s">
        <v>14</v>
      </c>
      <c r="Q100" s="12"/>
      <c r="R100" s="12" t="s">
        <v>37</v>
      </c>
      <c r="T100">
        <f t="shared" si="2"/>
        <v>0</v>
      </c>
      <c r="U100">
        <f t="shared" si="3"/>
        <v>0</v>
      </c>
    </row>
    <row r="101" spans="1:21">
      <c r="A101" s="12"/>
      <c r="B101" s="12"/>
      <c r="C101" s="11"/>
      <c r="D101" s="11"/>
      <c r="E101" s="11"/>
      <c r="F101" s="12">
        <v>760</v>
      </c>
      <c r="G101" s="12"/>
      <c r="H101" s="13"/>
      <c r="I101" s="14"/>
      <c r="J101" s="14"/>
      <c r="K101" s="14"/>
      <c r="L101" s="13"/>
      <c r="M101" s="13"/>
      <c r="P101" s="12" t="s">
        <v>14</v>
      </c>
      <c r="Q101" s="12"/>
      <c r="R101" s="12" t="s">
        <v>37</v>
      </c>
      <c r="T101">
        <f t="shared" si="2"/>
        <v>0</v>
      </c>
      <c r="U101">
        <f t="shared" si="3"/>
        <v>0</v>
      </c>
    </row>
    <row r="102" spans="1:21">
      <c r="A102" s="12"/>
      <c r="B102" s="12"/>
      <c r="C102" s="11"/>
      <c r="D102" s="11"/>
      <c r="E102" s="11"/>
      <c r="F102" s="10">
        <v>761</v>
      </c>
      <c r="G102" s="12"/>
      <c r="H102" s="13"/>
      <c r="I102" s="14"/>
      <c r="J102" s="14"/>
      <c r="K102" s="14"/>
      <c r="L102" s="13"/>
      <c r="M102" s="13"/>
      <c r="P102" s="12" t="s">
        <v>14</v>
      </c>
      <c r="Q102" s="12"/>
      <c r="R102" s="12" t="s">
        <v>37</v>
      </c>
      <c r="T102">
        <f t="shared" si="2"/>
        <v>0</v>
      </c>
      <c r="U102">
        <f t="shared" si="3"/>
        <v>0</v>
      </c>
    </row>
    <row r="103" spans="1:21">
      <c r="A103" s="12"/>
      <c r="B103" s="12"/>
      <c r="C103" s="11"/>
      <c r="D103" s="11"/>
      <c r="E103" s="11"/>
      <c r="F103" s="12">
        <v>762</v>
      </c>
      <c r="G103" s="12"/>
      <c r="H103" s="13"/>
      <c r="I103" s="14"/>
      <c r="J103" s="14"/>
      <c r="K103" s="14"/>
      <c r="L103" s="13"/>
      <c r="M103" s="13"/>
      <c r="P103" s="12" t="s">
        <v>14</v>
      </c>
      <c r="Q103" s="12"/>
      <c r="R103" s="12" t="s">
        <v>37</v>
      </c>
      <c r="T103">
        <f t="shared" si="2"/>
        <v>0</v>
      </c>
      <c r="U103">
        <f t="shared" si="3"/>
        <v>0</v>
      </c>
    </row>
    <row r="104" spans="1:21">
      <c r="A104" s="12"/>
      <c r="B104" s="12"/>
      <c r="C104" s="11"/>
      <c r="D104" s="11"/>
      <c r="E104" s="11"/>
      <c r="F104" s="10">
        <v>763</v>
      </c>
      <c r="G104" s="12"/>
      <c r="H104" s="13"/>
      <c r="I104" s="14"/>
      <c r="J104" s="14"/>
      <c r="K104" s="14"/>
      <c r="L104" s="13"/>
      <c r="M104" s="13"/>
      <c r="P104" s="12" t="s">
        <v>14</v>
      </c>
      <c r="Q104" s="12"/>
      <c r="R104" s="12" t="s">
        <v>37</v>
      </c>
      <c r="T104">
        <f t="shared" si="2"/>
        <v>0</v>
      </c>
      <c r="U104">
        <f t="shared" si="3"/>
        <v>0</v>
      </c>
    </row>
    <row r="105" spans="1:21">
      <c r="A105" s="12"/>
      <c r="B105" s="12"/>
      <c r="C105" s="11"/>
      <c r="D105" s="11"/>
      <c r="E105" s="11"/>
      <c r="F105" s="12">
        <v>764</v>
      </c>
      <c r="G105" s="12"/>
      <c r="H105" s="13"/>
      <c r="I105" s="14"/>
      <c r="J105" s="14"/>
      <c r="K105" s="14"/>
      <c r="L105" s="13"/>
      <c r="M105" s="13"/>
      <c r="P105" s="12" t="s">
        <v>14</v>
      </c>
      <c r="Q105" s="12"/>
      <c r="R105" s="12" t="s">
        <v>37</v>
      </c>
      <c r="T105">
        <f t="shared" si="2"/>
        <v>0</v>
      </c>
      <c r="U105">
        <f t="shared" si="3"/>
        <v>0</v>
      </c>
    </row>
    <row r="106" spans="1:21">
      <c r="A106" s="12"/>
      <c r="B106" s="12"/>
      <c r="C106" s="11"/>
      <c r="D106" s="11"/>
      <c r="E106" s="11"/>
      <c r="F106" s="10">
        <v>765</v>
      </c>
      <c r="G106" s="12"/>
      <c r="H106" s="13"/>
      <c r="I106" s="14"/>
      <c r="J106" s="14"/>
      <c r="K106" s="14"/>
      <c r="L106" s="13"/>
      <c r="M106" s="13"/>
      <c r="P106" s="12" t="s">
        <v>14</v>
      </c>
      <c r="Q106" s="12"/>
      <c r="R106" s="12" t="s">
        <v>37</v>
      </c>
      <c r="T106">
        <f t="shared" si="2"/>
        <v>0</v>
      </c>
      <c r="U106">
        <f t="shared" si="3"/>
        <v>0</v>
      </c>
    </row>
    <row r="107" spans="1:21">
      <c r="A107" s="12"/>
      <c r="B107" s="12"/>
      <c r="C107" s="11"/>
      <c r="D107" s="11"/>
      <c r="E107" s="11"/>
      <c r="F107" s="12">
        <v>766</v>
      </c>
      <c r="G107" s="12"/>
      <c r="H107" s="13"/>
      <c r="I107" s="14"/>
      <c r="J107" s="14"/>
      <c r="K107" s="14"/>
      <c r="L107" s="13"/>
      <c r="M107" s="13"/>
      <c r="P107" s="12" t="s">
        <v>14</v>
      </c>
      <c r="Q107" s="12"/>
      <c r="R107" s="12" t="s">
        <v>37</v>
      </c>
      <c r="T107">
        <f t="shared" si="2"/>
        <v>0</v>
      </c>
      <c r="U107">
        <f t="shared" si="3"/>
        <v>0</v>
      </c>
    </row>
    <row r="108" spans="1:21">
      <c r="A108" s="12"/>
      <c r="B108" s="12"/>
      <c r="C108" s="11"/>
      <c r="D108" s="11"/>
      <c r="E108" s="11"/>
      <c r="F108" s="10">
        <v>767</v>
      </c>
      <c r="G108" s="12"/>
      <c r="H108" s="13"/>
      <c r="I108" s="14"/>
      <c r="J108" s="14"/>
      <c r="K108" s="14"/>
      <c r="L108" s="13"/>
      <c r="M108" s="13"/>
      <c r="P108" s="12" t="s">
        <v>14</v>
      </c>
      <c r="Q108" s="12"/>
      <c r="R108" s="12" t="s">
        <v>37</v>
      </c>
      <c r="T108">
        <f t="shared" si="2"/>
        <v>0</v>
      </c>
      <c r="U108">
        <f t="shared" si="3"/>
        <v>0</v>
      </c>
    </row>
    <row r="109" spans="1:21">
      <c r="A109" s="12"/>
      <c r="B109" s="12"/>
      <c r="C109" s="11"/>
      <c r="D109" s="11"/>
      <c r="E109" s="11"/>
      <c r="F109" s="12">
        <v>768</v>
      </c>
      <c r="G109" s="12"/>
      <c r="H109" s="13"/>
      <c r="I109" s="14"/>
      <c r="J109" s="14"/>
      <c r="K109" s="14"/>
      <c r="L109" s="13"/>
      <c r="M109" s="13"/>
      <c r="P109" s="12" t="s">
        <v>14</v>
      </c>
      <c r="Q109" s="12"/>
      <c r="R109" s="12" t="s">
        <v>37</v>
      </c>
      <c r="T109">
        <f t="shared" si="2"/>
        <v>0</v>
      </c>
      <c r="U109">
        <f t="shared" si="3"/>
        <v>0</v>
      </c>
    </row>
    <row r="110" spans="1:21">
      <c r="A110" s="12"/>
      <c r="B110" s="12"/>
      <c r="C110" s="11"/>
      <c r="D110" s="11"/>
      <c r="E110" s="11"/>
      <c r="F110" s="10">
        <v>769</v>
      </c>
      <c r="G110" s="12"/>
      <c r="H110" s="13"/>
      <c r="I110" s="14"/>
      <c r="J110" s="14"/>
      <c r="K110" s="14"/>
      <c r="L110" s="13"/>
      <c r="M110" s="13"/>
      <c r="P110" s="12" t="s">
        <v>14</v>
      </c>
      <c r="Q110" s="12"/>
      <c r="R110" s="12" t="s">
        <v>37</v>
      </c>
      <c r="T110">
        <f t="shared" si="2"/>
        <v>0</v>
      </c>
      <c r="U110">
        <f t="shared" si="3"/>
        <v>0</v>
      </c>
    </row>
    <row r="111" spans="1:21">
      <c r="A111" s="12"/>
      <c r="B111" s="12"/>
      <c r="C111" s="11"/>
      <c r="D111" s="11"/>
      <c r="E111" s="11"/>
      <c r="F111" s="12">
        <v>770</v>
      </c>
      <c r="G111" s="12"/>
      <c r="H111" s="13"/>
      <c r="I111" s="14"/>
      <c r="J111" s="14"/>
      <c r="K111" s="14"/>
      <c r="L111" s="13"/>
      <c r="M111" s="13"/>
      <c r="P111" s="12" t="s">
        <v>14</v>
      </c>
      <c r="Q111" s="12"/>
      <c r="R111" s="12" t="s">
        <v>37</v>
      </c>
      <c r="T111">
        <f t="shared" si="2"/>
        <v>0</v>
      </c>
      <c r="U111">
        <f t="shared" si="3"/>
        <v>0</v>
      </c>
    </row>
    <row r="112" spans="1:21">
      <c r="A112" s="12"/>
      <c r="B112" s="12"/>
      <c r="C112" s="11"/>
      <c r="D112" s="11"/>
      <c r="E112" s="11"/>
      <c r="F112" s="10">
        <v>771</v>
      </c>
      <c r="G112" s="12"/>
      <c r="H112" s="13"/>
      <c r="I112" s="14"/>
      <c r="J112" s="14"/>
      <c r="K112" s="14"/>
      <c r="L112" s="13"/>
      <c r="M112" s="13"/>
      <c r="P112" s="12" t="s">
        <v>14</v>
      </c>
      <c r="Q112" s="12"/>
      <c r="R112" s="12" t="s">
        <v>37</v>
      </c>
      <c r="T112">
        <f t="shared" si="2"/>
        <v>0</v>
      </c>
      <c r="U112">
        <f t="shared" si="3"/>
        <v>0</v>
      </c>
    </row>
    <row r="113" spans="1:21">
      <c r="A113" s="12"/>
      <c r="B113" s="12"/>
      <c r="C113" s="11"/>
      <c r="D113" s="11"/>
      <c r="E113" s="11"/>
      <c r="F113" s="12">
        <v>772</v>
      </c>
      <c r="G113" s="12"/>
      <c r="H113" s="13"/>
      <c r="I113" s="14"/>
      <c r="J113" s="14"/>
      <c r="K113" s="14"/>
      <c r="L113" s="13"/>
      <c r="M113" s="13"/>
      <c r="P113" s="12" t="s">
        <v>14</v>
      </c>
      <c r="Q113" s="12"/>
      <c r="R113" s="12" t="s">
        <v>37</v>
      </c>
      <c r="T113">
        <f t="shared" si="2"/>
        <v>0</v>
      </c>
      <c r="U113">
        <f t="shared" si="3"/>
        <v>0</v>
      </c>
    </row>
    <row r="114" spans="1:21">
      <c r="A114" s="12"/>
      <c r="B114" s="12"/>
      <c r="C114" s="11"/>
      <c r="D114" s="11"/>
      <c r="E114" s="11"/>
      <c r="F114" s="10">
        <v>773</v>
      </c>
      <c r="G114" s="12"/>
      <c r="H114" s="13"/>
      <c r="I114" s="14"/>
      <c r="J114" s="14"/>
      <c r="K114" s="14"/>
      <c r="L114" s="13"/>
      <c r="M114" s="13"/>
      <c r="P114" s="12" t="s">
        <v>14</v>
      </c>
      <c r="Q114" s="12"/>
      <c r="R114" s="12" t="s">
        <v>37</v>
      </c>
      <c r="T114">
        <f t="shared" si="2"/>
        <v>0</v>
      </c>
      <c r="U114">
        <f t="shared" si="3"/>
        <v>0</v>
      </c>
    </row>
    <row r="115" spans="1:21">
      <c r="A115" s="12"/>
      <c r="B115" s="12"/>
      <c r="C115" s="11"/>
      <c r="D115" s="11"/>
      <c r="E115" s="11"/>
      <c r="F115" s="12">
        <v>774</v>
      </c>
      <c r="G115" s="12"/>
      <c r="H115" s="13"/>
      <c r="I115" s="14"/>
      <c r="J115" s="31"/>
      <c r="K115" s="14"/>
      <c r="L115" s="13"/>
      <c r="M115" s="13"/>
      <c r="P115" s="12" t="s">
        <v>14</v>
      </c>
      <c r="Q115" s="12"/>
      <c r="R115" s="12" t="s">
        <v>37</v>
      </c>
      <c r="T115">
        <f t="shared" si="2"/>
        <v>0</v>
      </c>
      <c r="U115">
        <f t="shared" si="3"/>
        <v>0</v>
      </c>
    </row>
    <row r="116" spans="1:21">
      <c r="A116" s="12"/>
      <c r="B116" s="12"/>
      <c r="C116" s="11"/>
      <c r="D116" s="11"/>
      <c r="E116" s="11"/>
      <c r="F116" s="10">
        <v>775</v>
      </c>
      <c r="G116" s="12"/>
      <c r="H116" s="13"/>
      <c r="I116" s="14"/>
      <c r="J116" s="31"/>
      <c r="K116" s="14"/>
      <c r="L116" s="13"/>
      <c r="M116" s="13"/>
      <c r="P116" s="12" t="s">
        <v>14</v>
      </c>
      <c r="Q116" s="12"/>
      <c r="R116" s="12" t="s">
        <v>37</v>
      </c>
      <c r="T116">
        <f t="shared" si="2"/>
        <v>0</v>
      </c>
      <c r="U116">
        <f t="shared" si="3"/>
        <v>0</v>
      </c>
    </row>
    <row r="117" spans="1:21">
      <c r="A117" s="12"/>
      <c r="B117" s="12"/>
      <c r="C117" s="11"/>
      <c r="D117" s="11"/>
      <c r="E117" s="11"/>
      <c r="F117" s="12">
        <v>776</v>
      </c>
      <c r="G117" s="12"/>
      <c r="H117" s="13"/>
      <c r="I117" s="14"/>
      <c r="J117" s="14"/>
      <c r="K117" s="14"/>
      <c r="L117" s="13"/>
      <c r="M117" s="13"/>
      <c r="P117" s="12" t="s">
        <v>14</v>
      </c>
      <c r="Q117" s="12"/>
      <c r="R117" s="12" t="s">
        <v>37</v>
      </c>
      <c r="T117">
        <f t="shared" si="2"/>
        <v>0</v>
      </c>
      <c r="U117">
        <f t="shared" si="3"/>
        <v>0</v>
      </c>
    </row>
    <row r="118" spans="1:21">
      <c r="A118" s="12"/>
      <c r="B118" s="12"/>
      <c r="C118" s="11"/>
      <c r="D118" s="11"/>
      <c r="E118" s="11"/>
      <c r="F118" s="10">
        <v>777</v>
      </c>
      <c r="G118" s="12"/>
      <c r="H118" s="13"/>
      <c r="I118" s="14"/>
      <c r="J118" s="14"/>
      <c r="K118" s="14"/>
      <c r="L118" s="13"/>
      <c r="M118" s="13"/>
      <c r="P118" s="12" t="s">
        <v>14</v>
      </c>
      <c r="Q118" s="12"/>
      <c r="R118" s="12" t="s">
        <v>37</v>
      </c>
      <c r="T118">
        <f t="shared" si="2"/>
        <v>0</v>
      </c>
      <c r="U118">
        <f t="shared" si="3"/>
        <v>0</v>
      </c>
    </row>
    <row r="119" spans="1:21">
      <c r="A119" s="12"/>
      <c r="B119" s="12"/>
      <c r="C119" s="11"/>
      <c r="D119" s="11"/>
      <c r="E119" s="11"/>
      <c r="F119" s="12">
        <v>778</v>
      </c>
      <c r="G119" s="12"/>
      <c r="H119" s="13"/>
      <c r="I119" s="14"/>
      <c r="J119" s="14"/>
      <c r="K119" s="14"/>
      <c r="L119" s="13"/>
      <c r="M119" s="13"/>
      <c r="P119" s="12" t="s">
        <v>14</v>
      </c>
      <c r="Q119" s="12"/>
      <c r="R119" s="12" t="s">
        <v>37</v>
      </c>
      <c r="T119">
        <f t="shared" si="2"/>
        <v>0</v>
      </c>
      <c r="U119">
        <f t="shared" si="3"/>
        <v>0</v>
      </c>
    </row>
    <row r="120" spans="1:21">
      <c r="A120" s="12"/>
      <c r="B120" s="12"/>
      <c r="C120" s="11"/>
      <c r="D120" s="11"/>
      <c r="E120" s="11"/>
      <c r="F120" s="10">
        <v>779</v>
      </c>
      <c r="G120" s="12"/>
      <c r="H120" s="13"/>
      <c r="I120" s="14"/>
      <c r="J120" s="14"/>
      <c r="K120" s="14"/>
      <c r="L120" s="13"/>
      <c r="M120" s="13"/>
      <c r="P120" s="12" t="s">
        <v>14</v>
      </c>
      <c r="Q120" s="12"/>
      <c r="R120" s="12" t="s">
        <v>37</v>
      </c>
      <c r="T120">
        <f t="shared" si="2"/>
        <v>0</v>
      </c>
      <c r="U120">
        <f t="shared" si="3"/>
        <v>0</v>
      </c>
    </row>
    <row r="121" spans="1:21">
      <c r="A121" s="12"/>
      <c r="B121" s="12"/>
      <c r="C121" s="11"/>
      <c r="D121" s="11"/>
      <c r="E121" s="11"/>
      <c r="F121" s="12">
        <v>780</v>
      </c>
      <c r="G121" s="12"/>
      <c r="H121" s="13"/>
      <c r="I121" s="14"/>
      <c r="J121" s="14"/>
      <c r="K121" s="14"/>
      <c r="L121" s="13"/>
      <c r="M121" s="13"/>
      <c r="P121" s="12" t="s">
        <v>14</v>
      </c>
      <c r="Q121" s="12"/>
      <c r="R121" s="12" t="s">
        <v>37</v>
      </c>
      <c r="T121">
        <f t="shared" si="2"/>
        <v>0</v>
      </c>
      <c r="U121">
        <f t="shared" si="3"/>
        <v>0</v>
      </c>
    </row>
    <row r="122" spans="1:21">
      <c r="A122" s="12"/>
      <c r="B122" s="12"/>
      <c r="C122" s="11"/>
      <c r="D122" s="11"/>
      <c r="E122" s="11"/>
      <c r="F122" s="10">
        <v>781</v>
      </c>
      <c r="G122" s="12"/>
      <c r="H122" s="13"/>
      <c r="I122" s="14"/>
      <c r="J122" s="14"/>
      <c r="K122" s="14"/>
      <c r="L122" s="13"/>
      <c r="M122" s="13"/>
      <c r="P122" s="12" t="s">
        <v>14</v>
      </c>
      <c r="Q122" s="12"/>
      <c r="R122" s="12" t="s">
        <v>37</v>
      </c>
      <c r="T122">
        <f t="shared" si="2"/>
        <v>0</v>
      </c>
      <c r="U122">
        <f t="shared" si="3"/>
        <v>0</v>
      </c>
    </row>
    <row r="123" spans="1:21">
      <c r="A123" s="12"/>
      <c r="B123" s="12"/>
      <c r="C123" s="11"/>
      <c r="D123" s="11"/>
      <c r="E123" s="11"/>
      <c r="F123" s="12">
        <v>782</v>
      </c>
      <c r="G123" s="12"/>
      <c r="H123" s="13"/>
      <c r="I123" s="14"/>
      <c r="J123" s="14"/>
      <c r="K123" s="14"/>
      <c r="L123" s="13"/>
      <c r="M123" s="13"/>
      <c r="P123" s="12" t="s">
        <v>14</v>
      </c>
      <c r="Q123" s="12"/>
      <c r="R123" s="12" t="s">
        <v>37</v>
      </c>
      <c r="T123">
        <f t="shared" si="2"/>
        <v>0</v>
      </c>
      <c r="U123">
        <f t="shared" si="3"/>
        <v>0</v>
      </c>
    </row>
    <row r="124" spans="1:21">
      <c r="A124" s="12"/>
      <c r="B124" s="12"/>
      <c r="C124" s="11"/>
      <c r="D124" s="11"/>
      <c r="E124" s="11"/>
      <c r="F124" s="10">
        <v>783</v>
      </c>
      <c r="G124" s="12"/>
      <c r="H124" s="13"/>
      <c r="I124" s="14"/>
      <c r="J124" s="14"/>
      <c r="K124" s="14"/>
      <c r="L124" s="13"/>
      <c r="M124" s="13"/>
      <c r="P124" s="12" t="s">
        <v>14</v>
      </c>
      <c r="Q124" s="12"/>
      <c r="R124" s="12" t="s">
        <v>37</v>
      </c>
      <c r="T124">
        <f t="shared" si="2"/>
        <v>0</v>
      </c>
      <c r="U124">
        <f t="shared" si="3"/>
        <v>0</v>
      </c>
    </row>
    <row r="125" spans="1:21">
      <c r="A125" s="12"/>
      <c r="B125" s="12"/>
      <c r="C125" s="11"/>
      <c r="D125" s="11"/>
      <c r="E125" s="11"/>
      <c r="F125" s="12">
        <v>784</v>
      </c>
      <c r="G125" s="12"/>
      <c r="H125" s="13"/>
      <c r="I125" s="14"/>
      <c r="J125" s="14"/>
      <c r="K125" s="14"/>
      <c r="L125" s="13"/>
      <c r="M125" s="13"/>
      <c r="P125" s="12" t="s">
        <v>14</v>
      </c>
      <c r="Q125" s="12"/>
      <c r="R125" s="12" t="s">
        <v>37</v>
      </c>
      <c r="T125">
        <f t="shared" si="2"/>
        <v>0</v>
      </c>
      <c r="U125">
        <f t="shared" si="3"/>
        <v>0</v>
      </c>
    </row>
    <row r="126" spans="1:21">
      <c r="A126" s="12"/>
      <c r="B126" s="12"/>
      <c r="C126" s="11"/>
      <c r="D126" s="11"/>
      <c r="E126" s="11"/>
      <c r="F126" s="10">
        <v>785</v>
      </c>
      <c r="G126" s="12"/>
      <c r="H126" s="13"/>
      <c r="I126" s="14"/>
      <c r="J126" s="14"/>
      <c r="K126" s="14"/>
      <c r="L126" s="13"/>
      <c r="M126" s="13"/>
      <c r="P126" s="12" t="s">
        <v>14</v>
      </c>
      <c r="Q126" s="12"/>
      <c r="R126" s="12" t="s">
        <v>37</v>
      </c>
      <c r="T126">
        <f t="shared" si="2"/>
        <v>0</v>
      </c>
      <c r="U126">
        <f t="shared" si="3"/>
        <v>0</v>
      </c>
    </row>
    <row r="127" spans="1:21">
      <c r="A127" s="12"/>
      <c r="B127" s="12"/>
      <c r="C127" s="11"/>
      <c r="D127" s="11"/>
      <c r="E127" s="11"/>
      <c r="F127" s="12">
        <v>786</v>
      </c>
      <c r="G127" s="12"/>
      <c r="H127" s="13"/>
      <c r="I127" s="14"/>
      <c r="J127" s="14"/>
      <c r="K127" s="14"/>
      <c r="L127" s="13"/>
      <c r="M127" s="13"/>
      <c r="P127" s="12" t="s">
        <v>14</v>
      </c>
      <c r="Q127" s="12"/>
      <c r="R127" s="12" t="s">
        <v>37</v>
      </c>
      <c r="T127">
        <f t="shared" si="2"/>
        <v>0</v>
      </c>
      <c r="U127">
        <f t="shared" si="3"/>
        <v>0</v>
      </c>
    </row>
    <row r="128" spans="1:21">
      <c r="A128" s="12"/>
      <c r="B128" s="12"/>
      <c r="C128" s="11"/>
      <c r="D128" s="11"/>
      <c r="E128" s="11"/>
      <c r="F128" s="10">
        <v>787</v>
      </c>
      <c r="G128" s="12"/>
      <c r="H128" s="13"/>
      <c r="I128" s="14"/>
      <c r="J128" s="14"/>
      <c r="K128" s="14"/>
      <c r="L128" s="13"/>
      <c r="M128" s="13"/>
      <c r="P128" s="12" t="s">
        <v>14</v>
      </c>
      <c r="Q128" s="12"/>
      <c r="R128" s="12" t="s">
        <v>37</v>
      </c>
      <c r="T128">
        <f t="shared" si="2"/>
        <v>0</v>
      </c>
      <c r="U128">
        <f t="shared" si="3"/>
        <v>0</v>
      </c>
    </row>
    <row r="129" spans="1:21">
      <c r="A129" s="12"/>
      <c r="B129" s="12"/>
      <c r="C129" s="11"/>
      <c r="D129" s="11"/>
      <c r="E129" s="11"/>
      <c r="F129" s="12">
        <v>788</v>
      </c>
      <c r="G129" s="12"/>
      <c r="H129" s="13"/>
      <c r="I129" s="14"/>
      <c r="J129" s="14"/>
      <c r="K129" s="14"/>
      <c r="L129" s="13"/>
      <c r="M129" s="13"/>
      <c r="N129" s="12"/>
      <c r="O129" s="12"/>
      <c r="P129" s="12" t="s">
        <v>14</v>
      </c>
      <c r="Q129" s="12"/>
      <c r="R129" s="32" t="s">
        <v>37</v>
      </c>
      <c r="S129" s="12"/>
      <c r="T129">
        <f t="shared" si="2"/>
        <v>0</v>
      </c>
      <c r="U129">
        <f t="shared" si="3"/>
        <v>0</v>
      </c>
    </row>
    <row r="130" spans="1:21">
      <c r="A130" s="12"/>
      <c r="B130" s="12"/>
      <c r="C130" s="11"/>
      <c r="D130" s="11"/>
      <c r="E130" s="11"/>
      <c r="F130" s="10">
        <v>789</v>
      </c>
      <c r="G130" s="12"/>
      <c r="H130" s="13"/>
      <c r="I130" s="14"/>
      <c r="J130" s="14"/>
      <c r="K130" s="14"/>
      <c r="L130" s="13"/>
      <c r="M130" s="13"/>
      <c r="N130" s="32"/>
      <c r="O130" s="32"/>
      <c r="P130" s="12" t="s">
        <v>14</v>
      </c>
      <c r="Q130" s="12"/>
      <c r="R130" s="12" t="s">
        <v>37</v>
      </c>
      <c r="S130" s="32"/>
      <c r="T130">
        <f t="shared" ref="T130:T193" si="4">IF(H130="",I130,H130/PI())</f>
        <v>0</v>
      </c>
      <c r="U130">
        <f t="shared" ref="U130:U193" si="5">IF(J130="dead","dead",J130/PI()+K130)</f>
        <v>0</v>
      </c>
    </row>
    <row r="131" spans="1:21">
      <c r="A131" s="12"/>
      <c r="B131" s="12"/>
      <c r="C131" s="11"/>
      <c r="D131" s="11"/>
      <c r="E131" s="11"/>
      <c r="F131" s="12">
        <v>790</v>
      </c>
      <c r="G131" s="12"/>
      <c r="H131" s="13"/>
      <c r="I131" s="14"/>
      <c r="J131" s="14"/>
      <c r="K131" s="14"/>
      <c r="L131" s="13"/>
      <c r="M131" s="13"/>
      <c r="P131" s="12" t="s">
        <v>14</v>
      </c>
      <c r="Q131" s="12"/>
      <c r="R131" s="12" t="s">
        <v>37</v>
      </c>
      <c r="T131">
        <f t="shared" si="4"/>
        <v>0</v>
      </c>
      <c r="U131">
        <f t="shared" si="5"/>
        <v>0</v>
      </c>
    </row>
    <row r="132" spans="1:21">
      <c r="A132" s="12"/>
      <c r="B132" s="12"/>
      <c r="C132" s="11"/>
      <c r="D132" s="11"/>
      <c r="E132" s="11"/>
      <c r="F132" s="10">
        <v>791</v>
      </c>
      <c r="G132" s="12"/>
      <c r="H132" s="13"/>
      <c r="I132" s="14"/>
      <c r="J132" s="14"/>
      <c r="K132" s="14"/>
      <c r="L132" s="13"/>
      <c r="M132" s="13"/>
      <c r="P132" s="12" t="s">
        <v>14</v>
      </c>
      <c r="Q132" s="12"/>
      <c r="R132" s="12" t="s">
        <v>37</v>
      </c>
      <c r="T132">
        <f t="shared" si="4"/>
        <v>0</v>
      </c>
      <c r="U132">
        <f t="shared" si="5"/>
        <v>0</v>
      </c>
    </row>
    <row r="133" spans="1:21">
      <c r="A133" s="12"/>
      <c r="B133" s="12"/>
      <c r="C133" s="11"/>
      <c r="D133" s="11"/>
      <c r="E133" s="11"/>
      <c r="F133" s="12">
        <v>792</v>
      </c>
      <c r="G133" s="12"/>
      <c r="H133" s="13"/>
      <c r="I133" s="14"/>
      <c r="J133" s="14"/>
      <c r="K133" s="14"/>
      <c r="L133" s="13"/>
      <c r="M133" s="13"/>
      <c r="P133" s="12" t="s">
        <v>14</v>
      </c>
      <c r="Q133" s="12"/>
      <c r="R133" s="12" t="s">
        <v>37</v>
      </c>
      <c r="T133">
        <f t="shared" si="4"/>
        <v>0</v>
      </c>
      <c r="U133">
        <f t="shared" si="5"/>
        <v>0</v>
      </c>
    </row>
    <row r="134" spans="1:21">
      <c r="A134" s="12"/>
      <c r="B134" s="12"/>
      <c r="C134" s="11"/>
      <c r="D134" s="11"/>
      <c r="E134" s="11"/>
      <c r="F134" s="10">
        <v>793</v>
      </c>
      <c r="G134" s="12"/>
      <c r="H134" s="13"/>
      <c r="I134" s="14"/>
      <c r="J134" s="14"/>
      <c r="K134" s="14"/>
      <c r="L134" s="13"/>
      <c r="M134" s="13"/>
      <c r="P134" s="12" t="s">
        <v>14</v>
      </c>
      <c r="Q134" s="12"/>
      <c r="R134" s="12" t="s">
        <v>37</v>
      </c>
      <c r="T134">
        <f t="shared" si="4"/>
        <v>0</v>
      </c>
      <c r="U134">
        <f t="shared" si="5"/>
        <v>0</v>
      </c>
    </row>
    <row r="135" spans="1:21">
      <c r="A135" s="12"/>
      <c r="B135" s="12"/>
      <c r="C135" s="11"/>
      <c r="D135" s="11"/>
      <c r="E135" s="11"/>
      <c r="F135" s="12">
        <v>794</v>
      </c>
      <c r="G135" s="12"/>
      <c r="H135" s="13"/>
      <c r="I135" s="14"/>
      <c r="J135" s="14"/>
      <c r="K135" s="14"/>
      <c r="L135" s="13"/>
      <c r="M135" s="13"/>
      <c r="P135" s="12" t="s">
        <v>14</v>
      </c>
      <c r="Q135" s="12"/>
      <c r="R135" s="12" t="s">
        <v>37</v>
      </c>
      <c r="T135">
        <f t="shared" si="4"/>
        <v>0</v>
      </c>
      <c r="U135">
        <f t="shared" si="5"/>
        <v>0</v>
      </c>
    </row>
    <row r="136" spans="1:21">
      <c r="A136" s="12"/>
      <c r="B136" s="12"/>
      <c r="C136" s="11"/>
      <c r="D136" s="11"/>
      <c r="E136" s="11"/>
      <c r="F136" s="10">
        <v>795</v>
      </c>
      <c r="G136" s="12"/>
      <c r="H136" s="13"/>
      <c r="I136" s="14"/>
      <c r="J136" s="14"/>
      <c r="K136" s="14"/>
      <c r="L136" s="13"/>
      <c r="M136" s="13"/>
      <c r="P136" s="12" t="s">
        <v>14</v>
      </c>
      <c r="Q136" s="12"/>
      <c r="R136" s="12" t="s">
        <v>37</v>
      </c>
      <c r="T136">
        <f t="shared" si="4"/>
        <v>0</v>
      </c>
      <c r="U136">
        <f t="shared" si="5"/>
        <v>0</v>
      </c>
    </row>
    <row r="137" spans="1:21">
      <c r="A137" s="12"/>
      <c r="B137" s="12"/>
      <c r="C137" s="11"/>
      <c r="D137" s="11"/>
      <c r="E137" s="11"/>
      <c r="F137" s="12">
        <v>796</v>
      </c>
      <c r="G137" s="12"/>
      <c r="H137" s="13"/>
      <c r="I137" s="14"/>
      <c r="J137" s="14"/>
      <c r="K137" s="14"/>
      <c r="L137" s="13"/>
      <c r="M137" s="13"/>
      <c r="P137" s="12" t="s">
        <v>14</v>
      </c>
      <c r="Q137" s="12"/>
      <c r="R137" s="12" t="s">
        <v>37</v>
      </c>
      <c r="T137">
        <f t="shared" si="4"/>
        <v>0</v>
      </c>
      <c r="U137">
        <f t="shared" si="5"/>
        <v>0</v>
      </c>
    </row>
    <row r="138" spans="1:21">
      <c r="A138" s="12"/>
      <c r="B138" s="12"/>
      <c r="C138" s="11"/>
      <c r="D138" s="11"/>
      <c r="E138" s="11"/>
      <c r="F138" s="10">
        <v>797</v>
      </c>
      <c r="G138" s="12"/>
      <c r="H138" s="13"/>
      <c r="I138" s="14"/>
      <c r="J138" s="14"/>
      <c r="K138" s="14"/>
      <c r="L138" s="13"/>
      <c r="M138" s="13"/>
      <c r="P138" s="12" t="s">
        <v>14</v>
      </c>
      <c r="Q138" s="12"/>
      <c r="R138" s="12" t="s">
        <v>37</v>
      </c>
      <c r="T138">
        <f t="shared" si="4"/>
        <v>0</v>
      </c>
      <c r="U138">
        <f t="shared" si="5"/>
        <v>0</v>
      </c>
    </row>
    <row r="139" spans="1:21">
      <c r="A139" s="12"/>
      <c r="B139" s="12"/>
      <c r="C139" s="11"/>
      <c r="D139" s="11"/>
      <c r="E139" s="11"/>
      <c r="F139" s="12">
        <v>798</v>
      </c>
      <c r="G139" s="12"/>
      <c r="H139" s="13"/>
      <c r="I139" s="14"/>
      <c r="J139" s="14"/>
      <c r="K139" s="14"/>
      <c r="L139" s="13"/>
      <c r="M139" s="13"/>
      <c r="P139" s="12" t="s">
        <v>14</v>
      </c>
      <c r="Q139" s="12"/>
      <c r="R139" s="12" t="s">
        <v>37</v>
      </c>
      <c r="T139">
        <f t="shared" si="4"/>
        <v>0</v>
      </c>
      <c r="U139">
        <f t="shared" si="5"/>
        <v>0</v>
      </c>
    </row>
    <row r="140" spans="1:21">
      <c r="A140" s="12"/>
      <c r="B140" s="12"/>
      <c r="C140" s="11"/>
      <c r="D140" s="11"/>
      <c r="E140" s="11"/>
      <c r="F140" s="10">
        <v>799</v>
      </c>
      <c r="G140" s="12"/>
      <c r="H140" s="13"/>
      <c r="I140" s="14"/>
      <c r="J140" s="14"/>
      <c r="K140" s="14"/>
      <c r="L140" s="13"/>
      <c r="M140" s="13"/>
      <c r="P140" s="12" t="s">
        <v>14</v>
      </c>
      <c r="Q140" s="12"/>
      <c r="R140" s="12" t="s">
        <v>37</v>
      </c>
      <c r="T140">
        <f t="shared" si="4"/>
        <v>0</v>
      </c>
      <c r="U140">
        <f t="shared" si="5"/>
        <v>0</v>
      </c>
    </row>
    <row r="141" spans="1:21">
      <c r="A141" s="12"/>
      <c r="B141" s="12"/>
      <c r="C141" s="11"/>
      <c r="D141" s="11"/>
      <c r="E141" s="11"/>
      <c r="F141" s="12">
        <v>800</v>
      </c>
      <c r="G141" s="12"/>
      <c r="H141" s="13"/>
      <c r="I141" s="14"/>
      <c r="J141" s="14"/>
      <c r="K141" s="14"/>
      <c r="L141" s="13"/>
      <c r="M141" s="13"/>
      <c r="P141" s="12" t="s">
        <v>14</v>
      </c>
      <c r="Q141" s="12"/>
      <c r="R141" s="12" t="s">
        <v>37</v>
      </c>
      <c r="T141">
        <f t="shared" si="4"/>
        <v>0</v>
      </c>
      <c r="U141">
        <f t="shared" si="5"/>
        <v>0</v>
      </c>
    </row>
    <row r="142" spans="1:21">
      <c r="A142" s="12">
        <v>10</v>
      </c>
      <c r="B142" s="12">
        <v>-30</v>
      </c>
      <c r="C142" s="11">
        <v>16.756079684882891</v>
      </c>
      <c r="D142" s="11">
        <v>-23.565021877796898</v>
      </c>
      <c r="E142" s="11"/>
      <c r="F142" s="12">
        <v>624</v>
      </c>
      <c r="G142" s="12" t="s">
        <v>11</v>
      </c>
      <c r="H142" s="13"/>
      <c r="I142" s="14">
        <v>0.1</v>
      </c>
      <c r="J142" s="14"/>
      <c r="K142" s="14">
        <v>6.9</v>
      </c>
      <c r="L142" s="13">
        <v>1.4</v>
      </c>
      <c r="M142" s="13">
        <v>0</v>
      </c>
      <c r="P142" s="12" t="s">
        <v>14</v>
      </c>
      <c r="Q142" s="12"/>
      <c r="R142" s="12"/>
      <c r="T142">
        <f t="shared" si="4"/>
        <v>0.1</v>
      </c>
      <c r="U142">
        <f t="shared" si="5"/>
        <v>6.9</v>
      </c>
    </row>
    <row r="143" spans="1:21">
      <c r="A143" s="12">
        <v>20</v>
      </c>
      <c r="B143" s="12">
        <v>-30</v>
      </c>
      <c r="C143" s="11">
        <v>28.040213204678953</v>
      </c>
      <c r="D143" s="11">
        <v>-29.632659846422754</v>
      </c>
      <c r="E143" s="11"/>
      <c r="F143" s="10">
        <v>655</v>
      </c>
      <c r="G143" s="12" t="s">
        <v>21</v>
      </c>
      <c r="H143" s="13"/>
      <c r="I143" s="14">
        <v>0.12</v>
      </c>
      <c r="J143" s="14"/>
      <c r="K143" s="14">
        <v>3.3</v>
      </c>
      <c r="L143" s="13">
        <v>1.4</v>
      </c>
      <c r="M143" s="13">
        <v>0.7</v>
      </c>
      <c r="P143" s="12" t="s">
        <v>14</v>
      </c>
      <c r="Q143" s="12"/>
      <c r="R143" s="12"/>
      <c r="T143">
        <f t="shared" si="4"/>
        <v>0.12</v>
      </c>
      <c r="U143">
        <f t="shared" si="5"/>
        <v>3.3</v>
      </c>
    </row>
    <row r="144" spans="1:21">
      <c r="A144" s="12">
        <v>10</v>
      </c>
      <c r="B144" s="12">
        <v>0</v>
      </c>
      <c r="C144" s="11">
        <v>14.368205115985283</v>
      </c>
      <c r="D144" s="11">
        <v>6.4331474710584446</v>
      </c>
      <c r="E144" s="11"/>
      <c r="F144" s="12">
        <v>114</v>
      </c>
      <c r="G144" s="12" t="s">
        <v>11</v>
      </c>
      <c r="H144" s="13"/>
      <c r="I144" s="14">
        <v>0.14000000000000001</v>
      </c>
      <c r="J144" s="14"/>
      <c r="K144" s="31">
        <v>10.199999999999999</v>
      </c>
      <c r="L144" s="13">
        <v>1.4</v>
      </c>
      <c r="M144" s="13">
        <v>0.3</v>
      </c>
      <c r="P144" s="12" t="s">
        <v>14</v>
      </c>
      <c r="Q144" s="12"/>
      <c r="R144" s="12"/>
      <c r="T144">
        <f t="shared" si="4"/>
        <v>0.14000000000000001</v>
      </c>
      <c r="U144">
        <f t="shared" si="5"/>
        <v>10.199999999999999</v>
      </c>
    </row>
    <row r="145" spans="1:21">
      <c r="A145" s="12">
        <v>0</v>
      </c>
      <c r="B145" s="12">
        <v>-30</v>
      </c>
      <c r="C145" s="11">
        <v>9.7795352861637976</v>
      </c>
      <c r="D145" s="11">
        <v>-21.779507187767965</v>
      </c>
      <c r="E145" s="11"/>
      <c r="F145" s="10">
        <v>613</v>
      </c>
      <c r="G145" s="12" t="s">
        <v>11</v>
      </c>
      <c r="H145" s="13"/>
      <c r="I145" s="14">
        <v>0.15</v>
      </c>
      <c r="J145" s="14"/>
      <c r="K145" s="31">
        <v>5.3</v>
      </c>
      <c r="L145" s="13">
        <v>1.4</v>
      </c>
      <c r="M145" s="13">
        <v>0.4</v>
      </c>
      <c r="P145" s="12" t="s">
        <v>14</v>
      </c>
      <c r="Q145" s="12"/>
      <c r="R145" s="12"/>
      <c r="S145" t="s">
        <v>109</v>
      </c>
      <c r="T145">
        <f t="shared" si="4"/>
        <v>0.15</v>
      </c>
      <c r="U145">
        <f t="shared" si="5"/>
        <v>5.3</v>
      </c>
    </row>
    <row r="146" spans="1:21">
      <c r="A146" s="12">
        <v>0</v>
      </c>
      <c r="B146" s="12">
        <v>-20</v>
      </c>
      <c r="C146" s="11">
        <v>3.7860272796370453</v>
      </c>
      <c r="D146" s="11">
        <v>-19.006602991019648</v>
      </c>
      <c r="E146" s="11"/>
      <c r="F146" s="10">
        <v>585</v>
      </c>
      <c r="G146" s="12" t="s">
        <v>11</v>
      </c>
      <c r="H146" s="13"/>
      <c r="I146" s="14">
        <v>0.17</v>
      </c>
      <c r="J146" s="31"/>
      <c r="K146" s="14">
        <v>7.8</v>
      </c>
      <c r="L146" s="13">
        <v>1.4</v>
      </c>
      <c r="M146" s="13">
        <v>0.3</v>
      </c>
      <c r="P146" s="12" t="s">
        <v>14</v>
      </c>
      <c r="Q146" s="12"/>
      <c r="R146" s="12"/>
      <c r="T146">
        <f t="shared" si="4"/>
        <v>0.17</v>
      </c>
      <c r="U146">
        <f t="shared" si="5"/>
        <v>7.8</v>
      </c>
    </row>
    <row r="147" spans="1:21">
      <c r="A147" s="12">
        <v>10</v>
      </c>
      <c r="B147" s="12">
        <v>10</v>
      </c>
      <c r="C147" s="11">
        <v>19.512906347855239</v>
      </c>
      <c r="D147" s="11">
        <v>13.843463648447257</v>
      </c>
      <c r="E147" s="11"/>
      <c r="F147" s="10">
        <v>109</v>
      </c>
      <c r="G147" s="12" t="s">
        <v>13</v>
      </c>
      <c r="H147" s="13"/>
      <c r="I147" s="14">
        <v>0.19</v>
      </c>
      <c r="J147" s="14"/>
      <c r="K147" s="31">
        <v>3.8</v>
      </c>
      <c r="L147" s="13">
        <v>1.4</v>
      </c>
      <c r="M147" s="13">
        <v>0.4</v>
      </c>
      <c r="P147" s="12" t="s">
        <v>14</v>
      </c>
      <c r="Q147" s="12"/>
      <c r="R147" s="12"/>
      <c r="T147">
        <f t="shared" si="4"/>
        <v>0.19</v>
      </c>
      <c r="U147">
        <f t="shared" si="5"/>
        <v>3.8</v>
      </c>
    </row>
    <row r="148" spans="1:21">
      <c r="A148" s="9">
        <v>0</v>
      </c>
      <c r="B148" s="9">
        <v>-10</v>
      </c>
      <c r="C148" s="11">
        <v>0.99993594683058107</v>
      </c>
      <c r="D148" s="11">
        <v>-1.9720346225063956</v>
      </c>
      <c r="E148" s="11"/>
      <c r="F148" s="12">
        <v>402</v>
      </c>
      <c r="G148" s="12" t="s">
        <v>11</v>
      </c>
      <c r="H148" s="13"/>
      <c r="I148" s="14">
        <v>0.19</v>
      </c>
      <c r="J148" s="14"/>
      <c r="K148" s="31">
        <v>8.1</v>
      </c>
      <c r="L148" s="13">
        <v>1.5</v>
      </c>
      <c r="M148" s="13">
        <v>0</v>
      </c>
      <c r="P148" s="12" t="s">
        <v>14</v>
      </c>
      <c r="Q148" s="12"/>
      <c r="R148" s="12"/>
      <c r="T148">
        <f t="shared" si="4"/>
        <v>0.19</v>
      </c>
      <c r="U148">
        <f t="shared" si="5"/>
        <v>8.1</v>
      </c>
    </row>
    <row r="149" spans="1:21">
      <c r="A149" s="12">
        <v>20</v>
      </c>
      <c r="B149" s="12">
        <v>-20</v>
      </c>
      <c r="C149" s="11">
        <v>26.14893076961571</v>
      </c>
      <c r="D149" s="11">
        <v>-15.041376912620358</v>
      </c>
      <c r="E149" s="11"/>
      <c r="F149" s="12">
        <v>558</v>
      </c>
      <c r="G149" s="12" t="s">
        <v>21</v>
      </c>
      <c r="H149" s="13"/>
      <c r="I149" s="14">
        <v>0.21</v>
      </c>
      <c r="J149" s="14"/>
      <c r="K149" s="31">
        <v>6.2</v>
      </c>
      <c r="L149" s="13">
        <v>1.6</v>
      </c>
      <c r="M149" s="13">
        <v>0.3</v>
      </c>
      <c r="P149" s="12" t="s">
        <v>14</v>
      </c>
      <c r="Q149" s="12"/>
      <c r="R149" s="12"/>
      <c r="T149">
        <f t="shared" si="4"/>
        <v>0.21</v>
      </c>
      <c r="U149">
        <f t="shared" si="5"/>
        <v>6.2</v>
      </c>
    </row>
    <row r="150" spans="1:21">
      <c r="A150" s="12">
        <v>40</v>
      </c>
      <c r="B150" s="12">
        <v>-10</v>
      </c>
      <c r="C150" s="11">
        <v>47.838459784886211</v>
      </c>
      <c r="D150" s="11">
        <v>-2.6503101513682941</v>
      </c>
      <c r="E150" s="11"/>
      <c r="F150" s="12">
        <v>462</v>
      </c>
      <c r="G150" s="12" t="s">
        <v>13</v>
      </c>
      <c r="H150" s="13"/>
      <c r="I150" s="14">
        <v>0.22</v>
      </c>
      <c r="J150" s="14"/>
      <c r="K150" s="14">
        <v>7.2</v>
      </c>
      <c r="L150" s="13">
        <v>1.4</v>
      </c>
      <c r="M150" s="13">
        <v>0.4</v>
      </c>
      <c r="P150" s="12" t="s">
        <v>14</v>
      </c>
      <c r="Q150" s="12"/>
      <c r="R150" s="12"/>
      <c r="T150">
        <f t="shared" si="4"/>
        <v>0.22</v>
      </c>
      <c r="U150">
        <f t="shared" si="5"/>
        <v>7.2</v>
      </c>
    </row>
    <row r="151" spans="1:21">
      <c r="A151" s="9">
        <v>0</v>
      </c>
      <c r="B151" s="9">
        <v>-10</v>
      </c>
      <c r="C151" s="11">
        <v>0.35800174195920847</v>
      </c>
      <c r="D151" s="11">
        <v>-3.3896872424404778</v>
      </c>
      <c r="E151" s="11"/>
      <c r="F151" s="10">
        <v>401</v>
      </c>
      <c r="G151" s="12" t="s">
        <v>11</v>
      </c>
      <c r="H151" s="13"/>
      <c r="I151" s="14">
        <v>0.24</v>
      </c>
      <c r="J151" s="14"/>
      <c r="K151" s="14">
        <v>9.9</v>
      </c>
      <c r="L151" s="13">
        <v>1.6</v>
      </c>
      <c r="M151" s="13">
        <v>0</v>
      </c>
      <c r="P151" s="12" t="s">
        <v>14</v>
      </c>
      <c r="Q151" s="12"/>
      <c r="R151" s="12"/>
      <c r="T151">
        <f t="shared" si="4"/>
        <v>0.24</v>
      </c>
      <c r="U151">
        <f t="shared" si="5"/>
        <v>9.9</v>
      </c>
    </row>
    <row r="152" spans="1:21">
      <c r="A152" s="12">
        <v>30</v>
      </c>
      <c r="B152" s="12">
        <v>-10</v>
      </c>
      <c r="C152" s="11">
        <v>38.977269466040433</v>
      </c>
      <c r="D152" s="11">
        <v>-4.0167799426306585</v>
      </c>
      <c r="E152" s="11"/>
      <c r="F152" s="12">
        <v>444</v>
      </c>
      <c r="G152" s="12" t="s">
        <v>13</v>
      </c>
      <c r="H152" s="13"/>
      <c r="I152" s="14">
        <v>0.26</v>
      </c>
      <c r="J152" s="14" t="s">
        <v>70</v>
      </c>
      <c r="K152" s="14"/>
      <c r="L152" s="13">
        <v>1</v>
      </c>
      <c r="M152" s="13"/>
      <c r="P152" s="12" t="s">
        <v>12</v>
      </c>
      <c r="Q152" s="12"/>
      <c r="R152" s="12"/>
      <c r="T152">
        <f t="shared" si="4"/>
        <v>0.26</v>
      </c>
      <c r="U152" t="str">
        <f t="shared" si="5"/>
        <v>dead</v>
      </c>
    </row>
    <row r="153" spans="1:21">
      <c r="A153" s="12">
        <v>30</v>
      </c>
      <c r="B153" s="12">
        <v>-20</v>
      </c>
      <c r="C153" s="11">
        <v>38.237587459751978</v>
      </c>
      <c r="D153" s="11">
        <v>-18.662534388848133</v>
      </c>
      <c r="E153" s="11"/>
      <c r="F153" s="10">
        <v>515</v>
      </c>
      <c r="G153" s="12" t="s">
        <v>21</v>
      </c>
      <c r="H153" s="13"/>
      <c r="I153" s="14">
        <v>0.28000000000000003</v>
      </c>
      <c r="J153" s="14"/>
      <c r="K153" s="14">
        <v>4.5</v>
      </c>
      <c r="L153" s="13">
        <v>1.4</v>
      </c>
      <c r="M153" s="13">
        <v>0.2</v>
      </c>
      <c r="P153" s="12" t="s">
        <v>14</v>
      </c>
      <c r="Q153" s="12"/>
      <c r="R153" s="12"/>
      <c r="T153">
        <f t="shared" si="4"/>
        <v>0.28000000000000003</v>
      </c>
      <c r="U153">
        <f t="shared" si="5"/>
        <v>4.5</v>
      </c>
    </row>
    <row r="154" spans="1:21">
      <c r="A154" s="12">
        <v>30</v>
      </c>
      <c r="B154" s="12">
        <v>-20</v>
      </c>
      <c r="C154" s="11">
        <v>30.072596810592465</v>
      </c>
      <c r="D154" s="11">
        <v>-12.997259734314172</v>
      </c>
      <c r="E154" s="11"/>
      <c r="F154" s="12">
        <v>530</v>
      </c>
      <c r="G154" s="12" t="s">
        <v>13</v>
      </c>
      <c r="H154" s="13"/>
      <c r="I154" s="14">
        <v>0.28000000000000003</v>
      </c>
      <c r="J154" s="14"/>
      <c r="K154" s="14">
        <v>7</v>
      </c>
      <c r="L154" s="13">
        <v>1.4</v>
      </c>
      <c r="M154" s="13">
        <v>0.3</v>
      </c>
      <c r="P154" s="12" t="s">
        <v>14</v>
      </c>
      <c r="Q154" s="12"/>
      <c r="R154" s="12"/>
      <c r="T154">
        <f t="shared" si="4"/>
        <v>0.28000000000000003</v>
      </c>
      <c r="U154">
        <f t="shared" si="5"/>
        <v>7</v>
      </c>
    </row>
    <row r="155" spans="1:21">
      <c r="A155" s="12">
        <v>40</v>
      </c>
      <c r="B155" s="12">
        <v>30</v>
      </c>
      <c r="C155" s="11">
        <v>48.896603355268482</v>
      </c>
      <c r="D155" s="11">
        <v>30.463621450236197</v>
      </c>
      <c r="E155" s="11"/>
      <c r="F155" s="12">
        <v>326</v>
      </c>
      <c r="G155" s="12" t="s">
        <v>30</v>
      </c>
      <c r="H155" s="13"/>
      <c r="I155" s="14">
        <v>0.3</v>
      </c>
      <c r="J155" s="14" t="s">
        <v>85</v>
      </c>
      <c r="K155" s="14"/>
      <c r="L155" s="13">
        <v>1.3</v>
      </c>
      <c r="M155" s="13">
        <v>0.7</v>
      </c>
      <c r="P155" s="12" t="s">
        <v>14</v>
      </c>
      <c r="Q155" s="12"/>
      <c r="R155" s="12"/>
      <c r="S155" t="s">
        <v>86</v>
      </c>
      <c r="T155">
        <f t="shared" si="4"/>
        <v>0.3</v>
      </c>
      <c r="U155" t="e">
        <f t="shared" si="5"/>
        <v>#VALUE!</v>
      </c>
    </row>
    <row r="156" spans="1:21">
      <c r="A156" s="12">
        <v>30</v>
      </c>
      <c r="B156" s="12">
        <v>10</v>
      </c>
      <c r="C156" s="11">
        <v>39.475523248039664</v>
      </c>
      <c r="D156" s="11">
        <v>13.752043600035297</v>
      </c>
      <c r="E156" s="11"/>
      <c r="F156" s="10">
        <v>239</v>
      </c>
      <c r="G156" s="12" t="s">
        <v>21</v>
      </c>
      <c r="H156" s="13"/>
      <c r="I156" s="14">
        <v>0.34</v>
      </c>
      <c r="J156" s="14"/>
      <c r="K156" s="14">
        <v>7</v>
      </c>
      <c r="L156" s="13">
        <v>1.8</v>
      </c>
      <c r="M156" s="13">
        <v>0.7</v>
      </c>
      <c r="P156" s="12" t="s">
        <v>14</v>
      </c>
      <c r="Q156" s="12"/>
      <c r="R156" s="12"/>
      <c r="T156">
        <f t="shared" si="4"/>
        <v>0.34</v>
      </c>
      <c r="U156">
        <f t="shared" si="5"/>
        <v>7</v>
      </c>
    </row>
    <row r="157" spans="1:21">
      <c r="A157" s="12">
        <v>30</v>
      </c>
      <c r="B157" s="12">
        <v>10</v>
      </c>
      <c r="C157" s="11">
        <v>33.495831695602774</v>
      </c>
      <c r="D157" s="11">
        <v>12.926722064274653</v>
      </c>
      <c r="E157" s="11"/>
      <c r="F157" s="12">
        <v>234</v>
      </c>
      <c r="G157" s="12" t="s">
        <v>11</v>
      </c>
      <c r="H157" s="13"/>
      <c r="I157" s="14">
        <v>0.36</v>
      </c>
      <c r="J157" s="14"/>
      <c r="K157" s="14">
        <v>10.5</v>
      </c>
      <c r="L157" s="13">
        <v>1.5</v>
      </c>
      <c r="M157" s="13">
        <v>0.1</v>
      </c>
      <c r="P157" s="12" t="s">
        <v>14</v>
      </c>
      <c r="Q157" s="12"/>
      <c r="R157" s="12"/>
      <c r="T157">
        <f t="shared" si="4"/>
        <v>0.36</v>
      </c>
      <c r="U157">
        <f t="shared" si="5"/>
        <v>10.5</v>
      </c>
    </row>
    <row r="158" spans="1:21">
      <c r="A158" s="12">
        <v>30</v>
      </c>
      <c r="B158" s="12">
        <v>0</v>
      </c>
      <c r="C158" s="11">
        <v>34.050937810882921</v>
      </c>
      <c r="D158" s="11">
        <v>9.6930927280564454</v>
      </c>
      <c r="E158" s="11"/>
      <c r="F158" s="12">
        <v>246</v>
      </c>
      <c r="G158" s="12" t="s">
        <v>13</v>
      </c>
      <c r="H158" s="13"/>
      <c r="I158" s="14">
        <v>0.36</v>
      </c>
      <c r="J158" s="14"/>
      <c r="K158" s="14">
        <v>10.3</v>
      </c>
      <c r="L158" s="13">
        <v>1.6</v>
      </c>
      <c r="M158" s="13">
        <v>0.4</v>
      </c>
      <c r="P158" s="12" t="s">
        <v>14</v>
      </c>
      <c r="Q158" s="12"/>
      <c r="R158" s="12"/>
      <c r="T158">
        <f t="shared" si="4"/>
        <v>0.36</v>
      </c>
      <c r="U158">
        <f t="shared" si="5"/>
        <v>10.3</v>
      </c>
    </row>
    <row r="159" spans="1:21">
      <c r="A159" s="12">
        <v>40</v>
      </c>
      <c r="B159" s="12">
        <v>30</v>
      </c>
      <c r="C159" s="11">
        <v>48.673566100653304</v>
      </c>
      <c r="D159" s="11">
        <v>31.017407216696064</v>
      </c>
      <c r="E159" s="11"/>
      <c r="F159" s="10">
        <v>337</v>
      </c>
      <c r="G159" s="12" t="s">
        <v>30</v>
      </c>
      <c r="H159" s="13"/>
      <c r="I159" s="14">
        <v>0.37</v>
      </c>
      <c r="J159" s="14" t="s">
        <v>70</v>
      </c>
      <c r="K159" s="14"/>
      <c r="L159" s="13">
        <v>1.3</v>
      </c>
      <c r="M159" s="13">
        <v>0.6</v>
      </c>
      <c r="P159" s="12" t="s">
        <v>14</v>
      </c>
      <c r="Q159" s="12"/>
      <c r="R159" s="12"/>
      <c r="T159">
        <f t="shared" si="4"/>
        <v>0.37</v>
      </c>
      <c r="U159" t="str">
        <f t="shared" si="5"/>
        <v>dead</v>
      </c>
    </row>
    <row r="160" spans="1:21">
      <c r="A160" s="9">
        <v>0</v>
      </c>
      <c r="B160" s="9">
        <v>0</v>
      </c>
      <c r="C160" s="11">
        <v>4.9136324761842101</v>
      </c>
      <c r="D160" s="11">
        <v>8.9188592077476532</v>
      </c>
      <c r="E160" s="11"/>
      <c r="F160" s="10">
        <v>15</v>
      </c>
      <c r="G160" s="12" t="s">
        <v>13</v>
      </c>
      <c r="H160" s="13"/>
      <c r="I160" s="14">
        <v>0.39</v>
      </c>
      <c r="J160" s="14"/>
      <c r="K160" s="14">
        <v>8.5</v>
      </c>
      <c r="L160" s="13">
        <v>1.5</v>
      </c>
      <c r="M160" s="13">
        <v>0.4</v>
      </c>
      <c r="P160" s="12" t="s">
        <v>14</v>
      </c>
      <c r="Q160" s="12"/>
      <c r="R160" s="12"/>
      <c r="T160">
        <f t="shared" si="4"/>
        <v>0.39</v>
      </c>
      <c r="U160">
        <f t="shared" si="5"/>
        <v>8.5</v>
      </c>
    </row>
    <row r="161" spans="1:21">
      <c r="A161" s="12">
        <v>30</v>
      </c>
      <c r="B161" s="12">
        <v>-20</v>
      </c>
      <c r="C161" s="11">
        <v>38.593859788306851</v>
      </c>
      <c r="D161" s="11">
        <v>-14.808624512795685</v>
      </c>
      <c r="E161" s="11"/>
      <c r="F161" s="12">
        <v>518</v>
      </c>
      <c r="G161" s="12" t="s">
        <v>11</v>
      </c>
      <c r="H161" s="13"/>
      <c r="I161" s="14">
        <v>0.39</v>
      </c>
      <c r="J161" s="14"/>
      <c r="K161" s="14">
        <v>9.3000000000000007</v>
      </c>
      <c r="L161" s="13">
        <v>1.5</v>
      </c>
      <c r="M161" s="13">
        <v>0</v>
      </c>
      <c r="P161" s="12" t="s">
        <v>14</v>
      </c>
      <c r="Q161" s="12"/>
      <c r="R161" s="12"/>
      <c r="T161">
        <f t="shared" si="4"/>
        <v>0.39</v>
      </c>
      <c r="U161">
        <f t="shared" si="5"/>
        <v>9.3000000000000007</v>
      </c>
    </row>
    <row r="162" spans="1:21">
      <c r="A162" s="12">
        <v>20</v>
      </c>
      <c r="B162" s="12">
        <v>20</v>
      </c>
      <c r="C162" s="11">
        <v>24.174543443410826</v>
      </c>
      <c r="D162" s="11">
        <v>27.529531811649555</v>
      </c>
      <c r="E162" s="11"/>
      <c r="F162" s="10">
        <v>167</v>
      </c>
      <c r="G162" s="12" t="s">
        <v>21</v>
      </c>
      <c r="H162" s="13"/>
      <c r="I162" s="14">
        <v>0.4</v>
      </c>
      <c r="J162" s="14"/>
      <c r="K162" s="14">
        <v>5.4</v>
      </c>
      <c r="L162" s="13">
        <v>1.8</v>
      </c>
      <c r="M162" s="13">
        <v>0.5</v>
      </c>
      <c r="P162" s="12" t="s">
        <v>14</v>
      </c>
      <c r="Q162" s="12"/>
      <c r="R162" s="12"/>
      <c r="T162">
        <f t="shared" si="4"/>
        <v>0.4</v>
      </c>
      <c r="U162">
        <f t="shared" si="5"/>
        <v>5.4</v>
      </c>
    </row>
    <row r="163" spans="1:21">
      <c r="A163" s="12">
        <v>0</v>
      </c>
      <c r="B163" s="12">
        <v>-20</v>
      </c>
      <c r="C163" s="11">
        <v>8.3512926746389606</v>
      </c>
      <c r="D163" s="11">
        <v>-18.76972124200773</v>
      </c>
      <c r="E163" s="11"/>
      <c r="F163" s="12">
        <v>580</v>
      </c>
      <c r="G163" s="12" t="s">
        <v>11</v>
      </c>
      <c r="H163" s="13"/>
      <c r="I163" s="14">
        <v>0.4</v>
      </c>
      <c r="J163" s="14"/>
      <c r="K163" s="14">
        <v>6.3</v>
      </c>
      <c r="L163" s="13">
        <v>1.4</v>
      </c>
      <c r="M163" s="13">
        <v>0</v>
      </c>
      <c r="P163" s="12" t="s">
        <v>14</v>
      </c>
      <c r="Q163" s="12"/>
      <c r="R163" s="12"/>
      <c r="T163">
        <f t="shared" si="4"/>
        <v>0.4</v>
      </c>
      <c r="U163">
        <f t="shared" si="5"/>
        <v>6.3</v>
      </c>
    </row>
    <row r="164" spans="1:21">
      <c r="A164" s="12">
        <v>20</v>
      </c>
      <c r="B164" s="12">
        <v>-20</v>
      </c>
      <c r="C164" s="11">
        <v>23.673803585367654</v>
      </c>
      <c r="D164" s="11">
        <v>-16.862901036066745</v>
      </c>
      <c r="E164" s="11"/>
      <c r="F164" s="12">
        <v>568</v>
      </c>
      <c r="G164" s="12" t="s">
        <v>21</v>
      </c>
      <c r="H164" s="13"/>
      <c r="I164" s="14">
        <v>0.41</v>
      </c>
      <c r="J164" s="14"/>
      <c r="K164" s="14">
        <v>8.3000000000000007</v>
      </c>
      <c r="L164" s="13">
        <v>1.7</v>
      </c>
      <c r="M164" s="13">
        <v>0.3</v>
      </c>
      <c r="P164" s="12" t="s">
        <v>14</v>
      </c>
      <c r="Q164" s="12"/>
      <c r="R164" s="12"/>
      <c r="T164">
        <f t="shared" si="4"/>
        <v>0.41</v>
      </c>
      <c r="U164">
        <f t="shared" si="5"/>
        <v>8.3000000000000007</v>
      </c>
    </row>
    <row r="165" spans="1:21">
      <c r="A165" s="9">
        <v>20</v>
      </c>
      <c r="B165" s="9">
        <v>-10</v>
      </c>
      <c r="C165" s="11">
        <v>21.464943970627026</v>
      </c>
      <c r="D165" s="11">
        <v>-9.2555552485210217</v>
      </c>
      <c r="E165" s="11"/>
      <c r="F165" s="12">
        <v>416</v>
      </c>
      <c r="G165" s="12" t="s">
        <v>13</v>
      </c>
      <c r="H165" s="13"/>
      <c r="I165" s="14">
        <v>0.43</v>
      </c>
      <c r="J165" s="14"/>
      <c r="K165" s="14">
        <v>5</v>
      </c>
      <c r="L165" s="13">
        <v>1.4</v>
      </c>
      <c r="M165" s="13">
        <v>0.9</v>
      </c>
      <c r="P165" s="12" t="s">
        <v>14</v>
      </c>
      <c r="Q165" s="12"/>
      <c r="R165" s="12"/>
      <c r="T165">
        <f t="shared" si="4"/>
        <v>0.43</v>
      </c>
      <c r="U165">
        <f t="shared" si="5"/>
        <v>5</v>
      </c>
    </row>
    <row r="166" spans="1:21">
      <c r="A166" s="12">
        <v>10</v>
      </c>
      <c r="B166" s="12">
        <v>-40</v>
      </c>
      <c r="C166" s="11">
        <v>19.350085857963784</v>
      </c>
      <c r="D166" s="11">
        <v>-30.682495267041411</v>
      </c>
      <c r="E166" s="11"/>
      <c r="F166" s="10">
        <v>721</v>
      </c>
      <c r="G166" s="12" t="s">
        <v>11</v>
      </c>
      <c r="H166" s="13"/>
      <c r="I166" s="14">
        <v>0.43</v>
      </c>
      <c r="J166" s="14"/>
      <c r="K166" s="14">
        <v>11.2</v>
      </c>
      <c r="L166" s="13">
        <v>1.6</v>
      </c>
      <c r="M166" s="13">
        <v>0</v>
      </c>
      <c r="P166" s="12" t="s">
        <v>14</v>
      </c>
      <c r="Q166" s="12"/>
      <c r="R166" s="12"/>
      <c r="S166" t="s">
        <v>133</v>
      </c>
      <c r="T166">
        <f t="shared" si="4"/>
        <v>0.43</v>
      </c>
      <c r="U166">
        <f t="shared" si="5"/>
        <v>11.2</v>
      </c>
    </row>
    <row r="167" spans="1:21">
      <c r="A167" s="12">
        <v>10</v>
      </c>
      <c r="B167" s="12">
        <v>10</v>
      </c>
      <c r="C167" s="11">
        <v>19.674728156140318</v>
      </c>
      <c r="D167" s="11">
        <v>13.733166900204932</v>
      </c>
      <c r="E167" s="11"/>
      <c r="F167" s="12">
        <v>108</v>
      </c>
      <c r="G167" s="12" t="s">
        <v>13</v>
      </c>
      <c r="H167" s="13"/>
      <c r="I167" s="14">
        <v>0.44</v>
      </c>
      <c r="J167" s="14"/>
      <c r="K167" s="14">
        <v>8</v>
      </c>
      <c r="L167" s="13">
        <v>1.6</v>
      </c>
      <c r="M167" s="13">
        <v>0.6</v>
      </c>
      <c r="P167" s="12" t="s">
        <v>14</v>
      </c>
      <c r="Q167" s="12"/>
      <c r="R167" s="12"/>
      <c r="T167">
        <f t="shared" si="4"/>
        <v>0.44</v>
      </c>
      <c r="U167">
        <f t="shared" si="5"/>
        <v>8</v>
      </c>
    </row>
    <row r="168" spans="1:21">
      <c r="A168" s="12">
        <v>30</v>
      </c>
      <c r="B168" s="12">
        <v>-20</v>
      </c>
      <c r="C168" s="11">
        <v>38.533061832444758</v>
      </c>
      <c r="D168" s="11">
        <v>-15.79728319237293</v>
      </c>
      <c r="E168" s="11"/>
      <c r="F168" s="10">
        <v>517</v>
      </c>
      <c r="G168" s="12" t="s">
        <v>21</v>
      </c>
      <c r="H168" s="13"/>
      <c r="I168" s="14">
        <v>0.45</v>
      </c>
      <c r="J168" s="31"/>
      <c r="K168" s="14">
        <v>6.9</v>
      </c>
      <c r="L168" s="13">
        <v>1.6</v>
      </c>
      <c r="M168" s="13">
        <v>0.4</v>
      </c>
      <c r="P168" s="12" t="s">
        <v>14</v>
      </c>
      <c r="Q168" s="12"/>
      <c r="R168" s="12"/>
      <c r="T168">
        <f t="shared" si="4"/>
        <v>0.45</v>
      </c>
      <c r="U168">
        <f t="shared" si="5"/>
        <v>6.9</v>
      </c>
    </row>
    <row r="169" spans="1:21">
      <c r="A169" s="12">
        <v>10</v>
      </c>
      <c r="B169" s="12">
        <v>-20</v>
      </c>
      <c r="C169" s="11">
        <v>12.642308249250132</v>
      </c>
      <c r="D169" s="11">
        <v>-18.965943859866712</v>
      </c>
      <c r="E169" s="11"/>
      <c r="F169" s="10">
        <v>577</v>
      </c>
      <c r="G169" s="12" t="s">
        <v>11</v>
      </c>
      <c r="H169" s="13"/>
      <c r="I169" s="14">
        <v>0.45</v>
      </c>
      <c r="J169" s="14"/>
      <c r="K169" s="14"/>
      <c r="L169" s="13">
        <v>1.6</v>
      </c>
      <c r="M169" s="13">
        <v>0</v>
      </c>
      <c r="P169" s="12" t="s">
        <v>14</v>
      </c>
      <c r="Q169" s="12"/>
      <c r="R169" s="12"/>
      <c r="T169">
        <f t="shared" si="4"/>
        <v>0.45</v>
      </c>
      <c r="U169">
        <f t="shared" si="5"/>
        <v>0</v>
      </c>
    </row>
    <row r="170" spans="1:21">
      <c r="A170" s="12">
        <v>30</v>
      </c>
      <c r="B170" s="12">
        <v>20</v>
      </c>
      <c r="C170" s="11">
        <v>34.094149764448233</v>
      </c>
      <c r="D170" s="11">
        <v>24.037380054722185</v>
      </c>
      <c r="E170" s="11"/>
      <c r="F170" s="12">
        <v>210</v>
      </c>
      <c r="G170" s="12" t="s">
        <v>21</v>
      </c>
      <c r="H170" s="13"/>
      <c r="I170" s="14">
        <v>0.46</v>
      </c>
      <c r="J170" s="14" t="s">
        <v>70</v>
      </c>
      <c r="K170" s="14"/>
      <c r="L170" s="13">
        <v>1.8</v>
      </c>
      <c r="M170" s="13">
        <v>0.6</v>
      </c>
      <c r="P170" s="12" t="s">
        <v>14</v>
      </c>
      <c r="Q170" s="12"/>
      <c r="R170" s="12"/>
      <c r="T170">
        <f t="shared" si="4"/>
        <v>0.46</v>
      </c>
      <c r="U170" t="str">
        <f t="shared" si="5"/>
        <v>dead</v>
      </c>
    </row>
    <row r="171" spans="1:21">
      <c r="A171" s="12">
        <v>40</v>
      </c>
      <c r="B171" s="12">
        <v>40</v>
      </c>
      <c r="C171" s="11">
        <v>41.896156810321528</v>
      </c>
      <c r="D171" s="11">
        <v>49.159728465249501</v>
      </c>
      <c r="E171" s="11"/>
      <c r="F171" s="12">
        <v>368</v>
      </c>
      <c r="G171" s="12" t="s">
        <v>13</v>
      </c>
      <c r="H171" s="13"/>
      <c r="I171" s="14">
        <v>0.49</v>
      </c>
      <c r="J171" s="14"/>
      <c r="K171" s="14">
        <v>6.4</v>
      </c>
      <c r="L171" s="13">
        <v>2.1</v>
      </c>
      <c r="M171" s="13">
        <v>0.7</v>
      </c>
      <c r="P171" s="12" t="s">
        <v>14</v>
      </c>
      <c r="Q171" s="12"/>
      <c r="R171" s="12"/>
      <c r="T171">
        <f t="shared" si="4"/>
        <v>0.49</v>
      </c>
      <c r="U171">
        <f t="shared" si="5"/>
        <v>6.4</v>
      </c>
    </row>
    <row r="172" spans="1:21">
      <c r="A172" s="12">
        <v>30</v>
      </c>
      <c r="B172" s="12">
        <v>-20</v>
      </c>
      <c r="C172" s="11">
        <v>34.564016467039586</v>
      </c>
      <c r="D172" s="11">
        <v>-16.165912992362379</v>
      </c>
      <c r="E172" s="11"/>
      <c r="F172" s="12">
        <v>524</v>
      </c>
      <c r="G172" s="12" t="s">
        <v>11</v>
      </c>
      <c r="H172" s="13"/>
      <c r="I172" s="14">
        <v>0.49</v>
      </c>
      <c r="J172" s="14"/>
      <c r="K172" s="14">
        <v>1.33</v>
      </c>
      <c r="L172" s="13">
        <v>1.7</v>
      </c>
      <c r="M172" s="13">
        <v>0</v>
      </c>
      <c r="P172" s="12" t="s">
        <v>14</v>
      </c>
      <c r="Q172" s="12"/>
      <c r="R172" s="12"/>
      <c r="S172" t="s">
        <v>97</v>
      </c>
      <c r="T172">
        <f t="shared" si="4"/>
        <v>0.49</v>
      </c>
      <c r="U172">
        <f t="shared" si="5"/>
        <v>1.33</v>
      </c>
    </row>
    <row r="173" spans="1:21">
      <c r="A173" s="12">
        <v>40</v>
      </c>
      <c r="B173" s="12">
        <v>-40</v>
      </c>
      <c r="C173" s="11">
        <v>42.934938877920068</v>
      </c>
      <c r="D173" s="11">
        <v>-35.514943279859963</v>
      </c>
      <c r="E173" s="11"/>
      <c r="F173" s="10">
        <v>711</v>
      </c>
      <c r="G173" s="12" t="s">
        <v>51</v>
      </c>
      <c r="H173" s="13"/>
      <c r="I173" s="14">
        <v>0.49</v>
      </c>
      <c r="J173" s="14"/>
      <c r="K173" s="14">
        <v>5.8</v>
      </c>
      <c r="L173" s="13">
        <v>1.7</v>
      </c>
      <c r="M173" s="13">
        <v>0.8</v>
      </c>
      <c r="P173" s="12" t="s">
        <v>14</v>
      </c>
      <c r="Q173" s="12"/>
      <c r="R173" s="12" t="s">
        <v>16</v>
      </c>
      <c r="T173">
        <f t="shared" si="4"/>
        <v>0.49</v>
      </c>
      <c r="U173">
        <f t="shared" si="5"/>
        <v>5.8</v>
      </c>
    </row>
    <row r="174" spans="1:21">
      <c r="A174" s="9">
        <v>0</v>
      </c>
      <c r="B174" s="12">
        <v>20</v>
      </c>
      <c r="C174" s="11">
        <v>6.3672798251672251</v>
      </c>
      <c r="D174" s="11">
        <v>26.70971293186366</v>
      </c>
      <c r="E174" s="11"/>
      <c r="F174" s="12">
        <v>42</v>
      </c>
      <c r="G174" s="12" t="s">
        <v>11</v>
      </c>
      <c r="H174" s="13"/>
      <c r="I174" s="14">
        <v>0.5</v>
      </c>
      <c r="J174" s="14"/>
      <c r="K174" s="14">
        <v>11.6</v>
      </c>
      <c r="L174" s="13">
        <v>1.7</v>
      </c>
      <c r="M174" s="13">
        <v>0.1</v>
      </c>
      <c r="P174" s="12" t="s">
        <v>14</v>
      </c>
      <c r="Q174" s="12"/>
      <c r="R174" s="12"/>
      <c r="T174">
        <f t="shared" si="4"/>
        <v>0.5</v>
      </c>
      <c r="U174">
        <f t="shared" si="5"/>
        <v>11.6</v>
      </c>
    </row>
    <row r="175" spans="1:21">
      <c r="A175" s="12">
        <v>30</v>
      </c>
      <c r="B175" s="12">
        <v>10</v>
      </c>
      <c r="C175" s="11">
        <v>33.598797543972296</v>
      </c>
      <c r="D175" s="11">
        <v>14.841244700753974</v>
      </c>
      <c r="E175" s="11"/>
      <c r="F175" s="10">
        <v>231</v>
      </c>
      <c r="G175" s="12" t="s">
        <v>21</v>
      </c>
      <c r="H175" s="13"/>
      <c r="I175" s="14">
        <v>0.5</v>
      </c>
      <c r="J175" s="14"/>
      <c r="K175" s="14">
        <v>11.9</v>
      </c>
      <c r="L175" s="13">
        <v>1.8</v>
      </c>
      <c r="M175" s="13">
        <v>0.4</v>
      </c>
      <c r="P175" s="12" t="s">
        <v>14</v>
      </c>
      <c r="Q175" s="12"/>
      <c r="R175" s="12"/>
      <c r="T175">
        <f t="shared" si="4"/>
        <v>0.5</v>
      </c>
      <c r="U175">
        <f t="shared" si="5"/>
        <v>11.9</v>
      </c>
    </row>
    <row r="176" spans="1:21">
      <c r="A176" s="9">
        <v>20</v>
      </c>
      <c r="B176" s="9">
        <v>-10</v>
      </c>
      <c r="C176" s="11">
        <v>21.487636454088175</v>
      </c>
      <c r="D176" s="11">
        <v>-9.1917327521203234</v>
      </c>
      <c r="E176" s="11"/>
      <c r="F176" s="10">
        <v>417</v>
      </c>
      <c r="G176" s="12" t="s">
        <v>13</v>
      </c>
      <c r="H176" s="13"/>
      <c r="I176" s="14">
        <v>0.5</v>
      </c>
      <c r="J176" s="14"/>
      <c r="K176" s="14">
        <v>6.4</v>
      </c>
      <c r="L176" s="13">
        <v>1.7</v>
      </c>
      <c r="M176" s="13">
        <v>1.2</v>
      </c>
      <c r="P176" s="12" t="s">
        <v>14</v>
      </c>
      <c r="Q176" s="12"/>
      <c r="R176" s="12"/>
      <c r="T176">
        <f t="shared" si="4"/>
        <v>0.5</v>
      </c>
      <c r="U176">
        <f t="shared" si="5"/>
        <v>6.4</v>
      </c>
    </row>
    <row r="177" spans="1:21">
      <c r="A177" s="12">
        <v>20</v>
      </c>
      <c r="B177" s="12">
        <v>-40</v>
      </c>
      <c r="C177" s="11">
        <v>29.127893214767482</v>
      </c>
      <c r="D177" s="11">
        <v>-30.172685474109159</v>
      </c>
      <c r="E177" s="11"/>
      <c r="F177" s="12">
        <v>472</v>
      </c>
      <c r="G177" s="12" t="s">
        <v>21</v>
      </c>
      <c r="H177" s="13"/>
      <c r="I177" s="14">
        <v>0.5</v>
      </c>
      <c r="J177" s="14"/>
      <c r="K177" s="14">
        <v>8.9</v>
      </c>
      <c r="L177" s="13">
        <v>2</v>
      </c>
      <c r="M177" s="13">
        <v>0.6</v>
      </c>
      <c r="P177" s="12" t="s">
        <v>14</v>
      </c>
      <c r="Q177" s="12"/>
      <c r="R177" s="12"/>
      <c r="T177">
        <f t="shared" si="4"/>
        <v>0.5</v>
      </c>
      <c r="U177">
        <f t="shared" si="5"/>
        <v>8.9</v>
      </c>
    </row>
    <row r="178" spans="1:21">
      <c r="A178" s="12">
        <v>40</v>
      </c>
      <c r="B178" s="12">
        <v>-40</v>
      </c>
      <c r="C178" s="11">
        <v>43.030489044404334</v>
      </c>
      <c r="D178" s="11">
        <v>-35.639697699500033</v>
      </c>
      <c r="E178" s="11"/>
      <c r="F178" s="12">
        <v>710</v>
      </c>
      <c r="G178" s="12" t="s">
        <v>51</v>
      </c>
      <c r="H178" s="13"/>
      <c r="I178" s="14">
        <v>0.5</v>
      </c>
      <c r="J178" s="14"/>
      <c r="K178" s="14">
        <v>5.6</v>
      </c>
      <c r="L178" s="13">
        <v>1.2</v>
      </c>
      <c r="M178" s="13">
        <v>0.9</v>
      </c>
      <c r="P178" s="12" t="s">
        <v>14</v>
      </c>
      <c r="Q178" s="12"/>
      <c r="R178" s="12" t="s">
        <v>53</v>
      </c>
      <c r="S178" t="s">
        <v>109</v>
      </c>
      <c r="T178">
        <f t="shared" si="4"/>
        <v>0.5</v>
      </c>
      <c r="U178">
        <f t="shared" si="5"/>
        <v>5.6</v>
      </c>
    </row>
    <row r="179" spans="1:21">
      <c r="A179" s="12">
        <v>30</v>
      </c>
      <c r="B179" s="12">
        <v>0</v>
      </c>
      <c r="C179" s="11">
        <v>38.619257460528999</v>
      </c>
      <c r="D179" s="11">
        <v>7.5983782229193677</v>
      </c>
      <c r="E179" s="11"/>
      <c r="F179" s="10">
        <v>259</v>
      </c>
      <c r="G179" s="12" t="s">
        <v>11</v>
      </c>
      <c r="H179" s="13"/>
      <c r="I179" s="14">
        <v>0.51</v>
      </c>
      <c r="J179" s="14"/>
      <c r="K179" s="14">
        <v>13.5</v>
      </c>
      <c r="L179" s="13">
        <v>1.8</v>
      </c>
      <c r="M179" s="13">
        <v>0.2</v>
      </c>
      <c r="P179" s="12" t="s">
        <v>14</v>
      </c>
      <c r="Q179" s="12"/>
      <c r="R179" s="12"/>
      <c r="T179">
        <f t="shared" si="4"/>
        <v>0.51</v>
      </c>
      <c r="U179">
        <f t="shared" si="5"/>
        <v>13.5</v>
      </c>
    </row>
    <row r="180" spans="1:21">
      <c r="A180" s="12">
        <v>40</v>
      </c>
      <c r="B180" s="12">
        <v>-40</v>
      </c>
      <c r="C180" s="11">
        <v>43.057162405751079</v>
      </c>
      <c r="D180" s="11">
        <v>-35.633919603939674</v>
      </c>
      <c r="E180" s="11"/>
      <c r="F180" s="10">
        <v>709</v>
      </c>
      <c r="G180" s="12" t="s">
        <v>51</v>
      </c>
      <c r="H180" s="13"/>
      <c r="I180" s="14">
        <v>0.51</v>
      </c>
      <c r="J180" s="14"/>
      <c r="K180" s="14">
        <v>7.1</v>
      </c>
      <c r="L180" s="13">
        <v>1.9</v>
      </c>
      <c r="M180" s="13">
        <v>1.6</v>
      </c>
      <c r="P180" s="12" t="s">
        <v>14</v>
      </c>
      <c r="Q180" s="12"/>
      <c r="R180" s="12"/>
      <c r="T180">
        <f t="shared" si="4"/>
        <v>0.51</v>
      </c>
      <c r="U180">
        <f t="shared" si="5"/>
        <v>7.1</v>
      </c>
    </row>
    <row r="181" spans="1:21">
      <c r="A181" s="9">
        <v>0</v>
      </c>
      <c r="B181" s="9">
        <v>0</v>
      </c>
      <c r="C181" s="11">
        <v>4.9059474370510188</v>
      </c>
      <c r="D181" s="11">
        <v>8.7299100481017451</v>
      </c>
      <c r="E181" s="11"/>
      <c r="F181" s="10">
        <v>13</v>
      </c>
      <c r="G181" s="12" t="s">
        <v>13</v>
      </c>
      <c r="H181" s="13"/>
      <c r="I181" s="14">
        <v>0.54</v>
      </c>
      <c r="J181" s="14"/>
      <c r="K181" s="14">
        <v>5.9</v>
      </c>
      <c r="L181" s="13">
        <v>1.7</v>
      </c>
      <c r="M181" s="13">
        <v>0.6</v>
      </c>
      <c r="P181" s="12" t="s">
        <v>14</v>
      </c>
      <c r="Q181" s="12"/>
      <c r="R181" s="12"/>
      <c r="T181">
        <f t="shared" si="4"/>
        <v>0.54</v>
      </c>
      <c r="U181">
        <f t="shared" si="5"/>
        <v>5.9</v>
      </c>
    </row>
    <row r="182" spans="1:21">
      <c r="A182" s="12">
        <v>20</v>
      </c>
      <c r="B182" s="12">
        <v>10</v>
      </c>
      <c r="C182" s="11">
        <v>23.803244960068398</v>
      </c>
      <c r="D182" s="11">
        <v>10.799899433500032</v>
      </c>
      <c r="E182" s="11"/>
      <c r="F182" s="10">
        <v>141</v>
      </c>
      <c r="G182" s="12" t="s">
        <v>13</v>
      </c>
      <c r="H182" s="13"/>
      <c r="I182" s="14">
        <v>0.55000000000000004</v>
      </c>
      <c r="J182" s="14"/>
      <c r="K182" s="14">
        <v>5.8</v>
      </c>
      <c r="L182" s="13">
        <v>1.5</v>
      </c>
      <c r="M182" s="13">
        <v>0.4</v>
      </c>
      <c r="P182" s="12" t="s">
        <v>14</v>
      </c>
      <c r="Q182" s="12"/>
      <c r="R182" s="12"/>
      <c r="T182">
        <f t="shared" si="4"/>
        <v>0.55000000000000004</v>
      </c>
      <c r="U182">
        <f t="shared" si="5"/>
        <v>5.8</v>
      </c>
    </row>
    <row r="183" spans="1:21">
      <c r="A183" s="12">
        <v>30</v>
      </c>
      <c r="B183" s="12">
        <v>0</v>
      </c>
      <c r="C183" s="11">
        <v>37.787935082170875</v>
      </c>
      <c r="D183" s="11">
        <v>9.6982970418767067</v>
      </c>
      <c r="E183" s="11"/>
      <c r="F183" s="12">
        <v>242</v>
      </c>
      <c r="G183" s="12" t="s">
        <v>11</v>
      </c>
      <c r="H183" s="13"/>
      <c r="I183" s="14">
        <v>0.55000000000000004</v>
      </c>
      <c r="J183" s="14"/>
      <c r="K183" s="14">
        <v>11.6</v>
      </c>
      <c r="L183" s="13">
        <v>1.6</v>
      </c>
      <c r="M183" s="13">
        <v>0.1</v>
      </c>
      <c r="P183" s="12" t="s">
        <v>14</v>
      </c>
      <c r="Q183" s="12"/>
      <c r="R183" s="12"/>
      <c r="T183">
        <f t="shared" si="4"/>
        <v>0.55000000000000004</v>
      </c>
      <c r="U183">
        <f t="shared" si="5"/>
        <v>11.6</v>
      </c>
    </row>
    <row r="184" spans="1:21">
      <c r="A184" s="12">
        <v>40</v>
      </c>
      <c r="B184" s="12">
        <v>30</v>
      </c>
      <c r="C184" s="11">
        <v>48.923210114886899</v>
      </c>
      <c r="D184" s="11">
        <v>30.400201900908641</v>
      </c>
      <c r="E184" s="11"/>
      <c r="F184" s="10">
        <v>327</v>
      </c>
      <c r="G184" s="12" t="s">
        <v>30</v>
      </c>
      <c r="H184" s="13"/>
      <c r="I184" s="14">
        <v>0.56000000000000005</v>
      </c>
      <c r="J184" s="14"/>
      <c r="K184" s="14">
        <v>9.1</v>
      </c>
      <c r="L184" s="13">
        <v>1.7</v>
      </c>
      <c r="M184" s="13">
        <v>0.7</v>
      </c>
      <c r="P184" s="12" t="s">
        <v>14</v>
      </c>
      <c r="Q184" s="12"/>
      <c r="R184" s="12"/>
      <c r="T184">
        <f t="shared" si="4"/>
        <v>0.56000000000000005</v>
      </c>
      <c r="U184">
        <f t="shared" si="5"/>
        <v>9.1</v>
      </c>
    </row>
    <row r="185" spans="1:21">
      <c r="A185" s="12">
        <v>40</v>
      </c>
      <c r="B185" s="12">
        <v>-50</v>
      </c>
      <c r="C185" s="11">
        <v>45.530277221602518</v>
      </c>
      <c r="D185" s="11">
        <v>-41.054956801117626</v>
      </c>
      <c r="E185" s="11"/>
      <c r="F185" s="10">
        <v>829</v>
      </c>
      <c r="G185" s="12" t="s">
        <v>11</v>
      </c>
      <c r="H185" s="13"/>
      <c r="I185" s="14">
        <v>0.56000000000000005</v>
      </c>
      <c r="J185" s="14"/>
      <c r="K185" s="14">
        <v>10</v>
      </c>
      <c r="L185" s="13">
        <v>1.4</v>
      </c>
      <c r="M185" s="13">
        <v>0.2</v>
      </c>
      <c r="P185" s="12" t="s">
        <v>14</v>
      </c>
      <c r="Q185" s="12"/>
      <c r="R185" s="12"/>
      <c r="T185">
        <f t="shared" si="4"/>
        <v>0.56000000000000005</v>
      </c>
      <c r="U185">
        <f t="shared" si="5"/>
        <v>10</v>
      </c>
    </row>
    <row r="186" spans="1:21">
      <c r="A186" s="9">
        <v>0</v>
      </c>
      <c r="B186" s="12">
        <v>30</v>
      </c>
      <c r="C186" s="11">
        <v>1.087553511959648</v>
      </c>
      <c r="D186" s="11">
        <v>30.011100207201217</v>
      </c>
      <c r="E186" s="11"/>
      <c r="F186" s="10">
        <v>51</v>
      </c>
      <c r="G186" s="12" t="s">
        <v>13</v>
      </c>
      <c r="H186" s="13"/>
      <c r="I186" s="14">
        <v>0.56999999999999995</v>
      </c>
      <c r="J186" s="14"/>
      <c r="K186" s="14">
        <v>11.5</v>
      </c>
      <c r="L186" s="13">
        <v>2</v>
      </c>
      <c r="M186" s="13">
        <v>0.5</v>
      </c>
      <c r="P186" s="12" t="s">
        <v>14</v>
      </c>
      <c r="Q186" s="12"/>
      <c r="R186" s="12"/>
      <c r="T186">
        <f t="shared" si="4"/>
        <v>0.56999999999999995</v>
      </c>
      <c r="U186">
        <f t="shared" si="5"/>
        <v>11.5</v>
      </c>
    </row>
    <row r="187" spans="1:21">
      <c r="A187" s="12">
        <v>20</v>
      </c>
      <c r="B187" s="12">
        <v>-30</v>
      </c>
      <c r="C187" s="11">
        <v>27.649205185971031</v>
      </c>
      <c r="D187" s="11">
        <v>-29.791765098404603</v>
      </c>
      <c r="E187" s="11"/>
      <c r="F187" s="10">
        <v>653</v>
      </c>
      <c r="G187" s="12" t="s">
        <v>11</v>
      </c>
      <c r="H187" s="13"/>
      <c r="I187" s="14">
        <v>0.56999999999999995</v>
      </c>
      <c r="J187" s="14"/>
      <c r="K187" s="14">
        <v>13.7</v>
      </c>
      <c r="L187" s="13">
        <v>1.8</v>
      </c>
      <c r="M187" s="13">
        <v>0.4</v>
      </c>
      <c r="P187" s="12" t="s">
        <v>14</v>
      </c>
      <c r="Q187" s="12"/>
      <c r="R187" s="12"/>
      <c r="T187">
        <f t="shared" si="4"/>
        <v>0.56999999999999995</v>
      </c>
      <c r="U187">
        <f t="shared" si="5"/>
        <v>13.7</v>
      </c>
    </row>
    <row r="188" spans="1:21">
      <c r="A188" s="12">
        <v>20</v>
      </c>
      <c r="B188" s="12">
        <v>-30</v>
      </c>
      <c r="C188" s="11">
        <v>27.530935199189845</v>
      </c>
      <c r="D188" s="11">
        <v>-29.411515234509281</v>
      </c>
      <c r="E188" s="11"/>
      <c r="F188" s="12">
        <v>654</v>
      </c>
      <c r="G188" s="12" t="s">
        <v>21</v>
      </c>
      <c r="H188" s="13"/>
      <c r="I188" s="14">
        <v>0.56999999999999995</v>
      </c>
      <c r="J188" s="14"/>
      <c r="K188" s="14">
        <v>7.8</v>
      </c>
      <c r="L188" s="13">
        <v>1.9</v>
      </c>
      <c r="M188" s="13">
        <v>0.9</v>
      </c>
      <c r="P188" s="12" t="s">
        <v>14</v>
      </c>
      <c r="Q188" s="12"/>
      <c r="R188" s="12"/>
      <c r="T188">
        <f t="shared" si="4"/>
        <v>0.56999999999999995</v>
      </c>
      <c r="U188">
        <f t="shared" si="5"/>
        <v>7.8</v>
      </c>
    </row>
    <row r="189" spans="1:21">
      <c r="A189" s="9">
        <v>0</v>
      </c>
      <c r="B189" s="12">
        <v>40</v>
      </c>
      <c r="C189" s="11">
        <v>9.9747237977389585</v>
      </c>
      <c r="D189" s="11">
        <v>48.323144662228238</v>
      </c>
      <c r="E189" s="11"/>
      <c r="F189" s="10">
        <v>71</v>
      </c>
      <c r="G189" s="12" t="s">
        <v>11</v>
      </c>
      <c r="H189" s="13"/>
      <c r="I189" s="14">
        <v>0.6</v>
      </c>
      <c r="J189" s="14"/>
      <c r="K189" s="14">
        <v>8.1999999999999993</v>
      </c>
      <c r="L189" s="13">
        <v>1.7</v>
      </c>
      <c r="M189" s="13">
        <v>0.2</v>
      </c>
      <c r="P189" s="12" t="s">
        <v>14</v>
      </c>
      <c r="Q189" s="12"/>
      <c r="R189" s="12"/>
      <c r="T189">
        <f t="shared" si="4"/>
        <v>0.6</v>
      </c>
      <c r="U189">
        <f t="shared" si="5"/>
        <v>8.1999999999999993</v>
      </c>
    </row>
    <row r="190" spans="1:21">
      <c r="A190" s="12">
        <v>40</v>
      </c>
      <c r="B190" s="12">
        <v>40</v>
      </c>
      <c r="C190" s="11">
        <v>48.783013822605028</v>
      </c>
      <c r="D190" s="11">
        <v>29.943368126254718</v>
      </c>
      <c r="E190" s="11"/>
      <c r="F190" s="12">
        <v>318</v>
      </c>
      <c r="G190" s="12" t="s">
        <v>30</v>
      </c>
      <c r="H190" s="13"/>
      <c r="I190" s="14">
        <v>0.6</v>
      </c>
      <c r="J190" s="14"/>
      <c r="K190" s="14">
        <v>6.9</v>
      </c>
      <c r="L190" s="13">
        <v>1.1000000000000001</v>
      </c>
      <c r="M190" s="13">
        <v>0.3</v>
      </c>
      <c r="N190" s="32"/>
      <c r="O190" s="32"/>
      <c r="P190" s="12" t="s">
        <v>14</v>
      </c>
      <c r="Q190" s="12"/>
      <c r="R190" s="12"/>
      <c r="T190">
        <f t="shared" si="4"/>
        <v>0.6</v>
      </c>
      <c r="U190">
        <f t="shared" si="5"/>
        <v>6.9</v>
      </c>
    </row>
    <row r="191" spans="1:21">
      <c r="A191" s="12">
        <v>10</v>
      </c>
      <c r="B191" s="12">
        <v>10</v>
      </c>
      <c r="C191" s="11">
        <v>18.06974470609142</v>
      </c>
      <c r="D191" s="11">
        <v>14.418056176477329</v>
      </c>
      <c r="E191" s="11"/>
      <c r="F191" s="10">
        <v>107</v>
      </c>
      <c r="G191" s="12" t="s">
        <v>21</v>
      </c>
      <c r="H191" s="13"/>
      <c r="I191" s="14">
        <v>0.61</v>
      </c>
      <c r="J191" s="14"/>
      <c r="K191" s="14">
        <v>8.5</v>
      </c>
      <c r="L191" s="13">
        <v>2</v>
      </c>
      <c r="M191" s="13">
        <v>0.9</v>
      </c>
      <c r="P191" s="12" t="s">
        <v>14</v>
      </c>
      <c r="Q191" s="12"/>
      <c r="R191" s="12"/>
      <c r="T191">
        <f t="shared" si="4"/>
        <v>0.61</v>
      </c>
      <c r="U191">
        <f t="shared" si="5"/>
        <v>8.5</v>
      </c>
    </row>
    <row r="192" spans="1:21">
      <c r="A192" s="12">
        <v>30</v>
      </c>
      <c r="B192" s="12">
        <v>-20</v>
      </c>
      <c r="C192" s="11">
        <v>30.241353318909049</v>
      </c>
      <c r="D192" s="11">
        <v>-13.002151720621825</v>
      </c>
      <c r="E192" s="11"/>
      <c r="F192" s="12">
        <v>528</v>
      </c>
      <c r="G192" s="12" t="s">
        <v>13</v>
      </c>
      <c r="H192" s="13"/>
      <c r="I192" s="14">
        <v>0.61</v>
      </c>
      <c r="J192" s="14"/>
      <c r="K192" s="14">
        <v>7.2</v>
      </c>
      <c r="L192" s="13">
        <v>1.3</v>
      </c>
      <c r="M192" s="13">
        <v>1</v>
      </c>
      <c r="P192" s="12" t="s">
        <v>14</v>
      </c>
      <c r="Q192" s="12"/>
      <c r="R192" s="12"/>
      <c r="T192">
        <f t="shared" si="4"/>
        <v>0.61</v>
      </c>
      <c r="U192">
        <f t="shared" si="5"/>
        <v>7.2</v>
      </c>
    </row>
    <row r="193" spans="1:21">
      <c r="A193" s="9">
        <v>0</v>
      </c>
      <c r="B193" s="12">
        <v>20</v>
      </c>
      <c r="C193" s="11">
        <v>8.9461265962646888</v>
      </c>
      <c r="D193" s="11">
        <v>22.230519877428932</v>
      </c>
      <c r="E193" s="11"/>
      <c r="F193" s="10">
        <v>35</v>
      </c>
      <c r="G193" s="12" t="s">
        <v>13</v>
      </c>
      <c r="H193" s="13"/>
      <c r="I193" s="14">
        <v>0.62</v>
      </c>
      <c r="J193" s="14"/>
      <c r="K193" s="14">
        <v>10.6</v>
      </c>
      <c r="L193" s="13">
        <v>2.1</v>
      </c>
      <c r="M193" s="13">
        <v>0.5</v>
      </c>
      <c r="P193" s="12" t="s">
        <v>14</v>
      </c>
      <c r="Q193" s="12"/>
      <c r="R193" s="12"/>
      <c r="T193">
        <f t="shared" si="4"/>
        <v>0.62</v>
      </c>
      <c r="U193">
        <f t="shared" si="5"/>
        <v>10.6</v>
      </c>
    </row>
    <row r="194" spans="1:21">
      <c r="A194" s="9">
        <v>0</v>
      </c>
      <c r="B194" s="12">
        <v>30</v>
      </c>
      <c r="C194" s="11">
        <v>5.6418608251179263</v>
      </c>
      <c r="D194" s="11">
        <v>31.120715194177023</v>
      </c>
      <c r="E194" s="11"/>
      <c r="F194" s="12">
        <v>58</v>
      </c>
      <c r="G194" s="12" t="s">
        <v>11</v>
      </c>
      <c r="H194" s="13"/>
      <c r="I194" s="14">
        <v>0.62</v>
      </c>
      <c r="J194" s="14"/>
      <c r="K194" s="14">
        <v>13</v>
      </c>
      <c r="L194" s="13">
        <v>1.8</v>
      </c>
      <c r="M194" s="13">
        <v>0.1</v>
      </c>
      <c r="P194" s="12" t="s">
        <v>14</v>
      </c>
      <c r="Q194" s="12"/>
      <c r="R194" s="12"/>
      <c r="T194">
        <f t="shared" ref="T194:T257" si="6">IF(H194="",I194,H194/PI())</f>
        <v>0.62</v>
      </c>
      <c r="U194">
        <f t="shared" ref="U194:U257" si="7">IF(J194="dead","dead",J194/PI()+K194)</f>
        <v>13</v>
      </c>
    </row>
    <row r="195" spans="1:21">
      <c r="A195" s="12">
        <v>20</v>
      </c>
      <c r="B195" s="12">
        <v>10</v>
      </c>
      <c r="C195" s="11">
        <v>24.042660540170019</v>
      </c>
      <c r="D195" s="11">
        <v>10.755324065640806</v>
      </c>
      <c r="E195" s="11"/>
      <c r="F195" s="10">
        <v>137</v>
      </c>
      <c r="G195" s="12" t="s">
        <v>13</v>
      </c>
      <c r="H195" s="13"/>
      <c r="I195" s="14">
        <v>0.63</v>
      </c>
      <c r="J195" s="14"/>
      <c r="K195" s="14">
        <v>12.7</v>
      </c>
      <c r="L195" s="13">
        <v>2.2999999999999998</v>
      </c>
      <c r="M195" s="13">
        <v>0.6</v>
      </c>
      <c r="P195" s="12" t="s">
        <v>14</v>
      </c>
      <c r="Q195" s="12"/>
      <c r="R195" s="12"/>
      <c r="T195">
        <f t="shared" si="6"/>
        <v>0.63</v>
      </c>
      <c r="U195">
        <f t="shared" si="7"/>
        <v>12.7</v>
      </c>
    </row>
    <row r="196" spans="1:21">
      <c r="A196" s="12">
        <v>20</v>
      </c>
      <c r="B196" s="12">
        <v>20</v>
      </c>
      <c r="C196" s="11">
        <v>26.373923925033939</v>
      </c>
      <c r="D196" s="11">
        <v>20.920997717978985</v>
      </c>
      <c r="E196" s="11"/>
      <c r="F196" s="10">
        <v>163</v>
      </c>
      <c r="G196" s="12" t="s">
        <v>21</v>
      </c>
      <c r="H196" s="13"/>
      <c r="I196" s="14">
        <v>0.63</v>
      </c>
      <c r="J196" s="14"/>
      <c r="K196" s="14">
        <v>9.5</v>
      </c>
      <c r="L196" s="13">
        <v>2</v>
      </c>
      <c r="M196" s="13">
        <v>0.6</v>
      </c>
      <c r="P196" s="12" t="s">
        <v>14</v>
      </c>
      <c r="Q196" s="12"/>
      <c r="R196" s="12"/>
      <c r="T196">
        <f t="shared" si="6"/>
        <v>0.63</v>
      </c>
      <c r="U196">
        <f t="shared" si="7"/>
        <v>9.5</v>
      </c>
    </row>
    <row r="197" spans="1:21">
      <c r="A197" s="12">
        <v>40</v>
      </c>
      <c r="B197" s="12">
        <v>30</v>
      </c>
      <c r="C197" s="11">
        <v>44.901832820608057</v>
      </c>
      <c r="D197" s="11">
        <v>34.030813170039757</v>
      </c>
      <c r="E197" s="11"/>
      <c r="F197" s="10">
        <v>341</v>
      </c>
      <c r="G197" s="12" t="s">
        <v>11</v>
      </c>
      <c r="H197" s="13"/>
      <c r="I197" s="14">
        <v>0.63</v>
      </c>
      <c r="J197" s="14"/>
      <c r="K197" s="14">
        <v>13.9</v>
      </c>
      <c r="L197" s="13">
        <v>1.4</v>
      </c>
      <c r="M197" s="13">
        <v>0.2</v>
      </c>
      <c r="P197" s="12" t="s">
        <v>14</v>
      </c>
      <c r="Q197" s="12"/>
      <c r="R197" s="12"/>
      <c r="T197">
        <f t="shared" si="6"/>
        <v>0.63</v>
      </c>
      <c r="U197">
        <f t="shared" si="7"/>
        <v>13.9</v>
      </c>
    </row>
    <row r="198" spans="1:21">
      <c r="A198" s="12">
        <v>20</v>
      </c>
      <c r="B198" s="12">
        <v>-20</v>
      </c>
      <c r="C198" s="11">
        <v>27.136801048343358</v>
      </c>
      <c r="D198" s="11">
        <v>-19.380006009065209</v>
      </c>
      <c r="E198" s="11"/>
      <c r="F198" s="12">
        <v>566</v>
      </c>
      <c r="G198" s="12" t="s">
        <v>43</v>
      </c>
      <c r="H198" s="13"/>
      <c r="I198" s="14">
        <v>0.63</v>
      </c>
      <c r="J198" s="14"/>
      <c r="K198" s="14">
        <v>7.8</v>
      </c>
      <c r="L198" s="13">
        <v>1.8</v>
      </c>
      <c r="M198" s="13">
        <v>0.9</v>
      </c>
      <c r="P198" s="12" t="s">
        <v>14</v>
      </c>
      <c r="Q198" s="12"/>
      <c r="R198" s="12"/>
      <c r="T198">
        <f t="shared" si="6"/>
        <v>0.63</v>
      </c>
      <c r="U198">
        <f t="shared" si="7"/>
        <v>7.8</v>
      </c>
    </row>
    <row r="199" spans="1:21">
      <c r="A199" s="9">
        <v>0</v>
      </c>
      <c r="B199" s="12">
        <v>20</v>
      </c>
      <c r="C199" s="11">
        <v>1.2251623958207458</v>
      </c>
      <c r="D199" s="11">
        <v>21.399491730546046</v>
      </c>
      <c r="E199" s="11"/>
      <c r="F199" s="10">
        <v>27</v>
      </c>
      <c r="G199" s="12" t="s">
        <v>11</v>
      </c>
      <c r="H199" s="13"/>
      <c r="I199" s="14">
        <v>0.64</v>
      </c>
      <c r="J199" s="14" t="s">
        <v>70</v>
      </c>
      <c r="K199" s="14"/>
      <c r="L199" s="13">
        <v>1.7</v>
      </c>
      <c r="M199" s="13"/>
      <c r="P199" s="12" t="s">
        <v>12</v>
      </c>
      <c r="Q199" s="12"/>
      <c r="R199" s="12"/>
      <c r="T199">
        <f t="shared" si="6"/>
        <v>0.64</v>
      </c>
      <c r="U199" t="str">
        <f t="shared" si="7"/>
        <v>dead</v>
      </c>
    </row>
    <row r="200" spans="1:21">
      <c r="A200" s="12">
        <v>40</v>
      </c>
      <c r="B200" s="12">
        <v>-20</v>
      </c>
      <c r="C200" s="11">
        <v>42.104570371554374</v>
      </c>
      <c r="D200" s="11">
        <v>-19.816943697056402</v>
      </c>
      <c r="E200" s="11"/>
      <c r="F200" s="10">
        <v>511</v>
      </c>
      <c r="G200" s="12" t="s">
        <v>11</v>
      </c>
      <c r="H200" s="13"/>
      <c r="I200" s="14">
        <v>0.64</v>
      </c>
      <c r="J200" s="14" t="s">
        <v>70</v>
      </c>
      <c r="K200" s="14"/>
      <c r="L200" s="13">
        <v>1.9</v>
      </c>
      <c r="M200" s="13">
        <v>0</v>
      </c>
      <c r="P200" s="12" t="s">
        <v>14</v>
      </c>
      <c r="Q200" s="12"/>
      <c r="R200" s="12"/>
      <c r="T200">
        <f t="shared" si="6"/>
        <v>0.64</v>
      </c>
      <c r="U200" t="str">
        <f t="shared" si="7"/>
        <v>dead</v>
      </c>
    </row>
    <row r="201" spans="1:21">
      <c r="A201" s="12">
        <v>0</v>
      </c>
      <c r="B201" s="12">
        <v>-30</v>
      </c>
      <c r="C201" s="11">
        <v>4.6665728265819304</v>
      </c>
      <c r="D201" s="11">
        <v>-20.335313157045952</v>
      </c>
      <c r="E201" s="11"/>
      <c r="F201" s="12">
        <v>602</v>
      </c>
      <c r="G201" s="12" t="s">
        <v>11</v>
      </c>
      <c r="H201" s="13"/>
      <c r="I201" s="14">
        <v>0.64</v>
      </c>
      <c r="J201" s="14"/>
      <c r="K201" s="14">
        <v>10</v>
      </c>
      <c r="L201" s="13">
        <v>1.7</v>
      </c>
      <c r="M201" s="13">
        <v>0.5</v>
      </c>
      <c r="P201" s="12" t="s">
        <v>14</v>
      </c>
      <c r="Q201" s="12"/>
      <c r="R201" s="12"/>
      <c r="T201">
        <f t="shared" si="6"/>
        <v>0.64</v>
      </c>
      <c r="U201">
        <f t="shared" si="7"/>
        <v>10</v>
      </c>
    </row>
    <row r="202" spans="1:21">
      <c r="A202" s="12">
        <v>10</v>
      </c>
      <c r="B202" s="12">
        <v>0</v>
      </c>
      <c r="C202" s="11">
        <v>16.93600320004315</v>
      </c>
      <c r="D202" s="11">
        <v>5.5275965491209815</v>
      </c>
      <c r="E202" s="11"/>
      <c r="F202" s="10">
        <v>115</v>
      </c>
      <c r="G202" s="12" t="s">
        <v>11</v>
      </c>
      <c r="H202" s="13"/>
      <c r="I202" s="14">
        <v>0.65</v>
      </c>
      <c r="J202" s="14"/>
      <c r="K202" s="14">
        <v>12.5</v>
      </c>
      <c r="L202" s="13">
        <v>1.8</v>
      </c>
      <c r="M202" s="13">
        <v>0.2</v>
      </c>
      <c r="P202" s="12" t="s">
        <v>14</v>
      </c>
      <c r="Q202" s="12"/>
      <c r="R202" s="12"/>
      <c r="T202">
        <f t="shared" si="6"/>
        <v>0.65</v>
      </c>
      <c r="U202">
        <f t="shared" si="7"/>
        <v>12.5</v>
      </c>
    </row>
    <row r="203" spans="1:21">
      <c r="A203" s="12">
        <v>20</v>
      </c>
      <c r="B203" s="12">
        <v>10</v>
      </c>
      <c r="C203" s="11">
        <v>22.275538913106644</v>
      </c>
      <c r="D203" s="11">
        <v>12.646913562404759</v>
      </c>
      <c r="E203" s="11"/>
      <c r="F203" s="10">
        <v>153</v>
      </c>
      <c r="G203" s="12" t="s">
        <v>13</v>
      </c>
      <c r="H203" s="13"/>
      <c r="I203" s="14">
        <v>0.65</v>
      </c>
      <c r="J203" s="14" t="s">
        <v>70</v>
      </c>
      <c r="K203" s="14"/>
      <c r="L203" s="13">
        <v>1.3</v>
      </c>
      <c r="M203" s="13">
        <v>0.7</v>
      </c>
      <c r="P203" s="12" t="s">
        <v>14</v>
      </c>
      <c r="Q203" s="12"/>
      <c r="R203" s="12" t="s">
        <v>23</v>
      </c>
      <c r="T203">
        <f t="shared" si="6"/>
        <v>0.65</v>
      </c>
      <c r="U203" t="str">
        <f t="shared" si="7"/>
        <v>dead</v>
      </c>
    </row>
    <row r="204" spans="1:21">
      <c r="A204" s="12">
        <v>20</v>
      </c>
      <c r="B204" s="12">
        <v>-20</v>
      </c>
      <c r="C204" s="11">
        <v>27.340618084048792</v>
      </c>
      <c r="D204" s="11">
        <v>-13.250376825244652</v>
      </c>
      <c r="E204" s="11"/>
      <c r="F204" s="10">
        <v>545</v>
      </c>
      <c r="G204" s="12" t="s">
        <v>13</v>
      </c>
      <c r="H204" s="13"/>
      <c r="I204" s="14">
        <v>0.65</v>
      </c>
      <c r="J204" s="14"/>
      <c r="K204" s="14">
        <v>11.8</v>
      </c>
      <c r="L204" s="13">
        <v>2.1</v>
      </c>
      <c r="M204" s="13">
        <v>1.1000000000000001</v>
      </c>
      <c r="P204" s="12" t="s">
        <v>14</v>
      </c>
      <c r="Q204" s="12"/>
      <c r="R204" s="12"/>
      <c r="T204">
        <f t="shared" si="6"/>
        <v>0.65</v>
      </c>
      <c r="U204">
        <f t="shared" si="7"/>
        <v>11.8</v>
      </c>
    </row>
    <row r="205" spans="1:21">
      <c r="A205" s="12">
        <v>30</v>
      </c>
      <c r="B205" s="12">
        <v>-20</v>
      </c>
      <c r="C205" s="11">
        <v>36.71062998926508</v>
      </c>
      <c r="D205" s="11">
        <v>-14.445328439213212</v>
      </c>
      <c r="E205" s="11"/>
      <c r="F205" s="10">
        <v>519</v>
      </c>
      <c r="G205" s="12" t="s">
        <v>11</v>
      </c>
      <c r="H205" s="13"/>
      <c r="I205" s="14">
        <v>0.67</v>
      </c>
      <c r="J205" s="14"/>
      <c r="K205" s="14">
        <v>11.3</v>
      </c>
      <c r="L205" s="13">
        <v>1.7</v>
      </c>
      <c r="M205" s="13">
        <v>0.1</v>
      </c>
      <c r="P205" s="12" t="s">
        <v>14</v>
      </c>
      <c r="Q205" s="12"/>
      <c r="R205" s="12"/>
      <c r="T205">
        <f t="shared" si="6"/>
        <v>0.67</v>
      </c>
      <c r="U205">
        <f t="shared" si="7"/>
        <v>11.3</v>
      </c>
    </row>
    <row r="206" spans="1:21">
      <c r="A206" s="12">
        <v>10</v>
      </c>
      <c r="B206" s="12">
        <v>20</v>
      </c>
      <c r="C206" s="11">
        <v>19.555892102460898</v>
      </c>
      <c r="D206" s="11">
        <v>28.665978541221271</v>
      </c>
      <c r="E206" s="11"/>
      <c r="F206" s="10">
        <v>93</v>
      </c>
      <c r="G206" s="12" t="s">
        <v>13</v>
      </c>
      <c r="H206" s="13"/>
      <c r="I206" s="14">
        <v>0.69</v>
      </c>
      <c r="J206" s="14"/>
      <c r="K206" s="14">
        <v>7.2</v>
      </c>
      <c r="L206" s="13">
        <v>1.6</v>
      </c>
      <c r="M206" s="13">
        <v>0.7</v>
      </c>
      <c r="P206" s="12" t="s">
        <v>14</v>
      </c>
      <c r="Q206" s="12"/>
      <c r="R206" s="12"/>
      <c r="T206">
        <f t="shared" si="6"/>
        <v>0.69</v>
      </c>
      <c r="U206">
        <f t="shared" si="7"/>
        <v>7.2</v>
      </c>
    </row>
    <row r="207" spans="1:21">
      <c r="A207" s="12">
        <v>20</v>
      </c>
      <c r="B207" s="12">
        <v>20</v>
      </c>
      <c r="C207" s="11">
        <v>25.099509798458744</v>
      </c>
      <c r="D207" s="11">
        <v>23.482844796581301</v>
      </c>
      <c r="E207" s="11"/>
      <c r="F207" s="12">
        <v>166</v>
      </c>
      <c r="G207" s="12" t="s">
        <v>11</v>
      </c>
      <c r="H207" s="13"/>
      <c r="I207" s="14">
        <v>0.69</v>
      </c>
      <c r="J207" s="14" t="s">
        <v>70</v>
      </c>
      <c r="K207" s="14"/>
      <c r="L207" s="13">
        <v>1.8</v>
      </c>
      <c r="M207" s="13"/>
      <c r="P207" s="12" t="s">
        <v>12</v>
      </c>
      <c r="Q207" s="12"/>
      <c r="R207" s="12"/>
      <c r="S207" t="s">
        <v>78</v>
      </c>
      <c r="T207">
        <f t="shared" si="6"/>
        <v>0.69</v>
      </c>
      <c r="U207" t="str">
        <f t="shared" si="7"/>
        <v>dead</v>
      </c>
    </row>
    <row r="208" spans="1:21">
      <c r="A208" s="12">
        <v>30</v>
      </c>
      <c r="B208" s="12">
        <v>-10</v>
      </c>
      <c r="C208" s="11">
        <v>38.88133355192322</v>
      </c>
      <c r="D208" s="11">
        <v>-4.1357451131497296</v>
      </c>
      <c r="E208" s="11"/>
      <c r="F208" s="12">
        <v>442</v>
      </c>
      <c r="G208" s="12" t="s">
        <v>13</v>
      </c>
      <c r="H208" s="13"/>
      <c r="I208" s="14">
        <v>0.69</v>
      </c>
      <c r="J208" s="14" t="s">
        <v>70</v>
      </c>
      <c r="K208" s="14"/>
      <c r="L208" s="13">
        <v>1.4</v>
      </c>
      <c r="M208" s="13">
        <v>1</v>
      </c>
      <c r="P208" s="12" t="s">
        <v>14</v>
      </c>
      <c r="Q208" s="12"/>
      <c r="R208" s="12"/>
      <c r="T208">
        <f t="shared" si="6"/>
        <v>0.69</v>
      </c>
      <c r="U208" t="str">
        <f t="shared" si="7"/>
        <v>dead</v>
      </c>
    </row>
    <row r="209" spans="1:21">
      <c r="A209" s="12">
        <v>40</v>
      </c>
      <c r="B209" s="12">
        <v>-30</v>
      </c>
      <c r="C209" s="11">
        <v>42.444352749424425</v>
      </c>
      <c r="D209" s="11">
        <v>-21.066857369985712</v>
      </c>
      <c r="E209" s="11"/>
      <c r="F209" s="12">
        <v>694</v>
      </c>
      <c r="G209" s="12" t="s">
        <v>11</v>
      </c>
      <c r="H209" s="13"/>
      <c r="I209" s="14">
        <v>0.69</v>
      </c>
      <c r="J209" s="14"/>
      <c r="K209" s="14">
        <v>14.2</v>
      </c>
      <c r="L209" s="13">
        <v>2</v>
      </c>
      <c r="M209" s="13">
        <v>0</v>
      </c>
      <c r="P209" s="12" t="s">
        <v>14</v>
      </c>
      <c r="Q209" s="12"/>
      <c r="R209" s="12"/>
      <c r="S209" t="s">
        <v>125</v>
      </c>
      <c r="T209">
        <f t="shared" si="6"/>
        <v>0.69</v>
      </c>
      <c r="U209">
        <f t="shared" si="7"/>
        <v>14.2</v>
      </c>
    </row>
    <row r="210" spans="1:21">
      <c r="A210" s="12">
        <v>20</v>
      </c>
      <c r="B210" s="12">
        <v>10</v>
      </c>
      <c r="C210" s="11">
        <v>22.0218331717933</v>
      </c>
      <c r="D210" s="11">
        <v>12.081998618831085</v>
      </c>
      <c r="E210" s="11"/>
      <c r="F210" s="12">
        <v>150</v>
      </c>
      <c r="G210" s="12" t="s">
        <v>13</v>
      </c>
      <c r="H210" s="13"/>
      <c r="I210" s="14">
        <v>0.7</v>
      </c>
      <c r="J210" s="14"/>
      <c r="K210" s="14">
        <v>11.1</v>
      </c>
      <c r="L210" s="13">
        <v>2</v>
      </c>
      <c r="M210" s="13">
        <v>0.6</v>
      </c>
      <c r="P210" s="12" t="s">
        <v>14</v>
      </c>
      <c r="Q210" s="12"/>
      <c r="R210" s="12"/>
      <c r="T210">
        <f t="shared" si="6"/>
        <v>0.7</v>
      </c>
      <c r="U210">
        <f t="shared" si="7"/>
        <v>11.1</v>
      </c>
    </row>
    <row r="211" spans="1:21">
      <c r="A211" s="12">
        <v>30</v>
      </c>
      <c r="B211" s="12">
        <v>-30</v>
      </c>
      <c r="C211" s="11">
        <v>30.913785784552751</v>
      </c>
      <c r="D211" s="11">
        <v>-26.758505422055183</v>
      </c>
      <c r="E211" s="11"/>
      <c r="F211" s="10">
        <v>667</v>
      </c>
      <c r="G211" s="12" t="s">
        <v>11</v>
      </c>
      <c r="H211" s="13"/>
      <c r="I211" s="14">
        <v>0.7</v>
      </c>
      <c r="J211" s="14" t="s">
        <v>70</v>
      </c>
      <c r="K211" s="14"/>
      <c r="L211" s="13">
        <v>2</v>
      </c>
      <c r="M211" s="13"/>
      <c r="P211" s="12" t="s">
        <v>12</v>
      </c>
      <c r="Q211" s="12"/>
      <c r="R211" s="12"/>
      <c r="T211">
        <f t="shared" si="6"/>
        <v>0.7</v>
      </c>
      <c r="U211" t="str">
        <f t="shared" si="7"/>
        <v>dead</v>
      </c>
    </row>
    <row r="212" spans="1:21">
      <c r="A212" s="12">
        <v>30</v>
      </c>
      <c r="B212" s="12">
        <v>0</v>
      </c>
      <c r="C212" s="11">
        <v>33.817488071652981</v>
      </c>
      <c r="D212" s="11">
        <v>9.145595846620802</v>
      </c>
      <c r="E212" s="11"/>
      <c r="F212" s="12">
        <v>252</v>
      </c>
      <c r="G212" s="12" t="s">
        <v>13</v>
      </c>
      <c r="H212" s="13"/>
      <c r="I212" s="14">
        <v>0.73</v>
      </c>
      <c r="J212" s="14"/>
      <c r="K212" s="14">
        <v>10.8</v>
      </c>
      <c r="L212" s="13">
        <v>2.5</v>
      </c>
      <c r="M212" s="13">
        <v>0.7</v>
      </c>
      <c r="P212" s="12" t="s">
        <v>14</v>
      </c>
      <c r="Q212" s="12"/>
      <c r="R212" s="12"/>
      <c r="T212">
        <f t="shared" si="6"/>
        <v>0.73</v>
      </c>
      <c r="U212">
        <f t="shared" si="7"/>
        <v>10.8</v>
      </c>
    </row>
    <row r="213" spans="1:21">
      <c r="A213" s="12">
        <v>0</v>
      </c>
      <c r="B213" s="12">
        <v>-20</v>
      </c>
      <c r="C213" s="11">
        <v>3.4091697728968855</v>
      </c>
      <c r="D213" s="11">
        <v>-18.835069974797381</v>
      </c>
      <c r="E213" s="11"/>
      <c r="F213" s="12">
        <v>586</v>
      </c>
      <c r="G213" s="12" t="s">
        <v>11</v>
      </c>
      <c r="H213" s="13"/>
      <c r="I213" s="14">
        <v>0.73</v>
      </c>
      <c r="J213" s="14"/>
      <c r="K213" s="14">
        <v>13.1</v>
      </c>
      <c r="L213" s="13">
        <v>1.6</v>
      </c>
      <c r="M213" s="13">
        <v>0.1</v>
      </c>
      <c r="P213" s="12" t="s">
        <v>14</v>
      </c>
      <c r="Q213" s="12"/>
      <c r="R213" s="12"/>
      <c r="T213">
        <f t="shared" si="6"/>
        <v>0.73</v>
      </c>
      <c r="U213">
        <f t="shared" si="7"/>
        <v>13.1</v>
      </c>
    </row>
    <row r="214" spans="1:21">
      <c r="A214" s="12">
        <v>10</v>
      </c>
      <c r="B214" s="12">
        <v>-30</v>
      </c>
      <c r="C214" s="11">
        <v>11.494315595062826</v>
      </c>
      <c r="D214" s="11">
        <v>-22.19747141833485</v>
      </c>
      <c r="E214" s="11"/>
      <c r="F214" s="12">
        <v>616</v>
      </c>
      <c r="G214" s="12" t="s">
        <v>11</v>
      </c>
      <c r="H214" s="13"/>
      <c r="I214" s="14">
        <v>0.74</v>
      </c>
      <c r="J214" s="14"/>
      <c r="K214" s="14">
        <v>11.4</v>
      </c>
      <c r="L214" s="13">
        <v>1.8</v>
      </c>
      <c r="M214" s="13">
        <v>0</v>
      </c>
      <c r="P214" s="12" t="s">
        <v>14</v>
      </c>
      <c r="Q214" s="12"/>
      <c r="R214" s="12"/>
      <c r="T214">
        <f t="shared" si="6"/>
        <v>0.74</v>
      </c>
      <c r="U214">
        <f t="shared" si="7"/>
        <v>11.4</v>
      </c>
    </row>
    <row r="215" spans="1:21">
      <c r="A215" s="12">
        <v>30</v>
      </c>
      <c r="B215" s="12">
        <v>0</v>
      </c>
      <c r="C215" s="11">
        <v>32.51296487374573</v>
      </c>
      <c r="D215" s="11">
        <v>8.1260144024241967</v>
      </c>
      <c r="E215" s="11"/>
      <c r="F215" s="12">
        <v>254</v>
      </c>
      <c r="G215" s="12" t="s">
        <v>21</v>
      </c>
      <c r="H215" s="13"/>
      <c r="I215" s="14">
        <v>0.75</v>
      </c>
      <c r="J215" s="14"/>
      <c r="K215" s="14">
        <v>13.1</v>
      </c>
      <c r="L215" s="13">
        <v>2</v>
      </c>
      <c r="M215" s="13">
        <v>0.7</v>
      </c>
      <c r="P215" s="12" t="s">
        <v>14</v>
      </c>
      <c r="Q215" s="12"/>
      <c r="R215" s="12"/>
      <c r="T215">
        <f t="shared" si="6"/>
        <v>0.75</v>
      </c>
      <c r="U215">
        <f t="shared" si="7"/>
        <v>13.1</v>
      </c>
    </row>
    <row r="216" spans="1:21">
      <c r="A216" s="12">
        <v>40</v>
      </c>
      <c r="B216" s="12">
        <v>40</v>
      </c>
      <c r="C216" s="11">
        <v>41.788521062382372</v>
      </c>
      <c r="D216" s="11">
        <v>44.856255106258537</v>
      </c>
      <c r="E216" s="11"/>
      <c r="F216" s="10">
        <v>355</v>
      </c>
      <c r="G216" s="12" t="s">
        <v>11</v>
      </c>
      <c r="H216" s="13"/>
      <c r="I216" s="14">
        <v>0.75</v>
      </c>
      <c r="J216" s="14" t="s">
        <v>70</v>
      </c>
      <c r="K216" s="14"/>
      <c r="L216" s="13">
        <v>1.8</v>
      </c>
      <c r="M216" s="13">
        <v>0.2</v>
      </c>
      <c r="P216" s="12" t="s">
        <v>14</v>
      </c>
      <c r="Q216" s="12"/>
      <c r="R216" s="12"/>
      <c r="T216">
        <f t="shared" si="6"/>
        <v>0.75</v>
      </c>
      <c r="U216" t="str">
        <f t="shared" si="7"/>
        <v>dead</v>
      </c>
    </row>
    <row r="217" spans="1:21">
      <c r="A217" s="9">
        <v>0</v>
      </c>
      <c r="B217" s="9">
        <v>-10</v>
      </c>
      <c r="C217" s="11">
        <v>1.7255461288273115</v>
      </c>
      <c r="D217" s="11">
        <v>-2.0859308470743647</v>
      </c>
      <c r="E217" s="11"/>
      <c r="F217" s="10">
        <v>403</v>
      </c>
      <c r="G217" s="12" t="s">
        <v>11</v>
      </c>
      <c r="H217" s="13"/>
      <c r="I217" s="14">
        <v>0.75</v>
      </c>
      <c r="J217" s="14"/>
      <c r="K217" s="14">
        <v>11.5</v>
      </c>
      <c r="L217" s="13">
        <v>1.8</v>
      </c>
      <c r="M217" s="13">
        <v>0</v>
      </c>
      <c r="P217" s="12" t="s">
        <v>14</v>
      </c>
      <c r="Q217" s="12"/>
      <c r="R217" s="12"/>
      <c r="T217">
        <f t="shared" si="6"/>
        <v>0.75</v>
      </c>
      <c r="U217">
        <f t="shared" si="7"/>
        <v>11.5</v>
      </c>
    </row>
    <row r="218" spans="1:21">
      <c r="A218" s="9">
        <v>0</v>
      </c>
      <c r="B218" s="9">
        <v>0</v>
      </c>
      <c r="C218" s="11">
        <v>4.3575671820445905</v>
      </c>
      <c r="D218" s="11">
        <v>8.8929986924760307</v>
      </c>
      <c r="E218" s="11"/>
      <c r="F218" s="12">
        <v>12</v>
      </c>
      <c r="G218" s="12" t="s">
        <v>13</v>
      </c>
      <c r="H218" s="13"/>
      <c r="I218" s="14">
        <v>0.76</v>
      </c>
      <c r="J218" s="14"/>
      <c r="K218" s="14">
        <v>7.1</v>
      </c>
      <c r="L218" s="13">
        <v>2.1</v>
      </c>
      <c r="M218" s="13">
        <v>0.7</v>
      </c>
      <c r="N218" s="32"/>
      <c r="O218" s="32"/>
      <c r="P218" s="12" t="s">
        <v>14</v>
      </c>
      <c r="Q218" s="12"/>
      <c r="R218" s="12"/>
      <c r="S218" s="32" t="s">
        <v>73</v>
      </c>
      <c r="T218">
        <f t="shared" si="6"/>
        <v>0.76</v>
      </c>
      <c r="U218">
        <f t="shared" si="7"/>
        <v>7.1</v>
      </c>
    </row>
    <row r="219" spans="1:21">
      <c r="A219" s="12">
        <v>30</v>
      </c>
      <c r="B219" s="12">
        <v>10</v>
      </c>
      <c r="C219" s="11">
        <v>31.992592005271483</v>
      </c>
      <c r="D219" s="11">
        <v>17.257432389068928</v>
      </c>
      <c r="E219" s="11"/>
      <c r="F219" s="12">
        <v>230</v>
      </c>
      <c r="G219" s="12" t="s">
        <v>13</v>
      </c>
      <c r="H219" s="13"/>
      <c r="I219" s="14">
        <v>0.76</v>
      </c>
      <c r="J219" s="14"/>
      <c r="K219" s="14">
        <v>12.3</v>
      </c>
      <c r="L219" s="13">
        <v>2.1</v>
      </c>
      <c r="M219" s="13">
        <v>0.7</v>
      </c>
      <c r="P219" s="12" t="s">
        <v>14</v>
      </c>
      <c r="Q219" s="12"/>
      <c r="R219" s="12"/>
      <c r="T219">
        <f t="shared" si="6"/>
        <v>0.76</v>
      </c>
      <c r="U219">
        <f t="shared" si="7"/>
        <v>12.3</v>
      </c>
    </row>
    <row r="220" spans="1:21">
      <c r="A220" s="12">
        <v>40</v>
      </c>
      <c r="B220" s="12">
        <v>30</v>
      </c>
      <c r="C220" s="11">
        <v>49.026122660403686</v>
      </c>
      <c r="D220" s="11">
        <v>30.067630548181324</v>
      </c>
      <c r="E220" s="11"/>
      <c r="F220" s="10">
        <v>319</v>
      </c>
      <c r="G220" s="12" t="s">
        <v>30</v>
      </c>
      <c r="H220" s="13"/>
      <c r="I220" s="14">
        <v>0.78</v>
      </c>
      <c r="J220" s="14"/>
      <c r="K220" s="14">
        <v>9</v>
      </c>
      <c r="L220" s="13">
        <v>1.6</v>
      </c>
      <c r="M220" s="13">
        <v>0.2</v>
      </c>
      <c r="P220" s="12" t="s">
        <v>14</v>
      </c>
      <c r="Q220" s="12"/>
      <c r="R220" s="12"/>
      <c r="T220">
        <f t="shared" si="6"/>
        <v>0.78</v>
      </c>
      <c r="U220">
        <f t="shared" si="7"/>
        <v>9</v>
      </c>
    </row>
    <row r="221" spans="1:21">
      <c r="A221" s="12">
        <v>40</v>
      </c>
      <c r="B221" s="12">
        <v>-30</v>
      </c>
      <c r="C221" s="11">
        <v>48.268851088723402</v>
      </c>
      <c r="D221" s="11">
        <v>-23.650476667238095</v>
      </c>
      <c r="E221" s="11"/>
      <c r="F221" s="12">
        <v>700</v>
      </c>
      <c r="G221" s="12" t="s">
        <v>13</v>
      </c>
      <c r="H221" s="13"/>
      <c r="I221" s="14">
        <v>0.79</v>
      </c>
      <c r="J221" s="14"/>
      <c r="K221" s="14">
        <v>11</v>
      </c>
      <c r="L221" s="13">
        <v>2.4</v>
      </c>
      <c r="M221" s="13">
        <v>1.3</v>
      </c>
      <c r="P221" s="12" t="s">
        <v>14</v>
      </c>
      <c r="Q221" s="12"/>
      <c r="R221" s="12"/>
      <c r="T221">
        <f t="shared" si="6"/>
        <v>0.79</v>
      </c>
      <c r="U221">
        <f t="shared" si="7"/>
        <v>11</v>
      </c>
    </row>
    <row r="222" spans="1:21">
      <c r="A222" s="12">
        <v>10</v>
      </c>
      <c r="B222" s="12">
        <v>40</v>
      </c>
      <c r="C222" s="11">
        <v>10.977000017227384</v>
      </c>
      <c r="D222" s="11">
        <v>48.181556777954015</v>
      </c>
      <c r="E222" s="11"/>
      <c r="F222" s="12">
        <v>72</v>
      </c>
      <c r="G222" s="12" t="s">
        <v>11</v>
      </c>
      <c r="H222" s="13"/>
      <c r="I222" s="14">
        <v>0.8</v>
      </c>
      <c r="J222" s="14"/>
      <c r="K222" s="14">
        <v>12.3</v>
      </c>
      <c r="L222" s="13">
        <v>1.8</v>
      </c>
      <c r="M222" s="13">
        <v>0.2</v>
      </c>
      <c r="P222" s="12" t="s">
        <v>14</v>
      </c>
      <c r="Q222" s="12"/>
      <c r="R222" s="12"/>
      <c r="T222">
        <f t="shared" si="6"/>
        <v>0.8</v>
      </c>
      <c r="U222">
        <f t="shared" si="7"/>
        <v>12.3</v>
      </c>
    </row>
    <row r="223" spans="1:21">
      <c r="A223" s="12">
        <v>30</v>
      </c>
      <c r="B223" s="12">
        <v>0</v>
      </c>
      <c r="C223" s="11">
        <v>39.175844745901799</v>
      </c>
      <c r="D223" s="11">
        <v>9.4772927717291982</v>
      </c>
      <c r="E223" s="11"/>
      <c r="F223" s="10">
        <v>241</v>
      </c>
      <c r="G223" s="12" t="s">
        <v>11</v>
      </c>
      <c r="H223" s="13"/>
      <c r="I223" s="14">
        <v>0.8</v>
      </c>
      <c r="J223" s="14"/>
      <c r="K223" s="14">
        <v>14.3</v>
      </c>
      <c r="L223" s="13">
        <v>1.8</v>
      </c>
      <c r="M223" s="13">
        <v>0.3</v>
      </c>
      <c r="P223" s="12" t="s">
        <v>14</v>
      </c>
      <c r="Q223" s="12"/>
      <c r="R223" s="12"/>
      <c r="T223">
        <f t="shared" si="6"/>
        <v>0.8</v>
      </c>
      <c r="U223">
        <f t="shared" si="7"/>
        <v>14.3</v>
      </c>
    </row>
    <row r="224" spans="1:21">
      <c r="A224" s="9">
        <v>0</v>
      </c>
      <c r="B224" s="9">
        <v>0</v>
      </c>
      <c r="C224" s="11">
        <v>4.9059474370510188</v>
      </c>
      <c r="D224" s="11">
        <v>8.7299100481017451</v>
      </c>
      <c r="E224" s="11"/>
      <c r="F224" s="12">
        <v>14</v>
      </c>
      <c r="G224" s="12" t="s">
        <v>13</v>
      </c>
      <c r="H224" s="13"/>
      <c r="I224" s="14">
        <v>0.81</v>
      </c>
      <c r="J224" s="14"/>
      <c r="K224" s="14">
        <v>13.3</v>
      </c>
      <c r="L224" s="13">
        <v>2.1</v>
      </c>
      <c r="M224" s="13">
        <v>0.6</v>
      </c>
      <c r="P224" s="12" t="s">
        <v>14</v>
      </c>
      <c r="Q224" s="12"/>
      <c r="R224" s="12"/>
      <c r="T224">
        <f t="shared" si="6"/>
        <v>0.81</v>
      </c>
      <c r="U224">
        <f t="shared" si="7"/>
        <v>13.3</v>
      </c>
    </row>
    <row r="225" spans="1:21">
      <c r="A225" s="12">
        <v>20</v>
      </c>
      <c r="B225" s="12">
        <v>-20</v>
      </c>
      <c r="C225" s="11">
        <v>21.722359954660718</v>
      </c>
      <c r="D225" s="11">
        <v>-34.630679248749715</v>
      </c>
      <c r="E225" s="11"/>
      <c r="F225" s="12">
        <v>720</v>
      </c>
      <c r="G225" s="12" t="s">
        <v>21</v>
      </c>
      <c r="H225" s="13"/>
      <c r="I225" s="14">
        <v>0.81</v>
      </c>
      <c r="J225" s="14"/>
      <c r="K225" s="14">
        <v>12</v>
      </c>
      <c r="L225" s="13">
        <v>2.2999999999999998</v>
      </c>
      <c r="M225" s="13">
        <v>0.1</v>
      </c>
      <c r="P225" s="12" t="s">
        <v>14</v>
      </c>
      <c r="Q225" s="12"/>
      <c r="R225" s="12"/>
      <c r="S225" t="s">
        <v>132</v>
      </c>
      <c r="T225">
        <f t="shared" si="6"/>
        <v>0.81</v>
      </c>
      <c r="U225">
        <f t="shared" si="7"/>
        <v>12</v>
      </c>
    </row>
    <row r="226" spans="1:21">
      <c r="A226" s="12">
        <v>10</v>
      </c>
      <c r="B226" s="12">
        <v>30</v>
      </c>
      <c r="C226" s="11">
        <v>17.134050908049542</v>
      </c>
      <c r="D226" s="11">
        <v>31.254967768961702</v>
      </c>
      <c r="E226" s="11"/>
      <c r="F226" s="12">
        <v>86</v>
      </c>
      <c r="G226" s="12" t="s">
        <v>11</v>
      </c>
      <c r="H226" s="13"/>
      <c r="I226" s="14">
        <v>0.82</v>
      </c>
      <c r="J226" s="14"/>
      <c r="K226" s="14">
        <v>15.8</v>
      </c>
      <c r="L226" s="13">
        <v>1.8</v>
      </c>
      <c r="M226" s="13">
        <v>0.1</v>
      </c>
      <c r="P226" s="12" t="s">
        <v>14</v>
      </c>
      <c r="Q226" s="12"/>
      <c r="R226" s="12"/>
      <c r="T226">
        <f t="shared" si="6"/>
        <v>0.82</v>
      </c>
      <c r="U226">
        <f t="shared" si="7"/>
        <v>15.8</v>
      </c>
    </row>
    <row r="227" spans="1:21">
      <c r="A227" s="12">
        <v>40</v>
      </c>
      <c r="B227" s="12">
        <v>30</v>
      </c>
      <c r="C227" s="11">
        <v>49.93570259265578</v>
      </c>
      <c r="D227" s="11">
        <v>30.790224441203314</v>
      </c>
      <c r="E227" s="11"/>
      <c r="F227" s="10">
        <v>339</v>
      </c>
      <c r="G227" s="12" t="s">
        <v>30</v>
      </c>
      <c r="H227" s="13"/>
      <c r="I227" s="14">
        <v>0.83</v>
      </c>
      <c r="J227" s="14" t="s">
        <v>70</v>
      </c>
      <c r="K227" s="14"/>
      <c r="L227" s="13">
        <v>1.5</v>
      </c>
      <c r="M227" s="13">
        <v>1</v>
      </c>
      <c r="P227" s="12" t="s">
        <v>14</v>
      </c>
      <c r="Q227" s="12"/>
      <c r="R227" s="12"/>
      <c r="T227">
        <f t="shared" si="6"/>
        <v>0.83</v>
      </c>
      <c r="U227" t="str">
        <f t="shared" si="7"/>
        <v>dead</v>
      </c>
    </row>
    <row r="228" spans="1:21">
      <c r="A228" s="12">
        <v>40</v>
      </c>
      <c r="B228" s="12">
        <v>20</v>
      </c>
      <c r="C228" s="11">
        <v>41.818732140228228</v>
      </c>
      <c r="D228" s="11">
        <v>29.333872218834813</v>
      </c>
      <c r="E228" s="11"/>
      <c r="F228" s="12">
        <v>308</v>
      </c>
      <c r="G228" s="12" t="s">
        <v>13</v>
      </c>
      <c r="H228" s="13"/>
      <c r="I228" s="14">
        <v>0.84</v>
      </c>
      <c r="J228" s="14"/>
      <c r="K228" s="14">
        <v>11.3</v>
      </c>
      <c r="L228" s="13">
        <v>1.6</v>
      </c>
      <c r="M228" s="13">
        <v>1</v>
      </c>
      <c r="P228" s="12" t="s">
        <v>14</v>
      </c>
      <c r="Q228" s="12"/>
      <c r="R228" s="12"/>
      <c r="T228">
        <f t="shared" si="6"/>
        <v>0.84</v>
      </c>
      <c r="U228">
        <f t="shared" si="7"/>
        <v>11.3</v>
      </c>
    </row>
    <row r="229" spans="1:21">
      <c r="A229" s="12">
        <v>20</v>
      </c>
      <c r="B229" s="12">
        <v>-20</v>
      </c>
      <c r="C229" s="11">
        <v>27.200450190790999</v>
      </c>
      <c r="D229" s="11">
        <v>-13.143870970885699</v>
      </c>
      <c r="E229" s="11"/>
      <c r="F229" s="12">
        <v>544</v>
      </c>
      <c r="G229" s="12" t="s">
        <v>13</v>
      </c>
      <c r="H229" s="13"/>
      <c r="I229" s="14">
        <v>0.84</v>
      </c>
      <c r="J229" s="14"/>
      <c r="K229" s="14">
        <v>9.5</v>
      </c>
      <c r="L229" s="13">
        <v>2.6</v>
      </c>
      <c r="M229" s="13">
        <v>1.5</v>
      </c>
      <c r="P229" s="12" t="s">
        <v>14</v>
      </c>
      <c r="Q229" s="12"/>
      <c r="R229" s="12"/>
      <c r="T229">
        <f t="shared" si="6"/>
        <v>0.84</v>
      </c>
      <c r="U229">
        <f t="shared" si="7"/>
        <v>9.5</v>
      </c>
    </row>
    <row r="230" spans="1:21">
      <c r="A230" s="12">
        <v>20</v>
      </c>
      <c r="B230" s="12">
        <v>-20</v>
      </c>
      <c r="C230" s="11">
        <v>27.711031855444549</v>
      </c>
      <c r="D230" s="11">
        <v>-18.928457982322666</v>
      </c>
      <c r="E230" s="11"/>
      <c r="F230" s="12">
        <v>564</v>
      </c>
      <c r="G230" s="12" t="s">
        <v>13</v>
      </c>
      <c r="H230" s="13"/>
      <c r="I230" s="14">
        <v>0.84</v>
      </c>
      <c r="J230" s="14"/>
      <c r="K230" s="14">
        <v>12.5</v>
      </c>
      <c r="L230" s="13">
        <v>2.2000000000000002</v>
      </c>
      <c r="M230" s="13">
        <v>0.6</v>
      </c>
      <c r="P230" s="12" t="s">
        <v>14</v>
      </c>
      <c r="Q230" s="12"/>
      <c r="R230" s="12"/>
      <c r="S230" t="s">
        <v>100</v>
      </c>
      <c r="T230">
        <f t="shared" si="6"/>
        <v>0.84</v>
      </c>
      <c r="U230">
        <f t="shared" si="7"/>
        <v>12.5</v>
      </c>
    </row>
    <row r="231" spans="1:21">
      <c r="A231" s="12">
        <v>20</v>
      </c>
      <c r="B231" s="12">
        <v>0</v>
      </c>
      <c r="C231" s="11">
        <v>26.528558261896087</v>
      </c>
      <c r="D231" s="11">
        <v>4.760706567415002</v>
      </c>
      <c r="E231" s="11"/>
      <c r="F231" s="12">
        <v>120</v>
      </c>
      <c r="G231" s="12" t="s">
        <v>21</v>
      </c>
      <c r="H231" s="13"/>
      <c r="I231" s="14">
        <v>0.85</v>
      </c>
      <c r="J231" s="14"/>
      <c r="K231" s="14">
        <v>12.7</v>
      </c>
      <c r="L231" s="13">
        <v>2.2000000000000002</v>
      </c>
      <c r="M231" s="13">
        <v>0.6</v>
      </c>
      <c r="P231" s="12" t="s">
        <v>14</v>
      </c>
      <c r="Q231" s="12"/>
      <c r="R231" s="12"/>
      <c r="T231">
        <f t="shared" si="6"/>
        <v>0.85</v>
      </c>
      <c r="U231">
        <f t="shared" si="7"/>
        <v>12.7</v>
      </c>
    </row>
    <row r="232" spans="1:21">
      <c r="A232" s="9">
        <v>0</v>
      </c>
      <c r="B232" s="12">
        <v>20</v>
      </c>
      <c r="C232" s="11">
        <v>6.0533561384906731</v>
      </c>
      <c r="D232" s="11">
        <v>26.914693012751709</v>
      </c>
      <c r="E232" s="11"/>
      <c r="F232" s="10">
        <v>43</v>
      </c>
      <c r="G232" s="12" t="s">
        <v>11</v>
      </c>
      <c r="H232" s="13"/>
      <c r="I232" s="14">
        <v>0.86</v>
      </c>
      <c r="J232" s="14"/>
      <c r="K232" s="14">
        <v>17.399999999999999</v>
      </c>
      <c r="L232" s="13">
        <v>1.9</v>
      </c>
      <c r="M232" s="13">
        <v>0.2</v>
      </c>
      <c r="P232" s="12" t="s">
        <v>14</v>
      </c>
      <c r="Q232" s="12"/>
      <c r="R232" s="12"/>
      <c r="T232">
        <f t="shared" si="6"/>
        <v>0.86</v>
      </c>
      <c r="U232">
        <f t="shared" si="7"/>
        <v>17.399999999999999</v>
      </c>
    </row>
    <row r="233" spans="1:21">
      <c r="A233" s="12">
        <v>40</v>
      </c>
      <c r="B233" s="12">
        <v>20</v>
      </c>
      <c r="C233" s="11">
        <v>42.095122478025289</v>
      </c>
      <c r="D233" s="11">
        <v>29.899743039168619</v>
      </c>
      <c r="E233" s="11"/>
      <c r="F233" s="12">
        <v>314</v>
      </c>
      <c r="G233" s="12" t="s">
        <v>13</v>
      </c>
      <c r="H233" s="13"/>
      <c r="I233" s="14">
        <v>0.86</v>
      </c>
      <c r="J233" s="14"/>
      <c r="K233" s="14">
        <v>10.5</v>
      </c>
      <c r="L233" s="13">
        <v>2.5</v>
      </c>
      <c r="M233" s="13">
        <v>0.7</v>
      </c>
      <c r="P233" s="12" t="s">
        <v>14</v>
      </c>
      <c r="Q233" s="12"/>
      <c r="R233" s="12"/>
      <c r="T233">
        <f t="shared" si="6"/>
        <v>0.86</v>
      </c>
      <c r="U233">
        <f t="shared" si="7"/>
        <v>10.5</v>
      </c>
    </row>
    <row r="234" spans="1:21">
      <c r="A234" s="12">
        <v>20</v>
      </c>
      <c r="B234" s="12">
        <v>-20</v>
      </c>
      <c r="C234" s="11">
        <v>29.893250275501281</v>
      </c>
      <c r="D234" s="11">
        <v>-12.955420444935895</v>
      </c>
      <c r="E234" s="11"/>
      <c r="F234" s="12">
        <v>538</v>
      </c>
      <c r="G234" s="12" t="s">
        <v>13</v>
      </c>
      <c r="H234" s="13"/>
      <c r="I234" s="14">
        <v>0.86</v>
      </c>
      <c r="J234" s="14"/>
      <c r="K234" s="14">
        <v>8.8000000000000007</v>
      </c>
      <c r="L234" s="13">
        <v>1.7</v>
      </c>
      <c r="M234" s="13">
        <v>0.9</v>
      </c>
      <c r="P234" s="12" t="s">
        <v>14</v>
      </c>
      <c r="Q234" s="12"/>
      <c r="R234" s="12"/>
      <c r="T234">
        <f t="shared" si="6"/>
        <v>0.86</v>
      </c>
      <c r="U234">
        <f t="shared" si="7"/>
        <v>8.8000000000000007</v>
      </c>
    </row>
    <row r="235" spans="1:21">
      <c r="A235" s="12">
        <v>40</v>
      </c>
      <c r="B235" s="12">
        <v>20</v>
      </c>
      <c r="C235" s="11">
        <v>42.255591812176434</v>
      </c>
      <c r="D235" s="11">
        <v>29.924382566855925</v>
      </c>
      <c r="E235" s="11"/>
      <c r="F235" s="10">
        <v>317</v>
      </c>
      <c r="G235" s="12" t="s">
        <v>13</v>
      </c>
      <c r="H235" s="13"/>
      <c r="I235" s="14">
        <v>0.87</v>
      </c>
      <c r="J235" s="14"/>
      <c r="K235" s="14">
        <v>9.9</v>
      </c>
      <c r="L235" s="13">
        <v>2</v>
      </c>
      <c r="M235" s="13">
        <v>0.7</v>
      </c>
      <c r="P235" s="12" t="s">
        <v>14</v>
      </c>
      <c r="Q235" s="12"/>
      <c r="R235" s="12"/>
      <c r="T235">
        <f t="shared" si="6"/>
        <v>0.87</v>
      </c>
      <c r="U235">
        <f t="shared" si="7"/>
        <v>9.9</v>
      </c>
    </row>
    <row r="236" spans="1:21">
      <c r="A236" s="12">
        <v>20</v>
      </c>
      <c r="B236" s="12">
        <v>-20</v>
      </c>
      <c r="C236" s="11">
        <v>26.855187291478849</v>
      </c>
      <c r="D236" s="11">
        <v>-19.034179478951081</v>
      </c>
      <c r="E236" s="11"/>
      <c r="F236" s="10">
        <v>567</v>
      </c>
      <c r="G236" s="12" t="s">
        <v>43</v>
      </c>
      <c r="H236" s="13"/>
      <c r="I236" s="14">
        <v>0.89</v>
      </c>
      <c r="J236" s="14" t="s">
        <v>70</v>
      </c>
      <c r="K236" s="14"/>
      <c r="L236" s="13">
        <v>1.8</v>
      </c>
      <c r="M236" s="13"/>
      <c r="P236" s="12" t="s">
        <v>12</v>
      </c>
      <c r="Q236" s="12"/>
      <c r="R236" s="12"/>
      <c r="T236">
        <f t="shared" si="6"/>
        <v>0.89</v>
      </c>
      <c r="U236" t="str">
        <f t="shared" si="7"/>
        <v>dead</v>
      </c>
    </row>
    <row r="237" spans="1:21">
      <c r="A237" s="12">
        <v>20</v>
      </c>
      <c r="B237" s="12">
        <v>10</v>
      </c>
      <c r="C237" s="11">
        <v>23.975810626973125</v>
      </c>
      <c r="D237" s="11">
        <v>10.577472753850401</v>
      </c>
      <c r="E237" s="11"/>
      <c r="F237" s="12">
        <v>138</v>
      </c>
      <c r="G237" s="12" t="s">
        <v>13</v>
      </c>
      <c r="H237" s="13"/>
      <c r="I237" s="14">
        <v>0.9</v>
      </c>
      <c r="J237" s="14"/>
      <c r="K237" s="14">
        <v>14.7</v>
      </c>
      <c r="L237" s="13">
        <v>1.9</v>
      </c>
      <c r="M237" s="13">
        <v>0.7</v>
      </c>
      <c r="P237" s="12" t="s">
        <v>14</v>
      </c>
      <c r="Q237" s="12"/>
      <c r="R237" s="12"/>
      <c r="T237">
        <f t="shared" si="6"/>
        <v>0.9</v>
      </c>
      <c r="U237">
        <f t="shared" si="7"/>
        <v>14.7</v>
      </c>
    </row>
    <row r="238" spans="1:21">
      <c r="A238" s="12">
        <v>20</v>
      </c>
      <c r="B238" s="12">
        <v>-20</v>
      </c>
      <c r="C238" s="11">
        <v>28.085472499046794</v>
      </c>
      <c r="D238" s="11">
        <v>-18.593028245562195</v>
      </c>
      <c r="E238" s="11"/>
      <c r="F238" s="10">
        <v>565</v>
      </c>
      <c r="G238" s="12" t="s">
        <v>13</v>
      </c>
      <c r="H238" s="13"/>
      <c r="I238" s="14">
        <v>0.9</v>
      </c>
      <c r="J238" s="14"/>
      <c r="K238" s="14">
        <v>16.5</v>
      </c>
      <c r="L238" s="13">
        <v>1.8</v>
      </c>
      <c r="M238" s="13">
        <v>0.5</v>
      </c>
      <c r="N238" s="32"/>
      <c r="O238" s="32"/>
      <c r="P238" s="12" t="s">
        <v>14</v>
      </c>
      <c r="Q238" s="12"/>
      <c r="R238" s="12"/>
      <c r="S238" s="32"/>
      <c r="T238">
        <f t="shared" si="6"/>
        <v>0.9</v>
      </c>
      <c r="U238">
        <f t="shared" si="7"/>
        <v>16.5</v>
      </c>
    </row>
    <row r="239" spans="1:21">
      <c r="A239" s="12">
        <v>40</v>
      </c>
      <c r="B239" s="12">
        <v>-30</v>
      </c>
      <c r="C239" s="11">
        <v>44.623379133287443</v>
      </c>
      <c r="D239" s="11">
        <v>-27.132298558258295</v>
      </c>
      <c r="E239" s="11"/>
      <c r="F239" s="10">
        <v>695</v>
      </c>
      <c r="G239" s="12" t="s">
        <v>21</v>
      </c>
      <c r="H239" s="13"/>
      <c r="I239" s="14">
        <v>0.9</v>
      </c>
      <c r="J239" s="14"/>
      <c r="K239" s="14">
        <v>14.2</v>
      </c>
      <c r="L239" s="13">
        <v>2.4</v>
      </c>
      <c r="M239" s="13">
        <v>0.7</v>
      </c>
      <c r="P239" s="12" t="s">
        <v>14</v>
      </c>
      <c r="Q239" s="12"/>
      <c r="R239" s="12"/>
      <c r="S239" t="s">
        <v>126</v>
      </c>
      <c r="T239">
        <f t="shared" si="6"/>
        <v>0.9</v>
      </c>
      <c r="U239">
        <f t="shared" si="7"/>
        <v>14.2</v>
      </c>
    </row>
    <row r="240" spans="1:21">
      <c r="A240" s="12">
        <v>40</v>
      </c>
      <c r="B240" s="12">
        <v>30</v>
      </c>
      <c r="C240" s="11">
        <v>41.809840918419845</v>
      </c>
      <c r="D240" s="11">
        <v>38.003454428666828</v>
      </c>
      <c r="E240" s="11"/>
      <c r="F240" s="10">
        <v>345</v>
      </c>
      <c r="G240" s="12" t="s">
        <v>11</v>
      </c>
      <c r="H240" s="13"/>
      <c r="I240" s="14">
        <v>0.91</v>
      </c>
      <c r="J240" s="14"/>
      <c r="K240" s="14">
        <v>19.899999999999999</v>
      </c>
      <c r="L240" s="13">
        <v>2.4</v>
      </c>
      <c r="M240" s="13">
        <v>0.2</v>
      </c>
      <c r="P240" s="12" t="s">
        <v>14</v>
      </c>
      <c r="Q240" s="12"/>
      <c r="R240" s="12"/>
      <c r="T240">
        <f t="shared" si="6"/>
        <v>0.91</v>
      </c>
      <c r="U240">
        <f t="shared" si="7"/>
        <v>19.899999999999999</v>
      </c>
    </row>
    <row r="241" spans="1:21">
      <c r="A241" s="12">
        <v>20</v>
      </c>
      <c r="B241" s="12">
        <v>-20</v>
      </c>
      <c r="C241" s="11">
        <v>22.699862220695191</v>
      </c>
      <c r="D241" s="11">
        <v>-35.871637861391832</v>
      </c>
      <c r="E241" s="11"/>
      <c r="F241" s="10">
        <v>719</v>
      </c>
      <c r="G241" s="12" t="s">
        <v>11</v>
      </c>
      <c r="H241" s="13"/>
      <c r="I241" s="14">
        <v>0.91</v>
      </c>
      <c r="J241" s="14"/>
      <c r="K241" s="14">
        <v>15.8</v>
      </c>
      <c r="L241" s="13">
        <v>2</v>
      </c>
      <c r="M241" s="13">
        <v>0.1</v>
      </c>
      <c r="P241" s="12" t="s">
        <v>14</v>
      </c>
      <c r="Q241" s="12"/>
      <c r="R241" s="12"/>
      <c r="T241">
        <f t="shared" si="6"/>
        <v>0.91</v>
      </c>
      <c r="U241">
        <f t="shared" si="7"/>
        <v>15.8</v>
      </c>
    </row>
    <row r="242" spans="1:21">
      <c r="A242" s="12">
        <v>10</v>
      </c>
      <c r="B242" s="12">
        <v>-30</v>
      </c>
      <c r="C242" s="11">
        <v>13.891661250622271</v>
      </c>
      <c r="D242" s="11">
        <v>-21.129319282775551</v>
      </c>
      <c r="E242" s="11"/>
      <c r="F242" s="12">
        <v>620</v>
      </c>
      <c r="G242" s="12" t="s">
        <v>11</v>
      </c>
      <c r="H242" s="13"/>
      <c r="I242" s="14">
        <v>0.92</v>
      </c>
      <c r="J242" s="14"/>
      <c r="K242" s="14">
        <v>12.7</v>
      </c>
      <c r="L242" s="13">
        <v>1.7</v>
      </c>
      <c r="M242" s="13">
        <v>0</v>
      </c>
      <c r="P242" s="12" t="s">
        <v>14</v>
      </c>
      <c r="Q242" s="12"/>
      <c r="R242" s="12"/>
      <c r="T242">
        <f t="shared" si="6"/>
        <v>0.92</v>
      </c>
      <c r="U242">
        <f t="shared" si="7"/>
        <v>12.7</v>
      </c>
    </row>
    <row r="243" spans="1:21">
      <c r="A243" s="12">
        <v>40</v>
      </c>
      <c r="B243" s="12">
        <v>30</v>
      </c>
      <c r="C243" s="11">
        <v>48.923878928480136</v>
      </c>
      <c r="D243" s="11">
        <v>30.406164508423601</v>
      </c>
      <c r="E243" s="11"/>
      <c r="F243" s="10">
        <v>323</v>
      </c>
      <c r="G243" s="12" t="s">
        <v>30</v>
      </c>
      <c r="H243" s="13"/>
      <c r="I243" s="14">
        <v>0.94</v>
      </c>
      <c r="J243" s="14"/>
      <c r="K243" s="14">
        <v>12.2</v>
      </c>
      <c r="L243" s="13">
        <v>2.1</v>
      </c>
      <c r="M243" s="13">
        <v>1.1000000000000001</v>
      </c>
      <c r="P243" s="12" t="s">
        <v>14</v>
      </c>
      <c r="Q243" s="12"/>
      <c r="R243" s="12"/>
      <c r="T243">
        <f t="shared" si="6"/>
        <v>0.94</v>
      </c>
      <c r="U243">
        <f t="shared" si="7"/>
        <v>12.2</v>
      </c>
    </row>
    <row r="244" spans="1:21">
      <c r="A244" s="12">
        <v>40</v>
      </c>
      <c r="B244" s="12">
        <v>-10</v>
      </c>
      <c r="C244" s="11">
        <v>43.598885535307346</v>
      </c>
      <c r="D244" s="11">
        <v>-9.3912940744862272</v>
      </c>
      <c r="E244" s="11"/>
      <c r="F244" s="12">
        <v>448</v>
      </c>
      <c r="G244" s="12" t="s">
        <v>13</v>
      </c>
      <c r="H244" s="13"/>
      <c r="I244" s="14">
        <v>0.95</v>
      </c>
      <c r="J244" s="14"/>
      <c r="K244" s="14">
        <v>10.4</v>
      </c>
      <c r="L244" s="13">
        <v>2</v>
      </c>
      <c r="M244" s="13">
        <v>1.2</v>
      </c>
      <c r="P244" s="12" t="s">
        <v>14</v>
      </c>
      <c r="Q244" s="12"/>
      <c r="R244" s="12"/>
      <c r="T244">
        <f t="shared" si="6"/>
        <v>0.95</v>
      </c>
      <c r="U244">
        <f t="shared" si="7"/>
        <v>10.4</v>
      </c>
    </row>
    <row r="245" spans="1:21">
      <c r="A245" s="12">
        <v>30</v>
      </c>
      <c r="B245" s="12">
        <v>0</v>
      </c>
      <c r="C245" s="11">
        <v>34.068567064814381</v>
      </c>
      <c r="D245" s="11">
        <v>9.4180847704201529</v>
      </c>
      <c r="E245" s="11"/>
      <c r="F245" s="12">
        <v>248</v>
      </c>
      <c r="G245" s="12" t="s">
        <v>13</v>
      </c>
      <c r="H245" s="13"/>
      <c r="I245" s="14">
        <v>0.96</v>
      </c>
      <c r="J245" s="14"/>
      <c r="K245" s="14">
        <v>10.3</v>
      </c>
      <c r="L245" s="13">
        <v>1.5</v>
      </c>
      <c r="M245" s="13">
        <v>0.7</v>
      </c>
      <c r="P245" s="12" t="s">
        <v>14</v>
      </c>
      <c r="Q245" s="12"/>
      <c r="R245" s="12"/>
      <c r="T245">
        <f t="shared" si="6"/>
        <v>0.96</v>
      </c>
      <c r="U245">
        <f t="shared" si="7"/>
        <v>10.3</v>
      </c>
    </row>
    <row r="246" spans="1:21">
      <c r="A246" s="12">
        <v>10</v>
      </c>
      <c r="B246" s="12">
        <v>-20</v>
      </c>
      <c r="C246" s="11">
        <v>16.17530308633452</v>
      </c>
      <c r="D246" s="11">
        <v>-17.610064118308244</v>
      </c>
      <c r="E246" s="11"/>
      <c r="F246" s="12">
        <v>572</v>
      </c>
      <c r="G246" s="12" t="s">
        <v>21</v>
      </c>
      <c r="H246" s="13"/>
      <c r="I246" s="14">
        <v>0.96</v>
      </c>
      <c r="J246" s="14"/>
      <c r="K246" s="14">
        <v>13.5</v>
      </c>
      <c r="L246" s="13">
        <v>2.5</v>
      </c>
      <c r="M246" s="13">
        <v>0.6</v>
      </c>
      <c r="P246" s="12" t="s">
        <v>14</v>
      </c>
      <c r="Q246" s="12"/>
      <c r="R246" s="12"/>
      <c r="S246" t="s">
        <v>101</v>
      </c>
      <c r="T246">
        <f t="shared" si="6"/>
        <v>0.96</v>
      </c>
      <c r="U246">
        <f t="shared" si="7"/>
        <v>13.5</v>
      </c>
    </row>
    <row r="247" spans="1:21">
      <c r="A247" s="12">
        <v>40</v>
      </c>
      <c r="B247" s="12">
        <v>0</v>
      </c>
      <c r="C247" s="11">
        <v>40.675863550722838</v>
      </c>
      <c r="D247" s="11">
        <v>5.0660757544522106</v>
      </c>
      <c r="E247" s="11"/>
      <c r="F247" s="12">
        <v>262</v>
      </c>
      <c r="G247" s="12" t="s">
        <v>13</v>
      </c>
      <c r="H247" s="13"/>
      <c r="I247" s="14">
        <v>0.97</v>
      </c>
      <c r="J247" s="14"/>
      <c r="K247" s="14">
        <v>23.1</v>
      </c>
      <c r="L247" s="13">
        <v>2.1</v>
      </c>
      <c r="M247" s="13">
        <v>1.4</v>
      </c>
      <c r="P247" s="12" t="s">
        <v>14</v>
      </c>
      <c r="Q247" s="12"/>
      <c r="R247" s="12"/>
      <c r="T247">
        <f t="shared" si="6"/>
        <v>0.97</v>
      </c>
      <c r="U247">
        <f t="shared" si="7"/>
        <v>23.1</v>
      </c>
    </row>
    <row r="248" spans="1:21">
      <c r="A248" s="12">
        <v>40</v>
      </c>
      <c r="B248" s="12">
        <v>0</v>
      </c>
      <c r="C248" s="11">
        <v>40.628453171262755</v>
      </c>
      <c r="D248" s="11">
        <v>7.808323333260633</v>
      </c>
      <c r="E248" s="11"/>
      <c r="F248" s="10">
        <v>273</v>
      </c>
      <c r="G248" s="12" t="s">
        <v>11</v>
      </c>
      <c r="H248" s="13"/>
      <c r="I248" s="14">
        <v>0.97</v>
      </c>
      <c r="J248" s="14" t="s">
        <v>70</v>
      </c>
      <c r="K248" s="14"/>
      <c r="L248" s="13">
        <v>2</v>
      </c>
      <c r="M248" s="13"/>
      <c r="P248" s="12" t="s">
        <v>12</v>
      </c>
      <c r="Q248" s="12"/>
      <c r="R248" s="12"/>
      <c r="T248">
        <f t="shared" si="6"/>
        <v>0.97</v>
      </c>
      <c r="U248" t="str">
        <f t="shared" si="7"/>
        <v>dead</v>
      </c>
    </row>
    <row r="249" spans="1:21">
      <c r="A249" s="12">
        <v>20</v>
      </c>
      <c r="B249" s="12">
        <v>-20</v>
      </c>
      <c r="C249" s="11">
        <v>26.875698166707046</v>
      </c>
      <c r="D249" s="11">
        <v>-13.369747971083783</v>
      </c>
      <c r="E249" s="11"/>
      <c r="F249" s="10">
        <v>553</v>
      </c>
      <c r="G249" s="12" t="s">
        <v>13</v>
      </c>
      <c r="H249" s="13"/>
      <c r="I249" s="14">
        <v>0.99</v>
      </c>
      <c r="J249" s="14"/>
      <c r="K249" s="14">
        <v>11.4</v>
      </c>
      <c r="L249" s="13">
        <v>3.4</v>
      </c>
      <c r="M249" s="13">
        <v>1.3</v>
      </c>
      <c r="P249" s="12" t="s">
        <v>14</v>
      </c>
      <c r="Q249" s="12"/>
      <c r="R249" s="12"/>
      <c r="T249">
        <f t="shared" si="6"/>
        <v>0.99</v>
      </c>
      <c r="U249">
        <f t="shared" si="7"/>
        <v>11.4</v>
      </c>
    </row>
    <row r="250" spans="1:21">
      <c r="A250" s="12">
        <v>10</v>
      </c>
      <c r="B250" s="12">
        <v>10</v>
      </c>
      <c r="C250" s="11">
        <v>19.669675453237815</v>
      </c>
      <c r="D250" s="11">
        <v>13.828495347920654</v>
      </c>
      <c r="E250" s="11"/>
      <c r="F250" s="12">
        <v>110</v>
      </c>
      <c r="G250" s="12" t="s">
        <v>13</v>
      </c>
      <c r="H250" s="13"/>
      <c r="I250" s="14">
        <v>1</v>
      </c>
      <c r="J250" s="14"/>
      <c r="K250" s="14">
        <v>12.8</v>
      </c>
      <c r="L250" s="13">
        <v>2.4</v>
      </c>
      <c r="M250" s="13">
        <v>0.9</v>
      </c>
      <c r="P250" s="12" t="s">
        <v>14</v>
      </c>
      <c r="Q250" s="12"/>
      <c r="R250" s="12"/>
      <c r="T250">
        <f t="shared" si="6"/>
        <v>1</v>
      </c>
      <c r="U250">
        <f t="shared" si="7"/>
        <v>12.8</v>
      </c>
    </row>
    <row r="251" spans="1:21">
      <c r="A251" s="12">
        <v>40</v>
      </c>
      <c r="B251" s="12">
        <v>20</v>
      </c>
      <c r="C251" s="11">
        <v>42.470638986410691</v>
      </c>
      <c r="D251" s="11">
        <v>29.603684879805961</v>
      </c>
      <c r="E251" s="11"/>
      <c r="F251" s="10">
        <v>297</v>
      </c>
      <c r="G251" s="12" t="s">
        <v>13</v>
      </c>
      <c r="H251" s="13"/>
      <c r="I251" s="14">
        <v>1</v>
      </c>
      <c r="J251" s="14"/>
      <c r="K251" s="14">
        <v>12.1</v>
      </c>
      <c r="L251" s="13">
        <v>2.7</v>
      </c>
      <c r="M251" s="13">
        <v>1.4</v>
      </c>
      <c r="P251" s="12" t="s">
        <v>14</v>
      </c>
      <c r="Q251" s="12"/>
      <c r="R251" s="12"/>
      <c r="T251">
        <f t="shared" si="6"/>
        <v>1</v>
      </c>
      <c r="U251">
        <f t="shared" si="7"/>
        <v>12.1</v>
      </c>
    </row>
    <row r="252" spans="1:21">
      <c r="A252" s="12">
        <v>40</v>
      </c>
      <c r="B252" s="12">
        <v>30</v>
      </c>
      <c r="C252" s="11">
        <v>49.098880675068742</v>
      </c>
      <c r="D252" s="11">
        <v>31.568014233750425</v>
      </c>
      <c r="E252" s="11"/>
      <c r="F252" s="10">
        <v>335</v>
      </c>
      <c r="G252" s="12" t="s">
        <v>30</v>
      </c>
      <c r="H252" s="13"/>
      <c r="I252" s="14">
        <v>1</v>
      </c>
      <c r="J252" s="14"/>
      <c r="K252" s="14">
        <v>12.1</v>
      </c>
      <c r="L252" s="13">
        <v>1.7</v>
      </c>
      <c r="M252" s="13">
        <v>0.7</v>
      </c>
      <c r="P252" s="12" t="s">
        <v>14</v>
      </c>
      <c r="Q252" s="12"/>
      <c r="R252" s="12"/>
      <c r="T252">
        <f t="shared" si="6"/>
        <v>1</v>
      </c>
      <c r="U252">
        <f t="shared" si="7"/>
        <v>12.1</v>
      </c>
    </row>
    <row r="253" spans="1:21">
      <c r="A253" s="12">
        <v>40</v>
      </c>
      <c r="B253" s="12">
        <v>-20</v>
      </c>
      <c r="C253" s="11">
        <v>44.622154275334118</v>
      </c>
      <c r="D253" s="11">
        <v>-19.561385352291296</v>
      </c>
      <c r="E253" s="11"/>
      <c r="F253" s="12">
        <v>510</v>
      </c>
      <c r="G253" s="12" t="s">
        <v>21</v>
      </c>
      <c r="H253" s="13"/>
      <c r="I253" s="14">
        <v>1</v>
      </c>
      <c r="J253" s="14"/>
      <c r="K253" s="14">
        <v>15.3</v>
      </c>
      <c r="L253" s="13">
        <v>2.5</v>
      </c>
      <c r="M253" s="13">
        <v>0.4</v>
      </c>
      <c r="P253" s="12" t="s">
        <v>14</v>
      </c>
      <c r="Q253" s="12"/>
      <c r="R253" s="12"/>
      <c r="T253">
        <f t="shared" si="6"/>
        <v>1</v>
      </c>
      <c r="U253">
        <f t="shared" si="7"/>
        <v>15.3</v>
      </c>
    </row>
    <row r="254" spans="1:21">
      <c r="A254" s="12">
        <v>20</v>
      </c>
      <c r="B254" s="12">
        <v>10</v>
      </c>
      <c r="C254" s="11">
        <v>21.836540619572311</v>
      </c>
      <c r="D254" s="11">
        <v>11.595461118586918</v>
      </c>
      <c r="E254" s="11"/>
      <c r="F254" s="12">
        <v>126</v>
      </c>
      <c r="G254" s="12" t="s">
        <v>13</v>
      </c>
      <c r="H254" s="13"/>
      <c r="I254" s="14">
        <v>1.01</v>
      </c>
      <c r="J254" s="14"/>
      <c r="K254" s="14">
        <v>10.9</v>
      </c>
      <c r="L254" s="13"/>
      <c r="M254" s="13"/>
      <c r="P254" s="12" t="s">
        <v>14</v>
      </c>
      <c r="Q254" s="12"/>
      <c r="R254" s="12"/>
      <c r="T254">
        <f t="shared" si="6"/>
        <v>1.01</v>
      </c>
      <c r="U254">
        <f t="shared" si="7"/>
        <v>10.9</v>
      </c>
    </row>
    <row r="255" spans="1:21">
      <c r="A255" s="12">
        <v>20</v>
      </c>
      <c r="B255" s="12">
        <v>-20</v>
      </c>
      <c r="C255" s="11">
        <v>27.258718247585577</v>
      </c>
      <c r="D255" s="11">
        <v>-13.129558963430984</v>
      </c>
      <c r="E255" s="11"/>
      <c r="F255" s="10">
        <v>543</v>
      </c>
      <c r="G255" s="12" t="s">
        <v>13</v>
      </c>
      <c r="H255" s="13"/>
      <c r="I255" s="14">
        <v>1.02</v>
      </c>
      <c r="J255" s="14" t="s">
        <v>70</v>
      </c>
      <c r="K255" s="14"/>
      <c r="L255" s="13">
        <v>2.1</v>
      </c>
      <c r="M255" s="13"/>
      <c r="P255" s="12" t="s">
        <v>12</v>
      </c>
      <c r="Q255" s="12"/>
      <c r="R255" s="12"/>
      <c r="T255">
        <f t="shared" si="6"/>
        <v>1.02</v>
      </c>
      <c r="U255" t="str">
        <f t="shared" si="7"/>
        <v>dead</v>
      </c>
    </row>
    <row r="256" spans="1:21">
      <c r="A256" s="12">
        <v>40</v>
      </c>
      <c r="B256" s="12">
        <v>-40</v>
      </c>
      <c r="C256" s="11">
        <v>43.072423340402423</v>
      </c>
      <c r="D256" s="11">
        <v>-35.595784426557842</v>
      </c>
      <c r="E256" s="11"/>
      <c r="F256" s="12">
        <v>708</v>
      </c>
      <c r="G256" s="12" t="s">
        <v>51</v>
      </c>
      <c r="H256" s="13"/>
      <c r="I256" s="14">
        <v>1.02</v>
      </c>
      <c r="J256" s="14" t="s">
        <v>70</v>
      </c>
      <c r="K256" s="14"/>
      <c r="L256" s="13">
        <v>2.2000000000000002</v>
      </c>
      <c r="M256" s="13">
        <v>1.7</v>
      </c>
      <c r="P256" s="12" t="s">
        <v>14</v>
      </c>
      <c r="Q256" s="12"/>
      <c r="R256" s="12"/>
      <c r="T256">
        <f t="shared" si="6"/>
        <v>1.02</v>
      </c>
      <c r="U256" t="str">
        <f t="shared" si="7"/>
        <v>dead</v>
      </c>
    </row>
    <row r="257" spans="1:21">
      <c r="A257" s="12">
        <v>10</v>
      </c>
      <c r="B257" s="12">
        <v>-30</v>
      </c>
      <c r="C257" s="11">
        <v>11.346698213507807</v>
      </c>
      <c r="D257" s="11">
        <v>-20.397333295205016</v>
      </c>
      <c r="E257" s="11"/>
      <c r="F257" s="12">
        <v>618</v>
      </c>
      <c r="G257" s="12" t="s">
        <v>11</v>
      </c>
      <c r="H257" s="13"/>
      <c r="I257" s="14">
        <v>1.03</v>
      </c>
      <c r="J257" s="14"/>
      <c r="K257" s="14">
        <v>15.8</v>
      </c>
      <c r="L257" s="13">
        <v>2.1</v>
      </c>
      <c r="M257" s="13">
        <v>0.1</v>
      </c>
      <c r="P257" s="12" t="s">
        <v>14</v>
      </c>
      <c r="Q257" s="12"/>
      <c r="R257" s="12"/>
      <c r="T257">
        <f t="shared" si="6"/>
        <v>1.03</v>
      </c>
      <c r="U257">
        <f t="shared" si="7"/>
        <v>15.8</v>
      </c>
    </row>
    <row r="258" spans="1:21">
      <c r="A258" s="12">
        <v>10</v>
      </c>
      <c r="B258" s="12">
        <v>-30</v>
      </c>
      <c r="C258" s="11">
        <v>19.847311696024597</v>
      </c>
      <c r="D258" s="11">
        <v>-22.474958626385718</v>
      </c>
      <c r="E258" s="11"/>
      <c r="F258" s="10">
        <v>629</v>
      </c>
      <c r="G258" s="12" t="s">
        <v>11</v>
      </c>
      <c r="H258" s="13"/>
      <c r="I258" s="14">
        <v>1.04</v>
      </c>
      <c r="J258" s="14"/>
      <c r="K258" s="14">
        <v>13.4</v>
      </c>
      <c r="L258" s="13">
        <v>2.4</v>
      </c>
      <c r="M258" s="13">
        <v>0.4</v>
      </c>
      <c r="P258" s="12" t="s">
        <v>14</v>
      </c>
      <c r="Q258" s="12"/>
      <c r="R258" s="12"/>
      <c r="T258">
        <f t="shared" ref="T258:T321" si="8">IF(H258="",I258,H258/PI())</f>
        <v>1.04</v>
      </c>
      <c r="U258">
        <f t="shared" ref="U258:U321" si="9">IF(J258="dead","dead",J258/PI()+K258)</f>
        <v>13.4</v>
      </c>
    </row>
    <row r="259" spans="1:21">
      <c r="A259" s="12">
        <v>40</v>
      </c>
      <c r="B259" s="12">
        <v>40</v>
      </c>
      <c r="C259" s="11">
        <v>49.237615308286394</v>
      </c>
      <c r="D259" s="11">
        <v>42.694210381882002</v>
      </c>
      <c r="E259" s="11"/>
      <c r="F259" s="10">
        <v>351</v>
      </c>
      <c r="G259" s="12" t="s">
        <v>13</v>
      </c>
      <c r="H259" s="13"/>
      <c r="I259" s="14">
        <v>1.05</v>
      </c>
      <c r="J259" s="14"/>
      <c r="K259" s="14">
        <v>11.3</v>
      </c>
      <c r="L259" s="13">
        <v>2.2000000000000002</v>
      </c>
      <c r="M259" s="13">
        <v>1.3</v>
      </c>
      <c r="P259" s="12" t="s">
        <v>14</v>
      </c>
      <c r="Q259" s="12"/>
      <c r="R259" s="12"/>
      <c r="T259">
        <f t="shared" si="8"/>
        <v>1.05</v>
      </c>
      <c r="U259">
        <f t="shared" si="9"/>
        <v>11.3</v>
      </c>
    </row>
    <row r="260" spans="1:21">
      <c r="A260" s="12">
        <v>20</v>
      </c>
      <c r="B260" s="12">
        <v>-20</v>
      </c>
      <c r="C260" s="11">
        <v>27.354652244018268</v>
      </c>
      <c r="D260" s="11">
        <v>-13.459375685046041</v>
      </c>
      <c r="E260" s="11"/>
      <c r="F260" s="12">
        <v>556</v>
      </c>
      <c r="G260" s="12" t="s">
        <v>13</v>
      </c>
      <c r="H260" s="13"/>
      <c r="I260" s="14">
        <v>1.05</v>
      </c>
      <c r="J260" s="14" t="s">
        <v>70</v>
      </c>
      <c r="K260" s="14"/>
      <c r="L260" s="13">
        <v>1</v>
      </c>
      <c r="M260" s="13"/>
      <c r="P260" s="12" t="s">
        <v>12</v>
      </c>
      <c r="Q260" s="12"/>
      <c r="R260" s="12" t="s">
        <v>41</v>
      </c>
      <c r="T260">
        <f t="shared" si="8"/>
        <v>1.05</v>
      </c>
      <c r="U260" t="str">
        <f t="shared" si="9"/>
        <v>dead</v>
      </c>
    </row>
    <row r="261" spans="1:21">
      <c r="A261" s="12">
        <v>20</v>
      </c>
      <c r="B261" s="12">
        <v>-20</v>
      </c>
      <c r="C261" s="11">
        <v>27.245017801982723</v>
      </c>
      <c r="D261" s="11">
        <v>-13.513307434350482</v>
      </c>
      <c r="E261" s="11"/>
      <c r="F261" s="10">
        <v>551</v>
      </c>
      <c r="G261" s="12" t="s">
        <v>13</v>
      </c>
      <c r="H261" s="13"/>
      <c r="I261" s="14">
        <v>1.06</v>
      </c>
      <c r="J261" s="14"/>
      <c r="K261" s="14">
        <v>11</v>
      </c>
      <c r="L261" s="13">
        <v>2</v>
      </c>
      <c r="M261" s="13">
        <v>1.7</v>
      </c>
      <c r="P261" s="12" t="s">
        <v>14</v>
      </c>
      <c r="Q261" s="12"/>
      <c r="R261" s="12"/>
      <c r="T261">
        <f t="shared" si="8"/>
        <v>1.06</v>
      </c>
      <c r="U261">
        <f t="shared" si="9"/>
        <v>11</v>
      </c>
    </row>
    <row r="262" spans="1:21">
      <c r="A262" s="12">
        <v>20</v>
      </c>
      <c r="B262" s="12">
        <v>20</v>
      </c>
      <c r="C262" s="11">
        <v>25.677496816558932</v>
      </c>
      <c r="D262" s="11">
        <v>20.358548791109246</v>
      </c>
      <c r="E262" s="11"/>
      <c r="F262" s="12">
        <v>164</v>
      </c>
      <c r="G262" s="12" t="s">
        <v>21</v>
      </c>
      <c r="H262" s="13"/>
      <c r="I262" s="14">
        <v>1.08</v>
      </c>
      <c r="J262" s="14"/>
      <c r="K262" s="14">
        <v>20.2</v>
      </c>
      <c r="L262" s="13">
        <v>2.5</v>
      </c>
      <c r="M262" s="13">
        <v>0.6</v>
      </c>
      <c r="P262" s="12" t="s">
        <v>14</v>
      </c>
      <c r="Q262" s="12"/>
      <c r="R262" s="12"/>
      <c r="T262">
        <f t="shared" si="8"/>
        <v>1.08</v>
      </c>
      <c r="U262">
        <f t="shared" si="9"/>
        <v>20.2</v>
      </c>
    </row>
    <row r="263" spans="1:21">
      <c r="A263" s="12">
        <v>40</v>
      </c>
      <c r="B263" s="12">
        <v>0</v>
      </c>
      <c r="C263" s="11">
        <v>49.221325124819906</v>
      </c>
      <c r="D263" s="11">
        <v>2.2897754285387277</v>
      </c>
      <c r="E263" s="11"/>
      <c r="F263" s="10">
        <v>275</v>
      </c>
      <c r="G263" s="12" t="s">
        <v>21</v>
      </c>
      <c r="H263" s="13"/>
      <c r="I263" s="14">
        <v>1.08</v>
      </c>
      <c r="J263" s="14">
        <v>6.4</v>
      </c>
      <c r="K263" s="14"/>
      <c r="L263" s="13">
        <v>2.8</v>
      </c>
      <c r="M263" s="13">
        <v>0.7</v>
      </c>
      <c r="P263" s="12" t="s">
        <v>14</v>
      </c>
      <c r="Q263" s="12"/>
      <c r="R263" s="12"/>
      <c r="S263" t="s">
        <v>81</v>
      </c>
      <c r="T263">
        <f t="shared" si="8"/>
        <v>1.08</v>
      </c>
      <c r="U263">
        <f t="shared" si="9"/>
        <v>2.0371832715762603</v>
      </c>
    </row>
    <row r="264" spans="1:21">
      <c r="A264" s="12">
        <v>40</v>
      </c>
      <c r="B264" s="12">
        <v>40</v>
      </c>
      <c r="C264" s="11">
        <v>40.403688025885337</v>
      </c>
      <c r="D264" s="11">
        <v>48.917443383361821</v>
      </c>
      <c r="E264" s="11"/>
      <c r="F264" s="10">
        <v>361</v>
      </c>
      <c r="G264" s="12" t="s">
        <v>11</v>
      </c>
      <c r="H264" s="13"/>
      <c r="I264" s="14">
        <v>1.08</v>
      </c>
      <c r="J264" s="14">
        <v>5.5</v>
      </c>
      <c r="K264" s="14"/>
      <c r="L264" s="13">
        <v>2.4</v>
      </c>
      <c r="M264" s="13">
        <v>0.5</v>
      </c>
      <c r="P264" s="12" t="s">
        <v>14</v>
      </c>
      <c r="Q264" s="12"/>
      <c r="R264" s="12"/>
      <c r="T264">
        <f t="shared" si="8"/>
        <v>1.08</v>
      </c>
      <c r="U264">
        <f t="shared" si="9"/>
        <v>1.7507043740108488</v>
      </c>
    </row>
    <row r="265" spans="1:21">
      <c r="A265" s="12">
        <v>30</v>
      </c>
      <c r="B265" s="12">
        <v>40</v>
      </c>
      <c r="C265" s="11">
        <v>37.586645506147292</v>
      </c>
      <c r="D265" s="11">
        <v>46.055567672903109</v>
      </c>
      <c r="E265" s="11"/>
      <c r="F265" s="10">
        <v>201</v>
      </c>
      <c r="G265" s="12" t="s">
        <v>13</v>
      </c>
      <c r="H265" s="13"/>
      <c r="I265" s="14">
        <v>1.0900000000000001</v>
      </c>
      <c r="J265" s="14"/>
      <c r="K265" s="14">
        <v>11.7</v>
      </c>
      <c r="L265" s="13">
        <v>1.9</v>
      </c>
      <c r="M265" s="13">
        <v>1.2</v>
      </c>
      <c r="P265" s="12" t="s">
        <v>14</v>
      </c>
      <c r="Q265" s="12"/>
      <c r="R265" s="12"/>
      <c r="T265">
        <f t="shared" si="8"/>
        <v>1.0900000000000001</v>
      </c>
      <c r="U265">
        <f t="shared" si="9"/>
        <v>11.7</v>
      </c>
    </row>
    <row r="266" spans="1:21">
      <c r="A266" s="12">
        <v>40</v>
      </c>
      <c r="B266" s="12">
        <v>20</v>
      </c>
      <c r="C266" s="11">
        <v>41.934145126044378</v>
      </c>
      <c r="D266" s="11">
        <v>29.733251261038692</v>
      </c>
      <c r="E266" s="11"/>
      <c r="F266" s="10">
        <v>311</v>
      </c>
      <c r="G266" s="12" t="s">
        <v>13</v>
      </c>
      <c r="H266" s="13"/>
      <c r="I266" s="14">
        <v>1.0900000000000001</v>
      </c>
      <c r="J266" s="14"/>
      <c r="K266" s="14">
        <v>11.8</v>
      </c>
      <c r="L266" s="13">
        <v>2</v>
      </c>
      <c r="M266" s="13">
        <v>1.4</v>
      </c>
      <c r="P266" s="12" t="s">
        <v>14</v>
      </c>
      <c r="Q266" s="12"/>
      <c r="R266" s="12"/>
      <c r="T266">
        <f t="shared" si="8"/>
        <v>1.0900000000000001</v>
      </c>
      <c r="U266">
        <f t="shared" si="9"/>
        <v>11.8</v>
      </c>
    </row>
    <row r="267" spans="1:21">
      <c r="A267" s="12">
        <v>30</v>
      </c>
      <c r="B267" s="12">
        <v>-10</v>
      </c>
      <c r="C267" s="11">
        <v>39.01488078418457</v>
      </c>
      <c r="D267" s="11">
        <v>-2.2019784476682034</v>
      </c>
      <c r="E267" s="11"/>
      <c r="F267" s="12">
        <v>446</v>
      </c>
      <c r="G267" s="12" t="s">
        <v>13</v>
      </c>
      <c r="H267" s="13"/>
      <c r="I267" s="14">
        <v>1.0900000000000001</v>
      </c>
      <c r="J267" s="14"/>
      <c r="K267" s="14">
        <v>13.3</v>
      </c>
      <c r="L267" s="13">
        <v>2</v>
      </c>
      <c r="M267" s="13">
        <v>1.1000000000000001</v>
      </c>
      <c r="P267" s="12" t="s">
        <v>14</v>
      </c>
      <c r="Q267" s="12"/>
      <c r="R267" s="12"/>
      <c r="T267">
        <f t="shared" si="8"/>
        <v>1.0900000000000001</v>
      </c>
      <c r="U267">
        <f t="shared" si="9"/>
        <v>13.3</v>
      </c>
    </row>
    <row r="268" spans="1:21">
      <c r="A268" s="12">
        <v>30</v>
      </c>
      <c r="B268" s="12">
        <v>0</v>
      </c>
      <c r="C268" s="11">
        <v>30.958879013021043</v>
      </c>
      <c r="D268" s="11">
        <v>1.4622266506827504</v>
      </c>
      <c r="E268" s="11"/>
      <c r="F268" s="12">
        <v>260</v>
      </c>
      <c r="G268" s="12" t="s">
        <v>11</v>
      </c>
      <c r="H268" s="13"/>
      <c r="I268" s="14">
        <v>1.1000000000000001</v>
      </c>
      <c r="J268" s="14" t="s">
        <v>70</v>
      </c>
      <c r="K268" s="14"/>
      <c r="L268" s="13">
        <v>2.1</v>
      </c>
      <c r="M268" s="13"/>
      <c r="P268" s="12" t="s">
        <v>12</v>
      </c>
      <c r="Q268" s="12"/>
      <c r="R268" s="12"/>
      <c r="T268">
        <f t="shared" si="8"/>
        <v>1.1000000000000001</v>
      </c>
      <c r="U268" t="str">
        <f t="shared" si="9"/>
        <v>dead</v>
      </c>
    </row>
    <row r="269" spans="1:21">
      <c r="A269" s="12">
        <v>20</v>
      </c>
      <c r="B269" s="12">
        <v>-30</v>
      </c>
      <c r="C269" s="11">
        <v>20.689156705470445</v>
      </c>
      <c r="D269" s="11">
        <v>-23.025276374930733</v>
      </c>
      <c r="E269" s="11"/>
      <c r="F269" s="12">
        <v>632</v>
      </c>
      <c r="G269" s="12" t="s">
        <v>11</v>
      </c>
      <c r="H269" s="13"/>
      <c r="I269" s="14">
        <v>1.1000000000000001</v>
      </c>
      <c r="J269" s="14"/>
      <c r="K269" s="14">
        <v>15.1</v>
      </c>
      <c r="L269" s="13">
        <v>2.2999999999999998</v>
      </c>
      <c r="M269" s="13">
        <v>0.3</v>
      </c>
      <c r="P269" s="12" t="s">
        <v>14</v>
      </c>
      <c r="Q269" s="12"/>
      <c r="R269" s="12"/>
      <c r="T269">
        <f t="shared" si="8"/>
        <v>1.1000000000000001</v>
      </c>
      <c r="U269">
        <f t="shared" si="9"/>
        <v>15.1</v>
      </c>
    </row>
    <row r="270" spans="1:21">
      <c r="A270" s="12">
        <v>30</v>
      </c>
      <c r="B270" s="12">
        <v>-10</v>
      </c>
      <c r="C270" s="11">
        <v>36.140434147170858</v>
      </c>
      <c r="D270" s="11">
        <v>-1.9804145102333841</v>
      </c>
      <c r="E270" s="11"/>
      <c r="F270" s="12">
        <v>434</v>
      </c>
      <c r="G270" s="12" t="s">
        <v>13</v>
      </c>
      <c r="H270" s="13"/>
      <c r="I270" s="14">
        <v>1.1299999999999999</v>
      </c>
      <c r="J270" s="14"/>
      <c r="K270" s="14">
        <v>15.5</v>
      </c>
      <c r="L270" s="13">
        <v>2.7</v>
      </c>
      <c r="M270" s="13">
        <v>0.6</v>
      </c>
      <c r="P270" s="12" t="s">
        <v>14</v>
      </c>
      <c r="Q270" s="12"/>
      <c r="R270" s="12"/>
      <c r="T270">
        <f t="shared" si="8"/>
        <v>1.1299999999999999</v>
      </c>
      <c r="U270">
        <f t="shared" si="9"/>
        <v>15.5</v>
      </c>
    </row>
    <row r="271" spans="1:21">
      <c r="A271" s="12">
        <v>20</v>
      </c>
      <c r="B271" s="12">
        <v>10</v>
      </c>
      <c r="C271" s="11">
        <v>22.650337940557488</v>
      </c>
      <c r="D271" s="11">
        <v>15.505115568767668</v>
      </c>
      <c r="E271" s="11"/>
      <c r="F271" s="10">
        <v>157</v>
      </c>
      <c r="G271" s="12" t="s">
        <v>11</v>
      </c>
      <c r="H271" s="13"/>
      <c r="I271" s="14">
        <v>1.1499999999999999</v>
      </c>
      <c r="J271" s="14"/>
      <c r="K271" s="14">
        <v>21.8</v>
      </c>
      <c r="L271" s="13">
        <v>1.4</v>
      </c>
      <c r="M271" s="13">
        <v>0.1</v>
      </c>
      <c r="P271" s="12" t="s">
        <v>14</v>
      </c>
      <c r="Q271" s="12"/>
      <c r="R271" s="12"/>
      <c r="T271">
        <f t="shared" si="8"/>
        <v>1.1499999999999999</v>
      </c>
      <c r="U271">
        <f t="shared" si="9"/>
        <v>21.8</v>
      </c>
    </row>
    <row r="272" spans="1:21">
      <c r="A272" s="12">
        <v>30</v>
      </c>
      <c r="B272" s="12">
        <v>-30</v>
      </c>
      <c r="C272" s="11">
        <v>30.787315303096907</v>
      </c>
      <c r="D272" s="11">
        <v>-27.247360527358179</v>
      </c>
      <c r="E272" s="11"/>
      <c r="F272" s="12">
        <v>668</v>
      </c>
      <c r="G272" s="12" t="s">
        <v>21</v>
      </c>
      <c r="H272" s="13"/>
      <c r="I272" s="14">
        <v>1.1499999999999999</v>
      </c>
      <c r="J272" s="14"/>
      <c r="K272" s="14">
        <v>13.6</v>
      </c>
      <c r="L272" s="13">
        <v>2.9</v>
      </c>
      <c r="M272" s="13">
        <v>0.5</v>
      </c>
      <c r="P272" s="12" t="s">
        <v>14</v>
      </c>
      <c r="Q272" s="12"/>
      <c r="R272" s="12"/>
      <c r="T272">
        <f t="shared" si="8"/>
        <v>1.1499999999999999</v>
      </c>
      <c r="U272">
        <f t="shared" si="9"/>
        <v>13.6</v>
      </c>
    </row>
    <row r="273" spans="1:21">
      <c r="A273" s="9">
        <v>0</v>
      </c>
      <c r="B273" s="12">
        <v>20</v>
      </c>
      <c r="C273" s="11">
        <v>0.56912983370203873</v>
      </c>
      <c r="D273" s="11">
        <v>24.635190528164973</v>
      </c>
      <c r="E273" s="11"/>
      <c r="F273" s="12">
        <v>28</v>
      </c>
      <c r="G273" s="12" t="s">
        <v>11</v>
      </c>
      <c r="H273" s="13"/>
      <c r="I273" s="14">
        <v>1.18</v>
      </c>
      <c r="J273" s="14" t="s">
        <v>70</v>
      </c>
      <c r="K273" s="14"/>
      <c r="L273" s="13">
        <v>2.2000000000000002</v>
      </c>
      <c r="M273" s="13"/>
      <c r="P273" s="12" t="s">
        <v>12</v>
      </c>
      <c r="Q273" s="12"/>
      <c r="R273" s="12"/>
      <c r="T273">
        <f t="shared" si="8"/>
        <v>1.18</v>
      </c>
      <c r="U273" t="str">
        <f t="shared" si="9"/>
        <v>dead</v>
      </c>
    </row>
    <row r="274" spans="1:21">
      <c r="A274" s="12">
        <v>30</v>
      </c>
      <c r="B274" s="12">
        <v>-10</v>
      </c>
      <c r="C274" s="11">
        <v>36.376280380840498</v>
      </c>
      <c r="D274" s="11">
        <v>-1.9368581730371055</v>
      </c>
      <c r="E274" s="11"/>
      <c r="F274" s="12">
        <v>436</v>
      </c>
      <c r="G274" s="12" t="s">
        <v>13</v>
      </c>
      <c r="H274" s="13"/>
      <c r="I274" s="14">
        <v>1.18</v>
      </c>
      <c r="J274" s="14"/>
      <c r="K274" s="14">
        <v>23.1</v>
      </c>
      <c r="L274" s="13">
        <v>3.2</v>
      </c>
      <c r="M274" s="13">
        <v>1</v>
      </c>
      <c r="P274" s="12" t="s">
        <v>14</v>
      </c>
      <c r="Q274" s="12"/>
      <c r="R274" s="12"/>
      <c r="T274">
        <f t="shared" si="8"/>
        <v>1.18</v>
      </c>
      <c r="U274">
        <f t="shared" si="9"/>
        <v>23.1</v>
      </c>
    </row>
    <row r="275" spans="1:21">
      <c r="A275" s="12">
        <v>10</v>
      </c>
      <c r="B275" s="12">
        <v>20</v>
      </c>
      <c r="C275" s="11">
        <v>18.750671087244616</v>
      </c>
      <c r="D275" s="11">
        <v>23.475231471135253</v>
      </c>
      <c r="E275" s="11"/>
      <c r="F275" s="10">
        <v>101</v>
      </c>
      <c r="G275" s="12" t="s">
        <v>11</v>
      </c>
      <c r="H275" s="13"/>
      <c r="I275" s="14">
        <v>1.19</v>
      </c>
      <c r="J275" s="14" t="s">
        <v>70</v>
      </c>
      <c r="K275" s="14"/>
      <c r="L275" s="13">
        <v>2.1</v>
      </c>
      <c r="M275" s="13"/>
      <c r="P275" s="12" t="s">
        <v>12</v>
      </c>
      <c r="Q275" s="12"/>
      <c r="R275" s="12"/>
      <c r="T275">
        <f t="shared" si="8"/>
        <v>1.19</v>
      </c>
      <c r="U275" t="str">
        <f t="shared" si="9"/>
        <v>dead</v>
      </c>
    </row>
    <row r="276" spans="1:21">
      <c r="A276" s="12">
        <v>40</v>
      </c>
      <c r="B276" s="12">
        <v>20</v>
      </c>
      <c r="C276" s="11">
        <v>42.296976774514143</v>
      </c>
      <c r="D276" s="11">
        <v>29.435802149635169</v>
      </c>
      <c r="E276" s="11"/>
      <c r="F276" s="10">
        <v>295</v>
      </c>
      <c r="G276" s="12" t="s">
        <v>13</v>
      </c>
      <c r="H276" s="13"/>
      <c r="I276" s="14">
        <v>1.22</v>
      </c>
      <c r="J276" s="14"/>
      <c r="K276" s="14">
        <v>13.6</v>
      </c>
      <c r="L276" s="13">
        <v>2.1</v>
      </c>
      <c r="M276" s="13">
        <v>1</v>
      </c>
      <c r="P276" s="12" t="s">
        <v>14</v>
      </c>
      <c r="Q276" s="12"/>
      <c r="R276" s="12"/>
      <c r="T276">
        <f t="shared" si="8"/>
        <v>1.22</v>
      </c>
      <c r="U276">
        <f t="shared" si="9"/>
        <v>13.6</v>
      </c>
    </row>
    <row r="277" spans="1:21">
      <c r="A277" s="12">
        <v>40</v>
      </c>
      <c r="B277" s="12">
        <v>40</v>
      </c>
      <c r="C277" s="11">
        <v>41.347856998834331</v>
      </c>
      <c r="D277" s="11">
        <v>45.661803730912965</v>
      </c>
      <c r="E277" s="11"/>
      <c r="F277" s="12">
        <v>360</v>
      </c>
      <c r="G277" s="12" t="s">
        <v>13</v>
      </c>
      <c r="H277" s="13"/>
      <c r="I277" s="14">
        <v>1.22</v>
      </c>
      <c r="J277" s="14">
        <v>5.3</v>
      </c>
      <c r="K277" s="14"/>
      <c r="L277" s="13">
        <v>2.8</v>
      </c>
      <c r="M277" s="13">
        <v>0.4</v>
      </c>
      <c r="P277" s="12" t="s">
        <v>14</v>
      </c>
      <c r="Q277" s="12"/>
      <c r="R277" s="12"/>
      <c r="T277">
        <f t="shared" si="8"/>
        <v>1.22</v>
      </c>
      <c r="U277">
        <f t="shared" si="9"/>
        <v>1.6870423967740906</v>
      </c>
    </row>
    <row r="278" spans="1:21">
      <c r="A278" s="12">
        <v>30</v>
      </c>
      <c r="B278" s="12">
        <v>-10</v>
      </c>
      <c r="C278" s="11">
        <v>36.357692293398046</v>
      </c>
      <c r="D278" s="11">
        <v>-1.8575191390812584</v>
      </c>
      <c r="E278" s="11"/>
      <c r="F278" s="10">
        <v>437</v>
      </c>
      <c r="G278" s="12" t="s">
        <v>13</v>
      </c>
      <c r="H278" s="13"/>
      <c r="I278" s="14">
        <v>1.22</v>
      </c>
      <c r="J278" s="14"/>
      <c r="K278" s="14">
        <v>16.100000000000001</v>
      </c>
      <c r="L278" s="13">
        <v>3.1</v>
      </c>
      <c r="M278" s="13">
        <v>0.8</v>
      </c>
      <c r="P278" s="12" t="s">
        <v>14</v>
      </c>
      <c r="Q278" s="12"/>
      <c r="R278" s="12"/>
      <c r="T278">
        <f t="shared" si="8"/>
        <v>1.22</v>
      </c>
      <c r="U278">
        <f t="shared" si="9"/>
        <v>16.100000000000001</v>
      </c>
    </row>
    <row r="279" spans="1:21">
      <c r="A279" s="12">
        <v>40</v>
      </c>
      <c r="B279" s="12">
        <v>-10</v>
      </c>
      <c r="C279" s="11">
        <v>43.511176741472546</v>
      </c>
      <c r="D279" s="11">
        <v>-9.4124305231359866</v>
      </c>
      <c r="E279" s="11"/>
      <c r="F279" s="10">
        <v>449</v>
      </c>
      <c r="G279" s="12" t="s">
        <v>13</v>
      </c>
      <c r="H279" s="13"/>
      <c r="I279" s="14">
        <v>1.22</v>
      </c>
      <c r="J279" s="14"/>
      <c r="K279" s="14">
        <v>12.1</v>
      </c>
      <c r="L279" s="13">
        <v>1.8</v>
      </c>
      <c r="M279" s="13">
        <v>1.6</v>
      </c>
      <c r="P279" s="12" t="s">
        <v>14</v>
      </c>
      <c r="Q279" s="12"/>
      <c r="R279" s="12"/>
      <c r="T279">
        <f t="shared" si="8"/>
        <v>1.22</v>
      </c>
      <c r="U279">
        <f t="shared" si="9"/>
        <v>12.1</v>
      </c>
    </row>
    <row r="280" spans="1:21">
      <c r="A280" s="12">
        <v>0</v>
      </c>
      <c r="B280" s="12">
        <v>-20</v>
      </c>
      <c r="C280" s="11">
        <v>4.283786838883505</v>
      </c>
      <c r="D280" s="11">
        <v>-18.299684952997218</v>
      </c>
      <c r="E280" s="11"/>
      <c r="F280" s="10">
        <v>583</v>
      </c>
      <c r="G280" s="12" t="s">
        <v>11</v>
      </c>
      <c r="H280" s="13"/>
      <c r="I280" s="14">
        <v>1.22</v>
      </c>
      <c r="J280" s="14" t="s">
        <v>70</v>
      </c>
      <c r="K280" s="14"/>
      <c r="L280" s="13">
        <v>2.2000000000000002</v>
      </c>
      <c r="M280" s="13"/>
      <c r="P280" s="12" t="s">
        <v>12</v>
      </c>
      <c r="Q280" s="12"/>
      <c r="R280" s="12"/>
      <c r="T280">
        <f t="shared" si="8"/>
        <v>1.22</v>
      </c>
      <c r="U280" t="str">
        <f t="shared" si="9"/>
        <v>dead</v>
      </c>
    </row>
    <row r="281" spans="1:21">
      <c r="A281" s="12">
        <v>40</v>
      </c>
      <c r="B281" s="12">
        <v>20</v>
      </c>
      <c r="C281" s="11">
        <v>42.033215261247165</v>
      </c>
      <c r="D281" s="11">
        <v>29.849072569358412</v>
      </c>
      <c r="E281" s="11"/>
      <c r="F281" s="10">
        <v>315</v>
      </c>
      <c r="G281" s="12" t="s">
        <v>13</v>
      </c>
      <c r="H281" s="13"/>
      <c r="I281" s="14">
        <v>1.23</v>
      </c>
      <c r="J281" s="14" t="s">
        <v>70</v>
      </c>
      <c r="K281" s="14"/>
      <c r="L281" s="13">
        <v>1.5</v>
      </c>
      <c r="M281" s="13"/>
      <c r="P281" s="12" t="s">
        <v>12</v>
      </c>
      <c r="Q281" s="12"/>
      <c r="R281" s="12" t="s">
        <v>16</v>
      </c>
      <c r="T281">
        <f t="shared" si="8"/>
        <v>1.23</v>
      </c>
      <c r="U281" t="str">
        <f t="shared" si="9"/>
        <v>dead</v>
      </c>
    </row>
    <row r="282" spans="1:21">
      <c r="A282" s="12">
        <v>10</v>
      </c>
      <c r="B282" s="12">
        <v>20</v>
      </c>
      <c r="C282" s="11">
        <v>19.395037262242923</v>
      </c>
      <c r="D282" s="11">
        <v>28.232704877268993</v>
      </c>
      <c r="E282" s="11"/>
      <c r="F282" s="12">
        <v>96</v>
      </c>
      <c r="G282" s="12" t="s">
        <v>13</v>
      </c>
      <c r="H282" s="13"/>
      <c r="I282" s="14">
        <v>1.24</v>
      </c>
      <c r="J282" s="14"/>
      <c r="K282" s="14">
        <v>19.3</v>
      </c>
      <c r="L282" s="13">
        <v>3.3</v>
      </c>
      <c r="M282" s="13">
        <v>0.5</v>
      </c>
      <c r="P282" s="12" t="s">
        <v>14</v>
      </c>
      <c r="Q282" s="12"/>
      <c r="R282" s="12"/>
      <c r="T282">
        <f t="shared" si="8"/>
        <v>1.24</v>
      </c>
      <c r="U282">
        <f t="shared" si="9"/>
        <v>19.3</v>
      </c>
    </row>
    <row r="283" spans="1:21">
      <c r="A283" s="12">
        <v>40</v>
      </c>
      <c r="B283" s="12">
        <v>20</v>
      </c>
      <c r="C283" s="11">
        <v>42.314959564929261</v>
      </c>
      <c r="D283" s="11">
        <v>29.279987657004579</v>
      </c>
      <c r="E283" s="11"/>
      <c r="F283" s="10">
        <v>291</v>
      </c>
      <c r="G283" s="12" t="s">
        <v>13</v>
      </c>
      <c r="H283" s="13"/>
      <c r="I283" s="14">
        <v>1.24</v>
      </c>
      <c r="J283" s="14"/>
      <c r="K283" s="14">
        <v>5.5</v>
      </c>
      <c r="L283" s="13">
        <v>3.4</v>
      </c>
      <c r="M283" s="13">
        <v>1</v>
      </c>
      <c r="P283" s="12" t="s">
        <v>14</v>
      </c>
      <c r="Q283" s="12"/>
      <c r="R283" s="12"/>
      <c r="T283">
        <f t="shared" si="8"/>
        <v>1.24</v>
      </c>
      <c r="U283">
        <f t="shared" si="9"/>
        <v>5.5</v>
      </c>
    </row>
    <row r="284" spans="1:21">
      <c r="A284" s="12">
        <v>20</v>
      </c>
      <c r="B284" s="12">
        <v>-20</v>
      </c>
      <c r="C284" s="11">
        <v>29.815354348993672</v>
      </c>
      <c r="D284" s="11">
        <v>-13.113758655297145</v>
      </c>
      <c r="E284" s="11"/>
      <c r="F284" s="10">
        <v>539</v>
      </c>
      <c r="G284" s="12" t="s">
        <v>13</v>
      </c>
      <c r="H284" s="13"/>
      <c r="I284" s="14">
        <v>1.25</v>
      </c>
      <c r="J284" s="14"/>
      <c r="K284" s="14">
        <v>13.4</v>
      </c>
      <c r="L284" s="13">
        <v>2.2999999999999998</v>
      </c>
      <c r="M284" s="13">
        <v>1.3</v>
      </c>
      <c r="P284" s="12" t="s">
        <v>14</v>
      </c>
      <c r="Q284" s="12"/>
      <c r="R284" s="12"/>
      <c r="T284">
        <f t="shared" si="8"/>
        <v>1.25</v>
      </c>
      <c r="U284">
        <f t="shared" si="9"/>
        <v>13.4</v>
      </c>
    </row>
    <row r="285" spans="1:21">
      <c r="A285" s="12">
        <v>40</v>
      </c>
      <c r="B285" s="12">
        <v>0</v>
      </c>
      <c r="C285" s="11">
        <v>40.044069004266788</v>
      </c>
      <c r="D285" s="11">
        <v>4.9501922885259351</v>
      </c>
      <c r="E285" s="11"/>
      <c r="F285" s="10">
        <v>263</v>
      </c>
      <c r="G285" s="12" t="s">
        <v>13</v>
      </c>
      <c r="H285" s="13"/>
      <c r="I285" s="14">
        <v>1.26</v>
      </c>
      <c r="J285" s="14" t="s">
        <v>70</v>
      </c>
      <c r="K285" s="14"/>
      <c r="L285" s="13">
        <v>2.5</v>
      </c>
      <c r="M285" s="13"/>
      <c r="P285" s="12" t="s">
        <v>12</v>
      </c>
      <c r="Q285" s="12"/>
      <c r="R285" s="12"/>
      <c r="T285">
        <f t="shared" si="8"/>
        <v>1.26</v>
      </c>
      <c r="U285" t="str">
        <f t="shared" si="9"/>
        <v>dead</v>
      </c>
    </row>
    <row r="286" spans="1:21">
      <c r="A286" s="12">
        <v>30</v>
      </c>
      <c r="B286" s="12">
        <v>-30</v>
      </c>
      <c r="C286" s="11">
        <v>32.172249041042093</v>
      </c>
      <c r="D286" s="11">
        <v>-27.886300406635019</v>
      </c>
      <c r="E286" s="11"/>
      <c r="F286" s="12">
        <v>670</v>
      </c>
      <c r="G286" s="12" t="s">
        <v>11</v>
      </c>
      <c r="H286" s="13"/>
      <c r="I286" s="14">
        <v>1.26</v>
      </c>
      <c r="J286" s="14" t="s">
        <v>70</v>
      </c>
      <c r="K286" s="14"/>
      <c r="L286" s="13">
        <v>2.5</v>
      </c>
      <c r="M286" s="13"/>
      <c r="P286" s="12" t="s">
        <v>12</v>
      </c>
      <c r="Q286" s="12"/>
      <c r="R286" s="12"/>
      <c r="T286">
        <f t="shared" si="8"/>
        <v>1.26</v>
      </c>
      <c r="U286" t="str">
        <f t="shared" si="9"/>
        <v>dead</v>
      </c>
    </row>
    <row r="287" spans="1:21">
      <c r="A287" s="12">
        <v>20</v>
      </c>
      <c r="B287" s="12">
        <v>30</v>
      </c>
      <c r="C287" s="11">
        <v>20.548209621882769</v>
      </c>
      <c r="D287" s="11">
        <v>33.73393534900292</v>
      </c>
      <c r="E287" s="11"/>
      <c r="F287" s="10">
        <v>175</v>
      </c>
      <c r="G287" s="12" t="s">
        <v>13</v>
      </c>
      <c r="H287" s="13"/>
      <c r="I287" s="14">
        <v>1.27</v>
      </c>
      <c r="J287" s="14">
        <v>6.3</v>
      </c>
      <c r="K287" s="14"/>
      <c r="L287" s="13">
        <v>2.8</v>
      </c>
      <c r="M287" s="13">
        <v>0.8</v>
      </c>
      <c r="P287" s="12" t="s">
        <v>14</v>
      </c>
      <c r="Q287" s="12"/>
      <c r="R287" s="12"/>
      <c r="T287">
        <f t="shared" si="8"/>
        <v>1.27</v>
      </c>
      <c r="U287">
        <f t="shared" si="9"/>
        <v>2.0053522829578814</v>
      </c>
    </row>
    <row r="288" spans="1:21">
      <c r="A288" s="12">
        <v>30</v>
      </c>
      <c r="B288" s="12">
        <v>-20</v>
      </c>
      <c r="C288" s="11">
        <v>35.246860320498655</v>
      </c>
      <c r="D288" s="11">
        <v>-17.046819366717855</v>
      </c>
      <c r="E288" s="11"/>
      <c r="F288" s="10">
        <v>523</v>
      </c>
      <c r="G288" s="12" t="s">
        <v>21</v>
      </c>
      <c r="H288" s="13"/>
      <c r="I288" s="14">
        <v>1.27</v>
      </c>
      <c r="J288" s="14"/>
      <c r="K288" s="14">
        <v>1.92</v>
      </c>
      <c r="L288" s="13">
        <v>3.1</v>
      </c>
      <c r="M288" s="13">
        <v>0.6</v>
      </c>
      <c r="P288" s="12" t="s">
        <v>14</v>
      </c>
      <c r="Q288" s="12"/>
      <c r="R288" s="12"/>
      <c r="T288">
        <f t="shared" si="8"/>
        <v>1.27</v>
      </c>
      <c r="U288">
        <f t="shared" si="9"/>
        <v>1.92</v>
      </c>
    </row>
    <row r="289" spans="1:21">
      <c r="A289" s="12">
        <v>0</v>
      </c>
      <c r="B289" s="12">
        <v>-30</v>
      </c>
      <c r="C289" s="11">
        <v>9.309286328818267</v>
      </c>
      <c r="D289" s="11">
        <v>-23.147976576191382</v>
      </c>
      <c r="E289" s="11"/>
      <c r="F289" s="10">
        <v>609</v>
      </c>
      <c r="G289" s="12" t="s">
        <v>13</v>
      </c>
      <c r="H289" s="13"/>
      <c r="I289" s="14">
        <v>1.27</v>
      </c>
      <c r="J289" s="14"/>
      <c r="K289" s="14">
        <v>16.3</v>
      </c>
      <c r="L289" s="13">
        <v>2.2999999999999998</v>
      </c>
      <c r="M289" s="13">
        <v>1.7</v>
      </c>
      <c r="P289" s="12" t="s">
        <v>14</v>
      </c>
      <c r="Q289" s="12"/>
      <c r="R289" s="12"/>
      <c r="T289">
        <f t="shared" si="8"/>
        <v>1.27</v>
      </c>
      <c r="U289">
        <f t="shared" si="9"/>
        <v>16.3</v>
      </c>
    </row>
    <row r="290" spans="1:21">
      <c r="A290" s="12">
        <v>20</v>
      </c>
      <c r="B290" s="12">
        <v>30</v>
      </c>
      <c r="C290" s="11">
        <v>24.676352046017037</v>
      </c>
      <c r="D290" s="11">
        <v>39.225834938974714</v>
      </c>
      <c r="E290" s="11"/>
      <c r="F290" s="10">
        <v>129</v>
      </c>
      <c r="G290" s="12" t="s">
        <v>11</v>
      </c>
      <c r="H290" s="13"/>
      <c r="I290" s="14">
        <v>1.28</v>
      </c>
      <c r="J290" s="14">
        <v>7</v>
      </c>
      <c r="K290" s="14"/>
      <c r="L290" s="13">
        <v>2.5</v>
      </c>
      <c r="M290" s="13">
        <v>0.2</v>
      </c>
      <c r="P290" s="12" t="s">
        <v>14</v>
      </c>
      <c r="Q290" s="12"/>
      <c r="R290" s="12"/>
      <c r="T290">
        <f t="shared" si="8"/>
        <v>1.28</v>
      </c>
      <c r="U290">
        <f t="shared" si="9"/>
        <v>2.228169203286535</v>
      </c>
    </row>
    <row r="291" spans="1:21">
      <c r="A291" s="12">
        <v>40</v>
      </c>
      <c r="B291" s="12">
        <v>30</v>
      </c>
      <c r="C291" s="11">
        <v>48.785431380698043</v>
      </c>
      <c r="D291" s="11">
        <v>31.465996070483271</v>
      </c>
      <c r="E291" s="11"/>
      <c r="F291" s="12">
        <v>336</v>
      </c>
      <c r="G291" s="12" t="s">
        <v>30</v>
      </c>
      <c r="H291" s="13"/>
      <c r="I291" s="14">
        <v>1.28</v>
      </c>
      <c r="J291" s="14"/>
      <c r="K291" s="14">
        <v>17.100000000000001</v>
      </c>
      <c r="L291" s="13">
        <v>2.1</v>
      </c>
      <c r="M291" s="13">
        <v>1</v>
      </c>
      <c r="P291" s="12" t="s">
        <v>14</v>
      </c>
      <c r="Q291" s="12"/>
      <c r="R291" s="12"/>
      <c r="T291">
        <f t="shared" si="8"/>
        <v>1.28</v>
      </c>
      <c r="U291">
        <f t="shared" si="9"/>
        <v>17.100000000000001</v>
      </c>
    </row>
    <row r="292" spans="1:21">
      <c r="A292" s="12">
        <v>40</v>
      </c>
      <c r="B292" s="12">
        <v>20</v>
      </c>
      <c r="C292" s="11">
        <v>41.994523250760842</v>
      </c>
      <c r="D292" s="11">
        <v>29.817403525727038</v>
      </c>
      <c r="E292" s="11"/>
      <c r="F292" s="10">
        <v>313</v>
      </c>
      <c r="G292" s="12" t="s">
        <v>13</v>
      </c>
      <c r="H292" s="13"/>
      <c r="I292" s="14">
        <v>1.3</v>
      </c>
      <c r="J292" s="14">
        <v>6</v>
      </c>
      <c r="K292" s="14"/>
      <c r="L292" s="13">
        <v>3.1</v>
      </c>
      <c r="M292" s="13">
        <v>0.8</v>
      </c>
      <c r="P292" s="12" t="s">
        <v>14</v>
      </c>
      <c r="Q292" s="12"/>
      <c r="R292" s="12"/>
      <c r="T292">
        <f t="shared" si="8"/>
        <v>1.3</v>
      </c>
      <c r="U292">
        <f t="shared" si="9"/>
        <v>1.909859317102744</v>
      </c>
    </row>
    <row r="293" spans="1:21">
      <c r="A293" s="12">
        <v>30</v>
      </c>
      <c r="B293" s="12">
        <v>-20</v>
      </c>
      <c r="C293" s="11">
        <v>30.272031637104213</v>
      </c>
      <c r="D293" s="11">
        <v>-12.789450040868029</v>
      </c>
      <c r="E293" s="11"/>
      <c r="F293" s="10">
        <v>531</v>
      </c>
      <c r="G293" s="12" t="s">
        <v>13</v>
      </c>
      <c r="H293" s="13"/>
      <c r="I293" s="14">
        <v>1.3</v>
      </c>
      <c r="J293" s="14"/>
      <c r="K293" s="14">
        <v>14.8</v>
      </c>
      <c r="L293" s="13">
        <v>2.7</v>
      </c>
      <c r="M293" s="13">
        <v>1.4</v>
      </c>
      <c r="P293" s="12" t="s">
        <v>14</v>
      </c>
      <c r="Q293" s="12"/>
      <c r="R293" s="12"/>
      <c r="T293">
        <f t="shared" si="8"/>
        <v>1.3</v>
      </c>
      <c r="U293">
        <f t="shared" si="9"/>
        <v>14.8</v>
      </c>
    </row>
    <row r="294" spans="1:21">
      <c r="A294" s="12">
        <v>0</v>
      </c>
      <c r="B294" s="12">
        <v>-20</v>
      </c>
      <c r="C294" s="11">
        <v>0.82101434437614929</v>
      </c>
      <c r="D294" s="11">
        <v>-14.108775419310309</v>
      </c>
      <c r="E294" s="11"/>
      <c r="F294" s="10">
        <v>589</v>
      </c>
      <c r="G294" s="12" t="s">
        <v>11</v>
      </c>
      <c r="H294" s="13"/>
      <c r="I294" s="14">
        <v>1.3</v>
      </c>
      <c r="J294" s="14"/>
      <c r="K294" s="14">
        <v>20.5</v>
      </c>
      <c r="L294" s="13">
        <v>1.9</v>
      </c>
      <c r="M294" s="13">
        <v>0.2</v>
      </c>
      <c r="P294" s="12" t="s">
        <v>14</v>
      </c>
      <c r="Q294" s="12"/>
      <c r="R294" s="12"/>
      <c r="S294" t="s">
        <v>104</v>
      </c>
      <c r="T294">
        <f t="shared" si="8"/>
        <v>1.3</v>
      </c>
      <c r="U294">
        <f t="shared" si="9"/>
        <v>20.5</v>
      </c>
    </row>
    <row r="295" spans="1:21">
      <c r="A295" s="12">
        <v>20</v>
      </c>
      <c r="B295" s="12">
        <v>40</v>
      </c>
      <c r="C295" s="11">
        <v>25.933414994968828</v>
      </c>
      <c r="D295" s="11">
        <v>46.753864560196561</v>
      </c>
      <c r="E295" s="11"/>
      <c r="F295" s="12">
        <v>190</v>
      </c>
      <c r="G295" s="12" t="s">
        <v>13</v>
      </c>
      <c r="H295" s="13"/>
      <c r="I295" s="14">
        <v>1.31</v>
      </c>
      <c r="J295" s="14"/>
      <c r="K295" s="14">
        <v>14.3</v>
      </c>
      <c r="L295" s="13">
        <v>1.8</v>
      </c>
      <c r="M295" s="13">
        <v>1.1000000000000001</v>
      </c>
      <c r="P295" s="12" t="s">
        <v>14</v>
      </c>
      <c r="Q295" s="12"/>
      <c r="R295" s="12"/>
      <c r="T295">
        <f t="shared" si="8"/>
        <v>1.31</v>
      </c>
      <c r="U295">
        <f t="shared" si="9"/>
        <v>14.3</v>
      </c>
    </row>
    <row r="296" spans="1:21">
      <c r="A296" s="12">
        <v>40</v>
      </c>
      <c r="B296" s="12">
        <v>20</v>
      </c>
      <c r="C296" s="11">
        <v>42.537382672775671</v>
      </c>
      <c r="D296" s="11">
        <v>29.97268447893466</v>
      </c>
      <c r="E296" s="11"/>
      <c r="F296" s="10">
        <v>301</v>
      </c>
      <c r="G296" s="12" t="s">
        <v>13</v>
      </c>
      <c r="H296" s="13"/>
      <c r="I296" s="14">
        <v>1.31</v>
      </c>
      <c r="J296" s="14">
        <v>6</v>
      </c>
      <c r="K296" s="14"/>
      <c r="L296" s="13">
        <v>3.1</v>
      </c>
      <c r="M296" s="13">
        <v>1</v>
      </c>
      <c r="P296" s="12" t="s">
        <v>14</v>
      </c>
      <c r="Q296" s="12"/>
      <c r="R296" s="12"/>
      <c r="T296">
        <f t="shared" si="8"/>
        <v>1.31</v>
      </c>
      <c r="U296">
        <f t="shared" si="9"/>
        <v>1.909859317102744</v>
      </c>
    </row>
    <row r="297" spans="1:21">
      <c r="A297" s="9">
        <v>0</v>
      </c>
      <c r="B297" s="12">
        <v>20</v>
      </c>
      <c r="C297" s="11">
        <v>3.8226077947344206</v>
      </c>
      <c r="D297" s="11">
        <v>29.704255234052518</v>
      </c>
      <c r="E297" s="11"/>
      <c r="F297" s="10">
        <v>45</v>
      </c>
      <c r="G297" s="12" t="s">
        <v>11</v>
      </c>
      <c r="H297" s="13"/>
      <c r="I297" s="14">
        <v>1.32</v>
      </c>
      <c r="J297" s="14">
        <v>8.3000000000000007</v>
      </c>
      <c r="K297" s="14"/>
      <c r="L297" s="13">
        <v>2.1</v>
      </c>
      <c r="M297" s="13">
        <v>0.2</v>
      </c>
      <c r="P297" s="12" t="s">
        <v>14</v>
      </c>
      <c r="Q297" s="12"/>
      <c r="R297" s="12"/>
      <c r="T297">
        <f t="shared" si="8"/>
        <v>1.32</v>
      </c>
      <c r="U297">
        <f t="shared" si="9"/>
        <v>2.6419720553254629</v>
      </c>
    </row>
    <row r="298" spans="1:21">
      <c r="A298" s="12">
        <v>40</v>
      </c>
      <c r="B298" s="12">
        <v>30</v>
      </c>
      <c r="C298" s="11">
        <v>43.446618132143705</v>
      </c>
      <c r="D298" s="11">
        <v>36.456599642426447</v>
      </c>
      <c r="E298" s="11"/>
      <c r="F298" s="12">
        <v>344</v>
      </c>
      <c r="G298" s="12" t="s">
        <v>11</v>
      </c>
      <c r="H298" s="13"/>
      <c r="I298" s="14">
        <v>1.32</v>
      </c>
      <c r="J298" s="14">
        <v>7.4</v>
      </c>
      <c r="K298" s="14"/>
      <c r="L298" s="13">
        <v>2.6</v>
      </c>
      <c r="M298" s="13">
        <v>0.3</v>
      </c>
      <c r="P298" s="12" t="s">
        <v>14</v>
      </c>
      <c r="Q298" s="12"/>
      <c r="R298" s="12"/>
      <c r="T298">
        <f t="shared" si="8"/>
        <v>1.32</v>
      </c>
      <c r="U298">
        <f t="shared" si="9"/>
        <v>2.3554931577600513</v>
      </c>
    </row>
    <row r="299" spans="1:21">
      <c r="A299" s="12">
        <v>20</v>
      </c>
      <c r="B299" s="12">
        <v>10</v>
      </c>
      <c r="C299" s="11">
        <v>21.971325740910526</v>
      </c>
      <c r="D299" s="11">
        <v>11.532730588339588</v>
      </c>
      <c r="E299" s="11"/>
      <c r="F299" s="10">
        <v>145</v>
      </c>
      <c r="G299" s="12" t="s">
        <v>13</v>
      </c>
      <c r="H299" s="13"/>
      <c r="I299" s="14">
        <v>1.33</v>
      </c>
      <c r="J299" s="14" t="s">
        <v>70</v>
      </c>
      <c r="K299" s="14"/>
      <c r="L299" s="13">
        <v>1.3</v>
      </c>
      <c r="M299" s="13"/>
      <c r="P299" s="12" t="s">
        <v>12</v>
      </c>
      <c r="Q299" s="12"/>
      <c r="R299" s="12" t="s">
        <v>16</v>
      </c>
      <c r="T299">
        <f t="shared" si="8"/>
        <v>1.33</v>
      </c>
      <c r="U299" t="str">
        <f t="shared" si="9"/>
        <v>dead</v>
      </c>
    </row>
    <row r="300" spans="1:21">
      <c r="A300" s="12">
        <v>40</v>
      </c>
      <c r="B300" s="12">
        <v>-10</v>
      </c>
      <c r="C300" s="11">
        <v>43.411546288263949</v>
      </c>
      <c r="D300" s="11">
        <v>-9.4229801363622858</v>
      </c>
      <c r="E300" s="11"/>
      <c r="F300" s="10">
        <v>447</v>
      </c>
      <c r="G300" s="12" t="s">
        <v>13</v>
      </c>
      <c r="H300" s="13"/>
      <c r="I300" s="14">
        <v>1.33</v>
      </c>
      <c r="J300" s="14"/>
      <c r="K300" s="14">
        <v>15.9</v>
      </c>
      <c r="L300" s="13">
        <v>1.8</v>
      </c>
      <c r="M300" s="13">
        <v>1.3</v>
      </c>
      <c r="P300" s="12" t="s">
        <v>14</v>
      </c>
      <c r="Q300" s="12"/>
      <c r="R300" s="12"/>
      <c r="T300">
        <f t="shared" si="8"/>
        <v>1.33</v>
      </c>
      <c r="U300">
        <f t="shared" si="9"/>
        <v>15.9</v>
      </c>
    </row>
    <row r="301" spans="1:21">
      <c r="A301" s="12">
        <v>10</v>
      </c>
      <c r="B301" s="12">
        <v>20</v>
      </c>
      <c r="C301" s="11">
        <v>18.480876301162375</v>
      </c>
      <c r="D301" s="11">
        <v>20.580784935354586</v>
      </c>
      <c r="E301" s="11"/>
      <c r="F301" s="12">
        <v>104</v>
      </c>
      <c r="G301" s="12" t="s">
        <v>11</v>
      </c>
      <c r="H301" s="13"/>
      <c r="I301" s="14">
        <v>1.34</v>
      </c>
      <c r="J301" s="14" t="s">
        <v>70</v>
      </c>
      <c r="K301" s="14"/>
      <c r="L301" s="13">
        <v>2.1</v>
      </c>
      <c r="M301" s="13"/>
      <c r="P301" s="12" t="s">
        <v>12</v>
      </c>
      <c r="Q301" s="12"/>
      <c r="R301" s="12"/>
      <c r="T301">
        <f t="shared" si="8"/>
        <v>1.34</v>
      </c>
      <c r="U301" t="str">
        <f t="shared" si="9"/>
        <v>dead</v>
      </c>
    </row>
    <row r="302" spans="1:21">
      <c r="A302" s="12">
        <v>20</v>
      </c>
      <c r="B302" s="12">
        <v>0</v>
      </c>
      <c r="C302" s="11">
        <v>27.161315759394988</v>
      </c>
      <c r="D302" s="11">
        <v>7.1363615795614637</v>
      </c>
      <c r="E302" s="11"/>
      <c r="F302" s="10">
        <v>123</v>
      </c>
      <c r="G302" s="12" t="s">
        <v>11</v>
      </c>
      <c r="H302" s="13"/>
      <c r="I302" s="14">
        <v>1.34</v>
      </c>
      <c r="J302" s="14" t="s">
        <v>70</v>
      </c>
      <c r="K302" s="14"/>
      <c r="L302" s="13">
        <v>2.4</v>
      </c>
      <c r="M302" s="13"/>
      <c r="P302" s="12" t="s">
        <v>12</v>
      </c>
      <c r="Q302" s="12"/>
      <c r="R302" s="12"/>
      <c r="T302">
        <f t="shared" si="8"/>
        <v>1.34</v>
      </c>
      <c r="U302" t="str">
        <f t="shared" si="9"/>
        <v>dead</v>
      </c>
    </row>
    <row r="303" spans="1:21">
      <c r="A303" s="12">
        <v>20</v>
      </c>
      <c r="B303" s="12">
        <v>20</v>
      </c>
      <c r="C303" s="11">
        <v>29.620093591599371</v>
      </c>
      <c r="D303" s="11">
        <v>21.086119526062333</v>
      </c>
      <c r="E303" s="11"/>
      <c r="F303" s="12">
        <v>162</v>
      </c>
      <c r="G303" s="12" t="s">
        <v>21</v>
      </c>
      <c r="H303" s="13"/>
      <c r="I303" s="14">
        <v>1.34</v>
      </c>
      <c r="J303" s="14"/>
      <c r="K303" s="14">
        <v>21.2</v>
      </c>
      <c r="L303" s="13">
        <v>1.6</v>
      </c>
      <c r="M303" s="13">
        <v>0.6</v>
      </c>
      <c r="P303" s="12" t="s">
        <v>14</v>
      </c>
      <c r="Q303" s="12"/>
      <c r="R303" s="12"/>
      <c r="T303">
        <f t="shared" si="8"/>
        <v>1.34</v>
      </c>
      <c r="U303">
        <f t="shared" si="9"/>
        <v>21.2</v>
      </c>
    </row>
    <row r="304" spans="1:21">
      <c r="A304" s="12">
        <v>40</v>
      </c>
      <c r="B304" s="12">
        <v>-10</v>
      </c>
      <c r="C304" s="11">
        <v>48.499274544622907</v>
      </c>
      <c r="D304" s="11">
        <v>-2.9838604370149775</v>
      </c>
      <c r="E304" s="11"/>
      <c r="F304" s="12">
        <v>470</v>
      </c>
      <c r="G304" s="12" t="s">
        <v>13</v>
      </c>
      <c r="H304" s="13"/>
      <c r="I304" s="14">
        <v>1.34</v>
      </c>
      <c r="J304" s="14" t="s">
        <v>70</v>
      </c>
      <c r="K304" s="14"/>
      <c r="L304" s="13">
        <v>2</v>
      </c>
      <c r="M304" s="13"/>
      <c r="P304" s="12" t="s">
        <v>12</v>
      </c>
      <c r="Q304" s="12"/>
      <c r="R304" s="12"/>
      <c r="T304">
        <f t="shared" si="8"/>
        <v>1.34</v>
      </c>
      <c r="U304" t="str">
        <f t="shared" si="9"/>
        <v>dead</v>
      </c>
    </row>
    <row r="305" spans="1:21">
      <c r="A305" s="12">
        <v>20</v>
      </c>
      <c r="B305" s="12">
        <v>40</v>
      </c>
      <c r="C305" s="11">
        <v>26.382700868550014</v>
      </c>
      <c r="D305" s="11">
        <v>47.29090046719957</v>
      </c>
      <c r="E305" s="11"/>
      <c r="F305" s="12">
        <v>194</v>
      </c>
      <c r="G305" s="12" t="s">
        <v>13</v>
      </c>
      <c r="H305" s="13"/>
      <c r="I305" s="14">
        <v>1.35</v>
      </c>
      <c r="J305" s="14"/>
      <c r="K305" s="14">
        <v>14.8</v>
      </c>
      <c r="L305" s="13">
        <v>2.7</v>
      </c>
      <c r="M305" s="13">
        <v>1.1000000000000001</v>
      </c>
      <c r="P305" s="12" t="s">
        <v>14</v>
      </c>
      <c r="Q305" s="12"/>
      <c r="R305" s="12"/>
      <c r="T305">
        <f t="shared" si="8"/>
        <v>1.35</v>
      </c>
      <c r="U305">
        <f t="shared" si="9"/>
        <v>14.8</v>
      </c>
    </row>
    <row r="306" spans="1:21">
      <c r="A306" s="12">
        <v>30</v>
      </c>
      <c r="B306" s="12">
        <v>20</v>
      </c>
      <c r="C306" s="11">
        <v>35.208951740241446</v>
      </c>
      <c r="D306" s="11">
        <v>23.344087583756682</v>
      </c>
      <c r="E306" s="11"/>
      <c r="F306" s="10">
        <v>211</v>
      </c>
      <c r="G306" s="12" t="s">
        <v>13</v>
      </c>
      <c r="H306" s="13"/>
      <c r="I306" s="14">
        <v>1.35</v>
      </c>
      <c r="J306" s="14">
        <v>7.5</v>
      </c>
      <c r="K306" s="14"/>
      <c r="L306" s="13">
        <v>2.6</v>
      </c>
      <c r="M306" s="13">
        <v>0.4</v>
      </c>
      <c r="P306" s="12" t="s">
        <v>14</v>
      </c>
      <c r="Q306" s="12"/>
      <c r="R306" s="12"/>
      <c r="T306">
        <f t="shared" si="8"/>
        <v>1.35</v>
      </c>
      <c r="U306">
        <f t="shared" si="9"/>
        <v>2.3873241463784303</v>
      </c>
    </row>
    <row r="307" spans="1:21">
      <c r="A307" s="12">
        <v>40</v>
      </c>
      <c r="B307" s="12">
        <v>30</v>
      </c>
      <c r="C307" s="11">
        <v>48.85269318912912</v>
      </c>
      <c r="D307" s="11">
        <v>30.519167384573795</v>
      </c>
      <c r="E307" s="11"/>
      <c r="F307" s="10">
        <v>325</v>
      </c>
      <c r="G307" s="12" t="s">
        <v>30</v>
      </c>
      <c r="H307" s="13"/>
      <c r="I307" s="14">
        <v>1.35</v>
      </c>
      <c r="J307" s="14"/>
      <c r="K307" s="14">
        <v>18.3</v>
      </c>
      <c r="L307" s="13">
        <v>1.4</v>
      </c>
      <c r="M307" s="13">
        <v>0.9</v>
      </c>
      <c r="P307" s="12" t="s">
        <v>14</v>
      </c>
      <c r="Q307" s="12"/>
      <c r="R307" s="12"/>
      <c r="T307">
        <f t="shared" si="8"/>
        <v>1.35</v>
      </c>
      <c r="U307">
        <f t="shared" si="9"/>
        <v>18.3</v>
      </c>
    </row>
    <row r="308" spans="1:21">
      <c r="A308" s="12">
        <v>10</v>
      </c>
      <c r="B308" s="12">
        <v>-30</v>
      </c>
      <c r="C308" s="11">
        <v>19.934757230768518</v>
      </c>
      <c r="D308" s="11">
        <v>-22.323744391372124</v>
      </c>
      <c r="E308" s="11"/>
      <c r="F308" s="12">
        <v>628</v>
      </c>
      <c r="G308" s="12" t="s">
        <v>11</v>
      </c>
      <c r="H308" s="13"/>
      <c r="I308" s="14">
        <v>1.35</v>
      </c>
      <c r="J308" s="14"/>
      <c r="K308" s="14">
        <v>19</v>
      </c>
      <c r="L308" s="13">
        <v>2.6</v>
      </c>
      <c r="M308" s="13">
        <v>0.7</v>
      </c>
      <c r="P308" s="12" t="s">
        <v>14</v>
      </c>
      <c r="Q308" s="12"/>
      <c r="R308" s="12"/>
      <c r="T308">
        <f t="shared" si="8"/>
        <v>1.35</v>
      </c>
      <c r="U308">
        <f t="shared" si="9"/>
        <v>19</v>
      </c>
    </row>
    <row r="309" spans="1:21">
      <c r="A309" s="12">
        <v>30</v>
      </c>
      <c r="B309" s="12">
        <v>20</v>
      </c>
      <c r="C309" s="11">
        <v>33.939110065365163</v>
      </c>
      <c r="D309" s="11">
        <v>24.008467524246502</v>
      </c>
      <c r="E309" s="11"/>
      <c r="F309" s="10">
        <v>209</v>
      </c>
      <c r="G309" s="12" t="s">
        <v>21</v>
      </c>
      <c r="H309" s="13"/>
      <c r="I309" s="14">
        <v>1.36</v>
      </c>
      <c r="J309" s="14"/>
      <c r="K309" s="31">
        <v>21.4</v>
      </c>
      <c r="L309" s="13">
        <v>2.7</v>
      </c>
      <c r="M309" s="13">
        <v>0.5</v>
      </c>
      <c r="P309" s="12" t="s">
        <v>14</v>
      </c>
      <c r="Q309" s="12"/>
      <c r="R309" s="12"/>
      <c r="T309">
        <f t="shared" si="8"/>
        <v>1.36</v>
      </c>
      <c r="U309">
        <f t="shared" si="9"/>
        <v>21.4</v>
      </c>
    </row>
    <row r="310" spans="1:21">
      <c r="A310" s="9">
        <v>0</v>
      </c>
      <c r="B310" s="12">
        <v>40</v>
      </c>
      <c r="C310" s="11">
        <v>6.9523180845387946</v>
      </c>
      <c r="D310" s="11">
        <v>42.049935901299008</v>
      </c>
      <c r="E310" s="11"/>
      <c r="F310" s="12">
        <v>64</v>
      </c>
      <c r="G310" s="12" t="s">
        <v>11</v>
      </c>
      <c r="H310" s="13"/>
      <c r="I310" s="14">
        <v>1.38</v>
      </c>
      <c r="J310" s="14"/>
      <c r="K310" s="14">
        <v>19.8</v>
      </c>
      <c r="L310" s="13">
        <v>3.2</v>
      </c>
      <c r="M310" s="13">
        <v>0.6</v>
      </c>
      <c r="P310" s="12" t="s">
        <v>14</v>
      </c>
      <c r="Q310" s="12"/>
      <c r="R310" s="12"/>
      <c r="T310">
        <f t="shared" si="8"/>
        <v>1.38</v>
      </c>
      <c r="U310">
        <f t="shared" si="9"/>
        <v>19.8</v>
      </c>
    </row>
    <row r="311" spans="1:21">
      <c r="A311" s="12">
        <v>40</v>
      </c>
      <c r="B311" s="12">
        <v>-30</v>
      </c>
      <c r="C311" s="11">
        <v>42.673689076497766</v>
      </c>
      <c r="D311" s="11">
        <v>-25.82924567952502</v>
      </c>
      <c r="E311" s="11"/>
      <c r="F311" s="12">
        <v>682</v>
      </c>
      <c r="G311" s="12" t="s">
        <v>13</v>
      </c>
      <c r="H311" s="13"/>
      <c r="I311" s="14">
        <v>1.38</v>
      </c>
      <c r="J311" s="14"/>
      <c r="K311" s="14">
        <v>16.8</v>
      </c>
      <c r="L311" s="13">
        <v>1.8</v>
      </c>
      <c r="M311" s="13">
        <v>1.2</v>
      </c>
      <c r="P311" s="12" t="s">
        <v>14</v>
      </c>
      <c r="Q311" s="12"/>
      <c r="R311" s="12"/>
      <c r="T311">
        <f t="shared" si="8"/>
        <v>1.38</v>
      </c>
      <c r="U311">
        <f t="shared" si="9"/>
        <v>16.8</v>
      </c>
    </row>
    <row r="312" spans="1:21">
      <c r="A312" s="12">
        <v>20</v>
      </c>
      <c r="B312" s="12">
        <v>-20</v>
      </c>
      <c r="C312" s="11">
        <v>28.615447336791203</v>
      </c>
      <c r="D312" s="11">
        <v>-30.660464995618224</v>
      </c>
      <c r="E312" s="11"/>
      <c r="F312" s="12">
        <v>714</v>
      </c>
      <c r="G312" s="12" t="s">
        <v>21</v>
      </c>
      <c r="H312" s="13"/>
      <c r="I312" s="14">
        <v>1.38</v>
      </c>
      <c r="J312" s="14"/>
      <c r="K312" s="14">
        <v>18.8</v>
      </c>
      <c r="L312" s="13">
        <v>3.4</v>
      </c>
      <c r="M312" s="13">
        <v>0.6</v>
      </c>
      <c r="P312" s="12" t="s">
        <v>14</v>
      </c>
      <c r="Q312" s="12"/>
      <c r="R312" s="12"/>
      <c r="S312" t="s">
        <v>129</v>
      </c>
      <c r="T312">
        <f t="shared" si="8"/>
        <v>1.38</v>
      </c>
      <c r="U312">
        <f t="shared" si="9"/>
        <v>18.8</v>
      </c>
    </row>
    <row r="313" spans="1:21">
      <c r="A313" s="12">
        <v>40</v>
      </c>
      <c r="B313" s="12">
        <v>30</v>
      </c>
      <c r="C313" s="11">
        <v>49.824853784818124</v>
      </c>
      <c r="D313" s="11">
        <v>32.281987056028768</v>
      </c>
      <c r="E313" s="11"/>
      <c r="F313" s="12">
        <v>340</v>
      </c>
      <c r="G313" s="12" t="s">
        <v>30</v>
      </c>
      <c r="H313" s="13"/>
      <c r="I313" s="14">
        <v>1.4</v>
      </c>
      <c r="J313" s="14" t="s">
        <v>70</v>
      </c>
      <c r="K313" s="14"/>
      <c r="L313" s="13">
        <v>1.4</v>
      </c>
      <c r="M313" s="13">
        <v>1</v>
      </c>
      <c r="P313" s="12" t="s">
        <v>14</v>
      </c>
      <c r="Q313" s="12"/>
      <c r="R313" s="12"/>
      <c r="S313" t="s">
        <v>70</v>
      </c>
      <c r="T313">
        <f t="shared" si="8"/>
        <v>1.4</v>
      </c>
      <c r="U313" t="str">
        <f t="shared" si="9"/>
        <v>dead</v>
      </c>
    </row>
    <row r="314" spans="1:21">
      <c r="A314" s="12">
        <v>40</v>
      </c>
      <c r="B314" s="12">
        <v>-30</v>
      </c>
      <c r="C314" s="11">
        <v>42.331454315224569</v>
      </c>
      <c r="D314" s="11">
        <v>-26.014452133946147</v>
      </c>
      <c r="E314" s="11"/>
      <c r="F314" s="12">
        <v>684</v>
      </c>
      <c r="G314" s="12" t="s">
        <v>13</v>
      </c>
      <c r="H314" s="13"/>
      <c r="I314" s="14">
        <v>1.4</v>
      </c>
      <c r="J314" s="14"/>
      <c r="K314" s="14">
        <v>16.2</v>
      </c>
      <c r="L314" s="13">
        <v>1.7</v>
      </c>
      <c r="M314" s="13">
        <v>1.3</v>
      </c>
      <c r="P314" s="12" t="s">
        <v>14</v>
      </c>
      <c r="Q314" s="12"/>
      <c r="R314" s="12"/>
      <c r="T314">
        <f t="shared" si="8"/>
        <v>1.4</v>
      </c>
      <c r="U314">
        <f t="shared" si="9"/>
        <v>16.2</v>
      </c>
    </row>
    <row r="315" spans="1:21" ht="130">
      <c r="A315" s="12">
        <v>40</v>
      </c>
      <c r="B315" s="12">
        <v>10</v>
      </c>
      <c r="C315" s="11">
        <v>41.378009384887001</v>
      </c>
      <c r="D315" s="11">
        <v>14.425970717925551</v>
      </c>
      <c r="E315" s="11"/>
      <c r="F315" s="10">
        <v>281</v>
      </c>
      <c r="G315" s="12" t="s">
        <v>11</v>
      </c>
      <c r="H315" s="13"/>
      <c r="I315" s="14">
        <v>1.41</v>
      </c>
      <c r="J315" s="14">
        <v>7.7</v>
      </c>
      <c r="K315" s="14"/>
      <c r="L315" s="13">
        <v>2.2000000000000002</v>
      </c>
      <c r="M315" s="13">
        <v>0.6</v>
      </c>
      <c r="P315" s="12" t="s">
        <v>14</v>
      </c>
      <c r="Q315" s="12"/>
      <c r="R315" s="21" t="s">
        <v>83</v>
      </c>
      <c r="S315" t="s">
        <v>84</v>
      </c>
      <c r="T315">
        <f t="shared" si="8"/>
        <v>1.41</v>
      </c>
      <c r="U315">
        <f t="shared" si="9"/>
        <v>2.4509861236151882</v>
      </c>
    </row>
    <row r="316" spans="1:21">
      <c r="A316" s="12">
        <v>30</v>
      </c>
      <c r="B316" s="12">
        <v>-30</v>
      </c>
      <c r="C316" s="11">
        <v>31.654135647274799</v>
      </c>
      <c r="D316" s="11">
        <v>-25.548687706153121</v>
      </c>
      <c r="E316" s="11"/>
      <c r="F316" s="12">
        <v>664</v>
      </c>
      <c r="G316" s="12" t="s">
        <v>11</v>
      </c>
      <c r="H316" s="13"/>
      <c r="I316" s="14">
        <v>1.42</v>
      </c>
      <c r="J316" s="14" t="s">
        <v>70</v>
      </c>
      <c r="K316" s="14"/>
      <c r="L316" s="13">
        <v>2.2999999999999998</v>
      </c>
      <c r="M316" s="13"/>
      <c r="P316" s="12" t="s">
        <v>12</v>
      </c>
      <c r="Q316" s="12"/>
      <c r="R316" s="12"/>
      <c r="T316">
        <f t="shared" si="8"/>
        <v>1.42</v>
      </c>
      <c r="U316" t="str">
        <f t="shared" si="9"/>
        <v>dead</v>
      </c>
    </row>
    <row r="317" spans="1:21">
      <c r="A317" s="12">
        <v>10</v>
      </c>
      <c r="B317" s="12">
        <v>-30</v>
      </c>
      <c r="C317" s="11">
        <v>17.181672912791875</v>
      </c>
      <c r="D317" s="11">
        <v>-22.458583419269921</v>
      </c>
      <c r="E317" s="11"/>
      <c r="F317" s="10">
        <v>623</v>
      </c>
      <c r="G317" s="12" t="s">
        <v>11</v>
      </c>
      <c r="H317" s="13"/>
      <c r="I317" s="14">
        <v>1.44</v>
      </c>
      <c r="J317" s="14"/>
      <c r="K317" s="14">
        <v>21</v>
      </c>
      <c r="L317" s="13">
        <v>2.2000000000000002</v>
      </c>
      <c r="M317" s="13">
        <v>0.1</v>
      </c>
      <c r="P317" s="12" t="s">
        <v>14</v>
      </c>
      <c r="Q317" s="12"/>
      <c r="R317" s="12"/>
      <c r="S317" t="s">
        <v>111</v>
      </c>
      <c r="T317">
        <f t="shared" si="8"/>
        <v>1.44</v>
      </c>
      <c r="U317">
        <f t="shared" si="9"/>
        <v>21</v>
      </c>
    </row>
    <row r="318" spans="1:21">
      <c r="A318" s="12">
        <v>30</v>
      </c>
      <c r="B318" s="12">
        <v>-30</v>
      </c>
      <c r="C318" s="11">
        <v>32.218880714326836</v>
      </c>
      <c r="D318" s="11">
        <v>-27.73815665230347</v>
      </c>
      <c r="E318" s="11"/>
      <c r="F318" s="10">
        <v>669</v>
      </c>
      <c r="G318" s="12" t="s">
        <v>11</v>
      </c>
      <c r="H318" s="13"/>
      <c r="I318" s="14">
        <v>1.45</v>
      </c>
      <c r="J318" s="14" t="s">
        <v>70</v>
      </c>
      <c r="K318" s="14"/>
      <c r="L318" s="13">
        <v>2.5</v>
      </c>
      <c r="M318" s="13"/>
      <c r="P318" s="12" t="s">
        <v>12</v>
      </c>
      <c r="Q318" s="12"/>
      <c r="R318" s="12"/>
      <c r="T318">
        <f t="shared" si="8"/>
        <v>1.45</v>
      </c>
      <c r="U318" t="str">
        <f t="shared" si="9"/>
        <v>dead</v>
      </c>
    </row>
    <row r="319" spans="1:21">
      <c r="A319" s="12">
        <v>20</v>
      </c>
      <c r="B319" s="12">
        <v>-20</v>
      </c>
      <c r="C319" s="11">
        <v>27.708774059127435</v>
      </c>
      <c r="D319" s="11">
        <v>-30.421093209825571</v>
      </c>
      <c r="E319" s="11"/>
      <c r="F319" s="12">
        <v>716</v>
      </c>
      <c r="G319" s="12" t="s">
        <v>21</v>
      </c>
      <c r="H319" s="13"/>
      <c r="I319" s="14">
        <v>1.46</v>
      </c>
      <c r="J319" s="14"/>
      <c r="K319" s="14">
        <v>5.7</v>
      </c>
      <c r="L319" s="13">
        <v>3</v>
      </c>
      <c r="M319" s="13">
        <v>0.8</v>
      </c>
      <c r="P319" s="12" t="s">
        <v>14</v>
      </c>
      <c r="Q319" s="12"/>
      <c r="R319" s="12"/>
      <c r="S319" t="s">
        <v>130</v>
      </c>
      <c r="T319">
        <f t="shared" si="8"/>
        <v>1.46</v>
      </c>
      <c r="U319">
        <f t="shared" si="9"/>
        <v>5.7</v>
      </c>
    </row>
    <row r="320" spans="1:21">
      <c r="A320" s="12">
        <v>10</v>
      </c>
      <c r="B320" s="12">
        <v>10</v>
      </c>
      <c r="C320" s="11">
        <v>13.695974146610109</v>
      </c>
      <c r="D320" s="11">
        <v>10.572167027702303</v>
      </c>
      <c r="E320" s="11"/>
      <c r="F320" s="10">
        <v>113</v>
      </c>
      <c r="G320" s="12" t="s">
        <v>11</v>
      </c>
      <c r="H320" s="13"/>
      <c r="I320" s="14">
        <v>1.47</v>
      </c>
      <c r="J320" s="14" t="s">
        <v>70</v>
      </c>
      <c r="K320" s="14"/>
      <c r="L320" s="13">
        <v>2.2000000000000002</v>
      </c>
      <c r="M320" s="13"/>
      <c r="P320" s="12" t="s">
        <v>12</v>
      </c>
      <c r="Q320" s="12"/>
      <c r="R320" s="12"/>
      <c r="T320">
        <f t="shared" si="8"/>
        <v>1.47</v>
      </c>
      <c r="U320" t="str">
        <f t="shared" si="9"/>
        <v>dead</v>
      </c>
    </row>
    <row r="321" spans="1:21">
      <c r="A321" s="12">
        <v>40</v>
      </c>
      <c r="B321" s="12">
        <v>30</v>
      </c>
      <c r="C321" s="11">
        <v>48.780725712693545</v>
      </c>
      <c r="D321" s="11">
        <v>30.982052882594992</v>
      </c>
      <c r="E321" s="11"/>
      <c r="F321" s="12">
        <v>324</v>
      </c>
      <c r="G321" s="12" t="s">
        <v>30</v>
      </c>
      <c r="H321" s="13"/>
      <c r="I321" s="14">
        <v>1.47</v>
      </c>
      <c r="J321" s="14" t="s">
        <v>70</v>
      </c>
      <c r="K321" s="14"/>
      <c r="L321" s="13">
        <v>1</v>
      </c>
      <c r="M321" s="13">
        <v>0.9</v>
      </c>
      <c r="P321" s="12" t="s">
        <v>14</v>
      </c>
      <c r="Q321" s="12"/>
      <c r="R321" s="12" t="s">
        <v>31</v>
      </c>
      <c r="T321">
        <f t="shared" si="8"/>
        <v>1.47</v>
      </c>
      <c r="U321" t="str">
        <f t="shared" si="9"/>
        <v>dead</v>
      </c>
    </row>
    <row r="322" spans="1:21">
      <c r="A322" s="12">
        <v>40</v>
      </c>
      <c r="B322" s="12">
        <v>-20</v>
      </c>
      <c r="C322" s="11">
        <v>41.077045145116749</v>
      </c>
      <c r="D322" s="11">
        <v>-13.612876105733552</v>
      </c>
      <c r="E322" s="11"/>
      <c r="F322" s="10">
        <v>513</v>
      </c>
      <c r="G322" s="12" t="s">
        <v>21</v>
      </c>
      <c r="H322" s="13"/>
      <c r="I322" s="14">
        <v>1.47</v>
      </c>
      <c r="J322" s="14"/>
      <c r="K322" s="14">
        <v>17.5</v>
      </c>
      <c r="L322" s="13">
        <v>3</v>
      </c>
      <c r="M322" s="13">
        <v>1.3</v>
      </c>
      <c r="P322" s="12" t="s">
        <v>14</v>
      </c>
      <c r="Q322" s="12"/>
      <c r="R322" s="12"/>
      <c r="S322" t="s">
        <v>95</v>
      </c>
      <c r="T322">
        <f t="shared" ref="T322:T385" si="10">IF(H322="",I322,H322/PI())</f>
        <v>1.47</v>
      </c>
      <c r="U322">
        <f t="shared" ref="U322:U385" si="11">IF(J322="dead","dead",J322/PI()+K322)</f>
        <v>17.5</v>
      </c>
    </row>
    <row r="323" spans="1:21">
      <c r="A323" s="12">
        <v>0</v>
      </c>
      <c r="B323" s="12">
        <v>-30</v>
      </c>
      <c r="C323" s="11">
        <v>3.8441714100243498</v>
      </c>
      <c r="D323" s="11">
        <v>-21.83114306271171</v>
      </c>
      <c r="E323" s="11"/>
      <c r="F323" s="10">
        <v>603</v>
      </c>
      <c r="G323" s="12" t="s">
        <v>11</v>
      </c>
      <c r="H323" s="13"/>
      <c r="I323" s="14">
        <v>1.48</v>
      </c>
      <c r="J323" s="14"/>
      <c r="K323" s="14">
        <v>20.8</v>
      </c>
      <c r="L323" s="13">
        <v>2.2999999999999998</v>
      </c>
      <c r="M323" s="13">
        <v>0.3</v>
      </c>
      <c r="P323" s="12" t="s">
        <v>14</v>
      </c>
      <c r="Q323" s="12"/>
      <c r="R323" s="12"/>
      <c r="T323">
        <f t="shared" si="10"/>
        <v>1.48</v>
      </c>
      <c r="U323">
        <f t="shared" si="11"/>
        <v>20.8</v>
      </c>
    </row>
    <row r="324" spans="1:21">
      <c r="A324" s="9">
        <v>0</v>
      </c>
      <c r="B324" s="12">
        <v>20</v>
      </c>
      <c r="C324" s="11">
        <v>0.66636346065243546</v>
      </c>
      <c r="D324" s="11">
        <v>24.864571896714789</v>
      </c>
      <c r="E324" s="11"/>
      <c r="F324" s="10">
        <v>29</v>
      </c>
      <c r="G324" s="12" t="s">
        <v>11</v>
      </c>
      <c r="H324" s="13"/>
      <c r="I324" s="14">
        <v>1.5</v>
      </c>
      <c r="J324" s="14"/>
      <c r="K324" s="14">
        <v>20.3</v>
      </c>
      <c r="L324" s="13">
        <v>2</v>
      </c>
      <c r="M324" s="13">
        <v>0.2</v>
      </c>
      <c r="P324" s="12" t="s">
        <v>14</v>
      </c>
      <c r="Q324" s="12"/>
      <c r="R324" s="12"/>
      <c r="T324">
        <f t="shared" si="10"/>
        <v>1.5</v>
      </c>
      <c r="U324">
        <f t="shared" si="11"/>
        <v>20.3</v>
      </c>
    </row>
    <row r="325" spans="1:21">
      <c r="A325" s="12">
        <v>40</v>
      </c>
      <c r="B325" s="12">
        <v>40</v>
      </c>
      <c r="C325" s="11">
        <v>41.55964685708858</v>
      </c>
      <c r="D325" s="11">
        <v>45.418610414390876</v>
      </c>
      <c r="E325" s="11"/>
      <c r="F325" s="12">
        <v>356</v>
      </c>
      <c r="G325" s="12" t="s">
        <v>13</v>
      </c>
      <c r="H325" s="13"/>
      <c r="I325" s="14">
        <v>1.51</v>
      </c>
      <c r="J325" s="14"/>
      <c r="K325" s="14">
        <v>15.7</v>
      </c>
      <c r="L325" s="13">
        <v>2.9</v>
      </c>
      <c r="M325" s="13">
        <v>1.5</v>
      </c>
      <c r="P325" s="12" t="s">
        <v>14</v>
      </c>
      <c r="Q325" s="12"/>
      <c r="R325" s="12"/>
      <c r="T325">
        <f t="shared" si="10"/>
        <v>1.51</v>
      </c>
      <c r="U325">
        <f t="shared" si="11"/>
        <v>15.7</v>
      </c>
    </row>
    <row r="326" spans="1:21">
      <c r="A326" s="12">
        <v>30</v>
      </c>
      <c r="B326" s="12">
        <v>-20</v>
      </c>
      <c r="C326" s="11">
        <v>36.093682459167503</v>
      </c>
      <c r="D326" s="11">
        <v>-15.517090108941883</v>
      </c>
      <c r="E326" s="11"/>
      <c r="F326" s="12">
        <v>520</v>
      </c>
      <c r="G326" s="12" t="s">
        <v>11</v>
      </c>
      <c r="H326" s="13"/>
      <c r="I326" s="14">
        <v>1.51</v>
      </c>
      <c r="J326" s="14" t="s">
        <v>70</v>
      </c>
      <c r="K326" s="14"/>
      <c r="L326" s="13">
        <v>2.2000000000000002</v>
      </c>
      <c r="M326" s="13">
        <v>0.1</v>
      </c>
      <c r="P326" s="12" t="s">
        <v>14</v>
      </c>
      <c r="Q326" s="12"/>
      <c r="R326" s="12"/>
      <c r="T326">
        <f t="shared" si="10"/>
        <v>1.51</v>
      </c>
      <c r="U326" t="str">
        <f t="shared" si="11"/>
        <v>dead</v>
      </c>
    </row>
    <row r="327" spans="1:21">
      <c r="A327" s="12">
        <v>20</v>
      </c>
      <c r="B327" s="12">
        <v>-20</v>
      </c>
      <c r="C327" s="11">
        <v>27.573886755230106</v>
      </c>
      <c r="D327" s="11">
        <v>-13.029159888179269</v>
      </c>
      <c r="E327" s="11"/>
      <c r="F327" s="12">
        <v>540</v>
      </c>
      <c r="G327" s="12" t="s">
        <v>13</v>
      </c>
      <c r="H327" s="13"/>
      <c r="I327" s="14">
        <v>1.51</v>
      </c>
      <c r="J327" s="14"/>
      <c r="K327" s="14">
        <v>17.3</v>
      </c>
      <c r="L327" s="13">
        <v>3.3</v>
      </c>
      <c r="M327" s="13">
        <v>1.3</v>
      </c>
      <c r="P327" s="12" t="s">
        <v>14</v>
      </c>
      <c r="Q327" s="12"/>
      <c r="R327" s="12"/>
      <c r="T327">
        <f t="shared" si="10"/>
        <v>1.51</v>
      </c>
      <c r="U327">
        <f t="shared" si="11"/>
        <v>17.3</v>
      </c>
    </row>
    <row r="328" spans="1:21">
      <c r="A328" s="12">
        <v>20</v>
      </c>
      <c r="B328" s="12">
        <v>10</v>
      </c>
      <c r="C328" s="11">
        <v>20.025377074440154</v>
      </c>
      <c r="D328" s="11">
        <v>14.539977854319202</v>
      </c>
      <c r="E328" s="11"/>
      <c r="F328" s="10">
        <v>155</v>
      </c>
      <c r="G328" s="12" t="s">
        <v>11</v>
      </c>
      <c r="H328" s="13"/>
      <c r="I328" s="14">
        <v>1.52</v>
      </c>
      <c r="J328" s="14"/>
      <c r="K328" s="14">
        <v>21.1</v>
      </c>
      <c r="L328" s="13">
        <v>2.4</v>
      </c>
      <c r="M328" s="13">
        <v>0.2</v>
      </c>
      <c r="P328" s="12" t="s">
        <v>14</v>
      </c>
      <c r="Q328" s="12"/>
      <c r="R328" s="12"/>
      <c r="T328">
        <f t="shared" si="10"/>
        <v>1.52</v>
      </c>
      <c r="U328">
        <f t="shared" si="11"/>
        <v>21.1</v>
      </c>
    </row>
    <row r="329" spans="1:21">
      <c r="A329" s="12">
        <v>10</v>
      </c>
      <c r="B329" s="12">
        <v>20</v>
      </c>
      <c r="C329" s="11">
        <v>18.888959746745883</v>
      </c>
      <c r="D329" s="11">
        <v>21.51976961603188</v>
      </c>
      <c r="E329" s="11"/>
      <c r="F329" s="12">
        <v>102</v>
      </c>
      <c r="G329" s="12" t="s">
        <v>11</v>
      </c>
      <c r="H329" s="13"/>
      <c r="I329" s="14">
        <v>1.53</v>
      </c>
      <c r="J329" s="14" t="s">
        <v>70</v>
      </c>
      <c r="K329" s="14"/>
      <c r="L329" s="13">
        <v>2.6</v>
      </c>
      <c r="M329" s="13"/>
      <c r="P329" s="12" t="s">
        <v>12</v>
      </c>
      <c r="Q329" s="12"/>
      <c r="R329" s="12"/>
      <c r="T329">
        <f t="shared" si="10"/>
        <v>1.53</v>
      </c>
      <c r="U329" t="str">
        <f t="shared" si="11"/>
        <v>dead</v>
      </c>
    </row>
    <row r="330" spans="1:21">
      <c r="A330" s="12">
        <v>40</v>
      </c>
      <c r="B330" s="12">
        <v>10</v>
      </c>
      <c r="C330" s="11">
        <v>42.941695206502793</v>
      </c>
      <c r="D330" s="11">
        <v>16.264571620016966</v>
      </c>
      <c r="E330" s="11"/>
      <c r="F330" s="12">
        <v>282</v>
      </c>
      <c r="G330" s="12" t="s">
        <v>11</v>
      </c>
      <c r="H330" s="13"/>
      <c r="I330" s="14">
        <v>1.53</v>
      </c>
      <c r="J330" s="14">
        <v>8.3000000000000007</v>
      </c>
      <c r="K330" s="14"/>
      <c r="L330" s="13">
        <v>3.1</v>
      </c>
      <c r="M330" s="13">
        <v>0.3</v>
      </c>
      <c r="P330" s="12" t="s">
        <v>14</v>
      </c>
      <c r="Q330" s="12"/>
      <c r="R330" s="15"/>
      <c r="T330">
        <f t="shared" si="10"/>
        <v>1.53</v>
      </c>
      <c r="U330">
        <f t="shared" si="11"/>
        <v>2.6419720553254629</v>
      </c>
    </row>
    <row r="331" spans="1:21">
      <c r="A331" s="9">
        <v>0</v>
      </c>
      <c r="B331" s="12">
        <v>30</v>
      </c>
      <c r="C331" s="11">
        <v>1.0700791983558624</v>
      </c>
      <c r="D331" s="11">
        <v>30.012983097421369</v>
      </c>
      <c r="E331" s="11"/>
      <c r="F331" s="12">
        <v>50</v>
      </c>
      <c r="G331" s="12" t="s">
        <v>13</v>
      </c>
      <c r="H331" s="13"/>
      <c r="I331" s="14">
        <v>1.54</v>
      </c>
      <c r="J331" s="14"/>
      <c r="K331" s="14">
        <v>15.5</v>
      </c>
      <c r="L331" s="13">
        <v>2.2000000000000002</v>
      </c>
      <c r="M331" s="13">
        <v>1.2</v>
      </c>
      <c r="P331" s="12" t="s">
        <v>14</v>
      </c>
      <c r="Q331" s="12"/>
      <c r="R331" s="12"/>
      <c r="T331">
        <f t="shared" si="10"/>
        <v>1.54</v>
      </c>
      <c r="U331">
        <f t="shared" si="11"/>
        <v>15.5</v>
      </c>
    </row>
    <row r="332" spans="1:21">
      <c r="A332" s="12">
        <v>40</v>
      </c>
      <c r="B332" s="12">
        <v>-30</v>
      </c>
      <c r="C332" s="11">
        <v>42.781270294175009</v>
      </c>
      <c r="D332" s="11">
        <v>-25.663879383182479</v>
      </c>
      <c r="E332" s="11"/>
      <c r="F332" s="12">
        <v>680</v>
      </c>
      <c r="G332" s="12" t="s">
        <v>13</v>
      </c>
      <c r="H332" s="13"/>
      <c r="I332" s="14">
        <v>1.54</v>
      </c>
      <c r="J332" s="14"/>
      <c r="K332" s="14">
        <v>17.5</v>
      </c>
      <c r="L332" s="13">
        <v>2.8</v>
      </c>
      <c r="M332" s="13">
        <v>1.1000000000000001</v>
      </c>
      <c r="P332" s="12" t="s">
        <v>14</v>
      </c>
      <c r="Q332" s="12"/>
      <c r="R332" s="12"/>
      <c r="T332">
        <f t="shared" si="10"/>
        <v>1.54</v>
      </c>
      <c r="U332">
        <f t="shared" si="11"/>
        <v>17.5</v>
      </c>
    </row>
    <row r="333" spans="1:21">
      <c r="A333" s="12">
        <v>40</v>
      </c>
      <c r="B333" s="12">
        <v>0</v>
      </c>
      <c r="C333" s="11">
        <v>49.012604403629609</v>
      </c>
      <c r="D333" s="11">
        <v>2.6494992100077894</v>
      </c>
      <c r="E333" s="11"/>
      <c r="F333" s="12">
        <v>276</v>
      </c>
      <c r="G333" s="12" t="s">
        <v>21</v>
      </c>
      <c r="H333" s="13"/>
      <c r="I333" s="14">
        <v>1.55</v>
      </c>
      <c r="J333" s="14">
        <v>8.4</v>
      </c>
      <c r="K333" s="14"/>
      <c r="L333" s="13">
        <v>3.2</v>
      </c>
      <c r="M333" s="13">
        <v>0.7</v>
      </c>
      <c r="P333" s="12" t="s">
        <v>14</v>
      </c>
      <c r="Q333" s="12"/>
      <c r="R333" s="12"/>
      <c r="S333" t="s">
        <v>82</v>
      </c>
      <c r="T333">
        <f t="shared" si="10"/>
        <v>1.55</v>
      </c>
      <c r="U333">
        <f t="shared" si="11"/>
        <v>2.6738030439438418</v>
      </c>
    </row>
    <row r="334" spans="1:21">
      <c r="A334" s="12">
        <v>40</v>
      </c>
      <c r="B334" s="12">
        <v>20</v>
      </c>
      <c r="C334" s="11">
        <v>41.793904923765879</v>
      </c>
      <c r="D334" s="11">
        <v>29.381295574128924</v>
      </c>
      <c r="E334" s="11"/>
      <c r="F334" s="10">
        <v>307</v>
      </c>
      <c r="G334" s="12" t="s">
        <v>13</v>
      </c>
      <c r="H334" s="13"/>
      <c r="I334" s="14">
        <v>1.56</v>
      </c>
      <c r="J334" s="14">
        <v>6.1</v>
      </c>
      <c r="K334" s="14"/>
      <c r="L334" s="13">
        <v>3.9</v>
      </c>
      <c r="M334" s="13">
        <v>1.2</v>
      </c>
      <c r="P334" s="12" t="s">
        <v>14</v>
      </c>
      <c r="Q334" s="12"/>
      <c r="R334" s="12"/>
      <c r="T334">
        <f t="shared" si="10"/>
        <v>1.56</v>
      </c>
      <c r="U334">
        <f t="shared" si="11"/>
        <v>1.941690305721123</v>
      </c>
    </row>
    <row r="335" spans="1:21">
      <c r="A335" s="12">
        <v>30</v>
      </c>
      <c r="B335" s="12">
        <v>-30</v>
      </c>
      <c r="C335" s="11">
        <v>33.53647369957767</v>
      </c>
      <c r="D335" s="11">
        <v>-24.559194421407735</v>
      </c>
      <c r="E335" s="11"/>
      <c r="F335" s="12">
        <v>662</v>
      </c>
      <c r="G335" s="12" t="s">
        <v>11</v>
      </c>
      <c r="H335" s="13"/>
      <c r="I335" s="16">
        <v>1.57</v>
      </c>
      <c r="J335" s="16" t="s">
        <v>70</v>
      </c>
      <c r="K335" s="16"/>
      <c r="L335" s="17">
        <v>5</v>
      </c>
      <c r="M335" s="13">
        <v>0.4</v>
      </c>
      <c r="P335" s="12" t="s">
        <v>14</v>
      </c>
      <c r="Q335" s="12"/>
      <c r="R335" s="12"/>
      <c r="T335">
        <f t="shared" si="10"/>
        <v>1.57</v>
      </c>
      <c r="U335" t="str">
        <f t="shared" si="11"/>
        <v>dead</v>
      </c>
    </row>
    <row r="336" spans="1:21">
      <c r="A336" s="12">
        <v>30</v>
      </c>
      <c r="B336" s="12">
        <v>-30</v>
      </c>
      <c r="C336" s="11">
        <v>35.356399276918161</v>
      </c>
      <c r="D336" s="11">
        <v>-28.844466450059642</v>
      </c>
      <c r="E336" s="11"/>
      <c r="F336" s="12">
        <v>674</v>
      </c>
      <c r="G336" s="12" t="s">
        <v>11</v>
      </c>
      <c r="H336" s="13"/>
      <c r="I336" s="14">
        <v>1.57</v>
      </c>
      <c r="J336" s="14"/>
      <c r="K336" s="14">
        <v>29</v>
      </c>
      <c r="L336" s="13">
        <v>2.7</v>
      </c>
      <c r="M336" s="13">
        <v>0.3</v>
      </c>
      <c r="P336" s="12" t="s">
        <v>14</v>
      </c>
      <c r="Q336" s="12"/>
      <c r="R336" s="12"/>
      <c r="S336" t="s">
        <v>123</v>
      </c>
      <c r="T336">
        <f t="shared" si="10"/>
        <v>1.57</v>
      </c>
      <c r="U336">
        <f t="shared" si="11"/>
        <v>29</v>
      </c>
    </row>
    <row r="337" spans="1:21">
      <c r="A337" s="12">
        <v>50</v>
      </c>
      <c r="B337" s="12">
        <v>-30</v>
      </c>
      <c r="C337" s="11">
        <v>50.215139710240834</v>
      </c>
      <c r="D337" s="11">
        <v>-27.437723206428444</v>
      </c>
      <c r="E337" s="11"/>
      <c r="F337" s="12">
        <v>2010</v>
      </c>
      <c r="G337" s="12" t="s">
        <v>13</v>
      </c>
      <c r="H337" s="13"/>
      <c r="I337" s="14">
        <v>1.57</v>
      </c>
      <c r="J337" s="14">
        <v>44.8</v>
      </c>
      <c r="K337" s="14"/>
      <c r="L337" s="13"/>
      <c r="M337" s="13"/>
      <c r="N337">
        <v>8.5</v>
      </c>
      <c r="O337" t="s">
        <v>70</v>
      </c>
      <c r="P337" s="12"/>
      <c r="Q337" s="12"/>
      <c r="R337" s="12" t="s">
        <v>57</v>
      </c>
      <c r="S337" t="s">
        <v>144</v>
      </c>
      <c r="T337">
        <f t="shared" si="10"/>
        <v>1.57</v>
      </c>
      <c r="U337">
        <f t="shared" si="11"/>
        <v>14.260282901033822</v>
      </c>
    </row>
    <row r="338" spans="1:21">
      <c r="A338" s="12">
        <v>10</v>
      </c>
      <c r="B338" s="12">
        <v>-30</v>
      </c>
      <c r="C338" s="11">
        <v>10.075594505370871</v>
      </c>
      <c r="D338" s="11">
        <v>-21.922856006986763</v>
      </c>
      <c r="E338" s="11"/>
      <c r="F338" s="12">
        <v>614</v>
      </c>
      <c r="G338" s="12" t="s">
        <v>11</v>
      </c>
      <c r="H338" s="13"/>
      <c r="I338" s="14">
        <v>1.59</v>
      </c>
      <c r="J338" s="14" t="s">
        <v>70</v>
      </c>
      <c r="K338" s="14"/>
      <c r="L338" s="13">
        <v>2.2999999999999998</v>
      </c>
      <c r="M338" s="13"/>
      <c r="P338" s="12" t="s">
        <v>12</v>
      </c>
      <c r="Q338" s="12"/>
      <c r="R338" s="12"/>
      <c r="T338">
        <f t="shared" si="10"/>
        <v>1.59</v>
      </c>
      <c r="U338" t="str">
        <f t="shared" si="11"/>
        <v>dead</v>
      </c>
    </row>
    <row r="339" spans="1:21">
      <c r="A339" s="12">
        <v>10</v>
      </c>
      <c r="B339" s="12">
        <v>-30</v>
      </c>
      <c r="C339" s="11">
        <v>20.370058669255478</v>
      </c>
      <c r="D339" s="11">
        <v>-20.100000000000001</v>
      </c>
      <c r="E339" s="11"/>
      <c r="F339" s="10">
        <v>627</v>
      </c>
      <c r="G339" s="12" t="s">
        <v>11</v>
      </c>
      <c r="H339" s="13"/>
      <c r="I339" s="14">
        <v>1.59</v>
      </c>
      <c r="J339" s="14"/>
      <c r="K339" s="14">
        <v>22.4</v>
      </c>
      <c r="L339" s="13">
        <v>2.5</v>
      </c>
      <c r="M339" s="13">
        <v>0.3</v>
      </c>
      <c r="P339" s="12" t="s">
        <v>14</v>
      </c>
      <c r="Q339" s="12"/>
      <c r="R339" s="12"/>
      <c r="S339" t="s">
        <v>112</v>
      </c>
      <c r="T339">
        <f t="shared" si="10"/>
        <v>1.59</v>
      </c>
      <c r="U339">
        <f t="shared" si="11"/>
        <v>22.4</v>
      </c>
    </row>
    <row r="340" spans="1:21">
      <c r="A340" s="12">
        <v>10</v>
      </c>
      <c r="B340" s="12">
        <v>20</v>
      </c>
      <c r="C340" s="11">
        <v>12.785030728212849</v>
      </c>
      <c r="D340" s="11">
        <v>39.991395380979618</v>
      </c>
      <c r="E340" s="11"/>
      <c r="F340" s="10">
        <v>83</v>
      </c>
      <c r="G340" s="12" t="s">
        <v>11</v>
      </c>
      <c r="H340" s="13"/>
      <c r="I340" s="14">
        <v>1.61</v>
      </c>
      <c r="J340" s="14">
        <v>8.6999999999999993</v>
      </c>
      <c r="K340" s="14"/>
      <c r="L340" s="13">
        <v>2.9</v>
      </c>
      <c r="M340" s="13">
        <v>0.4</v>
      </c>
      <c r="P340" s="12" t="s">
        <v>14</v>
      </c>
      <c r="Q340" s="12"/>
      <c r="R340" s="12"/>
      <c r="T340">
        <f t="shared" si="10"/>
        <v>1.61</v>
      </c>
      <c r="U340">
        <f t="shared" si="11"/>
        <v>2.7692960097989787</v>
      </c>
    </row>
    <row r="341" spans="1:21">
      <c r="A341" s="12">
        <v>20</v>
      </c>
      <c r="B341" s="12">
        <v>-20</v>
      </c>
      <c r="C341" s="11">
        <v>26.865716922766467</v>
      </c>
      <c r="D341" s="11">
        <v>-13.642459065946641</v>
      </c>
      <c r="E341" s="11"/>
      <c r="F341" s="10">
        <v>557</v>
      </c>
      <c r="G341" s="12" t="s">
        <v>13</v>
      </c>
      <c r="H341" s="13"/>
      <c r="I341" s="14">
        <v>1.61</v>
      </c>
      <c r="J341" s="14"/>
      <c r="K341" s="14">
        <v>11.2</v>
      </c>
      <c r="L341" s="13">
        <v>0.9</v>
      </c>
      <c r="M341" s="13">
        <v>0</v>
      </c>
      <c r="P341" s="12" t="s">
        <v>14</v>
      </c>
      <c r="Q341" s="12"/>
      <c r="R341" s="12" t="s">
        <v>42</v>
      </c>
      <c r="S341" t="s">
        <v>99</v>
      </c>
      <c r="T341">
        <f t="shared" si="10"/>
        <v>1.61</v>
      </c>
      <c r="U341">
        <f t="shared" si="11"/>
        <v>11.2</v>
      </c>
    </row>
    <row r="342" spans="1:21">
      <c r="A342" s="12">
        <v>40</v>
      </c>
      <c r="B342" s="12">
        <v>10</v>
      </c>
      <c r="C342" s="11">
        <v>42.95207783888543</v>
      </c>
      <c r="D342" s="11">
        <v>10.555182391625927</v>
      </c>
      <c r="E342" s="11"/>
      <c r="F342" s="10">
        <v>279</v>
      </c>
      <c r="G342" s="12" t="s">
        <v>21</v>
      </c>
      <c r="H342" s="13"/>
      <c r="I342" s="14">
        <v>1.63</v>
      </c>
      <c r="J342" s="14">
        <v>8.3000000000000007</v>
      </c>
      <c r="K342" s="14"/>
      <c r="L342" s="13">
        <v>3.2</v>
      </c>
      <c r="M342" s="13">
        <v>0.7</v>
      </c>
      <c r="P342" s="12" t="s">
        <v>14</v>
      </c>
      <c r="Q342" s="12"/>
      <c r="R342" s="12"/>
      <c r="T342">
        <f t="shared" si="10"/>
        <v>1.63</v>
      </c>
      <c r="U342">
        <f t="shared" si="11"/>
        <v>2.6419720553254629</v>
      </c>
    </row>
    <row r="343" spans="1:21">
      <c r="A343" s="12">
        <v>40</v>
      </c>
      <c r="B343" s="12">
        <v>40</v>
      </c>
      <c r="C343" s="11">
        <v>49.266331268088543</v>
      </c>
      <c r="D343" s="11">
        <v>42.28511054258113</v>
      </c>
      <c r="E343" s="11"/>
      <c r="F343" s="12">
        <v>350</v>
      </c>
      <c r="G343" s="12" t="s">
        <v>13</v>
      </c>
      <c r="H343" s="13"/>
      <c r="I343" s="14">
        <v>1.63</v>
      </c>
      <c r="J343" s="14"/>
      <c r="K343" s="14">
        <v>16.8</v>
      </c>
      <c r="L343" s="13">
        <v>3.4</v>
      </c>
      <c r="M343" s="13">
        <v>2.1</v>
      </c>
      <c r="P343" s="12" t="s">
        <v>14</v>
      </c>
      <c r="Q343" s="12"/>
      <c r="R343" s="12"/>
      <c r="T343">
        <f t="shared" si="10"/>
        <v>1.63</v>
      </c>
      <c r="U343">
        <f t="shared" si="11"/>
        <v>16.8</v>
      </c>
    </row>
    <row r="344" spans="1:21">
      <c r="A344" s="9">
        <v>0</v>
      </c>
      <c r="B344" s="12">
        <v>40</v>
      </c>
      <c r="C344" s="11">
        <v>8.1404010585722872</v>
      </c>
      <c r="D344" s="11">
        <v>40.771855251893008</v>
      </c>
      <c r="E344" s="11"/>
      <c r="F344" s="12">
        <v>62</v>
      </c>
      <c r="G344" s="12" t="s">
        <v>11</v>
      </c>
      <c r="H344" s="13"/>
      <c r="I344" s="14">
        <v>1.64</v>
      </c>
      <c r="J344" s="14" t="s">
        <v>70</v>
      </c>
      <c r="K344" s="14"/>
      <c r="L344" s="13">
        <v>2.5</v>
      </c>
      <c r="M344" s="13">
        <v>0.2</v>
      </c>
      <c r="P344" s="12" t="s">
        <v>14</v>
      </c>
      <c r="Q344" s="12"/>
      <c r="R344" s="12"/>
      <c r="T344">
        <f t="shared" si="10"/>
        <v>1.64</v>
      </c>
      <c r="U344" t="str">
        <f t="shared" si="11"/>
        <v>dead</v>
      </c>
    </row>
    <row r="345" spans="1:21">
      <c r="A345" s="12">
        <v>0</v>
      </c>
      <c r="B345" s="12">
        <v>-30</v>
      </c>
      <c r="C345" s="11">
        <v>9.9566634226198119</v>
      </c>
      <c r="D345" s="11">
        <v>-21.057995003103628</v>
      </c>
      <c r="E345" s="11"/>
      <c r="F345" s="12">
        <v>612</v>
      </c>
      <c r="G345" s="12" t="s">
        <v>11</v>
      </c>
      <c r="H345" s="13"/>
      <c r="I345" s="14">
        <v>1.64</v>
      </c>
      <c r="J345" s="14"/>
      <c r="K345" s="14">
        <v>22.2</v>
      </c>
      <c r="L345" s="13">
        <v>3</v>
      </c>
      <c r="M345" s="13">
        <v>0.4</v>
      </c>
      <c r="P345" s="12" t="s">
        <v>14</v>
      </c>
      <c r="Q345" s="12"/>
      <c r="R345" s="12"/>
      <c r="S345" t="s">
        <v>108</v>
      </c>
      <c r="T345">
        <f t="shared" si="10"/>
        <v>1.64</v>
      </c>
      <c r="U345">
        <f t="shared" si="11"/>
        <v>22.2</v>
      </c>
    </row>
    <row r="346" spans="1:21">
      <c r="A346" s="12">
        <v>10</v>
      </c>
      <c r="B346" s="12">
        <v>30</v>
      </c>
      <c r="C346" s="11">
        <v>17.517240329533635</v>
      </c>
      <c r="D346" s="11">
        <v>31.159712865363531</v>
      </c>
      <c r="E346" s="11"/>
      <c r="F346" s="10">
        <v>87</v>
      </c>
      <c r="G346" s="12" t="s">
        <v>11</v>
      </c>
      <c r="H346" s="13"/>
      <c r="I346" s="14">
        <v>1.67</v>
      </c>
      <c r="J346" s="14">
        <v>9.8000000000000007</v>
      </c>
      <c r="K346" s="14"/>
      <c r="L346" s="13">
        <v>2.5</v>
      </c>
      <c r="M346" s="13">
        <v>0.2</v>
      </c>
      <c r="P346" s="12" t="s">
        <v>14</v>
      </c>
      <c r="Q346" s="12"/>
      <c r="R346" s="12"/>
      <c r="T346">
        <f t="shared" si="10"/>
        <v>1.67</v>
      </c>
      <c r="U346">
        <f t="shared" si="11"/>
        <v>3.1194368846011491</v>
      </c>
    </row>
    <row r="347" spans="1:21">
      <c r="A347" s="12">
        <v>30</v>
      </c>
      <c r="B347" s="12">
        <v>-10</v>
      </c>
      <c r="C347" s="11">
        <v>38.887856973840393</v>
      </c>
      <c r="D347" s="11">
        <v>-4.1141493487037444</v>
      </c>
      <c r="E347" s="11"/>
      <c r="F347" s="10">
        <v>441</v>
      </c>
      <c r="G347" s="12" t="s">
        <v>13</v>
      </c>
      <c r="H347" s="13"/>
      <c r="I347" s="14">
        <v>1.68</v>
      </c>
      <c r="J347" s="14" t="s">
        <v>70</v>
      </c>
      <c r="K347" s="14"/>
      <c r="L347" s="13">
        <v>1.6</v>
      </c>
      <c r="M347" s="13">
        <v>1.3</v>
      </c>
      <c r="P347" s="12" t="s">
        <v>14</v>
      </c>
      <c r="Q347" s="12"/>
      <c r="R347" s="12"/>
      <c r="T347">
        <f t="shared" si="10"/>
        <v>1.68</v>
      </c>
      <c r="U347" t="str">
        <f t="shared" si="11"/>
        <v>dead</v>
      </c>
    </row>
    <row r="348" spans="1:21">
      <c r="A348" s="9">
        <v>0</v>
      </c>
      <c r="B348" s="9">
        <v>0</v>
      </c>
      <c r="C348" s="11">
        <v>4.4428325442296615</v>
      </c>
      <c r="D348" s="11">
        <v>8.5628187767275055</v>
      </c>
      <c r="E348" s="11"/>
      <c r="F348" s="10">
        <v>5</v>
      </c>
      <c r="G348" s="12" t="s">
        <v>13</v>
      </c>
      <c r="H348" s="13"/>
      <c r="I348" s="14">
        <v>1.69</v>
      </c>
      <c r="J348" s="14"/>
      <c r="K348" s="14">
        <v>19.2</v>
      </c>
      <c r="L348" s="13">
        <v>3.6</v>
      </c>
      <c r="M348" s="13">
        <v>0.9</v>
      </c>
      <c r="P348" s="12" t="s">
        <v>14</v>
      </c>
      <c r="Q348" s="12"/>
      <c r="R348" s="12" t="s">
        <v>71</v>
      </c>
      <c r="T348">
        <f t="shared" si="10"/>
        <v>1.69</v>
      </c>
      <c r="U348">
        <f t="shared" si="11"/>
        <v>19.2</v>
      </c>
    </row>
    <row r="349" spans="1:21">
      <c r="A349" s="12">
        <v>20</v>
      </c>
      <c r="B349" s="12">
        <v>30</v>
      </c>
      <c r="C349" s="11">
        <v>20.605733397222572</v>
      </c>
      <c r="D349" s="11">
        <v>34.513335525887406</v>
      </c>
      <c r="E349" s="11"/>
      <c r="F349" s="12">
        <v>180</v>
      </c>
      <c r="G349" s="12" t="s">
        <v>13</v>
      </c>
      <c r="H349" s="13"/>
      <c r="I349" s="14">
        <v>1.69</v>
      </c>
      <c r="J349" s="14">
        <v>6.7</v>
      </c>
      <c r="K349" s="14"/>
      <c r="L349" s="13">
        <v>2.7</v>
      </c>
      <c r="M349" s="13">
        <v>0.8</v>
      </c>
      <c r="P349" s="12" t="s">
        <v>14</v>
      </c>
      <c r="Q349" s="12"/>
      <c r="R349" s="12"/>
      <c r="T349">
        <f t="shared" si="10"/>
        <v>1.69</v>
      </c>
      <c r="U349">
        <f t="shared" si="11"/>
        <v>2.1326762374313977</v>
      </c>
    </row>
    <row r="350" spans="1:21">
      <c r="A350" s="12">
        <v>20</v>
      </c>
      <c r="B350" s="12">
        <v>-30</v>
      </c>
      <c r="C350" s="11">
        <v>25.63549269867908</v>
      </c>
      <c r="D350" s="11">
        <v>-22.899771718035126</v>
      </c>
      <c r="E350" s="11"/>
      <c r="F350" s="12">
        <v>636</v>
      </c>
      <c r="G350" s="12" t="s">
        <v>21</v>
      </c>
      <c r="H350" s="13"/>
      <c r="I350" s="14">
        <v>1.69</v>
      </c>
      <c r="J350" s="14">
        <v>23.5</v>
      </c>
      <c r="K350" s="14"/>
      <c r="L350" s="13">
        <v>3.7</v>
      </c>
      <c r="M350" s="13">
        <v>0.9</v>
      </c>
      <c r="P350" s="12" t="s">
        <v>14</v>
      </c>
      <c r="Q350" s="12"/>
      <c r="R350" s="12" t="s">
        <v>45</v>
      </c>
      <c r="S350" t="s">
        <v>113</v>
      </c>
      <c r="T350">
        <f t="shared" si="10"/>
        <v>1.69</v>
      </c>
      <c r="U350">
        <f t="shared" si="11"/>
        <v>7.4802823253190809</v>
      </c>
    </row>
    <row r="351" spans="1:21">
      <c r="A351" s="12">
        <v>20</v>
      </c>
      <c r="B351" s="12">
        <v>-30</v>
      </c>
      <c r="C351" s="11">
        <v>25.63549269867908</v>
      </c>
      <c r="D351" s="11">
        <v>-22.899771718035126</v>
      </c>
      <c r="E351" s="11"/>
      <c r="F351" s="10">
        <v>637</v>
      </c>
      <c r="G351" s="12" t="s">
        <v>21</v>
      </c>
      <c r="H351" s="13"/>
      <c r="I351" s="14">
        <v>1.69</v>
      </c>
      <c r="J351" s="14">
        <v>21.9</v>
      </c>
      <c r="K351" s="14"/>
      <c r="L351" s="13">
        <v>3.4</v>
      </c>
      <c r="M351" s="13">
        <v>1.1000000000000001</v>
      </c>
      <c r="P351" s="12" t="s">
        <v>14</v>
      </c>
      <c r="Q351" s="12"/>
      <c r="R351" s="12"/>
      <c r="S351" t="s">
        <v>114</v>
      </c>
      <c r="T351">
        <f t="shared" si="10"/>
        <v>1.69</v>
      </c>
      <c r="U351">
        <f t="shared" si="11"/>
        <v>6.9709865074250157</v>
      </c>
    </row>
    <row r="352" spans="1:21">
      <c r="A352" s="12">
        <v>10</v>
      </c>
      <c r="B352" s="12">
        <v>10</v>
      </c>
      <c r="C352" s="11">
        <v>17.062022304305565</v>
      </c>
      <c r="D352" s="11">
        <v>15.739149847624711</v>
      </c>
      <c r="E352" s="11"/>
      <c r="F352" s="12">
        <v>106</v>
      </c>
      <c r="G352" s="12" t="s">
        <v>21</v>
      </c>
      <c r="H352" s="13"/>
      <c r="I352" s="14">
        <v>1.7</v>
      </c>
      <c r="J352" s="14"/>
      <c r="K352" s="14">
        <v>23.5</v>
      </c>
      <c r="L352" s="13">
        <v>2.8</v>
      </c>
      <c r="M352" s="13">
        <v>0.5</v>
      </c>
      <c r="P352" s="12" t="s">
        <v>14</v>
      </c>
      <c r="Q352" s="12"/>
      <c r="R352" s="12"/>
      <c r="T352">
        <f t="shared" si="10"/>
        <v>1.7</v>
      </c>
      <c r="U352">
        <f t="shared" si="11"/>
        <v>23.5</v>
      </c>
    </row>
    <row r="353" spans="1:21">
      <c r="A353" s="12">
        <v>30</v>
      </c>
      <c r="B353" s="12">
        <v>-10</v>
      </c>
      <c r="C353" s="11">
        <v>38.84947872844365</v>
      </c>
      <c r="D353" s="11">
        <v>-3.9687562805258523</v>
      </c>
      <c r="E353" s="11"/>
      <c r="F353" s="12">
        <v>440</v>
      </c>
      <c r="G353" s="12" t="s">
        <v>13</v>
      </c>
      <c r="H353" s="13"/>
      <c r="I353" s="14">
        <v>1.73</v>
      </c>
      <c r="J353" s="14"/>
      <c r="K353" s="14">
        <v>19.3</v>
      </c>
      <c r="L353" s="13">
        <v>3</v>
      </c>
      <c r="M353" s="13">
        <v>1.3</v>
      </c>
      <c r="P353" s="12" t="s">
        <v>14</v>
      </c>
      <c r="Q353" s="12"/>
      <c r="R353" s="12"/>
      <c r="T353">
        <f t="shared" si="10"/>
        <v>1.73</v>
      </c>
      <c r="U353">
        <f t="shared" si="11"/>
        <v>19.3</v>
      </c>
    </row>
    <row r="354" spans="1:21">
      <c r="A354" s="9">
        <v>0</v>
      </c>
      <c r="B354" s="12">
        <v>20</v>
      </c>
      <c r="C354" s="11">
        <v>2.0869868475753837</v>
      </c>
      <c r="D354" s="11">
        <v>29.185906917558405</v>
      </c>
      <c r="E354" s="11"/>
      <c r="F354" s="12">
        <v>46</v>
      </c>
      <c r="G354" s="12" t="s">
        <v>11</v>
      </c>
      <c r="H354" s="13"/>
      <c r="I354" s="14">
        <v>1.74</v>
      </c>
      <c r="J354" s="14" t="s">
        <v>70</v>
      </c>
      <c r="K354" s="14"/>
      <c r="L354" s="13">
        <v>3.8</v>
      </c>
      <c r="M354" s="13"/>
      <c r="P354" s="12" t="s">
        <v>12</v>
      </c>
      <c r="Q354" s="12"/>
      <c r="R354" s="12" t="s">
        <v>17</v>
      </c>
      <c r="T354">
        <f t="shared" si="10"/>
        <v>1.74</v>
      </c>
      <c r="U354" t="str">
        <f t="shared" si="11"/>
        <v>dead</v>
      </c>
    </row>
    <row r="355" spans="1:21">
      <c r="A355" s="9">
        <v>0</v>
      </c>
      <c r="B355" s="12">
        <v>30</v>
      </c>
      <c r="C355" s="11">
        <v>4.2100548133568347</v>
      </c>
      <c r="D355" s="11">
        <v>38.681486516563155</v>
      </c>
      <c r="E355" s="11"/>
      <c r="F355" s="12">
        <v>56</v>
      </c>
      <c r="G355" s="12" t="s">
        <v>11</v>
      </c>
      <c r="H355" s="13"/>
      <c r="I355" s="14">
        <v>1.74</v>
      </c>
      <c r="J355" s="14" t="s">
        <v>70</v>
      </c>
      <c r="K355" s="14"/>
      <c r="L355" s="13">
        <v>2.1</v>
      </c>
      <c r="M355" s="13"/>
      <c r="P355" s="12" t="s">
        <v>12</v>
      </c>
      <c r="Q355" s="12"/>
      <c r="R355" s="12"/>
      <c r="S355" t="s">
        <v>78</v>
      </c>
      <c r="T355">
        <f t="shared" si="10"/>
        <v>1.74</v>
      </c>
      <c r="U355" t="str">
        <f t="shared" si="11"/>
        <v>dead</v>
      </c>
    </row>
    <row r="356" spans="1:21">
      <c r="A356" s="9">
        <v>0</v>
      </c>
      <c r="B356" s="12">
        <v>10</v>
      </c>
      <c r="C356" s="11">
        <v>6.59703322326639</v>
      </c>
      <c r="D356" s="11">
        <v>17.789083201279034</v>
      </c>
      <c r="E356" s="11"/>
      <c r="F356" s="12">
        <v>24</v>
      </c>
      <c r="G356" s="12" t="s">
        <v>13</v>
      </c>
      <c r="H356" s="13"/>
      <c r="I356" s="14">
        <v>1.76</v>
      </c>
      <c r="J356" s="14">
        <v>6</v>
      </c>
      <c r="K356" s="14"/>
      <c r="L356" s="13">
        <v>3.1</v>
      </c>
      <c r="M356" s="13">
        <v>1.1000000000000001</v>
      </c>
      <c r="P356" s="12" t="s">
        <v>14</v>
      </c>
      <c r="Q356" s="12"/>
      <c r="R356" s="12"/>
      <c r="T356">
        <f t="shared" si="10"/>
        <v>1.76</v>
      </c>
      <c r="U356">
        <f t="shared" si="11"/>
        <v>1.909859317102744</v>
      </c>
    </row>
    <row r="357" spans="1:21">
      <c r="A357" s="12">
        <v>40</v>
      </c>
      <c r="B357" s="12">
        <v>0</v>
      </c>
      <c r="C357" s="11">
        <v>48.235042680231857</v>
      </c>
      <c r="D357" s="11">
        <v>2.3206984656962657</v>
      </c>
      <c r="E357" s="11"/>
      <c r="F357" s="12">
        <v>274</v>
      </c>
      <c r="G357" s="12" t="s">
        <v>11</v>
      </c>
      <c r="H357" s="13"/>
      <c r="I357" s="14">
        <v>1.79</v>
      </c>
      <c r="J357" s="14">
        <v>9.6999999999999993</v>
      </c>
      <c r="K357" s="14"/>
      <c r="L357" s="13">
        <v>2.9</v>
      </c>
      <c r="M357" s="13">
        <v>0.2</v>
      </c>
      <c r="P357" s="12" t="s">
        <v>14</v>
      </c>
      <c r="Q357" s="12"/>
      <c r="R357" s="12"/>
      <c r="T357">
        <f t="shared" si="10"/>
        <v>1.79</v>
      </c>
      <c r="U357">
        <f t="shared" si="11"/>
        <v>3.0876058959827692</v>
      </c>
    </row>
    <row r="358" spans="1:21">
      <c r="A358" s="12">
        <v>40</v>
      </c>
      <c r="B358" s="12">
        <v>20</v>
      </c>
      <c r="C358" s="11">
        <v>42.210517931122659</v>
      </c>
      <c r="D358" s="11">
        <v>29.301921944078657</v>
      </c>
      <c r="E358" s="11"/>
      <c r="F358" s="12">
        <v>294</v>
      </c>
      <c r="G358" s="12" t="s">
        <v>13</v>
      </c>
      <c r="H358" s="13"/>
      <c r="I358" s="14">
        <v>1.8</v>
      </c>
      <c r="J358" s="14"/>
      <c r="K358" s="14">
        <v>18.3</v>
      </c>
      <c r="L358" s="13">
        <v>3.5</v>
      </c>
      <c r="M358" s="13">
        <v>2.1</v>
      </c>
      <c r="P358" s="12" t="s">
        <v>14</v>
      </c>
      <c r="Q358" s="12"/>
      <c r="R358" s="12"/>
      <c r="T358">
        <f t="shared" si="10"/>
        <v>1.8</v>
      </c>
      <c r="U358">
        <f t="shared" si="11"/>
        <v>18.3</v>
      </c>
    </row>
    <row r="359" spans="1:21">
      <c r="A359" s="12">
        <v>40</v>
      </c>
      <c r="B359" s="12">
        <v>-20</v>
      </c>
      <c r="C359" s="11">
        <v>49.439942488289539</v>
      </c>
      <c r="D359" s="11">
        <v>-10.032951749359711</v>
      </c>
      <c r="E359" s="11"/>
      <c r="F359" s="10">
        <v>503</v>
      </c>
      <c r="G359" s="12" t="s">
        <v>13</v>
      </c>
      <c r="H359" s="13"/>
      <c r="I359" s="14">
        <v>1.8</v>
      </c>
      <c r="J359" s="14"/>
      <c r="K359" s="14">
        <v>24</v>
      </c>
      <c r="L359" s="13">
        <v>3.7</v>
      </c>
      <c r="M359" s="13">
        <v>1.3</v>
      </c>
      <c r="P359" s="12" t="s">
        <v>14</v>
      </c>
      <c r="Q359" s="12"/>
      <c r="R359" s="12"/>
      <c r="T359">
        <f t="shared" si="10"/>
        <v>1.8</v>
      </c>
      <c r="U359">
        <f t="shared" si="11"/>
        <v>24</v>
      </c>
    </row>
    <row r="360" spans="1:21">
      <c r="A360" s="12">
        <v>40</v>
      </c>
      <c r="B360" s="12">
        <v>30</v>
      </c>
      <c r="C360" s="11">
        <v>49.643761131667816</v>
      </c>
      <c r="D360" s="11">
        <v>30.726840135709438</v>
      </c>
      <c r="E360" s="11"/>
      <c r="F360" s="10">
        <v>329</v>
      </c>
      <c r="G360" s="12" t="s">
        <v>30</v>
      </c>
      <c r="H360" s="13"/>
      <c r="I360" s="14">
        <v>1.81</v>
      </c>
      <c r="J360" s="14">
        <v>7.6</v>
      </c>
      <c r="K360" s="14"/>
      <c r="L360" s="13">
        <v>3.3</v>
      </c>
      <c r="M360" s="13">
        <v>1.1000000000000001</v>
      </c>
      <c r="P360" s="12" t="s">
        <v>14</v>
      </c>
      <c r="Q360" s="12"/>
      <c r="R360" s="12"/>
      <c r="T360">
        <f t="shared" si="10"/>
        <v>1.81</v>
      </c>
      <c r="U360">
        <f t="shared" si="11"/>
        <v>2.4191551349968092</v>
      </c>
    </row>
    <row r="361" spans="1:21">
      <c r="A361" s="9">
        <v>0</v>
      </c>
      <c r="B361" s="12">
        <v>20</v>
      </c>
      <c r="C361" s="11">
        <v>8.3029446827353137</v>
      </c>
      <c r="D361" s="11">
        <v>22.162755093725913</v>
      </c>
      <c r="E361" s="11"/>
      <c r="F361" s="12">
        <v>30</v>
      </c>
      <c r="G361" s="12" t="s">
        <v>13</v>
      </c>
      <c r="H361" s="13"/>
      <c r="I361" s="14">
        <v>1.82</v>
      </c>
      <c r="J361" s="14">
        <v>8.5</v>
      </c>
      <c r="K361" s="14"/>
      <c r="L361" s="13">
        <v>3.8</v>
      </c>
      <c r="M361" s="13">
        <v>0.8</v>
      </c>
      <c r="P361" s="12" t="s">
        <v>14</v>
      </c>
      <c r="Q361" s="12"/>
      <c r="R361" s="12"/>
      <c r="T361">
        <f t="shared" si="10"/>
        <v>1.82</v>
      </c>
      <c r="U361">
        <f t="shared" si="11"/>
        <v>2.7056340325622208</v>
      </c>
    </row>
    <row r="362" spans="1:21">
      <c r="A362" s="9">
        <v>0</v>
      </c>
      <c r="B362" s="9">
        <v>0</v>
      </c>
      <c r="C362" s="11">
        <v>4.3074786275277868</v>
      </c>
      <c r="D362" s="11">
        <v>9.0576091978658386</v>
      </c>
      <c r="E362" s="11"/>
      <c r="F362" s="10">
        <v>7</v>
      </c>
      <c r="G362" s="12" t="s">
        <v>13</v>
      </c>
      <c r="H362" s="13"/>
      <c r="I362" s="14">
        <v>1.83</v>
      </c>
      <c r="J362" s="14">
        <v>7.4</v>
      </c>
      <c r="K362" s="14"/>
      <c r="L362" s="13">
        <v>3.5</v>
      </c>
      <c r="M362" s="13">
        <v>1.5</v>
      </c>
      <c r="P362" s="12" t="s">
        <v>14</v>
      </c>
      <c r="Q362" s="12"/>
      <c r="R362" s="12"/>
      <c r="T362">
        <f t="shared" si="10"/>
        <v>1.83</v>
      </c>
      <c r="U362">
        <f t="shared" si="11"/>
        <v>2.3554931577600513</v>
      </c>
    </row>
    <row r="363" spans="1:21">
      <c r="A363" s="9">
        <v>0</v>
      </c>
      <c r="B363" s="12">
        <v>20</v>
      </c>
      <c r="C363" s="11">
        <v>7.1383060376698781E-2</v>
      </c>
      <c r="D363" s="11">
        <v>28.179688530664919</v>
      </c>
      <c r="E363" s="11"/>
      <c r="F363" s="10">
        <v>49</v>
      </c>
      <c r="G363" s="12" t="s">
        <v>11</v>
      </c>
      <c r="H363" s="13"/>
      <c r="I363" s="14">
        <v>1.83</v>
      </c>
      <c r="J363" s="14" t="s">
        <v>70</v>
      </c>
      <c r="K363" s="14"/>
      <c r="L363" s="13">
        <v>2.9</v>
      </c>
      <c r="M363" s="13"/>
      <c r="P363" s="12" t="s">
        <v>12</v>
      </c>
      <c r="Q363" s="12"/>
      <c r="R363" s="12"/>
      <c r="T363">
        <f t="shared" si="10"/>
        <v>1.83</v>
      </c>
      <c r="U363" t="str">
        <f t="shared" si="11"/>
        <v>dead</v>
      </c>
    </row>
    <row r="364" spans="1:21">
      <c r="A364" s="12">
        <v>40</v>
      </c>
      <c r="B364" s="12">
        <v>0</v>
      </c>
      <c r="C364" s="11">
        <v>40.795535078290051</v>
      </c>
      <c r="D364" s="11">
        <v>5.0333085520429153</v>
      </c>
      <c r="E364" s="11"/>
      <c r="F364" s="10">
        <v>261</v>
      </c>
      <c r="G364" s="12" t="s">
        <v>13</v>
      </c>
      <c r="H364" s="13"/>
      <c r="I364" s="14">
        <v>1.84</v>
      </c>
      <c r="J364" s="14"/>
      <c r="K364" s="14">
        <v>19.5</v>
      </c>
      <c r="L364" s="13">
        <v>2</v>
      </c>
      <c r="M364" s="13">
        <v>1.5</v>
      </c>
      <c r="P364" s="12" t="s">
        <v>14</v>
      </c>
      <c r="Q364" s="12"/>
      <c r="R364" s="12"/>
      <c r="T364">
        <f t="shared" si="10"/>
        <v>1.84</v>
      </c>
      <c r="U364">
        <f t="shared" si="11"/>
        <v>19.5</v>
      </c>
    </row>
    <row r="365" spans="1:21">
      <c r="A365" s="12">
        <v>40</v>
      </c>
      <c r="B365" s="12">
        <v>20</v>
      </c>
      <c r="C365" s="11">
        <v>41.955044382048811</v>
      </c>
      <c r="D365" s="11">
        <v>29.612102466330828</v>
      </c>
      <c r="E365" s="11"/>
      <c r="F365" s="12">
        <v>312</v>
      </c>
      <c r="G365" s="12" t="s">
        <v>13</v>
      </c>
      <c r="H365" s="13"/>
      <c r="I365" s="14">
        <v>1.84</v>
      </c>
      <c r="J365" s="14"/>
      <c r="K365" s="14">
        <v>18.600000000000001</v>
      </c>
      <c r="L365" s="13">
        <v>3</v>
      </c>
      <c r="M365" s="13">
        <v>2.1</v>
      </c>
      <c r="P365" s="12" t="s">
        <v>14</v>
      </c>
      <c r="Q365" s="12"/>
      <c r="R365" s="12"/>
      <c r="T365">
        <f t="shared" si="10"/>
        <v>1.84</v>
      </c>
      <c r="U365">
        <f t="shared" si="11"/>
        <v>18.600000000000001</v>
      </c>
    </row>
    <row r="366" spans="1:21">
      <c r="A366" s="12">
        <v>20</v>
      </c>
      <c r="B366" s="12">
        <v>-20</v>
      </c>
      <c r="C366" s="11">
        <v>27.296469722438403</v>
      </c>
      <c r="D366" s="11">
        <v>-13.073307418250858</v>
      </c>
      <c r="E366" s="11"/>
      <c r="F366" s="12">
        <v>542</v>
      </c>
      <c r="G366" s="12" t="s">
        <v>13</v>
      </c>
      <c r="H366" s="13"/>
      <c r="I366" s="14">
        <v>1.84</v>
      </c>
      <c r="J366" s="14" t="s">
        <v>70</v>
      </c>
      <c r="K366" s="14"/>
      <c r="L366" s="13">
        <v>2.5</v>
      </c>
      <c r="M366" s="13"/>
      <c r="P366" s="12" t="s">
        <v>12</v>
      </c>
      <c r="Q366" s="12"/>
      <c r="R366" s="12"/>
      <c r="T366">
        <f t="shared" si="10"/>
        <v>1.84</v>
      </c>
      <c r="U366" t="str">
        <f t="shared" si="11"/>
        <v>dead</v>
      </c>
    </row>
    <row r="367" spans="1:21">
      <c r="A367" s="12">
        <v>10</v>
      </c>
      <c r="B367" s="12">
        <v>-30</v>
      </c>
      <c r="C367" s="11">
        <v>15.238000848139492</v>
      </c>
      <c r="D367" s="11">
        <v>-22.295516668774031</v>
      </c>
      <c r="E367" s="11"/>
      <c r="F367" s="10">
        <v>621</v>
      </c>
      <c r="G367" s="12" t="s">
        <v>11</v>
      </c>
      <c r="H367" s="13"/>
      <c r="I367" s="14">
        <v>1.84</v>
      </c>
      <c r="J367" s="14">
        <v>9.5</v>
      </c>
      <c r="K367" s="14"/>
      <c r="L367" s="13">
        <v>2.8</v>
      </c>
      <c r="M367" s="13">
        <v>0.2</v>
      </c>
      <c r="P367" s="12" t="s">
        <v>14</v>
      </c>
      <c r="Q367" s="12"/>
      <c r="R367" s="12"/>
      <c r="S367" t="s">
        <v>110</v>
      </c>
      <c r="T367">
        <f t="shared" si="10"/>
        <v>1.84</v>
      </c>
      <c r="U367">
        <f t="shared" si="11"/>
        <v>3.0239439187460113</v>
      </c>
    </row>
    <row r="368" spans="1:21">
      <c r="A368" s="12">
        <v>10</v>
      </c>
      <c r="B368" s="12">
        <v>40</v>
      </c>
      <c r="C368" s="11">
        <v>17.19336699698033</v>
      </c>
      <c r="D368" s="11">
        <v>46.911903586303907</v>
      </c>
      <c r="E368" s="11"/>
      <c r="F368" s="12">
        <v>78</v>
      </c>
      <c r="G368" s="12" t="s">
        <v>11</v>
      </c>
      <c r="H368" s="13"/>
      <c r="I368" s="14">
        <v>1.86</v>
      </c>
      <c r="J368" s="14" t="s">
        <v>70</v>
      </c>
      <c r="K368" s="14"/>
      <c r="L368" s="13">
        <v>2.5</v>
      </c>
      <c r="M368" s="13"/>
      <c r="P368" s="12" t="s">
        <v>12</v>
      </c>
      <c r="Q368" s="12"/>
      <c r="R368" s="12"/>
      <c r="T368">
        <f t="shared" si="10"/>
        <v>1.86</v>
      </c>
      <c r="U368" t="str">
        <f t="shared" si="11"/>
        <v>dead</v>
      </c>
    </row>
    <row r="369" spans="1:21">
      <c r="A369" s="12">
        <v>10</v>
      </c>
      <c r="B369" s="12">
        <v>20</v>
      </c>
      <c r="C369" s="11">
        <v>19.014335911764277</v>
      </c>
      <c r="D369" s="11">
        <v>28.505523489744252</v>
      </c>
      <c r="E369" s="11"/>
      <c r="F369" s="12">
        <v>90</v>
      </c>
      <c r="G369" s="12" t="s">
        <v>13</v>
      </c>
      <c r="H369" s="13"/>
      <c r="I369" s="14">
        <v>1.86</v>
      </c>
      <c r="J369" s="14"/>
      <c r="K369" s="14">
        <v>20.7</v>
      </c>
      <c r="L369" s="13">
        <v>2.6</v>
      </c>
      <c r="M369" s="13">
        <v>1.3</v>
      </c>
      <c r="P369" s="12" t="s">
        <v>14</v>
      </c>
      <c r="Q369" s="12"/>
      <c r="R369" s="12"/>
      <c r="T369">
        <f t="shared" si="10"/>
        <v>1.86</v>
      </c>
      <c r="U369">
        <f t="shared" si="11"/>
        <v>20.7</v>
      </c>
    </row>
    <row r="370" spans="1:21">
      <c r="A370" s="12">
        <v>10</v>
      </c>
      <c r="B370" s="12">
        <v>20</v>
      </c>
      <c r="C370" s="11">
        <v>19.166810907643413</v>
      </c>
      <c r="D370" s="11">
        <v>28.65414696146544</v>
      </c>
      <c r="E370" s="11"/>
      <c r="F370" s="10">
        <v>89</v>
      </c>
      <c r="G370" s="12" t="s">
        <v>13</v>
      </c>
      <c r="H370" s="13"/>
      <c r="I370" s="14">
        <v>1.87</v>
      </c>
      <c r="J370" s="14"/>
      <c r="K370" s="14">
        <v>22.1</v>
      </c>
      <c r="L370" s="13">
        <v>2.8</v>
      </c>
      <c r="M370" s="13">
        <v>0.7</v>
      </c>
      <c r="P370" s="12" t="s">
        <v>14</v>
      </c>
      <c r="Q370" s="12"/>
      <c r="R370" s="12"/>
      <c r="T370">
        <f t="shared" si="10"/>
        <v>1.87</v>
      </c>
      <c r="U370">
        <f t="shared" si="11"/>
        <v>22.1</v>
      </c>
    </row>
    <row r="371" spans="1:21">
      <c r="A371" s="12">
        <v>40</v>
      </c>
      <c r="B371" s="12">
        <v>40</v>
      </c>
      <c r="C371" s="11">
        <v>41.956430674594081</v>
      </c>
      <c r="D371" s="11">
        <v>49.384593358659124</v>
      </c>
      <c r="E371" s="11"/>
      <c r="F371" s="10">
        <v>367</v>
      </c>
      <c r="G371" s="12" t="s">
        <v>13</v>
      </c>
      <c r="H371" s="13"/>
      <c r="I371" s="14">
        <v>1.88</v>
      </c>
      <c r="J371" s="14">
        <v>6.8</v>
      </c>
      <c r="K371" s="14"/>
      <c r="L371" s="13">
        <v>4</v>
      </c>
      <c r="M371" s="13">
        <v>1.5</v>
      </c>
      <c r="P371" s="12" t="s">
        <v>14</v>
      </c>
      <c r="Q371" s="12"/>
      <c r="R371" s="12"/>
      <c r="T371">
        <f t="shared" si="10"/>
        <v>1.88</v>
      </c>
      <c r="U371">
        <f t="shared" si="11"/>
        <v>2.1645072260497766</v>
      </c>
    </row>
    <row r="372" spans="1:21">
      <c r="A372" s="12">
        <v>30</v>
      </c>
      <c r="B372" s="12">
        <v>30</v>
      </c>
      <c r="C372" s="11">
        <v>39.177377799053929</v>
      </c>
      <c r="D372" s="11">
        <v>30.783382434720195</v>
      </c>
      <c r="E372" s="11"/>
      <c r="F372" s="12">
        <v>206</v>
      </c>
      <c r="G372" s="12" t="s">
        <v>11</v>
      </c>
      <c r="H372" s="13"/>
      <c r="I372" s="14">
        <v>1.89</v>
      </c>
      <c r="J372" s="14" t="s">
        <v>70</v>
      </c>
      <c r="K372" s="14"/>
      <c r="L372" s="13">
        <v>2.9</v>
      </c>
      <c r="M372" s="13">
        <v>0.1</v>
      </c>
      <c r="P372" s="12" t="s">
        <v>14</v>
      </c>
      <c r="Q372" s="12"/>
      <c r="R372" s="12"/>
      <c r="T372">
        <f t="shared" si="10"/>
        <v>1.89</v>
      </c>
      <c r="U372" t="str">
        <f t="shared" si="11"/>
        <v>dead</v>
      </c>
    </row>
    <row r="373" spans="1:21">
      <c r="A373" s="12">
        <v>40</v>
      </c>
      <c r="B373" s="12">
        <v>30</v>
      </c>
      <c r="C373" s="11">
        <v>48.75869591198731</v>
      </c>
      <c r="D373" s="11">
        <v>30.571359368335063</v>
      </c>
      <c r="E373" s="11"/>
      <c r="F373" s="10">
        <v>331</v>
      </c>
      <c r="G373" s="12" t="s">
        <v>30</v>
      </c>
      <c r="H373" s="13"/>
      <c r="I373" s="14">
        <v>1.93</v>
      </c>
      <c r="J373" s="14">
        <v>7</v>
      </c>
      <c r="K373" s="14"/>
      <c r="L373" s="13">
        <v>3.2</v>
      </c>
      <c r="M373" s="13">
        <v>1.2</v>
      </c>
      <c r="P373" s="12" t="s">
        <v>14</v>
      </c>
      <c r="Q373" s="12"/>
      <c r="R373" s="12"/>
      <c r="T373">
        <f t="shared" si="10"/>
        <v>1.93</v>
      </c>
      <c r="U373">
        <f t="shared" si="11"/>
        <v>2.228169203286535</v>
      </c>
    </row>
    <row r="374" spans="1:21">
      <c r="A374" s="12">
        <v>20</v>
      </c>
      <c r="B374" s="12">
        <v>-20</v>
      </c>
      <c r="C374" s="11">
        <v>22.928535532501993</v>
      </c>
      <c r="D374" s="11">
        <v>-15.546855049030304</v>
      </c>
      <c r="E374" s="11"/>
      <c r="F374" s="10">
        <v>569</v>
      </c>
      <c r="G374" s="12" t="s">
        <v>21</v>
      </c>
      <c r="H374" s="13"/>
      <c r="I374" s="14">
        <v>1.94</v>
      </c>
      <c r="J374" s="14"/>
      <c r="K374" s="14">
        <v>27.1</v>
      </c>
      <c r="L374" s="13">
        <v>3.9</v>
      </c>
      <c r="M374" s="13">
        <v>1.1000000000000001</v>
      </c>
      <c r="P374" s="12" t="s">
        <v>14</v>
      </c>
      <c r="Q374" s="12"/>
      <c r="R374" s="12"/>
      <c r="T374">
        <f t="shared" si="10"/>
        <v>1.94</v>
      </c>
      <c r="U374">
        <f t="shared" si="11"/>
        <v>27.1</v>
      </c>
    </row>
    <row r="375" spans="1:21">
      <c r="A375" s="12">
        <v>30</v>
      </c>
      <c r="B375" s="12">
        <v>-30</v>
      </c>
      <c r="C375" s="11">
        <v>32.394255554027595</v>
      </c>
      <c r="D375" s="11">
        <v>-28.134982504099689</v>
      </c>
      <c r="E375" s="11"/>
      <c r="F375" s="10">
        <v>671</v>
      </c>
      <c r="G375" s="12" t="s">
        <v>11</v>
      </c>
      <c r="H375" s="13"/>
      <c r="I375" s="14">
        <v>1.94</v>
      </c>
      <c r="J375" s="14"/>
      <c r="K375" s="14">
        <v>25.3</v>
      </c>
      <c r="L375" s="13">
        <v>2.9</v>
      </c>
      <c r="M375" s="13">
        <v>0.2</v>
      </c>
      <c r="P375" s="12" t="s">
        <v>14</v>
      </c>
      <c r="Q375" s="12"/>
      <c r="R375" s="12"/>
      <c r="S375" t="s">
        <v>121</v>
      </c>
      <c r="T375">
        <f t="shared" si="10"/>
        <v>1.94</v>
      </c>
      <c r="U375">
        <f t="shared" si="11"/>
        <v>25.3</v>
      </c>
    </row>
    <row r="376" spans="1:21">
      <c r="A376" s="12">
        <v>30</v>
      </c>
      <c r="B376" s="12">
        <v>-30</v>
      </c>
      <c r="C376" s="11">
        <v>30.694094957487589</v>
      </c>
      <c r="D376" s="11">
        <v>-25.002072789353459</v>
      </c>
      <c r="E376" s="11"/>
      <c r="F376" s="10">
        <v>665</v>
      </c>
      <c r="G376" s="12" t="s">
        <v>11</v>
      </c>
      <c r="H376" s="13"/>
      <c r="I376" s="14">
        <v>1.96</v>
      </c>
      <c r="J376" s="14" t="s">
        <v>70</v>
      </c>
      <c r="K376" s="14"/>
      <c r="L376" s="13">
        <v>3.2</v>
      </c>
      <c r="M376" s="13"/>
      <c r="P376" s="12" t="s">
        <v>12</v>
      </c>
      <c r="Q376" s="12"/>
      <c r="R376" s="12"/>
      <c r="T376">
        <f t="shared" si="10"/>
        <v>1.96</v>
      </c>
      <c r="U376" t="str">
        <f t="shared" si="11"/>
        <v>dead</v>
      </c>
    </row>
    <row r="377" spans="1:21">
      <c r="A377" s="12">
        <v>30</v>
      </c>
      <c r="B377" s="12">
        <v>10</v>
      </c>
      <c r="C377" s="11">
        <v>36.223984999037157</v>
      </c>
      <c r="D377" s="11">
        <v>18.902543517144998</v>
      </c>
      <c r="E377" s="11"/>
      <c r="F377" s="12">
        <v>216</v>
      </c>
      <c r="G377" s="12" t="s">
        <v>11</v>
      </c>
      <c r="H377" s="13"/>
      <c r="I377" s="14">
        <v>1.97</v>
      </c>
      <c r="J377" s="14">
        <v>9.1</v>
      </c>
      <c r="K377" s="14"/>
      <c r="L377" s="13">
        <v>2.8</v>
      </c>
      <c r="M377" s="13">
        <v>0.2</v>
      </c>
      <c r="P377" s="12" t="s">
        <v>14</v>
      </c>
      <c r="Q377" s="12"/>
      <c r="R377" s="12"/>
      <c r="T377">
        <f t="shared" si="10"/>
        <v>1.97</v>
      </c>
      <c r="U377">
        <f t="shared" si="11"/>
        <v>2.896619964272495</v>
      </c>
    </row>
    <row r="378" spans="1:21">
      <c r="A378" s="12">
        <v>30</v>
      </c>
      <c r="B378" s="12">
        <v>-30</v>
      </c>
      <c r="C378" s="11">
        <v>30.382963040855245</v>
      </c>
      <c r="D378" s="11">
        <v>-25.476626635926436</v>
      </c>
      <c r="E378" s="11"/>
      <c r="F378" s="12">
        <v>666</v>
      </c>
      <c r="G378" s="12" t="s">
        <v>11</v>
      </c>
      <c r="H378" s="13"/>
      <c r="I378" s="14">
        <v>1.97</v>
      </c>
      <c r="J378" s="14">
        <v>9</v>
      </c>
      <c r="K378" s="14"/>
      <c r="L378" s="13">
        <v>2.8</v>
      </c>
      <c r="M378" s="13">
        <v>0.2</v>
      </c>
      <c r="P378" s="12" t="s">
        <v>14</v>
      </c>
      <c r="Q378" s="12"/>
      <c r="R378" s="12"/>
      <c r="S378" t="s">
        <v>120</v>
      </c>
      <c r="T378">
        <f t="shared" si="10"/>
        <v>1.97</v>
      </c>
      <c r="U378">
        <f t="shared" si="11"/>
        <v>2.8647889756541161</v>
      </c>
    </row>
    <row r="379" spans="1:21">
      <c r="A379" s="9">
        <v>0</v>
      </c>
      <c r="B379" s="12">
        <v>10</v>
      </c>
      <c r="C379" s="11">
        <v>6.5904406558154331</v>
      </c>
      <c r="D379" s="11">
        <v>17.622165379895907</v>
      </c>
      <c r="E379" s="11"/>
      <c r="F379" s="10">
        <v>25</v>
      </c>
      <c r="G379" s="12" t="s">
        <v>13</v>
      </c>
      <c r="H379" s="13"/>
      <c r="I379" s="14">
        <v>1.98</v>
      </c>
      <c r="J379" s="14">
        <v>6.9</v>
      </c>
      <c r="K379" s="14"/>
      <c r="L379" s="13">
        <v>3.7</v>
      </c>
      <c r="M379" s="13">
        <v>0.9</v>
      </c>
      <c r="P379" s="12" t="s">
        <v>14</v>
      </c>
      <c r="Q379" s="12"/>
      <c r="R379" s="12"/>
      <c r="T379">
        <f t="shared" si="10"/>
        <v>1.98</v>
      </c>
      <c r="U379">
        <f t="shared" si="11"/>
        <v>2.196338214668156</v>
      </c>
    </row>
    <row r="380" spans="1:21">
      <c r="A380" s="9">
        <v>0</v>
      </c>
      <c r="B380" s="12">
        <v>20</v>
      </c>
      <c r="C380" s="11">
        <v>0.32706413342566815</v>
      </c>
      <c r="D380" s="11">
        <v>28.513720047818492</v>
      </c>
      <c r="E380" s="11"/>
      <c r="F380" s="12">
        <v>48</v>
      </c>
      <c r="G380" s="12" t="s">
        <v>11</v>
      </c>
      <c r="H380" s="13"/>
      <c r="I380" s="14">
        <v>1.98</v>
      </c>
      <c r="J380" s="14" t="s">
        <v>70</v>
      </c>
      <c r="K380" s="14"/>
      <c r="L380" s="13">
        <v>2.8</v>
      </c>
      <c r="M380" s="13"/>
      <c r="P380" s="12" t="s">
        <v>12</v>
      </c>
      <c r="Q380" s="12"/>
      <c r="R380" s="12"/>
      <c r="T380">
        <f t="shared" si="10"/>
        <v>1.98</v>
      </c>
      <c r="U380" t="str">
        <f t="shared" si="11"/>
        <v>dead</v>
      </c>
    </row>
    <row r="381" spans="1:21">
      <c r="A381" s="12">
        <v>30</v>
      </c>
      <c r="B381" s="12">
        <v>-10</v>
      </c>
      <c r="C381" s="11">
        <v>36.443441690078132</v>
      </c>
      <c r="D381" s="11">
        <v>-2.0492143163001968</v>
      </c>
      <c r="E381" s="11"/>
      <c r="F381" s="12">
        <v>438</v>
      </c>
      <c r="G381" s="12" t="s">
        <v>13</v>
      </c>
      <c r="H381" s="13"/>
      <c r="I381" s="14">
        <v>1.99</v>
      </c>
      <c r="J381" s="14"/>
      <c r="K381" s="14">
        <v>20.8</v>
      </c>
      <c r="L381" s="13">
        <v>2.4</v>
      </c>
      <c r="M381" s="13">
        <v>0.9</v>
      </c>
      <c r="P381" s="12" t="s">
        <v>14</v>
      </c>
      <c r="Q381" s="12"/>
      <c r="R381" s="12"/>
      <c r="T381">
        <f t="shared" si="10"/>
        <v>1.99</v>
      </c>
      <c r="U381">
        <f t="shared" si="11"/>
        <v>20.8</v>
      </c>
    </row>
    <row r="382" spans="1:21">
      <c r="A382" s="12">
        <v>10</v>
      </c>
      <c r="B382" s="12">
        <v>20</v>
      </c>
      <c r="C382" s="11">
        <v>19.312191825432201</v>
      </c>
      <c r="D382" s="11">
        <v>28.19753907570496</v>
      </c>
      <c r="E382" s="11"/>
      <c r="F382" s="10">
        <v>95</v>
      </c>
      <c r="G382" s="12" t="s">
        <v>13</v>
      </c>
      <c r="H382" s="13"/>
      <c r="I382" s="14">
        <v>2.02</v>
      </c>
      <c r="J382" s="14"/>
      <c r="K382" s="14">
        <v>27.4</v>
      </c>
      <c r="L382" s="13">
        <v>3.4</v>
      </c>
      <c r="M382" s="13">
        <v>0.7</v>
      </c>
      <c r="P382" s="12" t="s">
        <v>14</v>
      </c>
      <c r="Q382" s="12"/>
      <c r="R382" s="12"/>
      <c r="T382">
        <f t="shared" si="10"/>
        <v>2.02</v>
      </c>
      <c r="U382">
        <f t="shared" si="11"/>
        <v>27.4</v>
      </c>
    </row>
    <row r="383" spans="1:21">
      <c r="A383" s="12">
        <v>30</v>
      </c>
      <c r="B383" s="12">
        <v>-20</v>
      </c>
      <c r="C383" s="11">
        <v>38.614147537104941</v>
      </c>
      <c r="D383" s="11">
        <v>-15.817199751692192</v>
      </c>
      <c r="E383" s="11"/>
      <c r="F383" s="12">
        <v>516</v>
      </c>
      <c r="G383" s="12" t="s">
        <v>21</v>
      </c>
      <c r="H383" s="13"/>
      <c r="I383" s="14">
        <v>2.0299999999999998</v>
      </c>
      <c r="J383" s="14"/>
      <c r="K383" s="31">
        <v>24.7</v>
      </c>
      <c r="L383" s="13">
        <v>3.7</v>
      </c>
      <c r="M383" s="13">
        <v>0.9</v>
      </c>
      <c r="P383" s="12" t="s">
        <v>14</v>
      </c>
      <c r="Q383" s="12"/>
      <c r="R383" s="12"/>
      <c r="T383">
        <f t="shared" si="10"/>
        <v>2.0299999999999998</v>
      </c>
      <c r="U383">
        <f t="shared" si="11"/>
        <v>24.7</v>
      </c>
    </row>
    <row r="384" spans="1:21">
      <c r="A384" s="12">
        <v>40</v>
      </c>
      <c r="B384" s="12">
        <v>20</v>
      </c>
      <c r="C384" s="11">
        <v>42.367641332774518</v>
      </c>
      <c r="D384" s="11">
        <v>29.524366008498795</v>
      </c>
      <c r="E384" s="11"/>
      <c r="F384" s="12">
        <v>296</v>
      </c>
      <c r="G384" s="12" t="s">
        <v>13</v>
      </c>
      <c r="H384" s="13"/>
      <c r="I384" s="14">
        <v>2.0499999999999998</v>
      </c>
      <c r="J384" s="31">
        <v>7.2</v>
      </c>
      <c r="K384" s="14"/>
      <c r="L384" s="13">
        <v>3</v>
      </c>
      <c r="M384" s="13">
        <v>2.2000000000000002</v>
      </c>
      <c r="P384" s="12" t="s">
        <v>14</v>
      </c>
      <c r="Q384" s="12"/>
      <c r="R384" s="12"/>
      <c r="T384">
        <f t="shared" si="10"/>
        <v>2.0499999999999998</v>
      </c>
      <c r="U384">
        <f t="shared" si="11"/>
        <v>2.2918311805232929</v>
      </c>
    </row>
    <row r="385" spans="1:21">
      <c r="A385" s="9">
        <v>0</v>
      </c>
      <c r="B385" s="12">
        <v>20</v>
      </c>
      <c r="C385" s="11">
        <v>1.7956392668405727</v>
      </c>
      <c r="D385" s="11">
        <v>29.979743464808116</v>
      </c>
      <c r="E385" s="11"/>
      <c r="F385" s="10">
        <v>47</v>
      </c>
      <c r="G385" s="12" t="s">
        <v>11</v>
      </c>
      <c r="H385" s="13"/>
      <c r="I385" s="14">
        <v>2.06</v>
      </c>
      <c r="J385" s="14">
        <v>11.2</v>
      </c>
      <c r="K385" s="14"/>
      <c r="L385" s="13">
        <v>3.3</v>
      </c>
      <c r="M385" s="13">
        <v>0.2</v>
      </c>
      <c r="P385" s="12" t="s">
        <v>14</v>
      </c>
      <c r="Q385" s="12"/>
      <c r="R385" s="12"/>
      <c r="T385">
        <f t="shared" si="10"/>
        <v>2.06</v>
      </c>
      <c r="U385">
        <f t="shared" si="11"/>
        <v>3.5650707252584555</v>
      </c>
    </row>
    <row r="386" spans="1:21">
      <c r="A386" s="12">
        <v>30</v>
      </c>
      <c r="B386" s="12">
        <v>10</v>
      </c>
      <c r="C386" s="11">
        <v>32.1725155843124</v>
      </c>
      <c r="D386" s="11">
        <v>17.931141368792993</v>
      </c>
      <c r="E386" s="11"/>
      <c r="F386" s="12">
        <v>218</v>
      </c>
      <c r="G386" s="12" t="s">
        <v>13</v>
      </c>
      <c r="H386" s="13"/>
      <c r="I386" s="14">
        <v>2.06</v>
      </c>
      <c r="J386" s="14"/>
      <c r="K386" s="14">
        <v>21.5</v>
      </c>
      <c r="L386" s="13">
        <v>2.4</v>
      </c>
      <c r="M386" s="13">
        <v>1.1000000000000001</v>
      </c>
      <c r="P386" s="12" t="s">
        <v>14</v>
      </c>
      <c r="Q386" s="12"/>
      <c r="R386" s="12"/>
      <c r="T386">
        <f t="shared" ref="T386:T449" si="12">IF(H386="",I386,H386/PI())</f>
        <v>2.06</v>
      </c>
      <c r="U386">
        <f t="shared" ref="U386:U449" si="13">IF(J386="dead","dead",J386/PI()+K386)</f>
        <v>21.5</v>
      </c>
    </row>
    <row r="387" spans="1:21">
      <c r="A387" s="12">
        <v>40</v>
      </c>
      <c r="B387" s="12">
        <v>30</v>
      </c>
      <c r="C387" s="11">
        <v>48.684961231235185</v>
      </c>
      <c r="D387" s="11">
        <v>30.874263151030185</v>
      </c>
      <c r="E387" s="11"/>
      <c r="F387" s="12">
        <v>332</v>
      </c>
      <c r="G387" s="12" t="s">
        <v>30</v>
      </c>
      <c r="H387" s="13"/>
      <c r="I387" s="14">
        <v>2.0699999999999998</v>
      </c>
      <c r="J387" s="14">
        <v>9</v>
      </c>
      <c r="K387" s="14"/>
      <c r="L387" s="13">
        <v>3.6</v>
      </c>
      <c r="M387" s="13">
        <v>1.5</v>
      </c>
      <c r="P387" s="12" t="s">
        <v>14</v>
      </c>
      <c r="Q387" s="12"/>
      <c r="R387" s="12"/>
      <c r="T387">
        <f t="shared" si="12"/>
        <v>2.0699999999999998</v>
      </c>
      <c r="U387">
        <f t="shared" si="13"/>
        <v>2.8647889756541161</v>
      </c>
    </row>
    <row r="388" spans="1:21">
      <c r="A388" s="12">
        <v>30</v>
      </c>
      <c r="B388" s="12">
        <v>0</v>
      </c>
      <c r="C388" s="11">
        <v>33.894852414965456</v>
      </c>
      <c r="D388" s="11">
        <v>9.4075223287711989</v>
      </c>
      <c r="E388" s="11"/>
      <c r="F388" s="10">
        <v>247</v>
      </c>
      <c r="G388" s="12" t="s">
        <v>13</v>
      </c>
      <c r="H388" s="13"/>
      <c r="I388" s="14">
        <v>2.08</v>
      </c>
      <c r="J388" s="14"/>
      <c r="K388" s="14">
        <v>22.2</v>
      </c>
      <c r="L388" s="13">
        <v>3</v>
      </c>
      <c r="M388" s="13">
        <v>2</v>
      </c>
      <c r="P388" s="12" t="s">
        <v>14</v>
      </c>
      <c r="Q388" s="12"/>
      <c r="R388" s="12"/>
      <c r="T388">
        <f t="shared" si="12"/>
        <v>2.08</v>
      </c>
      <c r="U388">
        <f t="shared" si="13"/>
        <v>22.2</v>
      </c>
    </row>
    <row r="389" spans="1:21">
      <c r="A389" s="12">
        <v>40</v>
      </c>
      <c r="B389" s="12">
        <v>30</v>
      </c>
      <c r="C389" s="11">
        <v>48.923210114886899</v>
      </c>
      <c r="D389" s="11">
        <v>30.400201900908641</v>
      </c>
      <c r="E389" s="11"/>
      <c r="F389" s="10">
        <v>321</v>
      </c>
      <c r="G389" s="12" t="s">
        <v>30</v>
      </c>
      <c r="H389" s="13"/>
      <c r="I389" s="14">
        <v>2.08</v>
      </c>
      <c r="J389" s="14">
        <v>8.5</v>
      </c>
      <c r="K389" s="14"/>
      <c r="L389" s="13">
        <v>3.3</v>
      </c>
      <c r="M389" s="13">
        <v>1.1000000000000001</v>
      </c>
      <c r="P389" s="12" t="s">
        <v>14</v>
      </c>
      <c r="Q389" s="12"/>
      <c r="R389" s="12"/>
      <c r="T389">
        <f t="shared" si="12"/>
        <v>2.08</v>
      </c>
      <c r="U389">
        <f t="shared" si="13"/>
        <v>2.7056340325622208</v>
      </c>
    </row>
    <row r="390" spans="1:21">
      <c r="A390" s="12">
        <v>20</v>
      </c>
      <c r="B390" s="12">
        <v>-30</v>
      </c>
      <c r="C390" s="11">
        <v>24.625619283291407</v>
      </c>
      <c r="D390" s="11">
        <v>-25.803803228217753</v>
      </c>
      <c r="E390" s="11"/>
      <c r="F390" s="12">
        <v>642</v>
      </c>
      <c r="G390" s="12" t="s">
        <v>13</v>
      </c>
      <c r="H390" s="13"/>
      <c r="I390" s="14">
        <v>2.09</v>
      </c>
      <c r="J390" s="14"/>
      <c r="K390" s="14">
        <v>23</v>
      </c>
      <c r="L390" s="13">
        <v>3.9</v>
      </c>
      <c r="M390" s="13">
        <v>1.8</v>
      </c>
      <c r="P390" s="12" t="s">
        <v>14</v>
      </c>
      <c r="Q390" s="12"/>
      <c r="R390" s="12"/>
      <c r="T390">
        <f t="shared" si="12"/>
        <v>2.09</v>
      </c>
      <c r="U390">
        <f t="shared" si="13"/>
        <v>23</v>
      </c>
    </row>
    <row r="391" spans="1:21">
      <c r="A391" s="12">
        <v>30</v>
      </c>
      <c r="B391" s="12">
        <v>10</v>
      </c>
      <c r="C391" s="11">
        <v>37.037694491441883</v>
      </c>
      <c r="D391" s="11">
        <v>18.258346692039844</v>
      </c>
      <c r="E391" s="11"/>
      <c r="F391" s="12">
        <v>214</v>
      </c>
      <c r="G391" s="12" t="s">
        <v>11</v>
      </c>
      <c r="H391" s="13"/>
      <c r="I391" s="14">
        <v>2.1</v>
      </c>
      <c r="J391" s="14">
        <v>9.5</v>
      </c>
      <c r="K391" s="14"/>
      <c r="L391" s="13">
        <v>2.5</v>
      </c>
      <c r="M391" s="13">
        <v>0.3</v>
      </c>
      <c r="P391" s="12" t="s">
        <v>14</v>
      </c>
      <c r="Q391" s="12"/>
      <c r="R391" s="12"/>
      <c r="T391">
        <f t="shared" si="12"/>
        <v>2.1</v>
      </c>
      <c r="U391">
        <f t="shared" si="13"/>
        <v>3.0239439187460113</v>
      </c>
    </row>
    <row r="392" spans="1:21">
      <c r="A392" s="12">
        <v>20</v>
      </c>
      <c r="B392" s="12">
        <v>10</v>
      </c>
      <c r="C392" s="11">
        <v>26.909703103773136</v>
      </c>
      <c r="D392" s="11">
        <v>14.486493813815263</v>
      </c>
      <c r="E392" s="11"/>
      <c r="F392" s="10">
        <v>159</v>
      </c>
      <c r="G392" s="12" t="s">
        <v>21</v>
      </c>
      <c r="H392" s="13"/>
      <c r="I392" s="14">
        <v>2.12</v>
      </c>
      <c r="J392" s="14">
        <v>9.5</v>
      </c>
      <c r="K392" s="14"/>
      <c r="L392" s="13">
        <v>3.5</v>
      </c>
      <c r="M392" s="13">
        <v>0.9</v>
      </c>
      <c r="P392" s="12" t="s">
        <v>14</v>
      </c>
      <c r="Q392" s="12"/>
      <c r="R392" s="12"/>
      <c r="T392">
        <f t="shared" si="12"/>
        <v>2.12</v>
      </c>
      <c r="U392">
        <f t="shared" si="13"/>
        <v>3.0239439187460113</v>
      </c>
    </row>
    <row r="393" spans="1:21">
      <c r="A393" s="12">
        <v>30</v>
      </c>
      <c r="B393" s="12">
        <v>30</v>
      </c>
      <c r="C393" s="11">
        <v>34.511392259886222</v>
      </c>
      <c r="D393" s="11">
        <v>39.264884580685361</v>
      </c>
      <c r="E393" s="11"/>
      <c r="F393" s="12">
        <v>204</v>
      </c>
      <c r="G393" s="12" t="s">
        <v>11</v>
      </c>
      <c r="H393" s="13"/>
      <c r="I393" s="14">
        <v>2.12</v>
      </c>
      <c r="J393" s="14">
        <v>11.3</v>
      </c>
      <c r="K393" s="14"/>
      <c r="L393" s="13">
        <v>3.3</v>
      </c>
      <c r="M393" s="13">
        <v>0.1</v>
      </c>
      <c r="P393" s="12" t="s">
        <v>14</v>
      </c>
      <c r="Q393" s="12"/>
      <c r="R393" s="12"/>
      <c r="T393">
        <f t="shared" si="12"/>
        <v>2.12</v>
      </c>
      <c r="U393">
        <f t="shared" si="13"/>
        <v>3.5969017138768349</v>
      </c>
    </row>
    <row r="394" spans="1:21">
      <c r="A394" s="12">
        <v>0</v>
      </c>
      <c r="B394" s="12">
        <v>-30</v>
      </c>
      <c r="C394" s="11">
        <v>3.6767165407509381</v>
      </c>
      <c r="D394" s="11">
        <v>-20.101695673448518</v>
      </c>
      <c r="E394" s="11"/>
      <c r="F394" s="10">
        <v>601</v>
      </c>
      <c r="G394" s="12" t="s">
        <v>11</v>
      </c>
      <c r="H394" s="13"/>
      <c r="I394" s="14">
        <v>2.12</v>
      </c>
      <c r="J394" s="14">
        <v>10</v>
      </c>
      <c r="K394" s="14"/>
      <c r="L394" s="13">
        <v>3.2</v>
      </c>
      <c r="M394" s="13">
        <v>0.3</v>
      </c>
      <c r="P394" s="12" t="s">
        <v>14</v>
      </c>
      <c r="Q394" s="12"/>
      <c r="R394" s="12"/>
      <c r="T394">
        <f t="shared" si="12"/>
        <v>2.12</v>
      </c>
      <c r="U394">
        <f t="shared" si="13"/>
        <v>3.183098861837907</v>
      </c>
    </row>
    <row r="395" spans="1:21">
      <c r="A395" s="12">
        <v>30</v>
      </c>
      <c r="B395" s="12">
        <v>10</v>
      </c>
      <c r="C395" s="11">
        <v>32.119407180101206</v>
      </c>
      <c r="D395" s="11">
        <v>17.114776749550312</v>
      </c>
      <c r="E395" s="11"/>
      <c r="F395" s="12">
        <v>226</v>
      </c>
      <c r="G395" s="12" t="s">
        <v>13</v>
      </c>
      <c r="H395" s="13"/>
      <c r="I395" s="14">
        <v>2.13</v>
      </c>
      <c r="J395" s="14">
        <v>7.9</v>
      </c>
      <c r="K395" s="14"/>
      <c r="L395" s="13">
        <v>1.9</v>
      </c>
      <c r="M395" s="13">
        <v>1.5</v>
      </c>
      <c r="P395" s="12" t="s">
        <v>14</v>
      </c>
      <c r="Q395" s="12"/>
      <c r="R395" s="12" t="s">
        <v>16</v>
      </c>
      <c r="T395">
        <f t="shared" si="12"/>
        <v>2.13</v>
      </c>
      <c r="U395">
        <f t="shared" si="13"/>
        <v>2.5146481008519466</v>
      </c>
    </row>
    <row r="396" spans="1:21">
      <c r="A396" s="12">
        <v>20</v>
      </c>
      <c r="B396" s="12">
        <v>0</v>
      </c>
      <c r="C396" s="11">
        <v>29.141634328646191</v>
      </c>
      <c r="D396" s="11">
        <v>7.350062707305125</v>
      </c>
      <c r="E396" s="11"/>
      <c r="F396" s="10">
        <v>125</v>
      </c>
      <c r="G396" s="12" t="s">
        <v>11</v>
      </c>
      <c r="H396" s="13"/>
      <c r="I396" s="14">
        <v>2.14</v>
      </c>
      <c r="J396" s="14" t="s">
        <v>70</v>
      </c>
      <c r="K396" s="14"/>
      <c r="L396" s="13">
        <v>2.9</v>
      </c>
      <c r="M396" s="13"/>
      <c r="N396" s="32"/>
      <c r="O396" s="32"/>
      <c r="P396" s="12" t="s">
        <v>12</v>
      </c>
      <c r="Q396" s="12"/>
      <c r="R396" s="12"/>
      <c r="S396" s="32" t="s">
        <v>78</v>
      </c>
      <c r="T396">
        <f t="shared" si="12"/>
        <v>2.14</v>
      </c>
      <c r="U396" t="str">
        <f t="shared" si="13"/>
        <v>dead</v>
      </c>
    </row>
    <row r="397" spans="1:21">
      <c r="A397" s="12">
        <v>40</v>
      </c>
      <c r="B397" s="12">
        <v>30</v>
      </c>
      <c r="C397" s="11">
        <v>48.911560240158103</v>
      </c>
      <c r="D397" s="11">
        <v>31.005618482119225</v>
      </c>
      <c r="E397" s="11"/>
      <c r="F397" s="12">
        <v>334</v>
      </c>
      <c r="G397" s="12" t="s">
        <v>30</v>
      </c>
      <c r="H397" s="13"/>
      <c r="I397" s="14">
        <v>2.14</v>
      </c>
      <c r="J397" s="14">
        <v>12.5</v>
      </c>
      <c r="K397" s="14"/>
      <c r="L397" s="13">
        <v>1.7</v>
      </c>
      <c r="M397" s="13">
        <v>0.9</v>
      </c>
      <c r="P397" s="12" t="s">
        <v>14</v>
      </c>
      <c r="Q397" s="12"/>
      <c r="R397" s="12" t="s">
        <v>31</v>
      </c>
      <c r="T397">
        <f t="shared" si="12"/>
        <v>2.14</v>
      </c>
      <c r="U397">
        <f t="shared" si="13"/>
        <v>3.9788735772973833</v>
      </c>
    </row>
    <row r="398" spans="1:21">
      <c r="A398" s="12">
        <v>20</v>
      </c>
      <c r="B398" s="12">
        <v>-30</v>
      </c>
      <c r="C398" s="11">
        <v>20.068510563484196</v>
      </c>
      <c r="D398" s="11">
        <v>-22.494617720688876</v>
      </c>
      <c r="E398" s="11"/>
      <c r="F398" s="12">
        <v>630</v>
      </c>
      <c r="G398" s="12" t="s">
        <v>11</v>
      </c>
      <c r="H398" s="13"/>
      <c r="I398" s="14">
        <v>2.14</v>
      </c>
      <c r="J398" s="14"/>
      <c r="K398" s="14">
        <v>28.2</v>
      </c>
      <c r="L398" s="13">
        <v>3.6</v>
      </c>
      <c r="M398" s="13">
        <v>0.7</v>
      </c>
      <c r="P398" s="12" t="s">
        <v>14</v>
      </c>
      <c r="Q398" s="12"/>
      <c r="R398" s="12"/>
      <c r="T398">
        <f t="shared" si="12"/>
        <v>2.14</v>
      </c>
      <c r="U398">
        <f t="shared" si="13"/>
        <v>28.2</v>
      </c>
    </row>
    <row r="399" spans="1:21">
      <c r="A399" s="12">
        <v>40</v>
      </c>
      <c r="B399" s="12">
        <v>-50</v>
      </c>
      <c r="C399" s="11">
        <v>45.382901456243502</v>
      </c>
      <c r="D399" s="11">
        <v>-40.852567834469262</v>
      </c>
      <c r="E399" s="11"/>
      <c r="F399" s="12">
        <v>828</v>
      </c>
      <c r="G399" s="12" t="s">
        <v>13</v>
      </c>
      <c r="H399" s="13"/>
      <c r="I399" s="14">
        <v>2.14</v>
      </c>
      <c r="J399" s="14">
        <v>8.6</v>
      </c>
      <c r="K399" s="14"/>
      <c r="L399" s="13">
        <v>3.6</v>
      </c>
      <c r="M399" s="13">
        <v>1.5</v>
      </c>
      <c r="P399" s="12" t="s">
        <v>14</v>
      </c>
      <c r="Q399" s="12"/>
      <c r="R399" s="12"/>
      <c r="S399" t="s">
        <v>134</v>
      </c>
      <c r="T399">
        <f t="shared" si="12"/>
        <v>2.14</v>
      </c>
      <c r="U399">
        <f t="shared" si="13"/>
        <v>2.7374650211805998</v>
      </c>
    </row>
    <row r="400" spans="1:21">
      <c r="A400" s="12">
        <v>20</v>
      </c>
      <c r="B400" s="12">
        <v>-30</v>
      </c>
      <c r="C400" s="11">
        <v>20.777557086264643</v>
      </c>
      <c r="D400" s="11">
        <v>-22.907825081206319</v>
      </c>
      <c r="E400" s="11"/>
      <c r="F400" s="10">
        <v>633</v>
      </c>
      <c r="G400" s="12" t="s">
        <v>11</v>
      </c>
      <c r="H400" s="13"/>
      <c r="I400" s="14">
        <v>2.1800000000000002</v>
      </c>
      <c r="J400" s="14" t="s">
        <v>70</v>
      </c>
      <c r="K400" s="14"/>
      <c r="L400" s="13">
        <v>3.8</v>
      </c>
      <c r="M400" s="13"/>
      <c r="P400" s="12" t="s">
        <v>12</v>
      </c>
      <c r="Q400" s="12"/>
      <c r="R400" s="12"/>
      <c r="T400">
        <f t="shared" si="12"/>
        <v>2.1800000000000002</v>
      </c>
      <c r="U400" t="str">
        <f t="shared" si="13"/>
        <v>dead</v>
      </c>
    </row>
    <row r="401" spans="1:21">
      <c r="A401" s="12">
        <v>30</v>
      </c>
      <c r="B401" s="12">
        <v>-20</v>
      </c>
      <c r="C401" s="11">
        <v>35.588236187970651</v>
      </c>
      <c r="D401" s="11">
        <v>-16.565397175104358</v>
      </c>
      <c r="E401" s="11"/>
      <c r="F401" s="12">
        <v>522</v>
      </c>
      <c r="G401" s="12" t="s">
        <v>11</v>
      </c>
      <c r="H401" s="13"/>
      <c r="I401" s="14">
        <v>2.2000000000000002</v>
      </c>
      <c r="J401" s="14">
        <v>10.6</v>
      </c>
      <c r="K401" s="14"/>
      <c r="L401" s="13">
        <v>3.3</v>
      </c>
      <c r="M401" s="13">
        <v>0</v>
      </c>
      <c r="P401" s="12" t="s">
        <v>14</v>
      </c>
      <c r="Q401" s="12"/>
      <c r="R401" s="12"/>
      <c r="T401">
        <f t="shared" si="12"/>
        <v>2.2000000000000002</v>
      </c>
      <c r="U401">
        <f t="shared" si="13"/>
        <v>3.3740847935481812</v>
      </c>
    </row>
    <row r="402" spans="1:21">
      <c r="A402" s="12">
        <v>20</v>
      </c>
      <c r="B402" s="12">
        <v>-20</v>
      </c>
      <c r="C402" s="11">
        <v>24.662897967014203</v>
      </c>
      <c r="D402" s="11">
        <v>-31.711201556181109</v>
      </c>
      <c r="E402" s="11"/>
      <c r="F402" s="12">
        <v>718</v>
      </c>
      <c r="G402" s="12" t="s">
        <v>21</v>
      </c>
      <c r="H402" s="13"/>
      <c r="I402" s="14">
        <v>2.21</v>
      </c>
      <c r="J402" s="14"/>
      <c r="K402" s="14">
        <v>9.6</v>
      </c>
      <c r="L402" s="13">
        <v>2.2999999999999998</v>
      </c>
      <c r="M402" s="13">
        <v>1.2</v>
      </c>
      <c r="P402" s="12" t="s">
        <v>14</v>
      </c>
      <c r="Q402" s="12"/>
      <c r="R402" s="12"/>
      <c r="S402" t="s">
        <v>131</v>
      </c>
      <c r="T402">
        <f t="shared" si="12"/>
        <v>2.21</v>
      </c>
      <c r="U402">
        <f t="shared" si="13"/>
        <v>9.6</v>
      </c>
    </row>
    <row r="403" spans="1:21">
      <c r="A403" s="12">
        <v>20</v>
      </c>
      <c r="B403" s="12">
        <v>30</v>
      </c>
      <c r="C403" s="11">
        <v>24.907350780199291</v>
      </c>
      <c r="D403" s="11">
        <v>34.663296118381929</v>
      </c>
      <c r="E403" s="11"/>
      <c r="F403" s="12">
        <v>172</v>
      </c>
      <c r="G403" s="12" t="s">
        <v>13</v>
      </c>
      <c r="H403" s="13"/>
      <c r="I403" s="14">
        <v>2.2200000000000002</v>
      </c>
      <c r="J403" s="14">
        <v>7.7</v>
      </c>
      <c r="K403" s="14"/>
      <c r="L403" s="13">
        <v>3.6</v>
      </c>
      <c r="M403" s="13">
        <v>1.7</v>
      </c>
      <c r="P403" s="12" t="s">
        <v>14</v>
      </c>
      <c r="Q403" s="12"/>
      <c r="R403" s="12"/>
      <c r="T403">
        <f t="shared" si="12"/>
        <v>2.2200000000000002</v>
      </c>
      <c r="U403">
        <f t="shared" si="13"/>
        <v>2.4509861236151882</v>
      </c>
    </row>
    <row r="404" spans="1:21">
      <c r="A404" s="12">
        <v>40</v>
      </c>
      <c r="B404" s="12">
        <v>-10</v>
      </c>
      <c r="C404" s="11">
        <v>43.818712041029102</v>
      </c>
      <c r="D404" s="11">
        <v>-9.7061661222742828</v>
      </c>
      <c r="E404" s="11"/>
      <c r="F404" s="10">
        <v>455</v>
      </c>
      <c r="G404" s="12" t="s">
        <v>13</v>
      </c>
      <c r="H404" s="13"/>
      <c r="I404" s="14">
        <v>2.2200000000000002</v>
      </c>
      <c r="J404" s="14"/>
      <c r="K404" s="14">
        <v>23.3</v>
      </c>
      <c r="L404" s="13">
        <v>2.2999999999999998</v>
      </c>
      <c r="M404" s="13">
        <v>6</v>
      </c>
      <c r="P404" s="12" t="s">
        <v>14</v>
      </c>
      <c r="Q404" s="12"/>
      <c r="R404" s="12" t="s">
        <v>36</v>
      </c>
      <c r="T404">
        <f t="shared" si="12"/>
        <v>2.2200000000000002</v>
      </c>
      <c r="U404">
        <f t="shared" si="13"/>
        <v>23.3</v>
      </c>
    </row>
    <row r="405" spans="1:21">
      <c r="A405" s="9">
        <v>0</v>
      </c>
      <c r="B405" s="12">
        <v>30</v>
      </c>
      <c r="C405" s="11">
        <v>9.4615067739142642</v>
      </c>
      <c r="D405" s="11">
        <v>30.508067832250347</v>
      </c>
      <c r="E405" s="11"/>
      <c r="F405" s="10">
        <v>59</v>
      </c>
      <c r="G405" s="12" t="s">
        <v>11</v>
      </c>
      <c r="H405" s="13"/>
      <c r="I405" s="14">
        <v>2.23</v>
      </c>
      <c r="J405" s="14" t="s">
        <v>70</v>
      </c>
      <c r="K405" s="14"/>
      <c r="L405" s="13">
        <v>3.4</v>
      </c>
      <c r="M405" s="13">
        <v>0.2</v>
      </c>
      <c r="P405" s="12" t="s">
        <v>14</v>
      </c>
      <c r="Q405" s="12"/>
      <c r="R405" s="12"/>
      <c r="T405">
        <f t="shared" si="12"/>
        <v>2.23</v>
      </c>
      <c r="U405" t="str">
        <f t="shared" si="13"/>
        <v>dead</v>
      </c>
    </row>
    <row r="406" spans="1:21">
      <c r="A406" s="12">
        <v>10</v>
      </c>
      <c r="B406" s="12">
        <v>40</v>
      </c>
      <c r="C406" s="11">
        <v>14.7505595735526</v>
      </c>
      <c r="D406" s="11">
        <v>45.809670834839075</v>
      </c>
      <c r="E406" s="11"/>
      <c r="F406" s="12">
        <v>76</v>
      </c>
      <c r="G406" s="12" t="s">
        <v>11</v>
      </c>
      <c r="H406" s="13"/>
      <c r="I406" s="14">
        <v>2.2400000000000002</v>
      </c>
      <c r="J406" s="14" t="s">
        <v>70</v>
      </c>
      <c r="K406" s="14"/>
      <c r="L406" s="13">
        <v>3.3</v>
      </c>
      <c r="M406" s="13"/>
      <c r="P406" s="12" t="s">
        <v>12</v>
      </c>
      <c r="Q406" s="12"/>
      <c r="R406" s="12"/>
      <c r="T406">
        <f t="shared" si="12"/>
        <v>2.2400000000000002</v>
      </c>
      <c r="U406" t="str">
        <f t="shared" si="13"/>
        <v>dead</v>
      </c>
    </row>
    <row r="407" spans="1:21">
      <c r="A407" s="12">
        <v>40</v>
      </c>
      <c r="B407" s="12">
        <v>0</v>
      </c>
      <c r="C407" s="11">
        <v>41.114237411154114</v>
      </c>
      <c r="D407" s="11">
        <v>7.3877069476062651</v>
      </c>
      <c r="E407" s="11"/>
      <c r="F407" s="10">
        <v>271</v>
      </c>
      <c r="G407" s="12" t="s">
        <v>11</v>
      </c>
      <c r="H407" s="13"/>
      <c r="I407" s="14">
        <v>2.2400000000000002</v>
      </c>
      <c r="J407" s="14" t="s">
        <v>70</v>
      </c>
      <c r="K407" s="14"/>
      <c r="L407" s="13">
        <v>2.8</v>
      </c>
      <c r="M407" s="13"/>
      <c r="P407" s="12" t="s">
        <v>12</v>
      </c>
      <c r="Q407" s="12"/>
      <c r="R407" s="12"/>
      <c r="T407">
        <f t="shared" si="12"/>
        <v>2.2400000000000002</v>
      </c>
      <c r="U407" t="str">
        <f t="shared" si="13"/>
        <v>dead</v>
      </c>
    </row>
    <row r="408" spans="1:21">
      <c r="A408" s="12">
        <v>40</v>
      </c>
      <c r="B408" s="12">
        <v>10</v>
      </c>
      <c r="C408" s="11">
        <v>44.448175780776694</v>
      </c>
      <c r="D408" s="11">
        <v>11.04175147655649</v>
      </c>
      <c r="E408" s="11"/>
      <c r="F408" s="12">
        <v>280</v>
      </c>
      <c r="G408" s="12" t="s">
        <v>21</v>
      </c>
      <c r="H408" s="13"/>
      <c r="I408" s="14">
        <v>2.25</v>
      </c>
      <c r="J408" s="14"/>
      <c r="K408" s="14">
        <v>24.6</v>
      </c>
      <c r="L408" s="13">
        <v>1.7</v>
      </c>
      <c r="M408" s="13">
        <v>1.2</v>
      </c>
      <c r="P408" s="12" t="s">
        <v>14</v>
      </c>
      <c r="Q408" s="12"/>
      <c r="R408" s="12" t="s">
        <v>29</v>
      </c>
      <c r="T408">
        <f t="shared" si="12"/>
        <v>2.25</v>
      </c>
      <c r="U408">
        <f t="shared" si="13"/>
        <v>24.6</v>
      </c>
    </row>
    <row r="409" spans="1:21">
      <c r="A409" s="12">
        <v>40</v>
      </c>
      <c r="B409" s="12">
        <v>20</v>
      </c>
      <c r="C409" s="11">
        <v>41.880792813059728</v>
      </c>
      <c r="D409" s="11">
        <v>29.416600349019195</v>
      </c>
      <c r="E409" s="11"/>
      <c r="F409" s="12">
        <v>306</v>
      </c>
      <c r="G409" s="12" t="s">
        <v>13</v>
      </c>
      <c r="H409" s="13"/>
      <c r="I409" s="14">
        <v>2.25</v>
      </c>
      <c r="J409" s="14">
        <v>8</v>
      </c>
      <c r="K409" s="14"/>
      <c r="L409" s="13">
        <v>3.6</v>
      </c>
      <c r="M409" s="13">
        <v>2</v>
      </c>
      <c r="P409" s="12" t="s">
        <v>14</v>
      </c>
      <c r="Q409" s="12"/>
      <c r="R409" s="12"/>
      <c r="T409">
        <f t="shared" si="12"/>
        <v>2.25</v>
      </c>
      <c r="U409">
        <f t="shared" si="13"/>
        <v>2.5464790894703255</v>
      </c>
    </row>
    <row r="410" spans="1:21">
      <c r="A410" s="12">
        <v>40</v>
      </c>
      <c r="B410" s="12">
        <v>20</v>
      </c>
      <c r="C410" s="11">
        <v>42.430857709244037</v>
      </c>
      <c r="D410" s="11">
        <v>29.817299863635021</v>
      </c>
      <c r="E410" s="11"/>
      <c r="F410" s="12">
        <v>298</v>
      </c>
      <c r="G410" s="12" t="s">
        <v>13</v>
      </c>
      <c r="H410" s="13"/>
      <c r="I410" s="14">
        <v>2.2599999999999998</v>
      </c>
      <c r="J410" s="14">
        <v>7.7</v>
      </c>
      <c r="K410" s="14"/>
      <c r="L410" s="13">
        <v>4.3</v>
      </c>
      <c r="M410" s="13">
        <v>2</v>
      </c>
      <c r="P410" s="12" t="s">
        <v>14</v>
      </c>
      <c r="Q410" s="12"/>
      <c r="R410" s="12"/>
      <c r="T410">
        <f t="shared" si="12"/>
        <v>2.2599999999999998</v>
      </c>
      <c r="U410">
        <f t="shared" si="13"/>
        <v>2.4509861236151882</v>
      </c>
    </row>
    <row r="411" spans="1:21">
      <c r="A411" s="12">
        <v>40</v>
      </c>
      <c r="B411" s="12">
        <v>-30</v>
      </c>
      <c r="C411" s="11">
        <v>42.600771010641061</v>
      </c>
      <c r="D411" s="11">
        <v>-25.452840538415533</v>
      </c>
      <c r="E411" s="11"/>
      <c r="F411" s="10">
        <v>679</v>
      </c>
      <c r="G411" s="12" t="s">
        <v>13</v>
      </c>
      <c r="H411" s="13"/>
      <c r="I411" s="14">
        <v>2.2599999999999998</v>
      </c>
      <c r="J411" s="14" t="s">
        <v>70</v>
      </c>
      <c r="K411" s="14"/>
      <c r="L411" s="13">
        <v>1.5</v>
      </c>
      <c r="M411" s="13">
        <v>1.4</v>
      </c>
      <c r="P411" s="12" t="s">
        <v>14</v>
      </c>
      <c r="Q411" s="12"/>
      <c r="R411" s="12"/>
      <c r="T411">
        <f t="shared" si="12"/>
        <v>2.2599999999999998</v>
      </c>
      <c r="U411" t="str">
        <f t="shared" si="13"/>
        <v>dead</v>
      </c>
    </row>
    <row r="412" spans="1:21">
      <c r="A412" s="12">
        <v>20</v>
      </c>
      <c r="B412" s="12">
        <v>10</v>
      </c>
      <c r="C412" s="11">
        <v>23.814136091910594</v>
      </c>
      <c r="D412" s="11">
        <v>10.891462981270466</v>
      </c>
      <c r="E412" s="11"/>
      <c r="F412" s="12">
        <v>140</v>
      </c>
      <c r="G412" s="12" t="s">
        <v>13</v>
      </c>
      <c r="H412" s="13"/>
      <c r="I412" s="14">
        <v>2.27</v>
      </c>
      <c r="J412" s="14">
        <v>8.5</v>
      </c>
      <c r="K412" s="14"/>
      <c r="L412" s="13">
        <v>2.8</v>
      </c>
      <c r="M412" s="13">
        <v>1</v>
      </c>
      <c r="P412" s="12" t="s">
        <v>14</v>
      </c>
      <c r="Q412" s="12"/>
      <c r="R412" s="12"/>
      <c r="T412">
        <f t="shared" si="12"/>
        <v>2.27</v>
      </c>
      <c r="U412">
        <f t="shared" si="13"/>
        <v>2.7056340325622208</v>
      </c>
    </row>
    <row r="413" spans="1:21">
      <c r="A413" s="12">
        <v>40</v>
      </c>
      <c r="B413" s="12">
        <v>30</v>
      </c>
      <c r="C413" s="11">
        <v>49.057455574932867</v>
      </c>
      <c r="D413" s="11">
        <v>30.556922641067963</v>
      </c>
      <c r="E413" s="11"/>
      <c r="F413" s="12">
        <v>322</v>
      </c>
      <c r="G413" s="12" t="s">
        <v>30</v>
      </c>
      <c r="H413" s="13"/>
      <c r="I413" s="14">
        <v>2.27</v>
      </c>
      <c r="J413" s="14">
        <v>9</v>
      </c>
      <c r="K413" s="14"/>
      <c r="L413" s="13">
        <v>2.8</v>
      </c>
      <c r="M413" s="13">
        <v>1.2</v>
      </c>
      <c r="P413" s="12" t="s">
        <v>14</v>
      </c>
      <c r="Q413" s="12"/>
      <c r="R413" s="12"/>
      <c r="T413">
        <f t="shared" si="12"/>
        <v>2.27</v>
      </c>
      <c r="U413">
        <f t="shared" si="13"/>
        <v>2.8647889756541161</v>
      </c>
    </row>
    <row r="414" spans="1:21">
      <c r="A414" s="12">
        <v>30</v>
      </c>
      <c r="B414" s="12">
        <v>-20</v>
      </c>
      <c r="C414" s="11">
        <v>30.008426910538304</v>
      </c>
      <c r="D414" s="11">
        <v>-12.921740439865401</v>
      </c>
      <c r="E414" s="11"/>
      <c r="F414" s="12">
        <v>534</v>
      </c>
      <c r="G414" s="12" t="s">
        <v>13</v>
      </c>
      <c r="H414" s="13"/>
      <c r="I414" s="14">
        <v>2.2799999999999998</v>
      </c>
      <c r="J414" s="14"/>
      <c r="K414" s="14">
        <v>25.7</v>
      </c>
      <c r="L414" s="13">
        <v>4</v>
      </c>
      <c r="M414" s="13">
        <v>1.6</v>
      </c>
      <c r="P414" s="12" t="s">
        <v>14</v>
      </c>
      <c r="Q414" s="12"/>
      <c r="R414" s="12"/>
      <c r="T414">
        <f t="shared" si="12"/>
        <v>2.2799999999999998</v>
      </c>
      <c r="U414">
        <f t="shared" si="13"/>
        <v>25.7</v>
      </c>
    </row>
    <row r="415" spans="1:21">
      <c r="A415" s="12">
        <v>20</v>
      </c>
      <c r="B415" s="12">
        <v>10</v>
      </c>
      <c r="C415" s="11">
        <v>21.713553925037083</v>
      </c>
      <c r="D415" s="11">
        <v>11.604164465655854</v>
      </c>
      <c r="E415" s="11"/>
      <c r="F415" s="10">
        <v>147</v>
      </c>
      <c r="G415" s="12" t="s">
        <v>13</v>
      </c>
      <c r="H415" s="13"/>
      <c r="I415" s="14">
        <v>2.29</v>
      </c>
      <c r="J415" s="14">
        <v>7.7</v>
      </c>
      <c r="K415" s="14"/>
      <c r="L415" s="13">
        <v>2</v>
      </c>
      <c r="M415" s="13">
        <v>1.5</v>
      </c>
      <c r="P415" s="12" t="s">
        <v>14</v>
      </c>
      <c r="Q415" s="12"/>
      <c r="R415" s="12"/>
      <c r="T415">
        <f t="shared" si="12"/>
        <v>2.29</v>
      </c>
      <c r="U415">
        <f t="shared" si="13"/>
        <v>2.4509861236151882</v>
      </c>
    </row>
    <row r="416" spans="1:21">
      <c r="A416" s="12">
        <v>30</v>
      </c>
      <c r="B416" s="12">
        <v>10</v>
      </c>
      <c r="C416" s="11">
        <v>36.716514801527289</v>
      </c>
      <c r="D416" s="11">
        <v>18.175163316659585</v>
      </c>
      <c r="E416" s="11"/>
      <c r="F416" s="10">
        <v>215</v>
      </c>
      <c r="G416" s="12" t="s">
        <v>11</v>
      </c>
      <c r="H416" s="13"/>
      <c r="I416" s="14">
        <v>2.2999999999999998</v>
      </c>
      <c r="J416" s="14">
        <v>9.1</v>
      </c>
      <c r="K416" s="14"/>
      <c r="L416" s="13">
        <v>3</v>
      </c>
      <c r="M416" s="13">
        <v>0.2</v>
      </c>
      <c r="P416" s="12" t="s">
        <v>14</v>
      </c>
      <c r="Q416" s="12"/>
      <c r="R416" s="12"/>
      <c r="T416">
        <f t="shared" si="12"/>
        <v>2.2999999999999998</v>
      </c>
      <c r="U416">
        <f t="shared" si="13"/>
        <v>2.896619964272495</v>
      </c>
    </row>
    <row r="417" spans="1:21">
      <c r="A417" s="12">
        <v>30</v>
      </c>
      <c r="B417" s="12">
        <v>-30</v>
      </c>
      <c r="C417" s="11">
        <v>33.740755386689855</v>
      </c>
      <c r="D417" s="11">
        <v>-22.590221831610339</v>
      </c>
      <c r="E417" s="11"/>
      <c r="F417" s="10">
        <v>661</v>
      </c>
      <c r="G417" s="12" t="s">
        <v>21</v>
      </c>
      <c r="H417" s="13"/>
      <c r="I417" s="14">
        <v>2.2999999999999998</v>
      </c>
      <c r="J417" s="14">
        <v>11</v>
      </c>
      <c r="K417" s="14"/>
      <c r="L417" s="13">
        <v>4.0999999999999996</v>
      </c>
      <c r="M417" s="13">
        <v>0.9</v>
      </c>
      <c r="P417" s="12" t="s">
        <v>14</v>
      </c>
      <c r="Q417" s="12"/>
      <c r="R417" s="12"/>
      <c r="S417" t="s">
        <v>119</v>
      </c>
      <c r="T417">
        <f t="shared" si="12"/>
        <v>2.2999999999999998</v>
      </c>
      <c r="U417">
        <f t="shared" si="13"/>
        <v>3.5014087480216975</v>
      </c>
    </row>
    <row r="418" spans="1:21">
      <c r="A418" s="12">
        <v>10</v>
      </c>
      <c r="B418" s="12">
        <v>20</v>
      </c>
      <c r="C418" s="11">
        <v>17.684763959829091</v>
      </c>
      <c r="D418" s="11">
        <v>23.662338554138607</v>
      </c>
      <c r="E418" s="11"/>
      <c r="F418" s="12">
        <v>100</v>
      </c>
      <c r="G418" s="12" t="s">
        <v>11</v>
      </c>
      <c r="H418" s="13"/>
      <c r="I418" s="14">
        <v>2.31</v>
      </c>
      <c r="J418" s="14" t="s">
        <v>70</v>
      </c>
      <c r="K418" s="14"/>
      <c r="L418" s="13">
        <v>2.9</v>
      </c>
      <c r="M418" s="13"/>
      <c r="P418" s="12" t="s">
        <v>12</v>
      </c>
      <c r="Q418" s="12"/>
      <c r="R418" s="12"/>
      <c r="T418">
        <f t="shared" si="12"/>
        <v>2.31</v>
      </c>
      <c r="U418" t="str">
        <f t="shared" si="13"/>
        <v>dead</v>
      </c>
    </row>
    <row r="419" spans="1:21">
      <c r="A419" s="9">
        <v>0</v>
      </c>
      <c r="B419" s="12">
        <v>40</v>
      </c>
      <c r="C419" s="11">
        <v>6.9471554421474488</v>
      </c>
      <c r="D419" s="11">
        <v>41.768314846644444</v>
      </c>
      <c r="E419" s="11"/>
      <c r="F419" s="10">
        <v>63</v>
      </c>
      <c r="G419" s="12" t="s">
        <v>11</v>
      </c>
      <c r="H419" s="13"/>
      <c r="I419" s="14">
        <v>2.3199999999999998</v>
      </c>
      <c r="J419" s="14"/>
      <c r="K419" s="14">
        <v>24.8</v>
      </c>
      <c r="L419" s="13">
        <v>2.9</v>
      </c>
      <c r="M419" s="13">
        <v>0.3</v>
      </c>
      <c r="P419" s="12" t="s">
        <v>14</v>
      </c>
      <c r="Q419" s="12"/>
      <c r="R419" s="12"/>
      <c r="T419">
        <f t="shared" si="12"/>
        <v>2.3199999999999998</v>
      </c>
      <c r="U419">
        <f t="shared" si="13"/>
        <v>24.8</v>
      </c>
    </row>
    <row r="420" spans="1:21">
      <c r="A420" s="12">
        <v>10</v>
      </c>
      <c r="B420" s="12">
        <v>-30</v>
      </c>
      <c r="C420" s="11">
        <v>16.213479815213489</v>
      </c>
      <c r="D420" s="11">
        <v>-22.804634796887598</v>
      </c>
      <c r="E420" s="11"/>
      <c r="F420" s="12">
        <v>622</v>
      </c>
      <c r="G420" s="12" t="s">
        <v>11</v>
      </c>
      <c r="H420" s="13"/>
      <c r="I420" s="14">
        <v>2.3199999999999998</v>
      </c>
      <c r="J420" s="14" t="s">
        <v>70</v>
      </c>
      <c r="K420" s="14"/>
      <c r="L420" s="13">
        <v>3.3</v>
      </c>
      <c r="M420" s="13">
        <v>0.1</v>
      </c>
      <c r="P420" s="12" t="s">
        <v>14</v>
      </c>
      <c r="Q420" s="12"/>
      <c r="R420" s="12"/>
      <c r="T420">
        <f t="shared" si="12"/>
        <v>2.3199999999999998</v>
      </c>
      <c r="U420" t="str">
        <f t="shared" si="13"/>
        <v>dead</v>
      </c>
    </row>
    <row r="421" spans="1:21">
      <c r="A421" s="12">
        <v>40</v>
      </c>
      <c r="B421" s="12">
        <v>-20</v>
      </c>
      <c r="C421" s="11">
        <v>49.246140094845508</v>
      </c>
      <c r="D421" s="11">
        <v>-16.426234772126698</v>
      </c>
      <c r="E421" s="11"/>
      <c r="F421" s="10">
        <v>509</v>
      </c>
      <c r="G421" s="12" t="s">
        <v>13</v>
      </c>
      <c r="H421" s="13"/>
      <c r="I421" s="14">
        <v>2.33</v>
      </c>
      <c r="J421" s="14"/>
      <c r="K421" s="14">
        <v>24.8</v>
      </c>
      <c r="L421" s="13">
        <v>3.6</v>
      </c>
      <c r="M421" s="13">
        <v>1.5</v>
      </c>
      <c r="P421" s="12" t="s">
        <v>14</v>
      </c>
      <c r="Q421" s="12"/>
      <c r="R421" s="12"/>
      <c r="T421">
        <f t="shared" si="12"/>
        <v>2.33</v>
      </c>
      <c r="U421">
        <f t="shared" si="13"/>
        <v>24.8</v>
      </c>
    </row>
    <row r="422" spans="1:21">
      <c r="A422" s="12">
        <v>30</v>
      </c>
      <c r="B422" s="12">
        <v>0</v>
      </c>
      <c r="C422" s="11">
        <v>33.713362604392707</v>
      </c>
      <c r="D422" s="11">
        <v>9.4955824508264737</v>
      </c>
      <c r="E422" s="11"/>
      <c r="F422" s="12">
        <v>250</v>
      </c>
      <c r="G422" s="12" t="s">
        <v>13</v>
      </c>
      <c r="H422" s="13"/>
      <c r="I422" s="14">
        <v>2.34</v>
      </c>
      <c r="J422" s="14" t="s">
        <v>70</v>
      </c>
      <c r="K422" s="14"/>
      <c r="L422" s="13">
        <v>2.4</v>
      </c>
      <c r="M422" s="13">
        <v>1.6</v>
      </c>
      <c r="P422" s="12" t="s">
        <v>14</v>
      </c>
      <c r="Q422" s="12"/>
      <c r="R422" s="12"/>
      <c r="T422">
        <f t="shared" si="12"/>
        <v>2.34</v>
      </c>
      <c r="U422" t="str">
        <f t="shared" si="13"/>
        <v>dead</v>
      </c>
    </row>
    <row r="423" spans="1:21">
      <c r="A423" s="12">
        <v>30</v>
      </c>
      <c r="B423" s="12">
        <v>-10</v>
      </c>
      <c r="C423" s="11">
        <v>39.40833443356302</v>
      </c>
      <c r="D423" s="11">
        <v>-8.7311690981486905</v>
      </c>
      <c r="E423" s="11"/>
      <c r="F423" s="10">
        <v>445</v>
      </c>
      <c r="G423" s="12" t="s">
        <v>21</v>
      </c>
      <c r="H423" s="13"/>
      <c r="I423" s="14">
        <v>2.34</v>
      </c>
      <c r="J423" s="14">
        <v>9</v>
      </c>
      <c r="K423" s="14"/>
      <c r="L423" s="13">
        <v>4.3</v>
      </c>
      <c r="M423" s="13">
        <v>1</v>
      </c>
      <c r="P423" s="12" t="s">
        <v>14</v>
      </c>
      <c r="Q423" s="12"/>
      <c r="R423" s="12"/>
      <c r="S423" t="s">
        <v>90</v>
      </c>
      <c r="T423">
        <f t="shared" si="12"/>
        <v>2.34</v>
      </c>
      <c r="U423">
        <f t="shared" si="13"/>
        <v>2.8647889756541161</v>
      </c>
    </row>
    <row r="424" spans="1:21">
      <c r="A424" s="12">
        <v>30</v>
      </c>
      <c r="B424" s="12">
        <v>-20</v>
      </c>
      <c r="C424" s="11">
        <v>30.102245775782585</v>
      </c>
      <c r="D424" s="11">
        <v>-13.026047143880325</v>
      </c>
      <c r="E424" s="11"/>
      <c r="F424" s="10">
        <v>529</v>
      </c>
      <c r="G424" s="12" t="s">
        <v>13</v>
      </c>
      <c r="H424" s="13"/>
      <c r="I424" s="14">
        <v>2.34</v>
      </c>
      <c r="J424" s="14"/>
      <c r="K424" s="14">
        <v>25.7</v>
      </c>
      <c r="L424" s="13">
        <v>2.8</v>
      </c>
      <c r="M424" s="13">
        <v>2</v>
      </c>
      <c r="P424" s="12" t="s">
        <v>14</v>
      </c>
      <c r="Q424" s="12"/>
      <c r="R424" s="12"/>
      <c r="T424">
        <f t="shared" si="12"/>
        <v>2.34</v>
      </c>
      <c r="U424">
        <f t="shared" si="13"/>
        <v>25.7</v>
      </c>
    </row>
    <row r="425" spans="1:21">
      <c r="A425" s="9">
        <v>0</v>
      </c>
      <c r="B425" s="12">
        <v>40</v>
      </c>
      <c r="C425" s="11">
        <v>8.5582568356338165</v>
      </c>
      <c r="D425" s="11">
        <v>40.55989153510609</v>
      </c>
      <c r="E425" s="11"/>
      <c r="F425" s="10">
        <v>61</v>
      </c>
      <c r="G425" s="12" t="s">
        <v>11</v>
      </c>
      <c r="H425" s="13"/>
      <c r="I425" s="14">
        <v>2.35</v>
      </c>
      <c r="J425" s="14" t="s">
        <v>70</v>
      </c>
      <c r="K425" s="14"/>
      <c r="L425" s="13">
        <v>3.2</v>
      </c>
      <c r="M425" s="13">
        <v>0.6</v>
      </c>
      <c r="P425" s="12" t="s">
        <v>14</v>
      </c>
      <c r="Q425" s="12"/>
      <c r="R425" s="12"/>
      <c r="T425">
        <f t="shared" si="12"/>
        <v>2.35</v>
      </c>
      <c r="U425" t="str">
        <f t="shared" si="13"/>
        <v>dead</v>
      </c>
    </row>
    <row r="426" spans="1:21">
      <c r="A426" s="12">
        <v>40</v>
      </c>
      <c r="B426" s="12">
        <v>30</v>
      </c>
      <c r="C426" s="11">
        <v>49.01626407235689</v>
      </c>
      <c r="D426" s="11">
        <v>31.365860574170455</v>
      </c>
      <c r="E426" s="11"/>
      <c r="F426" s="12">
        <v>330</v>
      </c>
      <c r="G426" s="12" t="s">
        <v>30</v>
      </c>
      <c r="H426" s="13"/>
      <c r="I426" s="14">
        <v>2.35</v>
      </c>
      <c r="J426" s="14">
        <v>8.6</v>
      </c>
      <c r="K426" s="14"/>
      <c r="L426" s="13">
        <v>3.4</v>
      </c>
      <c r="M426" s="13">
        <v>1.2</v>
      </c>
      <c r="P426" s="12" t="s">
        <v>14</v>
      </c>
      <c r="Q426" s="12"/>
      <c r="R426" s="12"/>
      <c r="T426">
        <f t="shared" si="12"/>
        <v>2.35</v>
      </c>
      <c r="U426">
        <f t="shared" si="13"/>
        <v>2.7374650211805998</v>
      </c>
    </row>
    <row r="427" spans="1:21">
      <c r="A427" s="12">
        <v>30</v>
      </c>
      <c r="B427" s="12">
        <v>-10</v>
      </c>
      <c r="C427" s="11">
        <v>32.809033307619565</v>
      </c>
      <c r="D427" s="11">
        <v>-4.19762134732012</v>
      </c>
      <c r="E427" s="11"/>
      <c r="F427" s="12">
        <v>424</v>
      </c>
      <c r="G427" s="12" t="s">
        <v>13</v>
      </c>
      <c r="H427" s="13"/>
      <c r="I427" s="14">
        <v>2.36</v>
      </c>
      <c r="J427" s="14"/>
      <c r="K427" s="14">
        <v>26.5</v>
      </c>
      <c r="L427" s="13">
        <v>4.8</v>
      </c>
      <c r="M427" s="13">
        <v>1.7</v>
      </c>
      <c r="P427" s="12" t="s">
        <v>14</v>
      </c>
      <c r="Q427" s="12"/>
      <c r="R427" s="12"/>
      <c r="T427">
        <f t="shared" si="12"/>
        <v>2.36</v>
      </c>
      <c r="U427">
        <f t="shared" si="13"/>
        <v>26.5</v>
      </c>
    </row>
    <row r="428" spans="1:21">
      <c r="A428" s="12">
        <v>20</v>
      </c>
      <c r="B428" s="12">
        <v>40</v>
      </c>
      <c r="C428" s="11">
        <v>26.402940262221591</v>
      </c>
      <c r="D428" s="11">
        <v>47.576856604055649</v>
      </c>
      <c r="E428" s="11"/>
      <c r="F428" s="12">
        <v>196</v>
      </c>
      <c r="G428" s="12" t="s">
        <v>13</v>
      </c>
      <c r="H428" s="13"/>
      <c r="I428" s="14">
        <v>2.38</v>
      </c>
      <c r="J428" s="14" t="s">
        <v>70</v>
      </c>
      <c r="K428" s="14"/>
      <c r="L428" s="13">
        <v>3.2</v>
      </c>
      <c r="M428" s="13"/>
      <c r="P428" s="12" t="s">
        <v>12</v>
      </c>
      <c r="Q428" s="12"/>
      <c r="R428" s="12"/>
      <c r="S428" t="s">
        <v>78</v>
      </c>
      <c r="T428">
        <f t="shared" si="12"/>
        <v>2.38</v>
      </c>
      <c r="U428" t="str">
        <f t="shared" si="13"/>
        <v>dead</v>
      </c>
    </row>
    <row r="429" spans="1:21">
      <c r="A429" s="12">
        <v>20</v>
      </c>
      <c r="B429" s="12">
        <v>-30</v>
      </c>
      <c r="C429" s="11">
        <v>20.134595844127755</v>
      </c>
      <c r="D429" s="11">
        <v>-22.386692447991294</v>
      </c>
      <c r="E429" s="11"/>
      <c r="F429" s="10">
        <v>631</v>
      </c>
      <c r="G429" s="12" t="s">
        <v>11</v>
      </c>
      <c r="H429" s="13"/>
      <c r="I429" s="14">
        <v>2.39</v>
      </c>
      <c r="J429" s="14">
        <v>10.199999999999999</v>
      </c>
      <c r="K429" s="14"/>
      <c r="L429" s="13">
        <v>3.6</v>
      </c>
      <c r="M429" s="13">
        <v>0.3</v>
      </c>
      <c r="P429" s="12" t="s">
        <v>14</v>
      </c>
      <c r="Q429" s="12"/>
      <c r="R429" s="12"/>
      <c r="T429">
        <f t="shared" si="12"/>
        <v>2.39</v>
      </c>
      <c r="U429">
        <f t="shared" si="13"/>
        <v>3.246760839074665</v>
      </c>
    </row>
    <row r="430" spans="1:21">
      <c r="A430" s="12">
        <v>30</v>
      </c>
      <c r="B430" s="12">
        <v>30</v>
      </c>
      <c r="C430" s="11">
        <v>38.369831897088261</v>
      </c>
      <c r="D430" s="11">
        <v>35.037619958440359</v>
      </c>
      <c r="E430" s="11"/>
      <c r="F430" s="10">
        <v>205</v>
      </c>
      <c r="G430" s="12" t="s">
        <v>11</v>
      </c>
      <c r="H430" s="13"/>
      <c r="I430" s="14">
        <v>2.41</v>
      </c>
      <c r="J430" s="14">
        <v>11.8</v>
      </c>
      <c r="K430" s="14"/>
      <c r="L430" s="13">
        <v>2.8</v>
      </c>
      <c r="M430" s="13">
        <v>0.9</v>
      </c>
      <c r="P430" s="12" t="s">
        <v>14</v>
      </c>
      <c r="Q430" s="12"/>
      <c r="R430" s="12"/>
      <c r="T430">
        <f t="shared" si="12"/>
        <v>2.41</v>
      </c>
      <c r="U430">
        <f t="shared" si="13"/>
        <v>3.7560566569687301</v>
      </c>
    </row>
    <row r="431" spans="1:21">
      <c r="A431" s="12">
        <v>30</v>
      </c>
      <c r="B431" s="12">
        <v>-20</v>
      </c>
      <c r="C431" s="11">
        <v>36.298987754977233</v>
      </c>
      <c r="D431" s="11">
        <v>-16.649406617299888</v>
      </c>
      <c r="E431" s="11"/>
      <c r="F431" s="10">
        <v>521</v>
      </c>
      <c r="G431" s="12" t="s">
        <v>11</v>
      </c>
      <c r="H431" s="13"/>
      <c r="I431" s="14">
        <v>2.41</v>
      </c>
      <c r="J431" s="14" t="s">
        <v>70</v>
      </c>
      <c r="K431" s="14"/>
      <c r="L431" s="13">
        <v>3</v>
      </c>
      <c r="M431" s="13">
        <v>0</v>
      </c>
      <c r="P431" s="12" t="s">
        <v>14</v>
      </c>
      <c r="Q431" s="12"/>
      <c r="R431" s="12"/>
      <c r="T431">
        <f t="shared" si="12"/>
        <v>2.41</v>
      </c>
      <c r="U431" t="str">
        <f t="shared" si="13"/>
        <v>dead</v>
      </c>
    </row>
    <row r="432" spans="1:21">
      <c r="A432" s="9">
        <v>0</v>
      </c>
      <c r="B432" s="9">
        <v>0</v>
      </c>
      <c r="C432" s="11">
        <v>4.5733309832961941</v>
      </c>
      <c r="D432" s="11">
        <v>9.2373314067388428</v>
      </c>
      <c r="E432" s="11"/>
      <c r="F432" s="12">
        <v>10</v>
      </c>
      <c r="G432" s="12" t="s">
        <v>13</v>
      </c>
      <c r="H432" s="13"/>
      <c r="I432" s="14">
        <v>2.42</v>
      </c>
      <c r="J432" s="14">
        <v>7.6</v>
      </c>
      <c r="K432" s="14"/>
      <c r="L432" s="13">
        <v>4.0999999999999996</v>
      </c>
      <c r="M432" s="13">
        <v>0.7</v>
      </c>
      <c r="P432" s="12" t="s">
        <v>14</v>
      </c>
      <c r="Q432" s="12"/>
      <c r="R432" s="12"/>
      <c r="T432">
        <f t="shared" si="12"/>
        <v>2.42</v>
      </c>
      <c r="U432">
        <f t="shared" si="13"/>
        <v>2.4191551349968092</v>
      </c>
    </row>
    <row r="433" spans="1:21">
      <c r="A433" s="12">
        <v>40</v>
      </c>
      <c r="B433" s="12">
        <v>30</v>
      </c>
      <c r="C433" s="11">
        <v>48.775305826219046</v>
      </c>
      <c r="D433" s="11">
        <v>30.821344097270725</v>
      </c>
      <c r="E433" s="11"/>
      <c r="F433" s="10">
        <v>333</v>
      </c>
      <c r="G433" s="12" t="s">
        <v>30</v>
      </c>
      <c r="H433" s="13"/>
      <c r="I433" s="14">
        <v>2.4300000000000002</v>
      </c>
      <c r="J433" s="14">
        <v>8.3000000000000007</v>
      </c>
      <c r="K433" s="14"/>
      <c r="L433" s="13">
        <v>3.5</v>
      </c>
      <c r="M433" s="13">
        <v>1.8</v>
      </c>
      <c r="P433" s="12" t="s">
        <v>14</v>
      </c>
      <c r="Q433" s="12"/>
      <c r="R433" s="12"/>
      <c r="T433">
        <f t="shared" si="12"/>
        <v>2.4300000000000002</v>
      </c>
      <c r="U433">
        <f t="shared" si="13"/>
        <v>2.6419720553254629</v>
      </c>
    </row>
    <row r="434" spans="1:21">
      <c r="A434" s="12">
        <v>20</v>
      </c>
      <c r="B434" s="12">
        <v>10</v>
      </c>
      <c r="C434" s="11">
        <v>29.693552363066686</v>
      </c>
      <c r="D434" s="11">
        <v>12.817173736221424</v>
      </c>
      <c r="E434" s="11"/>
      <c r="F434" s="10">
        <v>161</v>
      </c>
      <c r="G434" s="12" t="s">
        <v>11</v>
      </c>
      <c r="H434" s="13"/>
      <c r="I434" s="14">
        <v>2.4500000000000002</v>
      </c>
      <c r="J434" s="14" t="s">
        <v>70</v>
      </c>
      <c r="K434" s="14"/>
      <c r="L434" s="13">
        <v>3.6</v>
      </c>
      <c r="M434" s="13">
        <v>0.1</v>
      </c>
      <c r="P434" s="12" t="s">
        <v>14</v>
      </c>
      <c r="Q434" s="12"/>
      <c r="R434" s="12"/>
      <c r="T434">
        <f t="shared" si="12"/>
        <v>2.4500000000000002</v>
      </c>
      <c r="U434" t="str">
        <f t="shared" si="13"/>
        <v>dead</v>
      </c>
    </row>
    <row r="435" spans="1:21">
      <c r="A435" s="12">
        <v>20</v>
      </c>
      <c r="B435" s="12">
        <v>10</v>
      </c>
      <c r="C435" s="11">
        <v>20.236305583160817</v>
      </c>
      <c r="D435" s="11">
        <v>13.537937792417537</v>
      </c>
      <c r="E435" s="11"/>
      <c r="F435" s="12">
        <v>154</v>
      </c>
      <c r="G435" s="12" t="s">
        <v>11</v>
      </c>
      <c r="H435" s="13"/>
      <c r="I435" s="14">
        <v>2.4700000000000002</v>
      </c>
      <c r="J435" s="14">
        <v>11.1</v>
      </c>
      <c r="K435" s="14"/>
      <c r="L435" s="13">
        <v>3</v>
      </c>
      <c r="M435" s="13">
        <v>0.2</v>
      </c>
      <c r="P435" s="12" t="s">
        <v>14</v>
      </c>
      <c r="Q435" s="12"/>
      <c r="R435" s="12"/>
      <c r="T435">
        <f t="shared" si="12"/>
        <v>2.4700000000000002</v>
      </c>
      <c r="U435">
        <f t="shared" si="13"/>
        <v>3.5332397366400765</v>
      </c>
    </row>
    <row r="436" spans="1:21">
      <c r="A436" s="12">
        <v>40</v>
      </c>
      <c r="B436" s="12">
        <v>20</v>
      </c>
      <c r="C436" s="11">
        <v>42.291153200946574</v>
      </c>
      <c r="D436" s="11">
        <v>29.228458863258844</v>
      </c>
      <c r="E436" s="11"/>
      <c r="F436" s="12">
        <v>290</v>
      </c>
      <c r="G436" s="12" t="s">
        <v>13</v>
      </c>
      <c r="H436" s="13"/>
      <c r="I436" s="14">
        <v>2.4900000000000002</v>
      </c>
      <c r="J436" s="14"/>
      <c r="K436" s="14">
        <v>8.6999999999999993</v>
      </c>
      <c r="L436" s="13">
        <v>3</v>
      </c>
      <c r="M436" s="13">
        <v>1</v>
      </c>
      <c r="P436" s="12" t="s">
        <v>14</v>
      </c>
      <c r="Q436" s="12"/>
      <c r="R436" s="12"/>
      <c r="T436">
        <f t="shared" si="12"/>
        <v>2.4900000000000002</v>
      </c>
      <c r="U436">
        <f t="shared" si="13"/>
        <v>8.6999999999999993</v>
      </c>
    </row>
    <row r="437" spans="1:21">
      <c r="A437" s="12">
        <v>30</v>
      </c>
      <c r="B437" s="12">
        <v>-20</v>
      </c>
      <c r="C437" s="11">
        <v>30.209660419134117</v>
      </c>
      <c r="D437" s="11">
        <v>-12.825836317151232</v>
      </c>
      <c r="E437" s="11"/>
      <c r="F437" s="12">
        <v>532</v>
      </c>
      <c r="G437" s="12" t="s">
        <v>13</v>
      </c>
      <c r="H437" s="13"/>
      <c r="I437" s="14">
        <v>2.4900000000000002</v>
      </c>
      <c r="J437" s="14"/>
      <c r="K437" s="14">
        <v>26.7</v>
      </c>
      <c r="L437" s="13">
        <v>2.6</v>
      </c>
      <c r="M437" s="13">
        <v>1</v>
      </c>
      <c r="P437" s="12" t="s">
        <v>14</v>
      </c>
      <c r="Q437" s="12"/>
      <c r="R437" s="12" t="s">
        <v>39</v>
      </c>
      <c r="T437">
        <f t="shared" si="12"/>
        <v>2.4900000000000002</v>
      </c>
      <c r="U437">
        <f t="shared" si="13"/>
        <v>26.7</v>
      </c>
    </row>
    <row r="438" spans="1:21">
      <c r="A438" s="9">
        <v>0</v>
      </c>
      <c r="B438" s="12">
        <v>30</v>
      </c>
      <c r="C438" s="11">
        <v>4.3269168424163151</v>
      </c>
      <c r="D438" s="11">
        <v>39.67994640843348</v>
      </c>
      <c r="E438" s="11"/>
      <c r="F438" s="10">
        <v>57</v>
      </c>
      <c r="G438" s="12" t="s">
        <v>11</v>
      </c>
      <c r="H438" s="13"/>
      <c r="I438" s="14">
        <v>2.5</v>
      </c>
      <c r="J438" s="14" t="s">
        <v>70</v>
      </c>
      <c r="K438" s="14"/>
      <c r="L438" s="13">
        <v>3.2</v>
      </c>
      <c r="M438" s="13"/>
      <c r="P438" s="12" t="s">
        <v>12</v>
      </c>
      <c r="Q438" s="12"/>
      <c r="R438" s="12"/>
      <c r="S438" t="s">
        <v>78</v>
      </c>
      <c r="T438">
        <f t="shared" si="12"/>
        <v>2.5</v>
      </c>
      <c r="U438" t="str">
        <f t="shared" si="13"/>
        <v>dead</v>
      </c>
    </row>
    <row r="439" spans="1:21">
      <c r="A439" s="12">
        <v>0</v>
      </c>
      <c r="B439" s="12">
        <v>-20</v>
      </c>
      <c r="C439" s="11">
        <v>3.7242049453762323</v>
      </c>
      <c r="D439" s="11">
        <v>-18.248199653550781</v>
      </c>
      <c r="E439" s="11"/>
      <c r="F439" s="12">
        <v>584</v>
      </c>
      <c r="G439" s="12" t="s">
        <v>11</v>
      </c>
      <c r="H439" s="13"/>
      <c r="I439" s="14">
        <v>2.5</v>
      </c>
      <c r="J439" s="14">
        <v>11</v>
      </c>
      <c r="K439" s="14"/>
      <c r="L439" s="13">
        <v>3.5</v>
      </c>
      <c r="M439" s="13">
        <v>0.1</v>
      </c>
      <c r="P439" s="12" t="s">
        <v>14</v>
      </c>
      <c r="Q439" s="12"/>
      <c r="R439" s="12"/>
      <c r="S439" t="s">
        <v>103</v>
      </c>
      <c r="T439">
        <f t="shared" si="12"/>
        <v>2.5</v>
      </c>
      <c r="U439">
        <f t="shared" si="13"/>
        <v>3.5014087480216975</v>
      </c>
    </row>
    <row r="440" spans="1:21">
      <c r="A440" s="12">
        <v>20</v>
      </c>
      <c r="B440" s="12">
        <v>-30</v>
      </c>
      <c r="C440" s="11">
        <v>25.897818770092492</v>
      </c>
      <c r="D440" s="11">
        <v>-29.806579890919899</v>
      </c>
      <c r="E440" s="11"/>
      <c r="F440" s="10">
        <v>651</v>
      </c>
      <c r="G440" s="12" t="s">
        <v>21</v>
      </c>
      <c r="H440" s="13"/>
      <c r="I440" s="14">
        <v>2.5</v>
      </c>
      <c r="J440" s="14">
        <v>9.9</v>
      </c>
      <c r="K440" s="14"/>
      <c r="L440" s="13">
        <v>4</v>
      </c>
      <c r="M440" s="13">
        <v>0.9</v>
      </c>
      <c r="P440" s="12" t="s">
        <v>14</v>
      </c>
      <c r="Q440" s="12"/>
      <c r="R440" s="12"/>
      <c r="S440" t="s">
        <v>116</v>
      </c>
      <c r="T440">
        <f t="shared" si="12"/>
        <v>2.5</v>
      </c>
      <c r="U440">
        <f t="shared" si="13"/>
        <v>3.1512678732195281</v>
      </c>
    </row>
    <row r="441" spans="1:21">
      <c r="A441" s="9">
        <v>0</v>
      </c>
      <c r="B441" s="9">
        <v>0</v>
      </c>
      <c r="C441" s="11">
        <v>4.289145621441091</v>
      </c>
      <c r="D441" s="11">
        <v>8.9312426529400941</v>
      </c>
      <c r="E441" s="11"/>
      <c r="F441" s="12">
        <v>6</v>
      </c>
      <c r="G441" s="12" t="s">
        <v>13</v>
      </c>
      <c r="H441" s="13"/>
      <c r="I441" s="14">
        <v>2.5099999999999998</v>
      </c>
      <c r="J441" s="14">
        <v>8.8000000000000007</v>
      </c>
      <c r="K441" s="14"/>
      <c r="L441" s="13">
        <v>5.3</v>
      </c>
      <c r="M441" s="13">
        <v>1.4</v>
      </c>
      <c r="P441" s="12" t="s">
        <v>14</v>
      </c>
      <c r="Q441" s="12"/>
      <c r="R441" s="12"/>
      <c r="T441">
        <f t="shared" si="12"/>
        <v>2.5099999999999998</v>
      </c>
      <c r="U441">
        <f t="shared" si="13"/>
        <v>2.8011269984173581</v>
      </c>
    </row>
    <row r="442" spans="1:21">
      <c r="A442" s="12">
        <v>10</v>
      </c>
      <c r="B442" s="12">
        <v>20</v>
      </c>
      <c r="C442" s="11">
        <v>19.494916087232173</v>
      </c>
      <c r="D442" s="11">
        <v>28.802292130563277</v>
      </c>
      <c r="E442" s="11"/>
      <c r="F442" s="12">
        <v>88</v>
      </c>
      <c r="G442" s="12" t="s">
        <v>13</v>
      </c>
      <c r="H442" s="13"/>
      <c r="I442" s="14">
        <v>2.5299999999999998</v>
      </c>
      <c r="J442" s="14">
        <v>8.3000000000000007</v>
      </c>
      <c r="K442" s="14"/>
      <c r="L442" s="13">
        <v>2.9</v>
      </c>
      <c r="M442" s="13">
        <v>0.5</v>
      </c>
      <c r="P442" s="12" t="s">
        <v>14</v>
      </c>
      <c r="Q442" s="12"/>
      <c r="R442" s="12"/>
      <c r="T442">
        <f t="shared" si="12"/>
        <v>2.5299999999999998</v>
      </c>
      <c r="U442">
        <f t="shared" si="13"/>
        <v>2.6419720553254629</v>
      </c>
    </row>
    <row r="443" spans="1:21">
      <c r="A443" s="12">
        <v>10</v>
      </c>
      <c r="B443" s="12">
        <v>-40</v>
      </c>
      <c r="C443" s="11">
        <v>16.03191023543113</v>
      </c>
      <c r="D443" s="11">
        <v>-32.98725739017172</v>
      </c>
      <c r="E443" s="11"/>
      <c r="F443" s="10">
        <v>723</v>
      </c>
      <c r="G443" s="12" t="s">
        <v>11</v>
      </c>
      <c r="H443" s="13"/>
      <c r="I443" s="14">
        <v>2.54</v>
      </c>
      <c r="J443" s="14" t="s">
        <v>70</v>
      </c>
      <c r="K443" s="14"/>
      <c r="L443" s="13">
        <v>2.9</v>
      </c>
      <c r="M443" s="13"/>
      <c r="P443" s="12" t="s">
        <v>12</v>
      </c>
      <c r="Q443" s="12"/>
      <c r="R443" s="12"/>
      <c r="T443">
        <f t="shared" si="12"/>
        <v>2.54</v>
      </c>
      <c r="U443" t="str">
        <f t="shared" si="13"/>
        <v>dead</v>
      </c>
    </row>
    <row r="444" spans="1:21">
      <c r="A444" s="12">
        <v>20</v>
      </c>
      <c r="B444" s="12">
        <v>-20</v>
      </c>
      <c r="C444" s="11">
        <v>28.354822578651021</v>
      </c>
      <c r="D444" s="11">
        <v>-30.157632167601044</v>
      </c>
      <c r="E444" s="11"/>
      <c r="F444" s="10">
        <v>715</v>
      </c>
      <c r="G444" s="12" t="s">
        <v>11</v>
      </c>
      <c r="H444" s="13"/>
      <c r="I444" s="14">
        <v>2.5499999999999998</v>
      </c>
      <c r="J444" s="14" t="s">
        <v>70</v>
      </c>
      <c r="K444" s="14"/>
      <c r="L444" s="13">
        <v>3.4</v>
      </c>
      <c r="M444" s="13">
        <v>0.2</v>
      </c>
      <c r="P444" s="12" t="s">
        <v>14</v>
      </c>
      <c r="Q444" s="12"/>
      <c r="R444" s="12"/>
      <c r="T444">
        <f t="shared" si="12"/>
        <v>2.5499999999999998</v>
      </c>
      <c r="U444" t="str">
        <f t="shared" si="13"/>
        <v>dead</v>
      </c>
    </row>
    <row r="445" spans="1:21">
      <c r="A445" s="9">
        <v>20</v>
      </c>
      <c r="B445" s="9">
        <v>-10</v>
      </c>
      <c r="C445" s="11">
        <v>21.74400471974932</v>
      </c>
      <c r="D445" s="11">
        <v>-9.6175914129299045</v>
      </c>
      <c r="E445" s="11"/>
      <c r="F445" s="12">
        <v>410</v>
      </c>
      <c r="G445" s="12" t="s">
        <v>13</v>
      </c>
      <c r="H445" s="13"/>
      <c r="I445" s="14">
        <v>2.59</v>
      </c>
      <c r="J445" s="14"/>
      <c r="K445" s="14">
        <v>28.5</v>
      </c>
      <c r="L445" s="13">
        <v>2.7</v>
      </c>
      <c r="M445" s="13">
        <v>1.4</v>
      </c>
      <c r="P445" s="12" t="s">
        <v>14</v>
      </c>
      <c r="Q445" s="12"/>
      <c r="R445" s="12"/>
      <c r="T445">
        <f t="shared" si="12"/>
        <v>2.59</v>
      </c>
      <c r="U445">
        <f t="shared" si="13"/>
        <v>28.5</v>
      </c>
    </row>
    <row r="446" spans="1:21">
      <c r="A446" s="12">
        <v>30</v>
      </c>
      <c r="B446" s="12">
        <v>-10</v>
      </c>
      <c r="C446" s="11">
        <v>38.935523972621638</v>
      </c>
      <c r="D446" s="11">
        <v>-4.0240656975551694</v>
      </c>
      <c r="E446" s="11"/>
      <c r="F446" s="10">
        <v>443</v>
      </c>
      <c r="G446" s="12" t="s">
        <v>13</v>
      </c>
      <c r="H446" s="13"/>
      <c r="I446" s="14">
        <v>2.59</v>
      </c>
      <c r="J446" s="14">
        <v>9.8000000000000007</v>
      </c>
      <c r="K446" s="14"/>
      <c r="L446" s="13">
        <v>3.4</v>
      </c>
      <c r="M446" s="13">
        <v>1.1000000000000001</v>
      </c>
      <c r="P446" s="12" t="s">
        <v>14</v>
      </c>
      <c r="Q446" s="12"/>
      <c r="R446" s="12"/>
      <c r="T446">
        <f t="shared" si="12"/>
        <v>2.59</v>
      </c>
      <c r="U446">
        <f t="shared" si="13"/>
        <v>3.1194368846011491</v>
      </c>
    </row>
    <row r="447" spans="1:21">
      <c r="A447" s="12">
        <v>10</v>
      </c>
      <c r="B447" s="12">
        <v>-30</v>
      </c>
      <c r="C447" s="11">
        <v>12.35821974330851</v>
      </c>
      <c r="D447" s="11">
        <v>-20.44350538737352</v>
      </c>
      <c r="E447" s="11"/>
      <c r="F447" s="10">
        <v>619</v>
      </c>
      <c r="G447" s="12" t="s">
        <v>11</v>
      </c>
      <c r="H447" s="13"/>
      <c r="I447" s="14">
        <v>2.6</v>
      </c>
      <c r="J447" s="14">
        <v>11</v>
      </c>
      <c r="K447" s="14"/>
      <c r="L447" s="13">
        <v>3.7</v>
      </c>
      <c r="M447" s="13">
        <v>0.1</v>
      </c>
      <c r="P447" s="12" t="s">
        <v>14</v>
      </c>
      <c r="Q447" s="12"/>
      <c r="R447" s="12"/>
      <c r="T447">
        <f t="shared" si="12"/>
        <v>2.6</v>
      </c>
      <c r="U447">
        <f t="shared" si="13"/>
        <v>3.5014087480216975</v>
      </c>
    </row>
    <row r="448" spans="1:21">
      <c r="A448" s="12">
        <v>40</v>
      </c>
      <c r="B448" s="12">
        <v>-40</v>
      </c>
      <c r="C448" s="11">
        <v>42.997273962603202</v>
      </c>
      <c r="D448" s="11">
        <v>-35.556358611104976</v>
      </c>
      <c r="E448" s="11"/>
      <c r="F448" s="10">
        <v>707</v>
      </c>
      <c r="G448" s="12" t="s">
        <v>51</v>
      </c>
      <c r="H448" s="13"/>
      <c r="I448" s="14">
        <v>2.61</v>
      </c>
      <c r="J448" s="14" t="s">
        <v>70</v>
      </c>
      <c r="K448" s="14"/>
      <c r="L448" s="13">
        <v>2</v>
      </c>
      <c r="M448" s="13"/>
      <c r="P448" s="12" t="s">
        <v>12</v>
      </c>
      <c r="Q448" s="12"/>
      <c r="R448" s="12" t="s">
        <v>16</v>
      </c>
      <c r="T448">
        <f t="shared" si="12"/>
        <v>2.61</v>
      </c>
      <c r="U448" t="str">
        <f t="shared" si="13"/>
        <v>dead</v>
      </c>
    </row>
    <row r="449" spans="1:21">
      <c r="A449" s="9">
        <v>20</v>
      </c>
      <c r="B449" s="9">
        <v>-10</v>
      </c>
      <c r="C449" s="11">
        <v>22.085349303121198</v>
      </c>
      <c r="D449" s="11">
        <v>-9.5621753675044623</v>
      </c>
      <c r="E449" s="11"/>
      <c r="F449" s="12">
        <v>414</v>
      </c>
      <c r="G449" s="12" t="s">
        <v>13</v>
      </c>
      <c r="H449" s="13"/>
      <c r="I449" s="14">
        <v>2.62</v>
      </c>
      <c r="J449" s="14"/>
      <c r="K449" s="14">
        <v>29.4</v>
      </c>
      <c r="L449" s="13">
        <v>3</v>
      </c>
      <c r="M449" s="13">
        <v>1.3</v>
      </c>
      <c r="P449" s="12" t="s">
        <v>14</v>
      </c>
      <c r="Q449" s="12"/>
      <c r="R449" s="12"/>
      <c r="T449">
        <f t="shared" si="12"/>
        <v>2.62</v>
      </c>
      <c r="U449">
        <f t="shared" si="13"/>
        <v>29.4</v>
      </c>
    </row>
    <row r="450" spans="1:21">
      <c r="A450" s="12">
        <v>40</v>
      </c>
      <c r="B450" s="12">
        <v>20</v>
      </c>
      <c r="C450" s="11">
        <v>42.218768942491181</v>
      </c>
      <c r="D450" s="11">
        <v>29.27455042198882</v>
      </c>
      <c r="E450" s="11"/>
      <c r="F450" s="10">
        <v>293</v>
      </c>
      <c r="G450" s="12" t="s">
        <v>13</v>
      </c>
      <c r="H450" s="13"/>
      <c r="I450" s="14">
        <v>2.65</v>
      </c>
      <c r="J450" s="14" t="s">
        <v>70</v>
      </c>
      <c r="K450" s="14"/>
      <c r="L450" s="13">
        <v>2.9</v>
      </c>
      <c r="M450" s="13">
        <v>2</v>
      </c>
      <c r="P450" s="12" t="s">
        <v>14</v>
      </c>
      <c r="Q450" s="12"/>
      <c r="R450" s="12"/>
      <c r="T450">
        <f t="shared" ref="T450:T513" si="14">IF(H450="",I450,H450/PI())</f>
        <v>2.65</v>
      </c>
      <c r="U450" t="str">
        <f t="shared" ref="U450:U513" si="15">IF(J450="dead","dead",J450/PI()+K450)</f>
        <v>dead</v>
      </c>
    </row>
    <row r="451" spans="1:21">
      <c r="A451" s="12">
        <v>40</v>
      </c>
      <c r="B451" s="12">
        <v>-20</v>
      </c>
      <c r="C451" s="11">
        <v>49.449481850504085</v>
      </c>
      <c r="D451" s="11">
        <v>-10.098958359898518</v>
      </c>
      <c r="E451" s="11"/>
      <c r="F451" s="12">
        <v>504</v>
      </c>
      <c r="G451" s="12" t="s">
        <v>13</v>
      </c>
      <c r="H451" s="13"/>
      <c r="I451" s="14">
        <v>2.65</v>
      </c>
      <c r="J451" s="14"/>
      <c r="K451" s="14">
        <v>25.3</v>
      </c>
      <c r="L451" s="13">
        <v>3.2</v>
      </c>
      <c r="M451" s="13">
        <v>1.5</v>
      </c>
      <c r="P451" s="12" t="s">
        <v>14</v>
      </c>
      <c r="Q451" s="12"/>
      <c r="R451" s="12"/>
      <c r="T451">
        <f t="shared" si="14"/>
        <v>2.65</v>
      </c>
      <c r="U451">
        <f t="shared" si="15"/>
        <v>25.3</v>
      </c>
    </row>
    <row r="452" spans="1:21">
      <c r="A452" s="12">
        <v>20</v>
      </c>
      <c r="B452" s="12">
        <v>0</v>
      </c>
      <c r="C452" s="11">
        <v>29.525739770440893</v>
      </c>
      <c r="D452" s="11">
        <v>6.8449384092072521</v>
      </c>
      <c r="E452" s="11"/>
      <c r="F452" s="12">
        <v>124</v>
      </c>
      <c r="G452" s="12" t="s">
        <v>11</v>
      </c>
      <c r="H452" s="13"/>
      <c r="I452" s="14">
        <v>2.67</v>
      </c>
      <c r="J452" s="14">
        <v>12.2</v>
      </c>
      <c r="K452" s="14"/>
      <c r="L452" s="13">
        <v>3.2</v>
      </c>
      <c r="M452" s="13">
        <v>1.2</v>
      </c>
      <c r="P452" s="12" t="s">
        <v>14</v>
      </c>
      <c r="Q452" s="12"/>
      <c r="R452" s="12"/>
      <c r="T452">
        <f t="shared" si="14"/>
        <v>2.67</v>
      </c>
      <c r="U452">
        <f t="shared" si="15"/>
        <v>3.883380611442246</v>
      </c>
    </row>
    <row r="453" spans="1:21">
      <c r="A453" s="12">
        <v>40</v>
      </c>
      <c r="B453" s="12">
        <v>-10</v>
      </c>
      <c r="C453" s="11">
        <v>43.779331656060187</v>
      </c>
      <c r="D453" s="11">
        <v>-9.7158306253282198</v>
      </c>
      <c r="E453" s="11"/>
      <c r="F453" s="12">
        <v>454</v>
      </c>
      <c r="G453" s="12" t="s">
        <v>13</v>
      </c>
      <c r="H453" s="13"/>
      <c r="I453" s="14">
        <v>2.69</v>
      </c>
      <c r="J453" s="14">
        <v>9.6</v>
      </c>
      <c r="K453" s="14"/>
      <c r="L453" s="13">
        <v>2.2999999999999998</v>
      </c>
      <c r="M453" s="13">
        <v>1.3</v>
      </c>
      <c r="P453" s="12" t="s">
        <v>14</v>
      </c>
      <c r="Q453" s="12"/>
      <c r="R453" s="12" t="s">
        <v>36</v>
      </c>
      <c r="T453">
        <f t="shared" si="14"/>
        <v>2.69</v>
      </c>
      <c r="U453">
        <f t="shared" si="15"/>
        <v>3.0557749073643903</v>
      </c>
    </row>
    <row r="454" spans="1:21">
      <c r="A454" s="12">
        <v>40</v>
      </c>
      <c r="B454" s="12">
        <v>0</v>
      </c>
      <c r="C454" s="11">
        <v>40.363569407803752</v>
      </c>
      <c r="D454" s="11">
        <v>7.678294315441935</v>
      </c>
      <c r="E454" s="11"/>
      <c r="F454" s="12">
        <v>272</v>
      </c>
      <c r="G454" s="12" t="s">
        <v>11</v>
      </c>
      <c r="H454" s="13"/>
      <c r="I454" s="14">
        <v>2.7</v>
      </c>
      <c r="J454" s="14">
        <v>12.3</v>
      </c>
      <c r="K454" s="14"/>
      <c r="L454" s="13">
        <v>3.5</v>
      </c>
      <c r="M454" s="13">
        <v>0.8</v>
      </c>
      <c r="P454" s="12" t="s">
        <v>14</v>
      </c>
      <c r="Q454" s="12"/>
      <c r="R454" s="12"/>
      <c r="T454">
        <f t="shared" si="14"/>
        <v>2.7</v>
      </c>
      <c r="U454">
        <f t="shared" si="15"/>
        <v>3.9152116000606259</v>
      </c>
    </row>
    <row r="455" spans="1:21">
      <c r="A455" s="12">
        <v>40</v>
      </c>
      <c r="B455" s="12">
        <v>30</v>
      </c>
      <c r="C455" s="11">
        <v>49.773513708524909</v>
      </c>
      <c r="D455" s="11">
        <v>30.732767189728435</v>
      </c>
      <c r="E455" s="11"/>
      <c r="F455" s="12">
        <v>328</v>
      </c>
      <c r="G455" s="12" t="s">
        <v>30</v>
      </c>
      <c r="H455" s="13"/>
      <c r="I455" s="14">
        <v>2.71</v>
      </c>
      <c r="J455" s="14"/>
      <c r="K455" s="14">
        <v>10</v>
      </c>
      <c r="L455" s="13">
        <v>3.5</v>
      </c>
      <c r="M455" s="13">
        <v>1.3</v>
      </c>
      <c r="P455" s="12" t="s">
        <v>14</v>
      </c>
      <c r="Q455" s="12"/>
      <c r="R455" s="12"/>
      <c r="T455">
        <f t="shared" si="14"/>
        <v>2.71</v>
      </c>
      <c r="U455">
        <f t="shared" si="15"/>
        <v>10</v>
      </c>
    </row>
    <row r="456" spans="1:21">
      <c r="A456" s="12">
        <v>10</v>
      </c>
      <c r="B456" s="12">
        <v>40</v>
      </c>
      <c r="C456" s="11">
        <v>17.956442225570612</v>
      </c>
      <c r="D456" s="11">
        <v>43.611976138150581</v>
      </c>
      <c r="E456" s="11"/>
      <c r="F456" s="12">
        <v>80</v>
      </c>
      <c r="G456" s="12" t="s">
        <v>11</v>
      </c>
      <c r="H456" s="13"/>
      <c r="I456" s="14">
        <v>2.74</v>
      </c>
      <c r="J456" s="14" t="s">
        <v>70</v>
      </c>
      <c r="K456" s="14"/>
      <c r="L456" s="13">
        <v>3.8</v>
      </c>
      <c r="M456" s="13"/>
      <c r="N456" s="32"/>
      <c r="O456" s="32"/>
      <c r="P456" s="12" t="s">
        <v>12</v>
      </c>
      <c r="Q456" s="12"/>
      <c r="R456" s="12"/>
      <c r="S456" s="32" t="s">
        <v>78</v>
      </c>
      <c r="T456">
        <f t="shared" si="14"/>
        <v>2.74</v>
      </c>
      <c r="U456" t="str">
        <f t="shared" si="15"/>
        <v>dead</v>
      </c>
    </row>
    <row r="457" spans="1:21">
      <c r="A457" s="12">
        <v>20</v>
      </c>
      <c r="B457" s="12">
        <v>-20</v>
      </c>
      <c r="C457" s="11">
        <v>29.713889649171939</v>
      </c>
      <c r="D457" s="11">
        <v>-12.910675840863741</v>
      </c>
      <c r="E457" s="11"/>
      <c r="F457" s="12">
        <v>536</v>
      </c>
      <c r="G457" s="12" t="s">
        <v>13</v>
      </c>
      <c r="H457" s="13"/>
      <c r="I457" s="14">
        <v>2.77</v>
      </c>
      <c r="J457" s="14">
        <v>9</v>
      </c>
      <c r="K457" s="14"/>
      <c r="L457" s="13">
        <v>2.4</v>
      </c>
      <c r="M457" s="13">
        <v>1.8</v>
      </c>
      <c r="P457" s="12" t="s">
        <v>14</v>
      </c>
      <c r="Q457" s="12"/>
      <c r="R457" s="12"/>
      <c r="T457">
        <f t="shared" si="14"/>
        <v>2.77</v>
      </c>
      <c r="U457">
        <f t="shared" si="15"/>
        <v>2.8647889756541161</v>
      </c>
    </row>
    <row r="458" spans="1:21">
      <c r="A458" s="12">
        <v>20</v>
      </c>
      <c r="B458" s="12">
        <v>-20</v>
      </c>
      <c r="C458" s="11">
        <v>26.831865447207264</v>
      </c>
      <c r="D458" s="11">
        <v>-13.479171223085471</v>
      </c>
      <c r="E458" s="11"/>
      <c r="F458" s="12">
        <v>554</v>
      </c>
      <c r="G458" s="12" t="s">
        <v>13</v>
      </c>
      <c r="H458" s="13"/>
      <c r="I458" s="14">
        <v>2.8</v>
      </c>
      <c r="J458" s="14">
        <v>10</v>
      </c>
      <c r="K458" s="14"/>
      <c r="L458" s="13">
        <v>4.2</v>
      </c>
      <c r="M458" s="13">
        <v>1.1000000000000001</v>
      </c>
      <c r="P458" s="12" t="s">
        <v>14</v>
      </c>
      <c r="Q458" s="12"/>
      <c r="R458" s="12"/>
      <c r="T458">
        <f t="shared" si="14"/>
        <v>2.8</v>
      </c>
      <c r="U458">
        <f t="shared" si="15"/>
        <v>3.183098861837907</v>
      </c>
    </row>
    <row r="459" spans="1:21">
      <c r="A459" s="12">
        <v>30</v>
      </c>
      <c r="B459" s="12">
        <v>0</v>
      </c>
      <c r="C459" s="11">
        <v>34.144984640554</v>
      </c>
      <c r="D459" s="11">
        <v>6.625994983282995</v>
      </c>
      <c r="E459" s="11"/>
      <c r="F459" s="12">
        <v>256</v>
      </c>
      <c r="G459" s="12" t="s">
        <v>21</v>
      </c>
      <c r="H459" s="13">
        <v>8.8000000000000007</v>
      </c>
      <c r="I459" s="14"/>
      <c r="J459" s="14">
        <v>10.7</v>
      </c>
      <c r="K459" s="14"/>
      <c r="L459" s="13">
        <v>4.0999999999999996</v>
      </c>
      <c r="M459" s="13">
        <v>1.3</v>
      </c>
      <c r="P459" s="12" t="s">
        <v>14</v>
      </c>
      <c r="Q459" s="12"/>
      <c r="R459" s="12"/>
      <c r="T459">
        <f t="shared" si="14"/>
        <v>2.8011269984173581</v>
      </c>
      <c r="U459">
        <f t="shared" si="15"/>
        <v>3.4059157821665602</v>
      </c>
    </row>
    <row r="460" spans="1:21">
      <c r="A460" s="12">
        <v>30</v>
      </c>
      <c r="B460" s="12">
        <v>10</v>
      </c>
      <c r="C460" s="11">
        <v>31.999387380366926</v>
      </c>
      <c r="D460" s="11">
        <v>17.176163938322645</v>
      </c>
      <c r="E460" s="11"/>
      <c r="F460" s="10">
        <v>227</v>
      </c>
      <c r="G460" s="12" t="s">
        <v>13</v>
      </c>
      <c r="H460" s="13">
        <v>8.9</v>
      </c>
      <c r="I460" s="14"/>
      <c r="J460" s="14">
        <v>9.3000000000000007</v>
      </c>
      <c r="K460" s="14"/>
      <c r="L460" s="13">
        <v>3.1</v>
      </c>
      <c r="M460" s="13">
        <v>1.1000000000000001</v>
      </c>
      <c r="P460" s="12" t="s">
        <v>14</v>
      </c>
      <c r="Q460" s="12"/>
      <c r="R460" s="12"/>
      <c r="T460">
        <f t="shared" si="14"/>
        <v>2.8329579870357371</v>
      </c>
      <c r="U460">
        <f t="shared" si="15"/>
        <v>2.9602819415092534</v>
      </c>
    </row>
    <row r="461" spans="1:21">
      <c r="A461" s="12">
        <v>0</v>
      </c>
      <c r="B461" s="12">
        <v>-30</v>
      </c>
      <c r="C461" s="11">
        <v>4.2577377029180168</v>
      </c>
      <c r="D461" s="11">
        <v>-22.874209476824216</v>
      </c>
      <c r="E461" s="11"/>
      <c r="F461" s="10">
        <v>605</v>
      </c>
      <c r="G461" s="12" t="s">
        <v>11</v>
      </c>
      <c r="H461" s="13">
        <v>8.9</v>
      </c>
      <c r="I461" s="14"/>
      <c r="J461" s="14">
        <v>10.7</v>
      </c>
      <c r="K461" s="14"/>
      <c r="L461" s="13">
        <v>3.1</v>
      </c>
      <c r="M461" s="13">
        <v>0.5</v>
      </c>
      <c r="P461" s="12" t="s">
        <v>14</v>
      </c>
      <c r="Q461" s="12"/>
      <c r="R461" s="12"/>
      <c r="S461" t="s">
        <v>106</v>
      </c>
      <c r="T461">
        <f t="shared" si="14"/>
        <v>2.8329579870357371</v>
      </c>
      <c r="U461">
        <f t="shared" si="15"/>
        <v>3.4059157821665602</v>
      </c>
    </row>
    <row r="462" spans="1:21">
      <c r="A462" s="9">
        <v>0</v>
      </c>
      <c r="B462" s="9">
        <v>0</v>
      </c>
      <c r="C462" s="11">
        <v>4.3847909736452664</v>
      </c>
      <c r="D462" s="11">
        <v>9.0804742579218729</v>
      </c>
      <c r="E462" s="11"/>
      <c r="F462" s="12">
        <v>8</v>
      </c>
      <c r="G462" s="12" t="s">
        <v>13</v>
      </c>
      <c r="H462" s="13"/>
      <c r="I462" s="14">
        <v>2.84</v>
      </c>
      <c r="J462" s="14">
        <v>10.1</v>
      </c>
      <c r="K462" s="14"/>
      <c r="L462" s="13">
        <v>4</v>
      </c>
      <c r="M462" s="13">
        <v>1.6</v>
      </c>
      <c r="P462" s="12" t="s">
        <v>14</v>
      </c>
      <c r="Q462" s="12"/>
      <c r="R462" s="12"/>
      <c r="T462">
        <f t="shared" si="14"/>
        <v>2.84</v>
      </c>
      <c r="U462">
        <f t="shared" si="15"/>
        <v>3.214929850456286</v>
      </c>
    </row>
    <row r="463" spans="1:21">
      <c r="A463" s="12">
        <v>30</v>
      </c>
      <c r="B463" s="12">
        <v>-20</v>
      </c>
      <c r="C463" s="11">
        <v>34.082172203010693</v>
      </c>
      <c r="D463" s="11">
        <v>-14.205581311207848</v>
      </c>
      <c r="E463" s="11"/>
      <c r="F463" s="10">
        <v>525</v>
      </c>
      <c r="G463" s="12" t="s">
        <v>11</v>
      </c>
      <c r="H463" s="13"/>
      <c r="I463" s="14">
        <v>2.85</v>
      </c>
      <c r="J463" s="14" t="s">
        <v>70</v>
      </c>
      <c r="K463" s="14"/>
      <c r="L463" s="13">
        <v>3.7</v>
      </c>
      <c r="M463" s="13"/>
      <c r="P463" s="12" t="s">
        <v>12</v>
      </c>
      <c r="Q463" s="12"/>
      <c r="R463" s="12"/>
      <c r="T463">
        <f t="shared" si="14"/>
        <v>2.85</v>
      </c>
      <c r="U463" t="str">
        <f t="shared" si="15"/>
        <v>dead</v>
      </c>
    </row>
    <row r="464" spans="1:21">
      <c r="A464" s="12">
        <v>40</v>
      </c>
      <c r="B464" s="12">
        <v>-20</v>
      </c>
      <c r="C464" s="11">
        <v>49.102832546654355</v>
      </c>
      <c r="D464" s="11">
        <v>-16.139938080108806</v>
      </c>
      <c r="E464" s="11"/>
      <c r="F464" s="12">
        <v>508</v>
      </c>
      <c r="G464" s="12" t="s">
        <v>13</v>
      </c>
      <c r="H464" s="13"/>
      <c r="I464" s="14">
        <v>2.89</v>
      </c>
      <c r="J464" s="14">
        <v>10.4</v>
      </c>
      <c r="K464" s="14"/>
      <c r="L464" s="13">
        <v>3.7</v>
      </c>
      <c r="M464" s="13">
        <v>1.3</v>
      </c>
      <c r="P464" s="12" t="s">
        <v>14</v>
      </c>
      <c r="Q464" s="12"/>
      <c r="R464" s="12"/>
      <c r="T464">
        <f t="shared" si="14"/>
        <v>2.89</v>
      </c>
      <c r="U464">
        <f t="shared" si="15"/>
        <v>3.3104228163114233</v>
      </c>
    </row>
    <row r="465" spans="1:21">
      <c r="A465" s="9">
        <v>0</v>
      </c>
      <c r="B465" s="12">
        <v>10</v>
      </c>
      <c r="C465" s="11">
        <v>6.9886929587789961</v>
      </c>
      <c r="D465" s="11">
        <v>17.927321735838202</v>
      </c>
      <c r="E465" s="11"/>
      <c r="F465" s="10">
        <v>23</v>
      </c>
      <c r="G465" s="12" t="s">
        <v>13</v>
      </c>
      <c r="H465" s="13">
        <v>9.1</v>
      </c>
      <c r="I465" s="14"/>
      <c r="J465" s="14">
        <v>9.3000000000000007</v>
      </c>
      <c r="K465" s="14"/>
      <c r="L465" s="13">
        <v>2.9</v>
      </c>
      <c r="M465" s="13">
        <v>1.1000000000000001</v>
      </c>
      <c r="P465" s="12" t="s">
        <v>14</v>
      </c>
      <c r="Q465" s="12"/>
      <c r="R465" s="12"/>
      <c r="T465">
        <f t="shared" si="14"/>
        <v>2.896619964272495</v>
      </c>
      <c r="U465">
        <f t="shared" si="15"/>
        <v>2.9602819415092534</v>
      </c>
    </row>
    <row r="466" spans="1:21">
      <c r="A466" s="12">
        <v>10</v>
      </c>
      <c r="B466" s="12">
        <v>40</v>
      </c>
      <c r="C466" s="11">
        <v>18.446376209973945</v>
      </c>
      <c r="D466" s="11">
        <v>46.095108950549211</v>
      </c>
      <c r="E466" s="11"/>
      <c r="F466" s="10">
        <v>79</v>
      </c>
      <c r="G466" s="12" t="s">
        <v>11</v>
      </c>
      <c r="H466" s="13">
        <v>9.1</v>
      </c>
      <c r="I466" s="14"/>
      <c r="J466" s="14">
        <v>12</v>
      </c>
      <c r="K466" s="14"/>
      <c r="L466" s="13">
        <v>3</v>
      </c>
      <c r="M466" s="13">
        <v>0.4</v>
      </c>
      <c r="P466" s="12" t="s">
        <v>14</v>
      </c>
      <c r="Q466" s="12"/>
      <c r="R466" s="12"/>
      <c r="T466">
        <f t="shared" si="14"/>
        <v>2.896619964272495</v>
      </c>
      <c r="U466">
        <f t="shared" si="15"/>
        <v>3.8197186342054881</v>
      </c>
    </row>
    <row r="467" spans="1:21">
      <c r="A467" s="12">
        <v>30</v>
      </c>
      <c r="B467" s="12">
        <v>0</v>
      </c>
      <c r="C467" s="11">
        <v>33.495999755650672</v>
      </c>
      <c r="D467" s="11">
        <v>9.0689354720097679</v>
      </c>
      <c r="E467" s="11"/>
      <c r="F467" s="10">
        <v>251</v>
      </c>
      <c r="G467" s="12" t="s">
        <v>13</v>
      </c>
      <c r="H467" s="13"/>
      <c r="I467" s="14">
        <v>2.9</v>
      </c>
      <c r="J467" s="14" t="s">
        <v>70</v>
      </c>
      <c r="K467" s="14"/>
      <c r="L467" s="13">
        <v>1.4</v>
      </c>
      <c r="M467" s="13"/>
      <c r="P467" s="12" t="s">
        <v>12</v>
      </c>
      <c r="Q467" s="12"/>
      <c r="R467" s="12"/>
      <c r="T467">
        <f t="shared" si="14"/>
        <v>2.9</v>
      </c>
      <c r="U467" t="str">
        <f t="shared" si="15"/>
        <v>dead</v>
      </c>
    </row>
    <row r="468" spans="1:21">
      <c r="A468" s="12">
        <v>10</v>
      </c>
      <c r="B468" s="12">
        <v>20</v>
      </c>
      <c r="C468" s="11">
        <v>10.120495513001957</v>
      </c>
      <c r="D468" s="11">
        <v>24.04790940749756</v>
      </c>
      <c r="E468" s="11"/>
      <c r="F468" s="10">
        <v>99</v>
      </c>
      <c r="G468" s="12" t="s">
        <v>11</v>
      </c>
      <c r="H468" s="13">
        <v>9.1999999999999993</v>
      </c>
      <c r="I468" s="14"/>
      <c r="J468" s="14">
        <v>13.1</v>
      </c>
      <c r="K468" s="14"/>
      <c r="L468" s="13">
        <v>3.6</v>
      </c>
      <c r="M468" s="13">
        <v>0.2</v>
      </c>
      <c r="P468" s="12" t="s">
        <v>14</v>
      </c>
      <c r="Q468" s="12"/>
      <c r="R468" s="12"/>
      <c r="T468">
        <f t="shared" si="14"/>
        <v>2.928450952890874</v>
      </c>
      <c r="U468">
        <f t="shared" si="15"/>
        <v>4.169859509007658</v>
      </c>
    </row>
    <row r="469" spans="1:21">
      <c r="A469" s="12">
        <v>20</v>
      </c>
      <c r="B469" s="12">
        <v>40</v>
      </c>
      <c r="C469" s="11">
        <v>25.791475915445979</v>
      </c>
      <c r="D469" s="11">
        <v>46.638893486177437</v>
      </c>
      <c r="E469" s="11"/>
      <c r="F469" s="12">
        <v>198</v>
      </c>
      <c r="G469" s="12" t="s">
        <v>13</v>
      </c>
      <c r="H469" s="13">
        <v>9.1999999999999993</v>
      </c>
      <c r="I469" s="14"/>
      <c r="J469" s="14" t="s">
        <v>70</v>
      </c>
      <c r="K469" s="14"/>
      <c r="L469" s="13">
        <v>2.8</v>
      </c>
      <c r="M469" s="13"/>
      <c r="P469" s="12" t="s">
        <v>12</v>
      </c>
      <c r="Q469" s="12"/>
      <c r="R469" s="12"/>
      <c r="T469">
        <f t="shared" si="14"/>
        <v>2.928450952890874</v>
      </c>
      <c r="U469" t="str">
        <f t="shared" si="15"/>
        <v>dead</v>
      </c>
    </row>
    <row r="470" spans="1:21">
      <c r="A470" s="12">
        <v>40</v>
      </c>
      <c r="B470" s="12">
        <v>-20</v>
      </c>
      <c r="C470" s="11">
        <v>47.913619609306409</v>
      </c>
      <c r="D470" s="11">
        <v>-10.317843796857876</v>
      </c>
      <c r="E470" s="11"/>
      <c r="F470" s="12">
        <v>502</v>
      </c>
      <c r="G470" s="12" t="s">
        <v>13</v>
      </c>
      <c r="H470" s="13">
        <v>9.1999999999999993</v>
      </c>
      <c r="I470" s="14"/>
      <c r="J470" s="14">
        <v>9.4</v>
      </c>
      <c r="K470" s="14"/>
      <c r="L470" s="13">
        <v>2.7</v>
      </c>
      <c r="M470" s="13">
        <v>1.7</v>
      </c>
      <c r="P470" s="12" t="s">
        <v>14</v>
      </c>
      <c r="Q470" s="12"/>
      <c r="R470" s="12"/>
      <c r="T470">
        <f t="shared" si="14"/>
        <v>2.928450952890874</v>
      </c>
      <c r="U470">
        <f t="shared" si="15"/>
        <v>2.9921129301276324</v>
      </c>
    </row>
    <row r="471" spans="1:21">
      <c r="A471" s="12">
        <v>30</v>
      </c>
      <c r="B471" s="12">
        <v>10</v>
      </c>
      <c r="C471" s="11">
        <v>32.324126605413987</v>
      </c>
      <c r="D471" s="11">
        <v>17.643193787769803</v>
      </c>
      <c r="E471" s="11"/>
      <c r="F471" s="10">
        <v>219</v>
      </c>
      <c r="G471" s="12" t="s">
        <v>13</v>
      </c>
      <c r="H471" s="13"/>
      <c r="I471" s="14">
        <v>2.93</v>
      </c>
      <c r="J471" s="14">
        <v>9.9</v>
      </c>
      <c r="K471" s="14"/>
      <c r="L471" s="13">
        <v>4.2</v>
      </c>
      <c r="M471" s="13">
        <v>1.7</v>
      </c>
      <c r="P471" s="12" t="s">
        <v>14</v>
      </c>
      <c r="Q471" s="12"/>
      <c r="R471" s="12"/>
      <c r="T471">
        <f t="shared" si="14"/>
        <v>2.93</v>
      </c>
      <c r="U471">
        <f t="shared" si="15"/>
        <v>3.1512678732195281</v>
      </c>
    </row>
    <row r="472" spans="1:21">
      <c r="A472" s="12">
        <v>30</v>
      </c>
      <c r="B472" s="12">
        <v>0</v>
      </c>
      <c r="C472" s="11">
        <v>33.861205161092634</v>
      </c>
      <c r="D472" s="11">
        <v>9.3143433199608303</v>
      </c>
      <c r="E472" s="11"/>
      <c r="F472" s="10">
        <v>249</v>
      </c>
      <c r="G472" s="12" t="s">
        <v>13</v>
      </c>
      <c r="H472" s="13"/>
      <c r="I472" s="14">
        <v>2.93</v>
      </c>
      <c r="J472" s="14">
        <v>9.9</v>
      </c>
      <c r="K472" s="14"/>
      <c r="L472" s="13">
        <v>3.8</v>
      </c>
      <c r="M472" s="13">
        <v>1.7</v>
      </c>
      <c r="P472" s="12" t="s">
        <v>14</v>
      </c>
      <c r="Q472" s="12"/>
      <c r="R472" s="12"/>
      <c r="T472">
        <f t="shared" si="14"/>
        <v>2.93</v>
      </c>
      <c r="U472">
        <f t="shared" si="15"/>
        <v>3.1512678732195281</v>
      </c>
    </row>
    <row r="473" spans="1:21">
      <c r="A473" s="12">
        <v>20</v>
      </c>
      <c r="B473" s="12">
        <v>-30</v>
      </c>
      <c r="C473" s="11">
        <v>21.358357107595999</v>
      </c>
      <c r="D473" s="11">
        <v>-22.250979369111008</v>
      </c>
      <c r="E473" s="11"/>
      <c r="F473" s="12">
        <v>634</v>
      </c>
      <c r="G473" s="12" t="s">
        <v>11</v>
      </c>
      <c r="H473" s="13"/>
      <c r="I473" s="14">
        <v>2.94</v>
      </c>
      <c r="J473" s="14" t="s">
        <v>70</v>
      </c>
      <c r="K473" s="14"/>
      <c r="L473" s="13">
        <v>4.0999999999999996</v>
      </c>
      <c r="M473" s="13">
        <v>0.3</v>
      </c>
      <c r="P473" s="12" t="s">
        <v>14</v>
      </c>
      <c r="Q473" s="12"/>
      <c r="R473" s="12"/>
      <c r="T473">
        <f t="shared" si="14"/>
        <v>2.94</v>
      </c>
      <c r="U473" t="str">
        <f t="shared" si="15"/>
        <v>dead</v>
      </c>
    </row>
    <row r="474" spans="1:21">
      <c r="A474" s="12">
        <v>20</v>
      </c>
      <c r="B474" s="12">
        <v>-30</v>
      </c>
      <c r="C474" s="11">
        <v>24.416937663290781</v>
      </c>
      <c r="D474" s="11">
        <v>-26.422578527695791</v>
      </c>
      <c r="E474" s="11"/>
      <c r="F474" s="10">
        <v>645</v>
      </c>
      <c r="G474" s="12" t="s">
        <v>13</v>
      </c>
      <c r="H474" s="13"/>
      <c r="I474" s="14">
        <v>2.94</v>
      </c>
      <c r="J474" s="14">
        <v>10.4</v>
      </c>
      <c r="K474" s="14"/>
      <c r="L474" s="13">
        <v>5.4</v>
      </c>
      <c r="M474" s="13">
        <v>2.1</v>
      </c>
      <c r="P474" s="12" t="s">
        <v>14</v>
      </c>
      <c r="Q474" s="12"/>
      <c r="R474" s="12"/>
      <c r="T474">
        <f t="shared" si="14"/>
        <v>2.94</v>
      </c>
      <c r="U474">
        <f t="shared" si="15"/>
        <v>3.3104228163114233</v>
      </c>
    </row>
    <row r="475" spans="1:21">
      <c r="A475" s="12">
        <v>40</v>
      </c>
      <c r="B475" s="12">
        <v>-10</v>
      </c>
      <c r="C475" s="11">
        <v>48.306777815709822</v>
      </c>
      <c r="D475" s="11">
        <v>-3.1315489194051551</v>
      </c>
      <c r="E475" s="11"/>
      <c r="F475" s="12">
        <v>468</v>
      </c>
      <c r="G475" s="12" t="s">
        <v>13</v>
      </c>
      <c r="H475" s="13">
        <v>9.3000000000000007</v>
      </c>
      <c r="I475" s="14"/>
      <c r="J475" s="14">
        <v>10.199999999999999</v>
      </c>
      <c r="K475" s="14"/>
      <c r="L475" s="13">
        <v>4</v>
      </c>
      <c r="M475" s="13">
        <v>2.5</v>
      </c>
      <c r="P475" s="12" t="s">
        <v>14</v>
      </c>
      <c r="Q475" s="12"/>
      <c r="R475" s="12"/>
      <c r="T475">
        <f t="shared" si="14"/>
        <v>2.9602819415092534</v>
      </c>
      <c r="U475">
        <f t="shared" si="15"/>
        <v>3.246760839074665</v>
      </c>
    </row>
    <row r="476" spans="1:21">
      <c r="A476" s="12">
        <v>40</v>
      </c>
      <c r="B476" s="12">
        <v>-10</v>
      </c>
      <c r="C476" s="11">
        <v>48.401628678836474</v>
      </c>
      <c r="D476" s="11">
        <v>-3.0574023483476909</v>
      </c>
      <c r="E476" s="11"/>
      <c r="F476" s="10">
        <v>469</v>
      </c>
      <c r="G476" s="12" t="s">
        <v>13</v>
      </c>
      <c r="H476" s="13">
        <v>9.3000000000000007</v>
      </c>
      <c r="I476" s="14"/>
      <c r="J476" s="14">
        <v>9.1999999999999993</v>
      </c>
      <c r="K476" s="14"/>
      <c r="L476" s="13">
        <v>2.8</v>
      </c>
      <c r="M476" s="13">
        <v>1.6</v>
      </c>
      <c r="P476" s="12" t="s">
        <v>14</v>
      </c>
      <c r="Q476" s="12"/>
      <c r="R476" s="12"/>
      <c r="T476">
        <f t="shared" si="14"/>
        <v>2.9602819415092534</v>
      </c>
      <c r="U476">
        <f t="shared" si="15"/>
        <v>2.928450952890874</v>
      </c>
    </row>
    <row r="477" spans="1:21">
      <c r="A477" s="12">
        <v>20</v>
      </c>
      <c r="B477" s="12">
        <v>-30</v>
      </c>
      <c r="C477" s="11">
        <v>29.843176006222272</v>
      </c>
      <c r="D477" s="11">
        <v>-24.727399521404511</v>
      </c>
      <c r="E477" s="11"/>
      <c r="F477" s="10">
        <v>659</v>
      </c>
      <c r="G477" s="12" t="s">
        <v>11</v>
      </c>
      <c r="H477" s="13">
        <v>9.3000000000000007</v>
      </c>
      <c r="I477" s="14"/>
      <c r="J477" s="14" t="s">
        <v>70</v>
      </c>
      <c r="K477" s="14"/>
      <c r="L477" s="13">
        <v>3.3</v>
      </c>
      <c r="M477" s="13"/>
      <c r="P477" s="12" t="s">
        <v>12</v>
      </c>
      <c r="Q477" s="12"/>
      <c r="R477" s="12"/>
      <c r="T477">
        <f t="shared" si="14"/>
        <v>2.9602819415092534</v>
      </c>
      <c r="U477" t="str">
        <f t="shared" si="15"/>
        <v>dead</v>
      </c>
    </row>
    <row r="478" spans="1:21">
      <c r="A478" s="9">
        <v>0</v>
      </c>
      <c r="B478" s="12">
        <v>20</v>
      </c>
      <c r="C478" s="11">
        <v>8.9167524089241592</v>
      </c>
      <c r="D478" s="11">
        <v>22.422628010641585</v>
      </c>
      <c r="E478" s="11"/>
      <c r="F478" s="12">
        <v>36</v>
      </c>
      <c r="G478" s="12" t="s">
        <v>13</v>
      </c>
      <c r="H478" s="13">
        <v>9.4</v>
      </c>
      <c r="I478" s="14"/>
      <c r="J478" s="14">
        <v>12.3</v>
      </c>
      <c r="K478" s="14"/>
      <c r="L478" s="13">
        <v>4.5</v>
      </c>
      <c r="M478" s="13">
        <v>0.9</v>
      </c>
      <c r="P478" s="12" t="s">
        <v>14</v>
      </c>
      <c r="Q478" s="12"/>
      <c r="R478" s="12"/>
      <c r="T478">
        <f t="shared" si="14"/>
        <v>2.9921129301276324</v>
      </c>
      <c r="U478">
        <f t="shared" si="15"/>
        <v>3.9152116000606259</v>
      </c>
    </row>
    <row r="479" spans="1:21">
      <c r="A479" s="12">
        <v>40</v>
      </c>
      <c r="B479" s="12">
        <v>40</v>
      </c>
      <c r="C479" s="11">
        <v>41.85837927428328</v>
      </c>
      <c r="D479" s="11">
        <v>49.432158393420885</v>
      </c>
      <c r="E479" s="11"/>
      <c r="F479" s="10">
        <v>365</v>
      </c>
      <c r="G479" s="12" t="s">
        <v>13</v>
      </c>
      <c r="H479" s="13">
        <v>9.4</v>
      </c>
      <c r="I479" s="14"/>
      <c r="J479" s="14">
        <v>9.8000000000000007</v>
      </c>
      <c r="K479" s="14"/>
      <c r="L479" s="13">
        <v>4.2</v>
      </c>
      <c r="M479" s="13">
        <v>1.4</v>
      </c>
      <c r="P479" s="12" t="s">
        <v>14</v>
      </c>
      <c r="Q479" s="12"/>
      <c r="R479" s="12"/>
      <c r="T479">
        <f t="shared" si="14"/>
        <v>2.9921129301276324</v>
      </c>
      <c r="U479">
        <f t="shared" si="15"/>
        <v>3.1194368846011491</v>
      </c>
    </row>
    <row r="480" spans="1:21">
      <c r="A480" s="12">
        <v>40</v>
      </c>
      <c r="B480" s="12">
        <v>-30</v>
      </c>
      <c r="C480" s="11">
        <v>41.859970636357168</v>
      </c>
      <c r="D480" s="11">
        <v>-25.656915812060998</v>
      </c>
      <c r="E480" s="11"/>
      <c r="F480" s="12">
        <v>690</v>
      </c>
      <c r="G480" s="12" t="s">
        <v>13</v>
      </c>
      <c r="H480" s="13">
        <v>9.5</v>
      </c>
      <c r="I480" s="14"/>
      <c r="J480" s="14" t="s">
        <v>70</v>
      </c>
      <c r="K480" s="14"/>
      <c r="L480" s="13">
        <v>5</v>
      </c>
      <c r="M480" s="13">
        <v>0.2</v>
      </c>
      <c r="P480" s="12" t="s">
        <v>14</v>
      </c>
      <c r="Q480" s="12"/>
      <c r="R480" s="12"/>
      <c r="T480">
        <f t="shared" si="14"/>
        <v>3.0239439187460113</v>
      </c>
      <c r="U480" t="str">
        <f t="shared" si="15"/>
        <v>dead</v>
      </c>
    </row>
    <row r="481" spans="1:21">
      <c r="A481" s="12">
        <v>40</v>
      </c>
      <c r="B481" s="12">
        <v>20</v>
      </c>
      <c r="C481" s="11">
        <v>41.842468171835485</v>
      </c>
      <c r="D481" s="11">
        <v>29.62411282140144</v>
      </c>
      <c r="E481" s="11"/>
      <c r="F481" s="10">
        <v>309</v>
      </c>
      <c r="G481" s="12" t="s">
        <v>13</v>
      </c>
      <c r="H481" s="13"/>
      <c r="I481" s="14">
        <v>3.04</v>
      </c>
      <c r="J481" s="14">
        <v>10.1</v>
      </c>
      <c r="K481" s="14"/>
      <c r="L481" s="13">
        <v>5.0999999999999996</v>
      </c>
      <c r="M481" s="13">
        <v>2</v>
      </c>
      <c r="P481" s="12" t="s">
        <v>14</v>
      </c>
      <c r="Q481" s="12"/>
      <c r="R481" s="12"/>
      <c r="T481">
        <f t="shared" si="14"/>
        <v>3.04</v>
      </c>
      <c r="U481">
        <f t="shared" si="15"/>
        <v>3.214929850456286</v>
      </c>
    </row>
    <row r="482" spans="1:21">
      <c r="A482" s="12">
        <v>0</v>
      </c>
      <c r="B482" s="12">
        <v>-20</v>
      </c>
      <c r="C482" s="11">
        <v>1.5226557831048269</v>
      </c>
      <c r="D482" s="11">
        <v>-17.833384923912359</v>
      </c>
      <c r="E482" s="11"/>
      <c r="F482" s="10">
        <v>587</v>
      </c>
      <c r="G482" s="12" t="s">
        <v>11</v>
      </c>
      <c r="H482" s="13"/>
      <c r="I482" s="14">
        <v>3.04</v>
      </c>
      <c r="J482" s="14">
        <v>12.4</v>
      </c>
      <c r="K482" s="14"/>
      <c r="L482" s="13">
        <v>3.9</v>
      </c>
      <c r="M482" s="13">
        <v>0.7</v>
      </c>
      <c r="P482" s="12" t="s">
        <v>14</v>
      </c>
      <c r="Q482" s="12"/>
      <c r="R482" s="12"/>
      <c r="T482">
        <f t="shared" si="14"/>
        <v>3.04</v>
      </c>
      <c r="U482">
        <f t="shared" si="15"/>
        <v>3.9470425886790048</v>
      </c>
    </row>
    <row r="483" spans="1:21">
      <c r="A483" s="12">
        <v>20</v>
      </c>
      <c r="B483" s="12">
        <v>-20</v>
      </c>
      <c r="C483" s="11">
        <v>29.705651689543171</v>
      </c>
      <c r="D483" s="11">
        <v>-12.990784656740539</v>
      </c>
      <c r="E483" s="11"/>
      <c r="F483" s="10">
        <v>537</v>
      </c>
      <c r="G483" s="12" t="s">
        <v>13</v>
      </c>
      <c r="H483" s="13"/>
      <c r="I483" s="14">
        <v>3.08</v>
      </c>
      <c r="J483" s="14">
        <v>10.7</v>
      </c>
      <c r="K483" s="14"/>
      <c r="L483" s="13">
        <v>4.8</v>
      </c>
      <c r="M483" s="13">
        <v>2.2999999999999998</v>
      </c>
      <c r="P483" s="12" t="s">
        <v>14</v>
      </c>
      <c r="Q483" s="12"/>
      <c r="R483" s="12"/>
      <c r="T483">
        <f t="shared" si="14"/>
        <v>3.08</v>
      </c>
      <c r="U483">
        <f t="shared" si="15"/>
        <v>3.4059157821665602</v>
      </c>
    </row>
    <row r="484" spans="1:21">
      <c r="A484" s="9">
        <v>0</v>
      </c>
      <c r="B484" s="12">
        <v>40</v>
      </c>
      <c r="C484" s="11">
        <v>3.8092987432644398</v>
      </c>
      <c r="D484" s="11">
        <v>42.763471683479295</v>
      </c>
      <c r="E484" s="11"/>
      <c r="F484" s="10">
        <v>67</v>
      </c>
      <c r="G484" s="12" t="s">
        <v>11</v>
      </c>
      <c r="H484" s="13">
        <v>9.6999999999999993</v>
      </c>
      <c r="I484" s="14"/>
      <c r="J484" s="14" t="s">
        <v>70</v>
      </c>
      <c r="K484" s="14"/>
      <c r="L484" s="13">
        <v>3.7</v>
      </c>
      <c r="M484" s="13"/>
      <c r="P484" s="12" t="s">
        <v>12</v>
      </c>
      <c r="Q484" s="12"/>
      <c r="R484" s="12"/>
      <c r="T484">
        <f t="shared" si="14"/>
        <v>3.0876058959827692</v>
      </c>
      <c r="U484" t="str">
        <f t="shared" si="15"/>
        <v>dead</v>
      </c>
    </row>
    <row r="485" spans="1:21">
      <c r="A485" s="12">
        <v>20</v>
      </c>
      <c r="B485" s="12">
        <v>30</v>
      </c>
      <c r="C485" s="11">
        <v>20.869370276898547</v>
      </c>
      <c r="D485" s="11">
        <v>33.306219653914141</v>
      </c>
      <c r="E485" s="11"/>
      <c r="F485" s="12">
        <v>174</v>
      </c>
      <c r="G485" s="12" t="s">
        <v>13</v>
      </c>
      <c r="H485" s="13">
        <v>9.8000000000000007</v>
      </c>
      <c r="I485" s="14"/>
      <c r="J485" s="14">
        <v>12.4</v>
      </c>
      <c r="K485" s="14"/>
      <c r="L485" s="13">
        <v>4.5999999999999996</v>
      </c>
      <c r="M485" s="13">
        <v>0.9</v>
      </c>
      <c r="P485" s="12" t="s">
        <v>14</v>
      </c>
      <c r="Q485" s="12"/>
      <c r="R485" s="12"/>
      <c r="T485">
        <f t="shared" si="14"/>
        <v>3.1194368846011491</v>
      </c>
      <c r="U485">
        <f t="shared" si="15"/>
        <v>3.9470425886790048</v>
      </c>
    </row>
    <row r="486" spans="1:21">
      <c r="A486" s="12">
        <v>50</v>
      </c>
      <c r="B486" s="12">
        <v>-30</v>
      </c>
      <c r="C486" s="11">
        <v>50.215139710240834</v>
      </c>
      <c r="D486" s="11">
        <v>-27.437723206428444</v>
      </c>
      <c r="E486" s="11"/>
      <c r="F486" s="12">
        <v>2004</v>
      </c>
      <c r="G486" s="12" t="s">
        <v>13</v>
      </c>
      <c r="H486" s="13">
        <v>9.8000000000000007</v>
      </c>
      <c r="I486" s="14"/>
      <c r="J486" s="14">
        <v>42</v>
      </c>
      <c r="K486" s="14"/>
      <c r="L486" s="13"/>
      <c r="M486" s="13"/>
      <c r="N486">
        <v>9.5</v>
      </c>
      <c r="O486" t="s">
        <v>70</v>
      </c>
      <c r="P486" s="12"/>
      <c r="Q486" s="12"/>
      <c r="R486" s="12" t="s">
        <v>57</v>
      </c>
      <c r="S486" t="s">
        <v>138</v>
      </c>
      <c r="T486">
        <f t="shared" si="14"/>
        <v>3.1194368846011491</v>
      </c>
      <c r="U486">
        <f t="shared" si="15"/>
        <v>13.369015219719209</v>
      </c>
    </row>
    <row r="487" spans="1:21">
      <c r="A487" s="12">
        <v>20</v>
      </c>
      <c r="B487" s="12">
        <v>-30</v>
      </c>
      <c r="C487" s="11">
        <v>24.931124992627893</v>
      </c>
      <c r="D487" s="11">
        <v>-26.215054799407518</v>
      </c>
      <c r="E487" s="11"/>
      <c r="F487" s="12">
        <v>648</v>
      </c>
      <c r="G487" s="12" t="s">
        <v>13</v>
      </c>
      <c r="H487" s="13"/>
      <c r="I487" s="14">
        <v>3.13</v>
      </c>
      <c r="J487" s="14">
        <v>10.3</v>
      </c>
      <c r="K487" s="14"/>
      <c r="L487" s="13">
        <v>4.8</v>
      </c>
      <c r="M487" s="13">
        <v>1.7</v>
      </c>
      <c r="P487" s="12" t="s">
        <v>14</v>
      </c>
      <c r="Q487" s="12"/>
      <c r="R487" s="12"/>
      <c r="T487">
        <f t="shared" si="14"/>
        <v>3.13</v>
      </c>
      <c r="U487">
        <f t="shared" si="15"/>
        <v>3.2785918276930444</v>
      </c>
    </row>
    <row r="488" spans="1:21">
      <c r="A488" s="9">
        <v>20</v>
      </c>
      <c r="B488" s="9">
        <v>-10</v>
      </c>
      <c r="C488" s="11">
        <v>21.573591821388145</v>
      </c>
      <c r="D488" s="11">
        <v>-9.2921288004261342</v>
      </c>
      <c r="E488" s="11"/>
      <c r="F488" s="12">
        <v>412</v>
      </c>
      <c r="G488" s="12" t="s">
        <v>13</v>
      </c>
      <c r="H488" s="13">
        <v>9.9</v>
      </c>
      <c r="I488" s="14"/>
      <c r="J488" s="14">
        <v>10.199999999999999</v>
      </c>
      <c r="K488" s="14"/>
      <c r="L488" s="13">
        <v>2.6</v>
      </c>
      <c r="M488" s="13">
        <v>1.7</v>
      </c>
      <c r="P488" s="12" t="s">
        <v>14</v>
      </c>
      <c r="Q488" s="12"/>
      <c r="R488" s="12"/>
      <c r="T488">
        <f t="shared" si="14"/>
        <v>3.1512678732195281</v>
      </c>
      <c r="U488">
        <f t="shared" si="15"/>
        <v>3.246760839074665</v>
      </c>
    </row>
    <row r="489" spans="1:21">
      <c r="A489" s="12">
        <v>10</v>
      </c>
      <c r="B489" s="12">
        <v>20</v>
      </c>
      <c r="C489" s="11">
        <v>19.562907922607756</v>
      </c>
      <c r="D489" s="11">
        <v>28.425119204591159</v>
      </c>
      <c r="E489" s="11"/>
      <c r="F489" s="12">
        <v>92</v>
      </c>
      <c r="G489" s="12" t="s">
        <v>13</v>
      </c>
      <c r="H489" s="13"/>
      <c r="I489" s="14">
        <v>3.16</v>
      </c>
      <c r="J489" s="14">
        <v>11.5</v>
      </c>
      <c r="K489" s="14"/>
      <c r="L489" s="13">
        <v>3.7</v>
      </c>
      <c r="M489" s="13">
        <v>0.9</v>
      </c>
      <c r="P489" s="12" t="s">
        <v>14</v>
      </c>
      <c r="Q489" s="12"/>
      <c r="R489" s="12"/>
      <c r="T489">
        <f t="shared" si="14"/>
        <v>3.16</v>
      </c>
      <c r="U489">
        <f t="shared" si="15"/>
        <v>3.6605636911135928</v>
      </c>
    </row>
    <row r="490" spans="1:21">
      <c r="A490" s="12">
        <v>20</v>
      </c>
      <c r="B490" s="12">
        <v>-30</v>
      </c>
      <c r="C490" s="11">
        <v>28.195766850388548</v>
      </c>
      <c r="D490" s="11">
        <v>-22.557663531788954</v>
      </c>
      <c r="E490" s="11"/>
      <c r="F490" s="10">
        <v>649</v>
      </c>
      <c r="G490" s="12" t="s">
        <v>43</v>
      </c>
      <c r="H490" s="13"/>
      <c r="I490" s="14">
        <v>3.17</v>
      </c>
      <c r="J490" s="14">
        <v>10.199999999999999</v>
      </c>
      <c r="K490" s="14"/>
      <c r="L490" s="13">
        <v>4</v>
      </c>
      <c r="M490" s="13"/>
      <c r="P490" s="12" t="s">
        <v>12</v>
      </c>
      <c r="Q490" s="12"/>
      <c r="R490" s="12"/>
      <c r="S490" t="s">
        <v>115</v>
      </c>
      <c r="T490">
        <f t="shared" si="14"/>
        <v>3.17</v>
      </c>
      <c r="U490">
        <f t="shared" si="15"/>
        <v>3.246760839074665</v>
      </c>
    </row>
    <row r="491" spans="1:21">
      <c r="A491" s="12">
        <v>40</v>
      </c>
      <c r="B491" s="12">
        <v>-10</v>
      </c>
      <c r="C491" s="11">
        <v>47.761100883618937</v>
      </c>
      <c r="D491" s="11">
        <v>-2.7549647450862382</v>
      </c>
      <c r="E491" s="11"/>
      <c r="F491" s="10">
        <v>459</v>
      </c>
      <c r="G491" s="12" t="s">
        <v>13</v>
      </c>
      <c r="H491" s="13">
        <v>10</v>
      </c>
      <c r="I491" s="14"/>
      <c r="J491" s="14">
        <v>10.199999999999999</v>
      </c>
      <c r="K491" s="14"/>
      <c r="L491" s="13">
        <v>2.9</v>
      </c>
      <c r="M491" s="13">
        <v>2.2000000000000002</v>
      </c>
      <c r="P491" s="12" t="s">
        <v>14</v>
      </c>
      <c r="Q491" s="12"/>
      <c r="R491" s="12"/>
      <c r="T491">
        <f t="shared" si="14"/>
        <v>3.183098861837907</v>
      </c>
      <c r="U491">
        <f t="shared" si="15"/>
        <v>3.246760839074665</v>
      </c>
    </row>
    <row r="492" spans="1:21">
      <c r="A492" s="12">
        <v>50</v>
      </c>
      <c r="B492" s="12">
        <v>-30</v>
      </c>
      <c r="C492" s="11">
        <v>50.215139710240834</v>
      </c>
      <c r="D492" s="11">
        <v>-27.437723206428444</v>
      </c>
      <c r="E492" s="11"/>
      <c r="F492" s="12">
        <v>2009</v>
      </c>
      <c r="G492" s="12" t="s">
        <v>13</v>
      </c>
      <c r="H492" s="13">
        <v>10</v>
      </c>
      <c r="I492" s="14"/>
      <c r="J492" s="14">
        <v>13.1</v>
      </c>
      <c r="K492" s="14"/>
      <c r="L492" s="13"/>
      <c r="M492" s="13"/>
      <c r="N492">
        <v>5.5</v>
      </c>
      <c r="O492">
        <v>1.8</v>
      </c>
      <c r="P492" s="12"/>
      <c r="Q492" s="12"/>
      <c r="R492" s="12" t="s">
        <v>57</v>
      </c>
      <c r="S492" t="s">
        <v>143</v>
      </c>
      <c r="T492">
        <f t="shared" si="14"/>
        <v>3.183098861837907</v>
      </c>
      <c r="U492">
        <f t="shared" si="15"/>
        <v>4.169859509007658</v>
      </c>
    </row>
    <row r="493" spans="1:21">
      <c r="A493" s="12">
        <v>20</v>
      </c>
      <c r="B493" s="12">
        <v>-20</v>
      </c>
      <c r="C493" s="11">
        <v>29.844011771160329</v>
      </c>
      <c r="D493" s="11">
        <v>-12.893009349392088</v>
      </c>
      <c r="E493" s="11"/>
      <c r="F493" s="10">
        <v>535</v>
      </c>
      <c r="G493" s="12" t="s">
        <v>13</v>
      </c>
      <c r="H493" s="13"/>
      <c r="I493" s="14">
        <v>3.19</v>
      </c>
      <c r="J493" s="14">
        <v>9.6999999999999993</v>
      </c>
      <c r="K493" s="14"/>
      <c r="L493" s="13">
        <v>4.2</v>
      </c>
      <c r="M493" s="13">
        <v>2.6</v>
      </c>
      <c r="P493" s="12" t="s">
        <v>14</v>
      </c>
      <c r="Q493" s="12"/>
      <c r="R493" s="12"/>
      <c r="T493">
        <f t="shared" si="14"/>
        <v>3.19</v>
      </c>
      <c r="U493">
        <f t="shared" si="15"/>
        <v>3.0876058959827692</v>
      </c>
    </row>
    <row r="494" spans="1:21">
      <c r="A494" s="12">
        <v>40</v>
      </c>
      <c r="B494" s="12">
        <v>20</v>
      </c>
      <c r="C494" s="11">
        <v>41.897873362675597</v>
      </c>
      <c r="D494" s="11">
        <v>29.362703105713361</v>
      </c>
      <c r="E494" s="11"/>
      <c r="F494" s="10">
        <v>305</v>
      </c>
      <c r="G494" s="12" t="s">
        <v>13</v>
      </c>
      <c r="H494" s="13"/>
      <c r="I494" s="14">
        <v>3.21</v>
      </c>
      <c r="J494" s="14">
        <v>10.8</v>
      </c>
      <c r="K494" s="14"/>
      <c r="L494" s="13">
        <v>4.2</v>
      </c>
      <c r="M494" s="13">
        <v>3.3</v>
      </c>
      <c r="P494" s="12" t="s">
        <v>14</v>
      </c>
      <c r="Q494" s="12"/>
      <c r="R494" s="12"/>
      <c r="T494">
        <f t="shared" si="14"/>
        <v>3.21</v>
      </c>
      <c r="U494">
        <f t="shared" si="15"/>
        <v>3.4377467707849396</v>
      </c>
    </row>
    <row r="495" spans="1:21">
      <c r="A495" s="12">
        <v>40</v>
      </c>
      <c r="B495" s="12">
        <v>40</v>
      </c>
      <c r="C495" s="11">
        <v>49.818309622430874</v>
      </c>
      <c r="D495" s="11">
        <v>45.476987183360826</v>
      </c>
      <c r="E495" s="11"/>
      <c r="F495" s="12">
        <v>352</v>
      </c>
      <c r="G495" s="12" t="s">
        <v>13</v>
      </c>
      <c r="H495" s="13">
        <v>10.1</v>
      </c>
      <c r="I495" s="14"/>
      <c r="J495" s="14">
        <v>11.3</v>
      </c>
      <c r="K495" s="14"/>
      <c r="L495" s="13">
        <v>4.7</v>
      </c>
      <c r="M495" s="13">
        <v>1.6</v>
      </c>
      <c r="P495" s="12" t="s">
        <v>14</v>
      </c>
      <c r="Q495" s="12"/>
      <c r="R495" s="12"/>
      <c r="T495">
        <f t="shared" si="14"/>
        <v>3.214929850456286</v>
      </c>
      <c r="U495">
        <f t="shared" si="15"/>
        <v>3.5969017138768349</v>
      </c>
    </row>
    <row r="496" spans="1:21">
      <c r="A496" s="12">
        <v>30</v>
      </c>
      <c r="B496" s="12">
        <v>-30</v>
      </c>
      <c r="C496" s="11">
        <v>33.239457199893131</v>
      </c>
      <c r="D496" s="11">
        <v>-29.354994230359555</v>
      </c>
      <c r="E496" s="11"/>
      <c r="F496" s="12">
        <v>672</v>
      </c>
      <c r="G496" s="12" t="s">
        <v>11</v>
      </c>
      <c r="H496" s="13">
        <v>10.1</v>
      </c>
      <c r="I496" s="14"/>
      <c r="J496" s="14">
        <v>14</v>
      </c>
      <c r="K496" s="14"/>
      <c r="L496" s="13">
        <v>3.8</v>
      </c>
      <c r="M496" s="13">
        <v>0.1</v>
      </c>
      <c r="P496" s="12" t="s">
        <v>14</v>
      </c>
      <c r="Q496" s="12"/>
      <c r="R496" s="12"/>
      <c r="T496">
        <f t="shared" si="14"/>
        <v>3.214929850456286</v>
      </c>
      <c r="U496">
        <f t="shared" si="15"/>
        <v>4.45633840657307</v>
      </c>
    </row>
    <row r="497" spans="1:21">
      <c r="A497" s="12">
        <v>20</v>
      </c>
      <c r="B497" s="12">
        <v>-30</v>
      </c>
      <c r="C497" s="11">
        <v>27.398101817478246</v>
      </c>
      <c r="D497" s="11">
        <v>-27.776253972690835</v>
      </c>
      <c r="E497" s="11"/>
      <c r="F497" s="12">
        <v>656</v>
      </c>
      <c r="G497" s="12" t="s">
        <v>11</v>
      </c>
      <c r="H497" s="13">
        <v>10.199999999999999</v>
      </c>
      <c r="I497" s="14"/>
      <c r="J497" s="14" t="s">
        <v>70</v>
      </c>
      <c r="K497" s="14"/>
      <c r="L497" s="13">
        <v>5.0999999999999996</v>
      </c>
      <c r="M497" s="13"/>
      <c r="P497" s="12" t="s">
        <v>12</v>
      </c>
      <c r="Q497" s="12"/>
      <c r="R497" s="12"/>
      <c r="T497">
        <f t="shared" si="14"/>
        <v>3.246760839074665</v>
      </c>
      <c r="U497" t="str">
        <f t="shared" si="15"/>
        <v>dead</v>
      </c>
    </row>
    <row r="498" spans="1:21">
      <c r="A498" s="12">
        <v>40</v>
      </c>
      <c r="B498" s="12">
        <v>40</v>
      </c>
      <c r="C498" s="11">
        <v>41.820429060124383</v>
      </c>
      <c r="D498" s="11">
        <v>49.212872474941911</v>
      </c>
      <c r="E498" s="11"/>
      <c r="F498" s="12">
        <v>362</v>
      </c>
      <c r="G498" s="12" t="s">
        <v>13</v>
      </c>
      <c r="H498" s="13">
        <v>10.3</v>
      </c>
      <c r="I498" s="14"/>
      <c r="J498" s="14" t="s">
        <v>70</v>
      </c>
      <c r="K498" s="14"/>
      <c r="L498" s="13">
        <v>3.8</v>
      </c>
      <c r="M498" s="13"/>
      <c r="P498" s="12" t="s">
        <v>12</v>
      </c>
      <c r="Q498" s="12"/>
      <c r="R498" s="12"/>
      <c r="T498">
        <f t="shared" si="14"/>
        <v>3.2785918276930444</v>
      </c>
      <c r="U498" t="str">
        <f t="shared" si="15"/>
        <v>dead</v>
      </c>
    </row>
    <row r="499" spans="1:21">
      <c r="A499" s="12">
        <v>20</v>
      </c>
      <c r="B499" s="12">
        <v>-20</v>
      </c>
      <c r="C499" s="11">
        <v>27.449991754626517</v>
      </c>
      <c r="D499" s="11">
        <v>-13.504025262616915</v>
      </c>
      <c r="E499" s="11"/>
      <c r="F499" s="12">
        <v>548</v>
      </c>
      <c r="G499" s="12" t="s">
        <v>13</v>
      </c>
      <c r="H499" s="13">
        <v>10.3</v>
      </c>
      <c r="I499" s="14"/>
      <c r="J499" s="14">
        <v>11.3</v>
      </c>
      <c r="K499" s="14"/>
      <c r="L499" s="13">
        <v>4</v>
      </c>
      <c r="M499" s="13">
        <v>2.1</v>
      </c>
      <c r="P499" s="12" t="s">
        <v>14</v>
      </c>
      <c r="Q499" s="12"/>
      <c r="R499" s="12"/>
      <c r="T499">
        <f t="shared" si="14"/>
        <v>3.2785918276930444</v>
      </c>
      <c r="U499">
        <f t="shared" si="15"/>
        <v>3.5969017138768349</v>
      </c>
    </row>
    <row r="500" spans="1:21">
      <c r="A500" s="12">
        <v>10</v>
      </c>
      <c r="B500" s="12">
        <v>-20</v>
      </c>
      <c r="C500" s="11">
        <v>11.343016541337331</v>
      </c>
      <c r="D500" s="11">
        <v>-19.135918177230341</v>
      </c>
      <c r="E500" s="11"/>
      <c r="F500" s="10">
        <v>579</v>
      </c>
      <c r="G500" s="12" t="s">
        <v>11</v>
      </c>
      <c r="H500" s="13">
        <v>10.3</v>
      </c>
      <c r="I500" s="14"/>
      <c r="J500" s="14">
        <v>12.8</v>
      </c>
      <c r="K500" s="14"/>
      <c r="L500" s="13">
        <v>4</v>
      </c>
      <c r="M500" s="13">
        <v>1.1000000000000001</v>
      </c>
      <c r="P500" s="12" t="s">
        <v>14</v>
      </c>
      <c r="Q500" s="12"/>
      <c r="R500" s="12"/>
      <c r="T500">
        <f t="shared" si="14"/>
        <v>3.2785918276930444</v>
      </c>
      <c r="U500">
        <f t="shared" si="15"/>
        <v>4.0743665431525207</v>
      </c>
    </row>
    <row r="501" spans="1:21">
      <c r="A501" s="12">
        <v>20</v>
      </c>
      <c r="B501" s="12">
        <v>40</v>
      </c>
      <c r="C501" s="11">
        <v>23.615371315622383</v>
      </c>
      <c r="D501" s="11">
        <v>41.380576057366952</v>
      </c>
      <c r="E501" s="11"/>
      <c r="F501" s="12">
        <v>184</v>
      </c>
      <c r="G501" s="12" t="s">
        <v>11</v>
      </c>
      <c r="H501" s="13">
        <v>10.4</v>
      </c>
      <c r="I501" s="14"/>
      <c r="J501" s="14">
        <v>14.5</v>
      </c>
      <c r="K501" s="14"/>
      <c r="L501" s="13">
        <v>4</v>
      </c>
      <c r="M501" s="13">
        <v>0.3</v>
      </c>
      <c r="P501" s="12" t="s">
        <v>14</v>
      </c>
      <c r="Q501" s="12"/>
      <c r="R501" s="12"/>
      <c r="T501">
        <f t="shared" si="14"/>
        <v>3.3104228163114233</v>
      </c>
      <c r="U501">
        <f t="shared" si="15"/>
        <v>4.6154933496649653</v>
      </c>
    </row>
    <row r="502" spans="1:21">
      <c r="A502" s="12">
        <v>10</v>
      </c>
      <c r="B502" s="12">
        <v>-20</v>
      </c>
      <c r="C502" s="11">
        <v>18.687857860928503</v>
      </c>
      <c r="D502" s="11">
        <v>-16.25311022221458</v>
      </c>
      <c r="E502" s="11"/>
      <c r="F502" s="12">
        <v>570</v>
      </c>
      <c r="G502" s="12" t="s">
        <v>11</v>
      </c>
      <c r="H502" s="13"/>
      <c r="I502" s="14">
        <v>3.34</v>
      </c>
      <c r="J502" s="14" t="s">
        <v>70</v>
      </c>
      <c r="K502" s="14"/>
      <c r="L502" s="13">
        <v>3.7</v>
      </c>
      <c r="M502" s="13">
        <v>1</v>
      </c>
      <c r="P502" s="12" t="s">
        <v>14</v>
      </c>
      <c r="Q502" s="12"/>
      <c r="R502" s="12"/>
      <c r="T502">
        <f t="shared" si="14"/>
        <v>3.34</v>
      </c>
      <c r="U502" t="str">
        <f t="shared" si="15"/>
        <v>dead</v>
      </c>
    </row>
    <row r="503" spans="1:21">
      <c r="A503" s="12">
        <v>30</v>
      </c>
      <c r="B503" s="12">
        <v>0</v>
      </c>
      <c r="C503" s="11">
        <v>29.998157121216444</v>
      </c>
      <c r="D503" s="11">
        <v>0.19197442399690065</v>
      </c>
      <c r="E503" s="11"/>
      <c r="F503" s="12">
        <v>118</v>
      </c>
      <c r="G503" s="12" t="s">
        <v>11</v>
      </c>
      <c r="H503" s="13">
        <v>10.5</v>
      </c>
      <c r="I503" s="14"/>
      <c r="J503" s="14">
        <v>14.4</v>
      </c>
      <c r="K503" s="14"/>
      <c r="L503" s="13">
        <v>3.4</v>
      </c>
      <c r="M503" s="13">
        <v>0.3</v>
      </c>
      <c r="P503" s="12" t="s">
        <v>14</v>
      </c>
      <c r="Q503" s="12"/>
      <c r="R503" s="12"/>
      <c r="T503">
        <f t="shared" si="14"/>
        <v>3.3422538049298023</v>
      </c>
      <c r="U503">
        <f t="shared" si="15"/>
        <v>4.5836623610465859</v>
      </c>
    </row>
    <row r="504" spans="1:21">
      <c r="A504" s="12">
        <v>40</v>
      </c>
      <c r="B504" s="12">
        <v>40</v>
      </c>
      <c r="C504" s="11">
        <v>48.602251723417794</v>
      </c>
      <c r="D504" s="11">
        <v>41.659879439992999</v>
      </c>
      <c r="E504" s="11"/>
      <c r="F504" s="12">
        <v>346</v>
      </c>
      <c r="G504" s="12" t="s">
        <v>13</v>
      </c>
      <c r="H504" s="13">
        <v>10.5</v>
      </c>
      <c r="I504" s="14"/>
      <c r="J504" s="14">
        <v>10.3</v>
      </c>
      <c r="K504" s="14"/>
      <c r="L504" s="13">
        <v>3.3</v>
      </c>
      <c r="M504" s="13">
        <v>1.5</v>
      </c>
      <c r="P504" s="12" t="s">
        <v>14</v>
      </c>
      <c r="Q504" s="12"/>
      <c r="R504" s="12"/>
      <c r="T504">
        <f t="shared" si="14"/>
        <v>3.3422538049298023</v>
      </c>
      <c r="U504">
        <f t="shared" si="15"/>
        <v>3.2785918276930444</v>
      </c>
    </row>
    <row r="505" spans="1:21">
      <c r="A505" s="12">
        <v>30</v>
      </c>
      <c r="B505" s="12">
        <v>-10</v>
      </c>
      <c r="C505" s="11">
        <v>32.579202742904585</v>
      </c>
      <c r="D505" s="11">
        <v>-4.1813516974227438</v>
      </c>
      <c r="E505" s="11"/>
      <c r="F505" s="12">
        <v>422</v>
      </c>
      <c r="G505" s="12" t="s">
        <v>13</v>
      </c>
      <c r="H505" s="13">
        <v>10.5</v>
      </c>
      <c r="I505" s="14"/>
      <c r="J505" s="14">
        <v>11.9</v>
      </c>
      <c r="K505" s="14"/>
      <c r="L505" s="13">
        <v>4.0999999999999996</v>
      </c>
      <c r="M505" s="13">
        <v>1.8</v>
      </c>
      <c r="P505" s="12" t="s">
        <v>14</v>
      </c>
      <c r="Q505" s="12"/>
      <c r="R505" s="12"/>
      <c r="T505">
        <f t="shared" si="14"/>
        <v>3.3422538049298023</v>
      </c>
      <c r="U505">
        <f t="shared" si="15"/>
        <v>3.7878876455871091</v>
      </c>
    </row>
    <row r="506" spans="1:21">
      <c r="A506" s="12">
        <v>20</v>
      </c>
      <c r="B506" s="12">
        <v>0</v>
      </c>
      <c r="C506" s="11">
        <v>29.939609554551797</v>
      </c>
      <c r="D506" s="11">
        <v>1.0973431109104534</v>
      </c>
      <c r="E506" s="11"/>
      <c r="F506" s="10">
        <v>119</v>
      </c>
      <c r="G506" s="12" t="s">
        <v>11</v>
      </c>
      <c r="H506" s="13">
        <v>10.6</v>
      </c>
      <c r="I506" s="14"/>
      <c r="J506" s="14">
        <v>14</v>
      </c>
      <c r="K506" s="14"/>
      <c r="L506" s="13">
        <v>4.5</v>
      </c>
      <c r="M506" s="13">
        <v>0.2</v>
      </c>
      <c r="P506" s="12" t="s">
        <v>14</v>
      </c>
      <c r="Q506" s="12"/>
      <c r="R506" s="12"/>
      <c r="T506">
        <f t="shared" si="14"/>
        <v>3.3740847935481812</v>
      </c>
      <c r="U506">
        <f t="shared" si="15"/>
        <v>4.45633840657307</v>
      </c>
    </row>
    <row r="507" spans="1:21">
      <c r="A507" s="12">
        <v>40</v>
      </c>
      <c r="B507" s="12">
        <v>40</v>
      </c>
      <c r="C507" s="11">
        <v>41.65028445993098</v>
      </c>
      <c r="D507" s="11">
        <v>45.484737951801335</v>
      </c>
      <c r="E507" s="11"/>
      <c r="F507" s="10">
        <v>357</v>
      </c>
      <c r="G507" s="12" t="s">
        <v>13</v>
      </c>
      <c r="H507" s="13">
        <v>10.7</v>
      </c>
      <c r="I507" s="14"/>
      <c r="J507" s="14">
        <v>12</v>
      </c>
      <c r="K507" s="14"/>
      <c r="L507" s="13">
        <v>4.4000000000000004</v>
      </c>
      <c r="M507" s="13">
        <v>1.2</v>
      </c>
      <c r="P507" s="12" t="s">
        <v>14</v>
      </c>
      <c r="Q507" s="12"/>
      <c r="R507" s="12"/>
      <c r="T507">
        <f t="shared" si="14"/>
        <v>3.4059157821665602</v>
      </c>
      <c r="U507">
        <f t="shared" si="15"/>
        <v>3.8197186342054881</v>
      </c>
    </row>
    <row r="508" spans="1:21">
      <c r="A508" s="12">
        <v>40</v>
      </c>
      <c r="B508" s="12">
        <v>40</v>
      </c>
      <c r="C508" s="11">
        <v>41.480789789383856</v>
      </c>
      <c r="D508" s="11">
        <v>45.681606937067514</v>
      </c>
      <c r="E508" s="11"/>
      <c r="F508" s="10">
        <v>359</v>
      </c>
      <c r="G508" s="12" t="s">
        <v>13</v>
      </c>
      <c r="H508" s="13">
        <v>10.7</v>
      </c>
      <c r="I508" s="14"/>
      <c r="J508" s="14">
        <v>11.3</v>
      </c>
      <c r="K508" s="14"/>
      <c r="L508" s="13">
        <v>4.7</v>
      </c>
      <c r="M508" s="13">
        <v>2</v>
      </c>
      <c r="P508" s="12" t="s">
        <v>14</v>
      </c>
      <c r="Q508" s="12"/>
      <c r="R508" s="12"/>
      <c r="T508">
        <f t="shared" si="14"/>
        <v>3.4059157821665602</v>
      </c>
      <c r="U508">
        <f t="shared" si="15"/>
        <v>3.5969017138768349</v>
      </c>
    </row>
    <row r="509" spans="1:21">
      <c r="A509" s="12">
        <v>40</v>
      </c>
      <c r="B509" s="12">
        <v>-30</v>
      </c>
      <c r="C509" s="11">
        <v>42.307079585689536</v>
      </c>
      <c r="D509" s="11">
        <v>-26.109287362000902</v>
      </c>
      <c r="E509" s="11"/>
      <c r="F509" s="10">
        <v>685</v>
      </c>
      <c r="G509" s="12" t="s">
        <v>13</v>
      </c>
      <c r="H509" s="13"/>
      <c r="I509" s="14">
        <v>3.41</v>
      </c>
      <c r="J509" s="14">
        <v>10.8</v>
      </c>
      <c r="K509" s="14"/>
      <c r="L509" s="13">
        <v>1.7</v>
      </c>
      <c r="M509" s="13">
        <v>0.5</v>
      </c>
      <c r="P509" s="12" t="s">
        <v>14</v>
      </c>
      <c r="Q509" s="12"/>
      <c r="R509" s="12" t="s">
        <v>47</v>
      </c>
      <c r="T509">
        <f t="shared" si="14"/>
        <v>3.41</v>
      </c>
      <c r="U509">
        <f t="shared" si="15"/>
        <v>3.4377467707849396</v>
      </c>
    </row>
    <row r="510" spans="1:21">
      <c r="A510" s="12">
        <v>30</v>
      </c>
      <c r="B510" s="12">
        <v>10</v>
      </c>
      <c r="C510" s="11">
        <v>34.412191184356885</v>
      </c>
      <c r="D510" s="11">
        <v>18.734824536799977</v>
      </c>
      <c r="E510" s="11"/>
      <c r="F510" s="10">
        <v>217</v>
      </c>
      <c r="G510" s="12" t="s">
        <v>11</v>
      </c>
      <c r="H510" s="13">
        <v>10.8</v>
      </c>
      <c r="I510" s="14"/>
      <c r="J510" s="14" t="s">
        <v>70</v>
      </c>
      <c r="K510" s="14"/>
      <c r="L510" s="13">
        <v>2.7</v>
      </c>
      <c r="M510" s="13"/>
      <c r="P510" s="12" t="s">
        <v>12</v>
      </c>
      <c r="Q510" s="12"/>
      <c r="R510" s="12" t="s">
        <v>16</v>
      </c>
      <c r="T510">
        <f t="shared" si="14"/>
        <v>3.4377467707849396</v>
      </c>
      <c r="U510" t="str">
        <f t="shared" si="15"/>
        <v>dead</v>
      </c>
    </row>
    <row r="511" spans="1:21">
      <c r="A511" s="12">
        <v>40</v>
      </c>
      <c r="B511" s="12">
        <v>40</v>
      </c>
      <c r="C511" s="11">
        <v>41.910792172547048</v>
      </c>
      <c r="D511" s="11">
        <v>49.305569124146778</v>
      </c>
      <c r="E511" s="11"/>
      <c r="F511" s="12">
        <v>366</v>
      </c>
      <c r="G511" s="12" t="s">
        <v>13</v>
      </c>
      <c r="H511" s="13">
        <v>10.8</v>
      </c>
      <c r="I511" s="14"/>
      <c r="J511" s="14">
        <v>10.8</v>
      </c>
      <c r="K511" s="14"/>
      <c r="L511" s="13">
        <v>4.5</v>
      </c>
      <c r="M511" s="13">
        <v>2.1</v>
      </c>
      <c r="P511" s="12" t="s">
        <v>14</v>
      </c>
      <c r="Q511" s="12"/>
      <c r="R511" s="12"/>
      <c r="T511">
        <f t="shared" si="14"/>
        <v>3.4377467707849396</v>
      </c>
      <c r="U511">
        <f t="shared" si="15"/>
        <v>3.4377467707849396</v>
      </c>
    </row>
    <row r="512" spans="1:21">
      <c r="A512" s="12">
        <v>40</v>
      </c>
      <c r="B512" s="12">
        <v>-10</v>
      </c>
      <c r="C512" s="11">
        <v>43.455869235201362</v>
      </c>
      <c r="D512" s="11">
        <v>-9.8309797965071795</v>
      </c>
      <c r="E512" s="11"/>
      <c r="F512" s="10">
        <v>451</v>
      </c>
      <c r="G512" s="12" t="s">
        <v>13</v>
      </c>
      <c r="H512" s="13">
        <v>10.8</v>
      </c>
      <c r="I512" s="14"/>
      <c r="J512" s="14">
        <v>11.8</v>
      </c>
      <c r="K512" s="14"/>
      <c r="L512" s="13">
        <v>3.9</v>
      </c>
      <c r="M512" s="13">
        <v>2</v>
      </c>
      <c r="P512" s="12" t="s">
        <v>14</v>
      </c>
      <c r="Q512" s="12"/>
      <c r="R512" s="12" t="s">
        <v>16</v>
      </c>
      <c r="T512">
        <f t="shared" si="14"/>
        <v>3.4377467707849396</v>
      </c>
      <c r="U512">
        <f t="shared" si="15"/>
        <v>3.7560566569687301</v>
      </c>
    </row>
    <row r="513" spans="1:21">
      <c r="A513" s="12">
        <v>40</v>
      </c>
      <c r="B513" s="12">
        <v>-30</v>
      </c>
      <c r="C513" s="11">
        <v>42.046818434004329</v>
      </c>
      <c r="D513" s="11">
        <v>-25.540917398602279</v>
      </c>
      <c r="E513" s="11"/>
      <c r="F513" s="12">
        <v>692</v>
      </c>
      <c r="G513" s="12" t="s">
        <v>13</v>
      </c>
      <c r="H513" s="13">
        <v>10.8</v>
      </c>
      <c r="I513" s="14"/>
      <c r="J513" s="14" t="s">
        <v>70</v>
      </c>
      <c r="K513" s="14"/>
      <c r="L513" s="13">
        <v>3</v>
      </c>
      <c r="M513" s="13">
        <v>2.2999999999999998</v>
      </c>
      <c r="P513" s="12" t="s">
        <v>14</v>
      </c>
      <c r="Q513" s="12"/>
      <c r="R513" s="12" t="s">
        <v>48</v>
      </c>
      <c r="T513">
        <f t="shared" si="14"/>
        <v>3.4377467707849396</v>
      </c>
      <c r="U513" t="str">
        <f t="shared" si="15"/>
        <v>dead</v>
      </c>
    </row>
    <row r="514" spans="1:21">
      <c r="A514" s="12">
        <v>20</v>
      </c>
      <c r="B514" s="12">
        <v>10</v>
      </c>
      <c r="C514" s="11">
        <v>21.785537686445696</v>
      </c>
      <c r="D514" s="11">
        <v>11.947311629411955</v>
      </c>
      <c r="E514" s="11"/>
      <c r="F514" s="12">
        <v>148</v>
      </c>
      <c r="G514" s="12" t="s">
        <v>13</v>
      </c>
      <c r="H514" s="13">
        <v>10.9</v>
      </c>
      <c r="I514" s="14"/>
      <c r="J514" s="14">
        <v>11</v>
      </c>
      <c r="K514" s="14"/>
      <c r="L514" s="13">
        <v>4.5999999999999996</v>
      </c>
      <c r="M514" s="13">
        <v>1.5</v>
      </c>
      <c r="P514" s="12" t="s">
        <v>14</v>
      </c>
      <c r="Q514" s="12"/>
      <c r="R514" s="12"/>
      <c r="T514">
        <f t="shared" ref="T514:T577" si="16">IF(H514="",I514,H514/PI())</f>
        <v>3.4695777594033186</v>
      </c>
      <c r="U514">
        <f t="shared" ref="U514:U577" si="17">IF(J514="dead","dead",J514/PI()+K514)</f>
        <v>3.5014087480216975</v>
      </c>
    </row>
    <row r="515" spans="1:21">
      <c r="A515" s="12">
        <v>20</v>
      </c>
      <c r="B515" s="12">
        <v>40</v>
      </c>
      <c r="C515" s="11">
        <v>26.924600108357865</v>
      </c>
      <c r="D515" s="11">
        <v>46.948813808077624</v>
      </c>
      <c r="E515" s="11"/>
      <c r="F515" s="12">
        <v>192</v>
      </c>
      <c r="G515" s="12" t="s">
        <v>13</v>
      </c>
      <c r="H515" s="13">
        <v>10.9</v>
      </c>
      <c r="I515" s="14"/>
      <c r="J515" s="14" t="s">
        <v>70</v>
      </c>
      <c r="K515" s="14"/>
      <c r="L515" s="13">
        <v>3.5</v>
      </c>
      <c r="M515" s="13"/>
      <c r="P515" s="12" t="s">
        <v>12</v>
      </c>
      <c r="Q515" s="12"/>
      <c r="R515" s="12"/>
      <c r="T515">
        <f t="shared" si="16"/>
        <v>3.4695777594033186</v>
      </c>
      <c r="U515" t="str">
        <f t="shared" si="17"/>
        <v>dead</v>
      </c>
    </row>
    <row r="516" spans="1:21">
      <c r="A516" s="12">
        <v>20</v>
      </c>
      <c r="B516" s="12">
        <v>10</v>
      </c>
      <c r="C516" s="11">
        <v>22.185225695543657</v>
      </c>
      <c r="D516" s="11">
        <v>12.144973802340447</v>
      </c>
      <c r="E516" s="11"/>
      <c r="F516" s="10">
        <v>151</v>
      </c>
      <c r="G516" s="12" t="s">
        <v>13</v>
      </c>
      <c r="H516" s="13">
        <v>11</v>
      </c>
      <c r="I516" s="14"/>
      <c r="J516" s="14">
        <v>11.6</v>
      </c>
      <c r="K516" s="14"/>
      <c r="L516" s="13">
        <v>4.9000000000000004</v>
      </c>
      <c r="M516" s="13">
        <v>1.4</v>
      </c>
      <c r="P516" s="12" t="s">
        <v>14</v>
      </c>
      <c r="Q516" s="12"/>
      <c r="R516" s="12"/>
      <c r="T516">
        <f t="shared" si="16"/>
        <v>3.5014087480216975</v>
      </c>
      <c r="U516">
        <f t="shared" si="17"/>
        <v>3.6923946797319718</v>
      </c>
    </row>
    <row r="517" spans="1:21">
      <c r="A517" s="12">
        <v>40</v>
      </c>
      <c r="B517" s="12">
        <v>30</v>
      </c>
      <c r="C517" s="11">
        <v>49.095619109009078</v>
      </c>
      <c r="D517" s="11">
        <v>30.432649520164404</v>
      </c>
      <c r="E517" s="11"/>
      <c r="F517" s="12">
        <v>320</v>
      </c>
      <c r="G517" s="12" t="s">
        <v>30</v>
      </c>
      <c r="H517" s="13">
        <v>11</v>
      </c>
      <c r="I517" s="14"/>
      <c r="J517" s="14">
        <v>11.5</v>
      </c>
      <c r="K517" s="14"/>
      <c r="L517" s="13">
        <v>3.8</v>
      </c>
      <c r="M517" s="13">
        <v>0.3</v>
      </c>
      <c r="P517" s="12" t="s">
        <v>14</v>
      </c>
      <c r="Q517" s="12"/>
      <c r="R517" s="12"/>
      <c r="T517">
        <f t="shared" si="16"/>
        <v>3.5014087480216975</v>
      </c>
      <c r="U517">
        <f t="shared" si="17"/>
        <v>3.6605636911135928</v>
      </c>
    </row>
    <row r="518" spans="1:21">
      <c r="A518" s="12">
        <v>20</v>
      </c>
      <c r="B518" s="12">
        <v>-20</v>
      </c>
      <c r="C518" s="11">
        <v>27.646310495894554</v>
      </c>
      <c r="D518" s="11">
        <v>-18.975480802506063</v>
      </c>
      <c r="E518" s="11"/>
      <c r="F518" s="10">
        <v>563</v>
      </c>
      <c r="G518" s="12" t="s">
        <v>13</v>
      </c>
      <c r="H518" s="13">
        <v>11</v>
      </c>
      <c r="I518" s="14"/>
      <c r="J518" s="14">
        <v>11.3</v>
      </c>
      <c r="K518" s="14"/>
      <c r="L518" s="13">
        <v>3.8</v>
      </c>
      <c r="M518" s="13">
        <v>1.4</v>
      </c>
      <c r="P518" s="12" t="s">
        <v>14</v>
      </c>
      <c r="Q518" s="12"/>
      <c r="R518" s="12"/>
      <c r="T518">
        <f t="shared" si="16"/>
        <v>3.5014087480216975</v>
      </c>
      <c r="U518">
        <f t="shared" si="17"/>
        <v>3.5969017138768349</v>
      </c>
    </row>
    <row r="519" spans="1:21">
      <c r="A519" s="12">
        <v>20</v>
      </c>
      <c r="B519" s="12">
        <v>20</v>
      </c>
      <c r="C519" s="11">
        <v>26.105063208120857</v>
      </c>
      <c r="D519" s="11">
        <v>23.112840326777921</v>
      </c>
      <c r="E519" s="11"/>
      <c r="F519" s="10">
        <v>165</v>
      </c>
      <c r="G519" s="12" t="s">
        <v>11</v>
      </c>
      <c r="H519" s="13">
        <v>11.1</v>
      </c>
      <c r="I519" s="14"/>
      <c r="J519" s="14" t="s">
        <v>70</v>
      </c>
      <c r="K519" s="14"/>
      <c r="L519" s="13">
        <v>3.7</v>
      </c>
      <c r="M519" s="13"/>
      <c r="P519" s="12" t="s">
        <v>12</v>
      </c>
      <c r="Q519" s="12"/>
      <c r="R519" s="12"/>
      <c r="T519">
        <f t="shared" si="16"/>
        <v>3.5332397366400765</v>
      </c>
      <c r="U519" t="str">
        <f t="shared" si="17"/>
        <v>dead</v>
      </c>
    </row>
    <row r="520" spans="1:21">
      <c r="A520" s="9">
        <v>20</v>
      </c>
      <c r="B520" s="9">
        <v>-10</v>
      </c>
      <c r="C520" s="11">
        <v>22.256082481683858</v>
      </c>
      <c r="D520" s="11">
        <v>-9.5353591675352476</v>
      </c>
      <c r="E520" s="11"/>
      <c r="F520" s="10">
        <v>415</v>
      </c>
      <c r="G520" s="12" t="s">
        <v>13</v>
      </c>
      <c r="H520" s="13">
        <v>11.2</v>
      </c>
      <c r="I520" s="14"/>
      <c r="J520" s="14">
        <v>12.1</v>
      </c>
      <c r="K520" s="14"/>
      <c r="L520" s="13">
        <v>3.4</v>
      </c>
      <c r="M520" s="13">
        <v>1.8</v>
      </c>
      <c r="P520" s="12" t="s">
        <v>14</v>
      </c>
      <c r="Q520" s="12"/>
      <c r="R520" s="12"/>
      <c r="T520">
        <f t="shared" si="16"/>
        <v>3.5650707252584555</v>
      </c>
      <c r="U520">
        <f t="shared" si="17"/>
        <v>3.851549622823867</v>
      </c>
    </row>
    <row r="521" spans="1:21">
      <c r="A521" s="12">
        <v>40</v>
      </c>
      <c r="B521" s="12">
        <v>20</v>
      </c>
      <c r="C521" s="11">
        <v>42.394823115933988</v>
      </c>
      <c r="D521" s="11">
        <v>29.340169159319785</v>
      </c>
      <c r="E521" s="11"/>
      <c r="F521" s="12">
        <v>292</v>
      </c>
      <c r="G521" s="12" t="s">
        <v>13</v>
      </c>
      <c r="H521" s="13"/>
      <c r="I521" s="14">
        <v>3.59</v>
      </c>
      <c r="J521" s="31"/>
      <c r="K521" s="31">
        <v>11.4</v>
      </c>
      <c r="L521" s="13">
        <v>5.0999999999999996</v>
      </c>
      <c r="M521" s="13">
        <v>2.4</v>
      </c>
      <c r="P521" s="12" t="s">
        <v>14</v>
      </c>
      <c r="Q521" s="12"/>
      <c r="R521" s="12"/>
      <c r="T521">
        <f t="shared" si="16"/>
        <v>3.59</v>
      </c>
      <c r="U521">
        <f t="shared" si="17"/>
        <v>11.4</v>
      </c>
    </row>
    <row r="522" spans="1:21">
      <c r="A522" s="9">
        <v>0</v>
      </c>
      <c r="B522" s="9">
        <v>0</v>
      </c>
      <c r="C522" s="11">
        <v>4.6490501176979064</v>
      </c>
      <c r="D522" s="11">
        <v>8.685680648742018</v>
      </c>
      <c r="E522" s="11"/>
      <c r="F522" s="10">
        <v>3</v>
      </c>
      <c r="G522" s="12" t="s">
        <v>13</v>
      </c>
      <c r="H522" s="13">
        <v>11.3</v>
      </c>
      <c r="I522" s="14"/>
      <c r="J522" s="31">
        <v>11.1</v>
      </c>
      <c r="K522" s="31"/>
      <c r="L522" s="13">
        <v>3.1</v>
      </c>
      <c r="M522" s="13">
        <v>2.1</v>
      </c>
      <c r="P522" s="12" t="s">
        <v>14</v>
      </c>
      <c r="Q522" s="12"/>
      <c r="R522" s="12"/>
      <c r="T522">
        <f t="shared" si="16"/>
        <v>3.5969017138768349</v>
      </c>
      <c r="U522">
        <f t="shared" si="17"/>
        <v>3.5332397366400765</v>
      </c>
    </row>
    <row r="523" spans="1:21">
      <c r="A523" s="12">
        <v>30</v>
      </c>
      <c r="B523" s="12">
        <v>-30</v>
      </c>
      <c r="C523" s="11">
        <v>32.358209900513103</v>
      </c>
      <c r="D523" s="11">
        <v>-25.057197451664507</v>
      </c>
      <c r="E523" s="11"/>
      <c r="F523" s="10">
        <v>663</v>
      </c>
      <c r="G523" s="12" t="s">
        <v>11</v>
      </c>
      <c r="H523" s="13">
        <v>11.3</v>
      </c>
      <c r="I523" s="14"/>
      <c r="J523" s="31" t="s">
        <v>70</v>
      </c>
      <c r="K523" s="31"/>
      <c r="L523" s="13">
        <v>4.5999999999999996</v>
      </c>
      <c r="M523" s="13"/>
      <c r="P523" s="12" t="s">
        <v>12</v>
      </c>
      <c r="Q523" s="12"/>
      <c r="R523" s="12"/>
      <c r="T523">
        <f t="shared" si="16"/>
        <v>3.5969017138768349</v>
      </c>
      <c r="U523" t="str">
        <f t="shared" si="17"/>
        <v>dead</v>
      </c>
    </row>
    <row r="524" spans="1:21">
      <c r="A524" s="12">
        <v>20</v>
      </c>
      <c r="B524" s="12">
        <v>-20</v>
      </c>
      <c r="C524" s="11">
        <v>26.880206616637487</v>
      </c>
      <c r="D524" s="11">
        <v>-13.466398935188682</v>
      </c>
      <c r="E524" s="11"/>
      <c r="F524" s="10">
        <v>555</v>
      </c>
      <c r="G524" s="12" t="s">
        <v>13</v>
      </c>
      <c r="H524" s="13"/>
      <c r="I524" s="14">
        <v>3.6</v>
      </c>
      <c r="J524" s="31">
        <v>12.1</v>
      </c>
      <c r="K524" s="31"/>
      <c r="L524" s="13">
        <v>2.2000000000000002</v>
      </c>
      <c r="M524" s="13">
        <v>0.9</v>
      </c>
      <c r="P524" s="12" t="s">
        <v>14</v>
      </c>
      <c r="Q524" s="12"/>
      <c r="R524" s="12"/>
      <c r="T524">
        <f t="shared" si="16"/>
        <v>3.6</v>
      </c>
      <c r="U524">
        <f t="shared" si="17"/>
        <v>3.851549622823867</v>
      </c>
    </row>
    <row r="525" spans="1:21">
      <c r="A525" s="12">
        <v>50</v>
      </c>
      <c r="B525" s="12">
        <v>-30</v>
      </c>
      <c r="C525" s="11">
        <v>50.215139710240834</v>
      </c>
      <c r="D525" s="11">
        <v>-27.437723206428444</v>
      </c>
      <c r="E525" s="11"/>
      <c r="F525" s="10">
        <v>701</v>
      </c>
      <c r="G525" s="12" t="s">
        <v>13</v>
      </c>
      <c r="H525" s="13"/>
      <c r="I525" s="14">
        <v>3.61</v>
      </c>
      <c r="J525" s="31">
        <v>13</v>
      </c>
      <c r="K525" s="31"/>
      <c r="L525" s="13">
        <v>5.2</v>
      </c>
      <c r="M525" s="13">
        <v>1.8</v>
      </c>
      <c r="P525" s="12" t="s">
        <v>14</v>
      </c>
      <c r="Q525" s="12"/>
      <c r="R525" s="12"/>
      <c r="T525">
        <f t="shared" si="16"/>
        <v>3.61</v>
      </c>
      <c r="U525">
        <f t="shared" si="17"/>
        <v>4.1380285203892786</v>
      </c>
    </row>
    <row r="526" spans="1:21">
      <c r="A526" s="12">
        <v>10</v>
      </c>
      <c r="B526" s="12">
        <v>20</v>
      </c>
      <c r="C526" s="11">
        <v>19.699163756212034</v>
      </c>
      <c r="D526" s="11">
        <v>20.653488566037861</v>
      </c>
      <c r="E526" s="11"/>
      <c r="F526" s="10">
        <v>105</v>
      </c>
      <c r="G526" s="12" t="s">
        <v>13</v>
      </c>
      <c r="H526" s="13">
        <v>11.4</v>
      </c>
      <c r="I526" s="14"/>
      <c r="J526" s="31">
        <v>11.8</v>
      </c>
      <c r="K526" s="31"/>
      <c r="L526" s="13">
        <v>3.5</v>
      </c>
      <c r="M526" s="13">
        <v>1</v>
      </c>
      <c r="P526" s="12" t="s">
        <v>14</v>
      </c>
      <c r="Q526" s="12"/>
      <c r="R526" s="12"/>
      <c r="T526">
        <f t="shared" si="16"/>
        <v>3.6287327024952138</v>
      </c>
      <c r="U526">
        <f t="shared" si="17"/>
        <v>3.7560566569687301</v>
      </c>
    </row>
    <row r="527" spans="1:21">
      <c r="A527" s="12">
        <v>40</v>
      </c>
      <c r="B527" s="12">
        <v>-20</v>
      </c>
      <c r="C527" s="11">
        <v>48.947736636769655</v>
      </c>
      <c r="D527" s="11">
        <v>-16.311933862059238</v>
      </c>
      <c r="E527" s="11"/>
      <c r="F527" s="12">
        <v>506</v>
      </c>
      <c r="G527" s="12" t="s">
        <v>13</v>
      </c>
      <c r="H527" s="13">
        <v>11.5</v>
      </c>
      <c r="I527" s="14"/>
      <c r="J527" s="31"/>
      <c r="K527" s="31">
        <v>17.100000000000001</v>
      </c>
      <c r="L527" s="13">
        <v>2.8</v>
      </c>
      <c r="M527" s="13">
        <v>1.5</v>
      </c>
      <c r="P527" s="12" t="s">
        <v>14</v>
      </c>
      <c r="Q527" s="12"/>
      <c r="R527" s="12"/>
      <c r="S527" t="s">
        <v>92</v>
      </c>
      <c r="T527">
        <f t="shared" si="16"/>
        <v>3.6605636911135928</v>
      </c>
      <c r="U527">
        <f t="shared" si="17"/>
        <v>17.100000000000001</v>
      </c>
    </row>
    <row r="528" spans="1:21">
      <c r="A528" s="12">
        <v>0</v>
      </c>
      <c r="B528" s="12">
        <v>-30</v>
      </c>
      <c r="C528" s="11">
        <v>9.2331769958039427</v>
      </c>
      <c r="D528" s="11">
        <v>-22.944436741865474</v>
      </c>
      <c r="E528" s="11"/>
      <c r="F528" s="12">
        <v>610</v>
      </c>
      <c r="G528" s="12" t="s">
        <v>13</v>
      </c>
      <c r="H528" s="13">
        <v>11.6</v>
      </c>
      <c r="I528" s="14"/>
      <c r="J528" s="31">
        <v>13.3</v>
      </c>
      <c r="K528" s="31"/>
      <c r="L528" s="13">
        <v>4.7</v>
      </c>
      <c r="M528" s="13">
        <v>1.6</v>
      </c>
      <c r="P528" s="12" t="s">
        <v>14</v>
      </c>
      <c r="Q528" s="12"/>
      <c r="R528" s="12"/>
      <c r="T528">
        <f t="shared" si="16"/>
        <v>3.6923946797319718</v>
      </c>
      <c r="U528">
        <f t="shared" si="17"/>
        <v>4.2335214862444159</v>
      </c>
    </row>
    <row r="529" spans="1:21">
      <c r="A529" s="12">
        <v>20</v>
      </c>
      <c r="B529" s="12">
        <v>-20</v>
      </c>
      <c r="C529" s="11">
        <v>27.221745045931094</v>
      </c>
      <c r="D529" s="11">
        <v>-13.615881680698827</v>
      </c>
      <c r="E529" s="11"/>
      <c r="F529" s="10">
        <v>549</v>
      </c>
      <c r="G529" s="12" t="s">
        <v>13</v>
      </c>
      <c r="H529" s="13">
        <v>11.7</v>
      </c>
      <c r="I529" s="14"/>
      <c r="J529" s="14">
        <v>11.7</v>
      </c>
      <c r="K529" s="14"/>
      <c r="L529" s="13">
        <v>4.2</v>
      </c>
      <c r="M529" s="13">
        <v>2.6</v>
      </c>
      <c r="P529" s="12" t="s">
        <v>14</v>
      </c>
      <c r="Q529" s="12"/>
      <c r="R529" s="12"/>
      <c r="T529">
        <f t="shared" si="16"/>
        <v>3.7242256683503507</v>
      </c>
      <c r="U529">
        <f t="shared" si="17"/>
        <v>3.7242256683503507</v>
      </c>
    </row>
    <row r="530" spans="1:21">
      <c r="A530" s="12">
        <v>20</v>
      </c>
      <c r="B530" s="12">
        <v>40</v>
      </c>
      <c r="C530" s="11">
        <v>22.110566473137055</v>
      </c>
      <c r="D530" s="11">
        <v>42.311365216159018</v>
      </c>
      <c r="E530" s="11"/>
      <c r="F530" s="10">
        <v>183</v>
      </c>
      <c r="G530" s="12" t="s">
        <v>11</v>
      </c>
      <c r="H530" s="13">
        <v>11.8</v>
      </c>
      <c r="I530" s="14"/>
      <c r="J530" s="14" t="s">
        <v>70</v>
      </c>
      <c r="K530" s="14"/>
      <c r="L530" s="13">
        <v>4.2</v>
      </c>
      <c r="M530" s="13"/>
      <c r="P530" s="12" t="s">
        <v>12</v>
      </c>
      <c r="Q530" s="12"/>
      <c r="R530" s="12"/>
      <c r="T530">
        <f t="shared" si="16"/>
        <v>3.7560566569687301</v>
      </c>
      <c r="U530" t="str">
        <f t="shared" si="17"/>
        <v>dead</v>
      </c>
    </row>
    <row r="531" spans="1:21">
      <c r="A531" s="12">
        <v>0</v>
      </c>
      <c r="B531" s="12">
        <v>-30</v>
      </c>
      <c r="C531" s="11">
        <v>5.2992375060011847</v>
      </c>
      <c r="D531" s="11">
        <v>-21.210623615793651</v>
      </c>
      <c r="E531" s="11"/>
      <c r="F531" s="12">
        <v>604</v>
      </c>
      <c r="G531" s="12" t="s">
        <v>11</v>
      </c>
      <c r="H531" s="13">
        <v>11.8</v>
      </c>
      <c r="I531" s="14"/>
      <c r="J531" s="14">
        <v>15.3</v>
      </c>
      <c r="K531" s="14"/>
      <c r="L531" s="13">
        <v>4.4000000000000004</v>
      </c>
      <c r="M531" s="13">
        <v>0.5</v>
      </c>
      <c r="P531" s="12" t="s">
        <v>14</v>
      </c>
      <c r="Q531" s="12"/>
      <c r="R531" s="12"/>
      <c r="S531" t="s">
        <v>105</v>
      </c>
      <c r="T531">
        <f t="shared" si="16"/>
        <v>3.7560566569687301</v>
      </c>
      <c r="U531">
        <f t="shared" si="17"/>
        <v>4.8701412586119979</v>
      </c>
    </row>
    <row r="532" spans="1:21">
      <c r="A532" s="9">
        <v>0</v>
      </c>
      <c r="B532" s="12">
        <v>10</v>
      </c>
      <c r="C532" s="11">
        <v>1.739478099313315</v>
      </c>
      <c r="D532" s="11">
        <v>16.785269186132236</v>
      </c>
      <c r="E532" s="11"/>
      <c r="F532" s="12">
        <v>26</v>
      </c>
      <c r="G532" s="12" t="s">
        <v>11</v>
      </c>
      <c r="H532" s="13">
        <v>11.9</v>
      </c>
      <c r="I532" s="14"/>
      <c r="J532" s="14">
        <v>15.4</v>
      </c>
      <c r="K532" s="14"/>
      <c r="L532" s="13">
        <v>4.0999999999999996</v>
      </c>
      <c r="M532" s="13">
        <v>0.3</v>
      </c>
      <c r="P532" s="12" t="s">
        <v>14</v>
      </c>
      <c r="Q532" s="12"/>
      <c r="R532" s="12"/>
      <c r="T532">
        <f t="shared" si="16"/>
        <v>3.7878876455871091</v>
      </c>
      <c r="U532">
        <f t="shared" si="17"/>
        <v>4.9019722472303764</v>
      </c>
    </row>
    <row r="533" spans="1:21">
      <c r="A533" s="12">
        <v>20</v>
      </c>
      <c r="B533" s="12">
        <v>10</v>
      </c>
      <c r="C533" s="11">
        <v>24.483757051699371</v>
      </c>
      <c r="D533" s="11">
        <v>11.324677598118903</v>
      </c>
      <c r="E533" s="11"/>
      <c r="F533" s="12">
        <v>134</v>
      </c>
      <c r="G533" s="12" t="s">
        <v>13</v>
      </c>
      <c r="H533" s="13">
        <v>11.9</v>
      </c>
      <c r="I533" s="14"/>
      <c r="J533" s="14">
        <v>12.9</v>
      </c>
      <c r="K533" s="14"/>
      <c r="L533" s="13">
        <v>4.0999999999999996</v>
      </c>
      <c r="M533" s="13">
        <v>1.4</v>
      </c>
      <c r="P533" s="12" t="s">
        <v>14</v>
      </c>
      <c r="Q533" s="12"/>
      <c r="R533" s="12"/>
      <c r="T533">
        <f t="shared" si="16"/>
        <v>3.7878876455871091</v>
      </c>
      <c r="U533">
        <f t="shared" si="17"/>
        <v>4.1061975317709001</v>
      </c>
    </row>
    <row r="534" spans="1:21">
      <c r="A534" s="12">
        <v>20</v>
      </c>
      <c r="B534" s="12">
        <v>40</v>
      </c>
      <c r="C534" s="11">
        <v>27.401715058725056</v>
      </c>
      <c r="D534" s="11">
        <v>42.122407639790886</v>
      </c>
      <c r="E534" s="11"/>
      <c r="F534" s="10">
        <v>185</v>
      </c>
      <c r="G534" s="12" t="s">
        <v>11</v>
      </c>
      <c r="H534" s="13">
        <v>11.9</v>
      </c>
      <c r="I534" s="14"/>
      <c r="J534" s="14" t="s">
        <v>70</v>
      </c>
      <c r="K534" s="14"/>
      <c r="L534" s="13">
        <v>4.4000000000000004</v>
      </c>
      <c r="M534" s="13">
        <v>0.8</v>
      </c>
      <c r="P534" s="12" t="s">
        <v>14</v>
      </c>
      <c r="Q534" s="12"/>
      <c r="R534" s="12"/>
      <c r="T534">
        <f t="shared" si="16"/>
        <v>3.7878876455871091</v>
      </c>
      <c r="U534" t="str">
        <f t="shared" si="17"/>
        <v>dead</v>
      </c>
    </row>
    <row r="535" spans="1:21">
      <c r="A535" s="12">
        <v>40</v>
      </c>
      <c r="B535" s="12">
        <v>40</v>
      </c>
      <c r="C535" s="11">
        <v>49.32416780950124</v>
      </c>
      <c r="D535" s="11">
        <v>42.156583142446785</v>
      </c>
      <c r="E535" s="11"/>
      <c r="F535" s="12">
        <v>348</v>
      </c>
      <c r="G535" s="12" t="s">
        <v>13</v>
      </c>
      <c r="H535" s="13">
        <v>11.9</v>
      </c>
      <c r="I535" s="14"/>
      <c r="J535" s="14">
        <v>12.3</v>
      </c>
      <c r="K535" s="14"/>
      <c r="L535" s="13">
        <v>5.4</v>
      </c>
      <c r="M535" s="13">
        <v>2.5</v>
      </c>
      <c r="P535" s="12" t="s">
        <v>14</v>
      </c>
      <c r="Q535" s="12"/>
      <c r="R535" s="12"/>
      <c r="T535">
        <f t="shared" si="16"/>
        <v>3.7878876455871091</v>
      </c>
      <c r="U535">
        <f t="shared" si="17"/>
        <v>3.9152116000606259</v>
      </c>
    </row>
    <row r="536" spans="1:21">
      <c r="A536" s="12">
        <v>40</v>
      </c>
      <c r="B536" s="12">
        <v>-10</v>
      </c>
      <c r="C536" s="11">
        <v>48.14</v>
      </c>
      <c r="D536" s="11">
        <v>-3.2216145020781122</v>
      </c>
      <c r="E536" s="11"/>
      <c r="F536" s="10">
        <v>465</v>
      </c>
      <c r="G536" s="12" t="s">
        <v>13</v>
      </c>
      <c r="H536" s="13">
        <v>11.9</v>
      </c>
      <c r="I536" s="14"/>
      <c r="J536" s="14">
        <v>11.7</v>
      </c>
      <c r="K536" s="14"/>
      <c r="L536" s="13">
        <v>4.3</v>
      </c>
      <c r="M536" s="13">
        <v>2.5</v>
      </c>
      <c r="P536" s="12" t="s">
        <v>14</v>
      </c>
      <c r="Q536" s="12"/>
      <c r="R536" s="12"/>
      <c r="T536">
        <f t="shared" si="16"/>
        <v>3.7878876455871091</v>
      </c>
      <c r="U536">
        <f t="shared" si="17"/>
        <v>3.7242256683503507</v>
      </c>
    </row>
    <row r="537" spans="1:21">
      <c r="A537" s="12">
        <v>20</v>
      </c>
      <c r="B537" s="12">
        <v>-30</v>
      </c>
      <c r="C537" s="11">
        <v>25.2559620379226</v>
      </c>
      <c r="D537" s="11">
        <v>-26.725102513298108</v>
      </c>
      <c r="E537" s="11"/>
      <c r="F537" s="12">
        <v>650</v>
      </c>
      <c r="G537" s="12" t="s">
        <v>43</v>
      </c>
      <c r="H537" s="13"/>
      <c r="I537" s="14">
        <v>3.88</v>
      </c>
      <c r="J537" s="14">
        <v>13.5</v>
      </c>
      <c r="K537" s="14"/>
      <c r="L537" s="13">
        <v>4.7</v>
      </c>
      <c r="M537" s="13">
        <v>2.2999999999999998</v>
      </c>
      <c r="P537" s="12" t="s">
        <v>14</v>
      </c>
      <c r="Q537" s="12"/>
      <c r="R537" s="12"/>
      <c r="T537">
        <f t="shared" si="16"/>
        <v>3.88</v>
      </c>
      <c r="U537">
        <f t="shared" si="17"/>
        <v>4.2971834634811739</v>
      </c>
    </row>
    <row r="538" spans="1:21">
      <c r="A538" s="12">
        <v>30</v>
      </c>
      <c r="B538" s="12">
        <v>-10</v>
      </c>
      <c r="C538" s="11">
        <v>33.758862366994734</v>
      </c>
      <c r="D538" s="11">
        <v>-1.9829056980795468</v>
      </c>
      <c r="E538" s="11"/>
      <c r="F538" s="12">
        <v>426</v>
      </c>
      <c r="G538" s="12" t="s">
        <v>13</v>
      </c>
      <c r="H538" s="13">
        <v>12.2</v>
      </c>
      <c r="I538" s="14"/>
      <c r="J538" s="14">
        <v>12.8</v>
      </c>
      <c r="K538" s="14"/>
      <c r="L538" s="13">
        <v>4.7</v>
      </c>
      <c r="M538" s="13">
        <v>1.5</v>
      </c>
      <c r="P538" s="12" t="s">
        <v>14</v>
      </c>
      <c r="Q538" s="12"/>
      <c r="R538" s="12"/>
      <c r="T538">
        <f t="shared" si="16"/>
        <v>3.883380611442246</v>
      </c>
      <c r="U538">
        <f t="shared" si="17"/>
        <v>4.0743665431525207</v>
      </c>
    </row>
    <row r="539" spans="1:21">
      <c r="A539" s="12">
        <v>20</v>
      </c>
      <c r="B539" s="12">
        <v>40</v>
      </c>
      <c r="C539" s="11">
        <v>26.356224715782488</v>
      </c>
      <c r="D539" s="11">
        <v>46.816216499090665</v>
      </c>
      <c r="E539" s="11"/>
      <c r="F539" s="10">
        <v>189</v>
      </c>
      <c r="G539" s="12" t="s">
        <v>13</v>
      </c>
      <c r="H539" s="13">
        <v>12.3</v>
      </c>
      <c r="I539" s="14"/>
      <c r="J539" s="14">
        <v>12.6</v>
      </c>
      <c r="K539" s="14"/>
      <c r="L539" s="13">
        <v>4.5999999999999996</v>
      </c>
      <c r="M539" s="13">
        <v>3.3</v>
      </c>
      <c r="P539" s="12" t="s">
        <v>14</v>
      </c>
      <c r="Q539" s="12"/>
      <c r="R539" s="12"/>
      <c r="T539">
        <f t="shared" si="16"/>
        <v>3.9152116000606259</v>
      </c>
      <c r="U539">
        <f t="shared" si="17"/>
        <v>4.0107045659157627</v>
      </c>
    </row>
    <row r="540" spans="1:21">
      <c r="A540" s="12">
        <v>30</v>
      </c>
      <c r="B540" s="12">
        <v>-30</v>
      </c>
      <c r="C540" s="11">
        <v>34.480309169145954</v>
      </c>
      <c r="D540" s="11">
        <v>-28.149652124407929</v>
      </c>
      <c r="E540" s="11"/>
      <c r="F540" s="10">
        <v>673</v>
      </c>
      <c r="G540" s="12" t="s">
        <v>21</v>
      </c>
      <c r="H540" s="13">
        <v>12.3</v>
      </c>
      <c r="I540" s="14"/>
      <c r="J540" s="14">
        <v>13.7</v>
      </c>
      <c r="K540" s="14"/>
      <c r="L540" s="13">
        <v>5.4</v>
      </c>
      <c r="M540" s="13">
        <v>1.9</v>
      </c>
      <c r="P540" s="12" t="s">
        <v>14</v>
      </c>
      <c r="Q540" s="12"/>
      <c r="R540" s="12"/>
      <c r="S540" t="s">
        <v>122</v>
      </c>
      <c r="T540">
        <f t="shared" si="16"/>
        <v>3.9152116000606259</v>
      </c>
      <c r="U540">
        <f t="shared" si="17"/>
        <v>4.3608454407179318</v>
      </c>
    </row>
    <row r="541" spans="1:21">
      <c r="A541" s="12">
        <v>40</v>
      </c>
      <c r="B541" s="12">
        <v>-30</v>
      </c>
      <c r="C541" s="11">
        <v>41.913207673811556</v>
      </c>
      <c r="D541" s="11">
        <v>-25.707852741674184</v>
      </c>
      <c r="E541" s="11"/>
      <c r="F541" s="10">
        <v>689</v>
      </c>
      <c r="G541" s="12" t="s">
        <v>13</v>
      </c>
      <c r="H541" s="13">
        <v>12.4</v>
      </c>
      <c r="I541" s="14"/>
      <c r="J541" s="14" t="s">
        <v>70</v>
      </c>
      <c r="K541" s="14"/>
      <c r="L541" s="13"/>
      <c r="M541" s="13"/>
      <c r="P541" s="12" t="s">
        <v>14</v>
      </c>
      <c r="Q541" s="12"/>
      <c r="R541" s="12" t="s">
        <v>47</v>
      </c>
      <c r="T541">
        <f t="shared" si="16"/>
        <v>3.9470425886790048</v>
      </c>
      <c r="U541" t="str">
        <f t="shared" si="17"/>
        <v>dead</v>
      </c>
    </row>
    <row r="542" spans="1:21">
      <c r="A542" s="12">
        <v>50</v>
      </c>
      <c r="B542" s="12">
        <v>-30</v>
      </c>
      <c r="C542" s="11">
        <v>50.215139710240834</v>
      </c>
      <c r="D542" s="11">
        <v>-27.437723206428444</v>
      </c>
      <c r="E542" s="11"/>
      <c r="F542" s="12">
        <v>2005</v>
      </c>
      <c r="G542" s="12" t="s">
        <v>13</v>
      </c>
      <c r="H542" s="13">
        <v>12.4</v>
      </c>
      <c r="I542" s="14"/>
      <c r="J542" s="14">
        <v>16</v>
      </c>
      <c r="K542" s="14"/>
      <c r="L542" s="13"/>
      <c r="M542" s="13"/>
      <c r="N542">
        <v>7.5</v>
      </c>
      <c r="O542">
        <v>2.2999999999999998</v>
      </c>
      <c r="P542" s="12"/>
      <c r="Q542" s="12"/>
      <c r="R542" s="12" t="s">
        <v>57</v>
      </c>
      <c r="S542" t="s">
        <v>140</v>
      </c>
      <c r="T542">
        <f t="shared" si="16"/>
        <v>3.9470425886790048</v>
      </c>
      <c r="U542">
        <f t="shared" si="17"/>
        <v>5.0929581789406511</v>
      </c>
    </row>
    <row r="543" spans="1:21">
      <c r="A543" s="12">
        <v>20</v>
      </c>
      <c r="B543" s="12">
        <v>10</v>
      </c>
      <c r="C543" s="11">
        <v>23.776821029099263</v>
      </c>
      <c r="D543" s="11">
        <v>11.15813707184822</v>
      </c>
      <c r="E543" s="11"/>
      <c r="F543" s="12">
        <v>142</v>
      </c>
      <c r="G543" s="12" t="s">
        <v>13</v>
      </c>
      <c r="H543" s="13">
        <v>12.5</v>
      </c>
      <c r="I543" s="14"/>
      <c r="J543" s="14">
        <v>13</v>
      </c>
      <c r="K543" s="14"/>
      <c r="L543" s="13">
        <v>4.8</v>
      </c>
      <c r="M543" s="13">
        <v>1.5</v>
      </c>
      <c r="P543" s="12" t="s">
        <v>14</v>
      </c>
      <c r="Q543" s="12"/>
      <c r="R543" s="12"/>
      <c r="T543">
        <f t="shared" si="16"/>
        <v>3.9788735772973833</v>
      </c>
      <c r="U543">
        <f t="shared" si="17"/>
        <v>4.1380285203892786</v>
      </c>
    </row>
    <row r="544" spans="1:21">
      <c r="A544" s="12">
        <v>40</v>
      </c>
      <c r="B544" s="12">
        <v>30</v>
      </c>
      <c r="C544" s="11">
        <v>41.87688214569787</v>
      </c>
      <c r="D544" s="11">
        <v>35.680861622369804</v>
      </c>
      <c r="E544" s="11"/>
      <c r="F544" s="10">
        <v>343</v>
      </c>
      <c r="G544" s="12" t="s">
        <v>11</v>
      </c>
      <c r="H544" s="13">
        <v>12.7</v>
      </c>
      <c r="I544" s="14"/>
      <c r="J544" s="14" t="s">
        <v>70</v>
      </c>
      <c r="K544" s="14"/>
      <c r="L544" s="13">
        <v>4.5</v>
      </c>
      <c r="M544" s="13"/>
      <c r="P544" s="12" t="s">
        <v>12</v>
      </c>
      <c r="Q544" s="12"/>
      <c r="R544" s="12"/>
      <c r="T544">
        <f t="shared" si="16"/>
        <v>4.0425355545341413</v>
      </c>
      <c r="U544" t="str">
        <f t="shared" si="17"/>
        <v>dead</v>
      </c>
    </row>
    <row r="545" spans="1:21">
      <c r="A545" s="12">
        <v>40</v>
      </c>
      <c r="B545" s="12">
        <v>40</v>
      </c>
      <c r="C545" s="11">
        <v>41.6247498349016</v>
      </c>
      <c r="D545" s="11">
        <v>49.400174714973076</v>
      </c>
      <c r="E545" s="11"/>
      <c r="F545" s="10">
        <v>363</v>
      </c>
      <c r="G545" s="12" t="s">
        <v>13</v>
      </c>
      <c r="H545" s="13">
        <v>12.7</v>
      </c>
      <c r="I545" s="14"/>
      <c r="J545" s="14">
        <v>13.2</v>
      </c>
      <c r="K545" s="14"/>
      <c r="L545" s="13">
        <v>4.7</v>
      </c>
      <c r="M545" s="13">
        <v>1.2</v>
      </c>
      <c r="P545" s="12" t="s">
        <v>14</v>
      </c>
      <c r="Q545" s="12"/>
      <c r="R545" s="12"/>
      <c r="T545">
        <f t="shared" si="16"/>
        <v>4.0425355545341413</v>
      </c>
      <c r="U545">
        <f t="shared" si="17"/>
        <v>4.2016904976260365</v>
      </c>
    </row>
    <row r="546" spans="1:21">
      <c r="A546" s="12">
        <v>30</v>
      </c>
      <c r="B546" s="12">
        <v>-10</v>
      </c>
      <c r="C546" s="11">
        <v>33.766064591840596</v>
      </c>
      <c r="D546" s="11">
        <v>-6.9729636066118257</v>
      </c>
      <c r="E546" s="11"/>
      <c r="F546" s="10">
        <v>429</v>
      </c>
      <c r="G546" s="12" t="s">
        <v>13</v>
      </c>
      <c r="H546" s="13">
        <v>12.8</v>
      </c>
      <c r="I546" s="14"/>
      <c r="J546" s="14">
        <v>13.4</v>
      </c>
      <c r="K546" s="14"/>
      <c r="L546" s="13">
        <v>4.7</v>
      </c>
      <c r="M546" s="13">
        <v>1.8</v>
      </c>
      <c r="P546" s="12" t="s">
        <v>14</v>
      </c>
      <c r="Q546" s="12"/>
      <c r="R546" s="12"/>
      <c r="T546">
        <f t="shared" si="16"/>
        <v>4.0743665431525207</v>
      </c>
      <c r="U546">
        <f t="shared" si="17"/>
        <v>4.2653524748627953</v>
      </c>
    </row>
    <row r="547" spans="1:21">
      <c r="A547" s="12">
        <v>20</v>
      </c>
      <c r="B547" s="12">
        <v>-20</v>
      </c>
      <c r="C547" s="11">
        <v>26.978042096895663</v>
      </c>
      <c r="D547" s="11">
        <v>-13.635795974718397</v>
      </c>
      <c r="E547" s="11"/>
      <c r="F547" s="12">
        <v>550</v>
      </c>
      <c r="G547" s="12" t="s">
        <v>13</v>
      </c>
      <c r="H547" s="13">
        <v>12.8</v>
      </c>
      <c r="I547" s="14"/>
      <c r="J547" s="14">
        <v>13.3</v>
      </c>
      <c r="K547" s="14"/>
      <c r="L547" s="13">
        <v>4.2</v>
      </c>
      <c r="M547" s="13">
        <v>3</v>
      </c>
      <c r="P547" s="12" t="s">
        <v>14</v>
      </c>
      <c r="Q547" s="12"/>
      <c r="R547" s="12"/>
      <c r="T547">
        <f t="shared" si="16"/>
        <v>4.0743665431525207</v>
      </c>
      <c r="U547">
        <f t="shared" si="17"/>
        <v>4.2335214862444159</v>
      </c>
    </row>
    <row r="548" spans="1:21">
      <c r="A548" s="12">
        <v>10</v>
      </c>
      <c r="B548" s="12">
        <v>-20</v>
      </c>
      <c r="C548" s="11">
        <v>16.298395004410601</v>
      </c>
      <c r="D548" s="11">
        <v>-11.763555350964374</v>
      </c>
      <c r="E548" s="11"/>
      <c r="F548" s="10">
        <v>573</v>
      </c>
      <c r="G548" s="12" t="s">
        <v>13</v>
      </c>
      <c r="H548" s="13">
        <v>12.8</v>
      </c>
      <c r="I548" s="14"/>
      <c r="J548" s="14">
        <v>13</v>
      </c>
      <c r="K548" s="14"/>
      <c r="L548" s="13">
        <v>2.9</v>
      </c>
      <c r="M548" s="13">
        <v>1.8</v>
      </c>
      <c r="P548" s="12" t="s">
        <v>14</v>
      </c>
      <c r="Q548" s="12"/>
      <c r="R548" s="12"/>
      <c r="T548">
        <f t="shared" si="16"/>
        <v>4.0743665431525207</v>
      </c>
      <c r="U548">
        <f t="shared" si="17"/>
        <v>4.1380285203892786</v>
      </c>
    </row>
    <row r="549" spans="1:21">
      <c r="A549" s="12">
        <v>0</v>
      </c>
      <c r="B549" s="12">
        <v>-30</v>
      </c>
      <c r="C549" s="11">
        <v>9.3944202602946802</v>
      </c>
      <c r="D549" s="11">
        <v>-23.025684932968588</v>
      </c>
      <c r="E549" s="11"/>
      <c r="F549" s="10">
        <v>611</v>
      </c>
      <c r="G549" s="12" t="s">
        <v>13</v>
      </c>
      <c r="H549" s="13">
        <v>12.8</v>
      </c>
      <c r="I549" s="14"/>
      <c r="J549" s="14">
        <v>13.5</v>
      </c>
      <c r="K549" s="14"/>
      <c r="L549" s="13">
        <v>4.8</v>
      </c>
      <c r="M549" s="13">
        <v>1.5</v>
      </c>
      <c r="P549" s="12" t="s">
        <v>14</v>
      </c>
      <c r="Q549" s="12"/>
      <c r="R549" s="12"/>
      <c r="S549" t="s">
        <v>107</v>
      </c>
      <c r="T549">
        <f t="shared" si="16"/>
        <v>4.0743665431525207</v>
      </c>
      <c r="U549">
        <f t="shared" si="17"/>
        <v>4.2971834634811739</v>
      </c>
    </row>
    <row r="550" spans="1:21">
      <c r="A550" s="12">
        <v>20</v>
      </c>
      <c r="B550" s="12">
        <v>-30</v>
      </c>
      <c r="C550" s="11">
        <v>27.351125010598636</v>
      </c>
      <c r="D550" s="11">
        <v>-29.237724897967244</v>
      </c>
      <c r="E550" s="11"/>
      <c r="F550" s="12">
        <v>652</v>
      </c>
      <c r="G550" s="12" t="s">
        <v>11</v>
      </c>
      <c r="H550" s="13">
        <v>12.8</v>
      </c>
      <c r="I550" s="14"/>
      <c r="J550" s="14" t="s">
        <v>70</v>
      </c>
      <c r="K550" s="14"/>
      <c r="L550" s="13">
        <v>4.5</v>
      </c>
      <c r="M550" s="13"/>
      <c r="P550" s="12" t="s">
        <v>12</v>
      </c>
      <c r="Q550" s="12"/>
      <c r="R550" s="12"/>
      <c r="T550">
        <f t="shared" si="16"/>
        <v>4.0743665431525207</v>
      </c>
      <c r="U550" t="str">
        <f t="shared" si="17"/>
        <v>dead</v>
      </c>
    </row>
    <row r="551" spans="1:21">
      <c r="A551" s="12">
        <v>40</v>
      </c>
      <c r="B551" s="12">
        <v>20</v>
      </c>
      <c r="C551" s="11">
        <v>42.033215261247165</v>
      </c>
      <c r="D551" s="11">
        <v>29.849072569358412</v>
      </c>
      <c r="E551" s="11"/>
      <c r="F551" s="12">
        <v>316</v>
      </c>
      <c r="G551" s="12" t="s">
        <v>13</v>
      </c>
      <c r="H551" s="13">
        <v>12.9</v>
      </c>
      <c r="I551" s="14"/>
      <c r="J551" s="14">
        <v>13.6</v>
      </c>
      <c r="K551" s="14"/>
      <c r="L551" s="13">
        <v>5.2</v>
      </c>
      <c r="M551" s="13">
        <v>2.2999999999999998</v>
      </c>
      <c r="P551" s="12" t="s">
        <v>14</v>
      </c>
      <c r="Q551" s="12"/>
      <c r="R551" s="12"/>
      <c r="T551">
        <f t="shared" si="16"/>
        <v>4.1061975317709001</v>
      </c>
      <c r="U551">
        <f t="shared" si="17"/>
        <v>4.3290144520995533</v>
      </c>
    </row>
    <row r="552" spans="1:21">
      <c r="A552" s="12">
        <v>40</v>
      </c>
      <c r="B552" s="12">
        <v>40</v>
      </c>
      <c r="C552" s="11">
        <v>41.490106932122359</v>
      </c>
      <c r="D552" s="11">
        <v>45.568717982919232</v>
      </c>
      <c r="E552" s="11"/>
      <c r="F552" s="12">
        <v>358</v>
      </c>
      <c r="G552" s="12" t="s">
        <v>13</v>
      </c>
      <c r="H552" s="13">
        <v>12.9</v>
      </c>
      <c r="I552" s="14"/>
      <c r="J552" s="14" t="s">
        <v>70</v>
      </c>
      <c r="K552" s="14"/>
      <c r="L552" s="13">
        <v>1.6</v>
      </c>
      <c r="M552" s="13"/>
      <c r="P552" s="12" t="s">
        <v>12</v>
      </c>
      <c r="Q552" s="12"/>
      <c r="R552" s="12"/>
      <c r="T552">
        <f t="shared" si="16"/>
        <v>4.1061975317709001</v>
      </c>
      <c r="U552" t="str">
        <f t="shared" si="17"/>
        <v>dead</v>
      </c>
    </row>
    <row r="553" spans="1:21">
      <c r="A553" s="12">
        <v>20</v>
      </c>
      <c r="B553" s="12">
        <v>-20</v>
      </c>
      <c r="C553" s="11">
        <v>27.731279138370269</v>
      </c>
      <c r="D553" s="11">
        <v>-18.751193542563861</v>
      </c>
      <c r="E553" s="11"/>
      <c r="F553" s="10">
        <v>561</v>
      </c>
      <c r="G553" s="12" t="s">
        <v>13</v>
      </c>
      <c r="H553" s="13">
        <v>12.9</v>
      </c>
      <c r="I553" s="14"/>
      <c r="J553" s="14">
        <v>13</v>
      </c>
      <c r="K553" s="14"/>
      <c r="L553" s="13">
        <v>4.4000000000000004</v>
      </c>
      <c r="M553" s="13">
        <v>2.5</v>
      </c>
      <c r="P553" s="12" t="s">
        <v>14</v>
      </c>
      <c r="Q553" s="12"/>
      <c r="R553" s="12"/>
      <c r="T553">
        <f t="shared" si="16"/>
        <v>4.1061975317709001</v>
      </c>
      <c r="U553">
        <f t="shared" si="17"/>
        <v>4.1380285203892786</v>
      </c>
    </row>
    <row r="554" spans="1:21">
      <c r="A554" s="12">
        <v>30</v>
      </c>
      <c r="B554" s="12">
        <v>10</v>
      </c>
      <c r="C554" s="11">
        <v>35.175231914701541</v>
      </c>
      <c r="D554" s="11">
        <v>13.031544315341126</v>
      </c>
      <c r="E554" s="11"/>
      <c r="F554" s="10">
        <v>233</v>
      </c>
      <c r="G554" s="12" t="s">
        <v>11</v>
      </c>
      <c r="H554" s="13">
        <v>13</v>
      </c>
      <c r="I554" s="14"/>
      <c r="J554" s="14">
        <v>17</v>
      </c>
      <c r="K554" s="14"/>
      <c r="L554" s="13">
        <v>4.5</v>
      </c>
      <c r="M554" s="13">
        <v>0.5</v>
      </c>
      <c r="P554" s="12" t="s">
        <v>14</v>
      </c>
      <c r="Q554" s="12"/>
      <c r="R554" s="12"/>
      <c r="T554">
        <f t="shared" si="16"/>
        <v>4.1380285203892786</v>
      </c>
      <c r="U554">
        <f t="shared" si="17"/>
        <v>5.4112680651244416</v>
      </c>
    </row>
    <row r="555" spans="1:21">
      <c r="A555" s="12">
        <v>40</v>
      </c>
      <c r="B555" s="12">
        <v>20</v>
      </c>
      <c r="C555" s="11">
        <v>42.576651627563287</v>
      </c>
      <c r="D555" s="11">
        <v>29.825957146197499</v>
      </c>
      <c r="E555" s="11"/>
      <c r="F555" s="12">
        <v>300</v>
      </c>
      <c r="G555" s="12" t="s">
        <v>13</v>
      </c>
      <c r="H555" s="13">
        <v>13.1</v>
      </c>
      <c r="I555" s="14"/>
      <c r="J555" s="14">
        <v>13.4</v>
      </c>
      <c r="K555" s="14"/>
      <c r="L555" s="13">
        <v>5.5</v>
      </c>
      <c r="M555" s="13">
        <v>1.7</v>
      </c>
      <c r="P555" s="12" t="s">
        <v>14</v>
      </c>
      <c r="Q555" s="12"/>
      <c r="R555" s="12"/>
      <c r="T555">
        <f t="shared" si="16"/>
        <v>4.169859509007658</v>
      </c>
      <c r="U555">
        <f t="shared" si="17"/>
        <v>4.2653524748627953</v>
      </c>
    </row>
    <row r="556" spans="1:21">
      <c r="A556" s="12">
        <v>50</v>
      </c>
      <c r="B556" s="12">
        <v>-30</v>
      </c>
      <c r="C556" s="11">
        <v>50.215139710240834</v>
      </c>
      <c r="D556" s="11">
        <v>-27.437723206428444</v>
      </c>
      <c r="E556" s="11"/>
      <c r="F556" s="12">
        <v>2001</v>
      </c>
      <c r="G556" s="12" t="s">
        <v>13</v>
      </c>
      <c r="H556" s="13">
        <v>13.1</v>
      </c>
      <c r="I556" s="14"/>
      <c r="J556" s="14"/>
      <c r="K556" s="14">
        <v>15.6</v>
      </c>
      <c r="L556" s="13"/>
      <c r="M556" s="13"/>
      <c r="N556">
        <v>2.4</v>
      </c>
      <c r="O556">
        <v>1</v>
      </c>
      <c r="P556" s="12"/>
      <c r="Q556" s="12"/>
      <c r="R556" s="12" t="s">
        <v>57</v>
      </c>
      <c r="S556" t="s">
        <v>135</v>
      </c>
      <c r="T556">
        <f t="shared" si="16"/>
        <v>4.169859509007658</v>
      </c>
      <c r="U556">
        <f t="shared" si="17"/>
        <v>15.6</v>
      </c>
    </row>
    <row r="557" spans="1:21">
      <c r="A557" s="12">
        <v>40</v>
      </c>
      <c r="B557" s="12">
        <v>-10</v>
      </c>
      <c r="C557" s="11">
        <v>47.95645499176517</v>
      </c>
      <c r="D557" s="11">
        <v>-2.6922711229217842</v>
      </c>
      <c r="E557" s="11"/>
      <c r="F557" s="10">
        <v>461</v>
      </c>
      <c r="G557" s="12" t="s">
        <v>13</v>
      </c>
      <c r="H557" s="13">
        <v>13.2</v>
      </c>
      <c r="I557" s="14"/>
      <c r="J557" s="14" t="s">
        <v>70</v>
      </c>
      <c r="K557" s="14"/>
      <c r="L557" s="13">
        <v>4.7</v>
      </c>
      <c r="M557" s="13"/>
      <c r="P557" s="12" t="s">
        <v>12</v>
      </c>
      <c r="Q557" s="12"/>
      <c r="R557" s="12"/>
      <c r="T557">
        <f t="shared" si="16"/>
        <v>4.2016904976260365</v>
      </c>
      <c r="U557" t="str">
        <f t="shared" si="17"/>
        <v>dead</v>
      </c>
    </row>
    <row r="558" spans="1:21">
      <c r="A558" s="12">
        <v>20</v>
      </c>
      <c r="B558" s="12">
        <v>30</v>
      </c>
      <c r="C558" s="11">
        <v>25.433323914882696</v>
      </c>
      <c r="D558" s="11">
        <v>34.334182209427858</v>
      </c>
      <c r="E558" s="11"/>
      <c r="F558" s="10">
        <v>171</v>
      </c>
      <c r="G558" s="12" t="s">
        <v>13</v>
      </c>
      <c r="H558" s="13">
        <v>13.3</v>
      </c>
      <c r="I558" s="14"/>
      <c r="J558" s="14">
        <v>13.8</v>
      </c>
      <c r="K558" s="14"/>
      <c r="L558" s="13">
        <v>3.7</v>
      </c>
      <c r="M558" s="13">
        <v>1.7</v>
      </c>
      <c r="P558" s="12" t="s">
        <v>14</v>
      </c>
      <c r="Q558" s="12"/>
      <c r="R558" s="12" t="s">
        <v>25</v>
      </c>
      <c r="T558">
        <f t="shared" si="16"/>
        <v>4.2335214862444159</v>
      </c>
      <c r="U558">
        <f t="shared" si="17"/>
        <v>4.3926764293363121</v>
      </c>
    </row>
    <row r="559" spans="1:21">
      <c r="A559" s="12">
        <v>20</v>
      </c>
      <c r="B559" s="12">
        <v>30</v>
      </c>
      <c r="C559" s="11">
        <v>21.776802246029185</v>
      </c>
      <c r="D559" s="11">
        <v>38.060960604189376</v>
      </c>
      <c r="E559" s="11"/>
      <c r="F559" s="10">
        <v>181</v>
      </c>
      <c r="G559" s="12" t="s">
        <v>11</v>
      </c>
      <c r="H559" s="13">
        <v>13.3</v>
      </c>
      <c r="I559" s="14"/>
      <c r="J559" s="14" t="s">
        <v>70</v>
      </c>
      <c r="K559" s="14"/>
      <c r="L559" s="13">
        <v>4.3</v>
      </c>
      <c r="M559" s="13">
        <v>0.2</v>
      </c>
      <c r="P559" s="12" t="s">
        <v>14</v>
      </c>
      <c r="Q559" s="12"/>
      <c r="R559" s="12"/>
      <c r="T559">
        <f t="shared" si="16"/>
        <v>4.2335214862444159</v>
      </c>
      <c r="U559" t="str">
        <f t="shared" si="17"/>
        <v>dead</v>
      </c>
    </row>
    <row r="560" spans="1:21">
      <c r="A560" s="12">
        <v>10</v>
      </c>
      <c r="B560" s="12">
        <v>10</v>
      </c>
      <c r="C560" s="11">
        <v>19.450592034892743</v>
      </c>
      <c r="D560" s="11">
        <v>13.837487484021526</v>
      </c>
      <c r="E560" s="11"/>
      <c r="F560" s="10">
        <v>111</v>
      </c>
      <c r="G560" s="12" t="s">
        <v>13</v>
      </c>
      <c r="H560" s="13">
        <v>13.4</v>
      </c>
      <c r="I560" s="14"/>
      <c r="J560" s="14"/>
      <c r="K560" s="14">
        <v>14.1</v>
      </c>
      <c r="L560" s="13">
        <v>4.9000000000000004</v>
      </c>
      <c r="M560" s="13">
        <v>2.6</v>
      </c>
      <c r="P560" s="12" t="s">
        <v>14</v>
      </c>
      <c r="Q560" s="12"/>
      <c r="R560" s="12"/>
      <c r="T560">
        <f t="shared" si="16"/>
        <v>4.2653524748627953</v>
      </c>
      <c r="U560">
        <f t="shared" si="17"/>
        <v>14.1</v>
      </c>
    </row>
    <row r="561" spans="1:21">
      <c r="A561" s="9">
        <v>0</v>
      </c>
      <c r="B561" s="12">
        <v>10</v>
      </c>
      <c r="C561" s="11">
        <v>6.8907652746479302</v>
      </c>
      <c r="D561" s="11">
        <v>17.695625992904336</v>
      </c>
      <c r="E561" s="11"/>
      <c r="F561" s="10">
        <v>21</v>
      </c>
      <c r="G561" s="12" t="s">
        <v>13</v>
      </c>
      <c r="H561" s="13">
        <v>13.5</v>
      </c>
      <c r="I561" s="14"/>
      <c r="J561" s="14">
        <v>14.3</v>
      </c>
      <c r="K561" s="14"/>
      <c r="L561" s="13">
        <v>5.5</v>
      </c>
      <c r="M561" s="13">
        <v>1.6</v>
      </c>
      <c r="P561" s="12" t="s">
        <v>14</v>
      </c>
      <c r="Q561" s="12"/>
      <c r="R561" s="12"/>
      <c r="T561">
        <f t="shared" si="16"/>
        <v>4.2971834634811739</v>
      </c>
      <c r="U561">
        <f t="shared" si="17"/>
        <v>4.5518313724282073</v>
      </c>
    </row>
    <row r="562" spans="1:21">
      <c r="A562" s="9">
        <v>0</v>
      </c>
      <c r="B562" s="12">
        <v>20</v>
      </c>
      <c r="C562" s="11">
        <v>8.4184890926716029</v>
      </c>
      <c r="D562" s="11">
        <v>22.114578302302672</v>
      </c>
      <c r="E562" s="11"/>
      <c r="F562" s="10">
        <v>31</v>
      </c>
      <c r="G562" s="12" t="s">
        <v>13</v>
      </c>
      <c r="H562" s="13">
        <v>13.5</v>
      </c>
      <c r="I562" s="14"/>
      <c r="J562" s="14">
        <v>24.5</v>
      </c>
      <c r="K562" s="14"/>
      <c r="L562" s="13">
        <v>3.7</v>
      </c>
      <c r="M562" s="13">
        <v>1.2</v>
      </c>
      <c r="P562" s="12" t="s">
        <v>14</v>
      </c>
      <c r="Q562" s="12"/>
      <c r="R562" s="12"/>
      <c r="T562">
        <f t="shared" si="16"/>
        <v>4.2971834634811739</v>
      </c>
      <c r="U562">
        <f t="shared" si="17"/>
        <v>7.7985922115028714</v>
      </c>
    </row>
    <row r="563" spans="1:21">
      <c r="A563" s="9">
        <v>0</v>
      </c>
      <c r="B563" s="12">
        <v>30</v>
      </c>
      <c r="C563" s="11">
        <v>3.3916017940016192</v>
      </c>
      <c r="D563" s="11">
        <v>37.779399238189264</v>
      </c>
      <c r="E563" s="11"/>
      <c r="F563" s="10">
        <v>53</v>
      </c>
      <c r="G563" s="12" t="s">
        <v>11</v>
      </c>
      <c r="H563" s="13">
        <v>13.6</v>
      </c>
      <c r="I563" s="14"/>
      <c r="J563" s="14" t="s">
        <v>70</v>
      </c>
      <c r="K563" s="14"/>
      <c r="L563" s="13">
        <v>2.1</v>
      </c>
      <c r="M563" s="13"/>
      <c r="P563" s="12" t="s">
        <v>12</v>
      </c>
      <c r="Q563" s="12"/>
      <c r="R563" s="12"/>
      <c r="T563">
        <f t="shared" si="16"/>
        <v>4.3290144520995533</v>
      </c>
      <c r="U563" t="str">
        <f t="shared" si="17"/>
        <v>dead</v>
      </c>
    </row>
    <row r="564" spans="1:21">
      <c r="A564" s="9">
        <v>20</v>
      </c>
      <c r="B564" s="9">
        <v>-10</v>
      </c>
      <c r="C564" s="11">
        <v>28.216300026749987</v>
      </c>
      <c r="D564" s="11">
        <v>-4.6050009323052059</v>
      </c>
      <c r="E564" s="11"/>
      <c r="F564" s="10">
        <v>419</v>
      </c>
      <c r="G564" s="12" t="s">
        <v>13</v>
      </c>
      <c r="H564" s="13">
        <v>13.7</v>
      </c>
      <c r="I564" s="14"/>
      <c r="J564" s="14">
        <v>15.6</v>
      </c>
      <c r="K564" s="14"/>
      <c r="L564" s="13">
        <v>4.7</v>
      </c>
      <c r="M564" s="13">
        <v>1.4</v>
      </c>
      <c r="P564" s="12" t="s">
        <v>14</v>
      </c>
      <c r="Q564" s="12"/>
      <c r="R564" s="12"/>
      <c r="T564">
        <f t="shared" si="16"/>
        <v>4.3608454407179318</v>
      </c>
      <c r="U564">
        <f t="shared" si="17"/>
        <v>4.9656342244671343</v>
      </c>
    </row>
    <row r="565" spans="1:21">
      <c r="A565" s="9">
        <v>0</v>
      </c>
      <c r="B565" s="12">
        <v>10</v>
      </c>
      <c r="C565" s="11">
        <v>6.8333337259313778</v>
      </c>
      <c r="D565" s="11">
        <v>17.877329795601831</v>
      </c>
      <c r="E565" s="11"/>
      <c r="F565" s="12">
        <v>22</v>
      </c>
      <c r="G565" s="12" t="s">
        <v>13</v>
      </c>
      <c r="H565" s="13">
        <v>14</v>
      </c>
      <c r="I565" s="14"/>
      <c r="J565" s="14">
        <v>14.5</v>
      </c>
      <c r="K565" s="14"/>
      <c r="L565" s="13">
        <v>4</v>
      </c>
      <c r="M565" s="13">
        <v>2.6</v>
      </c>
      <c r="P565" s="12" t="s">
        <v>14</v>
      </c>
      <c r="Q565" s="12"/>
      <c r="R565" s="12"/>
      <c r="T565">
        <f t="shared" si="16"/>
        <v>4.45633840657307</v>
      </c>
      <c r="U565">
        <f t="shared" si="17"/>
        <v>4.6154933496649653</v>
      </c>
    </row>
    <row r="566" spans="1:21">
      <c r="A566" s="9">
        <v>0</v>
      </c>
      <c r="B566" s="12">
        <v>20</v>
      </c>
      <c r="C566" s="11">
        <v>6.7606422029613356</v>
      </c>
      <c r="D566" s="11">
        <v>30.023064252190451</v>
      </c>
      <c r="E566" s="11"/>
      <c r="F566" s="12">
        <v>44</v>
      </c>
      <c r="G566" s="12" t="s">
        <v>11</v>
      </c>
      <c r="H566" s="13">
        <v>14</v>
      </c>
      <c r="I566" s="14"/>
      <c r="J566" s="14" t="s">
        <v>70</v>
      </c>
      <c r="K566" s="14"/>
      <c r="L566" s="13">
        <v>4.2</v>
      </c>
      <c r="M566" s="13">
        <v>0.2</v>
      </c>
      <c r="P566" s="12" t="s">
        <v>14</v>
      </c>
      <c r="Q566" s="12"/>
      <c r="R566" s="12"/>
      <c r="T566">
        <f t="shared" si="16"/>
        <v>4.45633840657307</v>
      </c>
      <c r="U566" t="str">
        <f t="shared" si="17"/>
        <v>dead</v>
      </c>
    </row>
    <row r="567" spans="1:21">
      <c r="A567" s="12">
        <v>30</v>
      </c>
      <c r="B567" s="12">
        <v>0</v>
      </c>
      <c r="C567" s="11">
        <v>33.991864086035775</v>
      </c>
      <c r="D567" s="11">
        <v>8.9138005024738085</v>
      </c>
      <c r="E567" s="11"/>
      <c r="F567" s="10">
        <v>253</v>
      </c>
      <c r="G567" s="12" t="s">
        <v>13</v>
      </c>
      <c r="H567" s="13">
        <v>14</v>
      </c>
      <c r="I567" s="14"/>
      <c r="J567" s="14">
        <v>14.5</v>
      </c>
      <c r="K567" s="14"/>
      <c r="L567" s="13">
        <v>4</v>
      </c>
      <c r="M567" s="13">
        <v>2.1</v>
      </c>
      <c r="P567" s="12" t="s">
        <v>14</v>
      </c>
      <c r="Q567" s="12"/>
      <c r="R567" s="12"/>
      <c r="T567">
        <f t="shared" si="16"/>
        <v>4.45633840657307</v>
      </c>
      <c r="U567">
        <f t="shared" si="17"/>
        <v>4.6154933496649653</v>
      </c>
    </row>
    <row r="568" spans="1:21">
      <c r="A568" s="12">
        <v>40</v>
      </c>
      <c r="B568" s="12">
        <v>-10</v>
      </c>
      <c r="C568" s="11">
        <v>48.531267151121057</v>
      </c>
      <c r="D568" s="11">
        <v>-2.6387921135671051</v>
      </c>
      <c r="E568" s="11"/>
      <c r="F568" s="10">
        <v>471</v>
      </c>
      <c r="G568" s="12" t="s">
        <v>13</v>
      </c>
      <c r="H568" s="13">
        <v>14</v>
      </c>
      <c r="I568" s="14"/>
      <c r="J568" s="14">
        <v>14.1</v>
      </c>
      <c r="K568" s="14"/>
      <c r="L568" s="13">
        <v>3.8</v>
      </c>
      <c r="M568" s="13">
        <v>2.1</v>
      </c>
      <c r="P568" s="12" t="s">
        <v>14</v>
      </c>
      <c r="Q568" s="12"/>
      <c r="R568" s="12"/>
      <c r="T568">
        <f t="shared" si="16"/>
        <v>4.45633840657307</v>
      </c>
      <c r="U568">
        <f t="shared" si="17"/>
        <v>4.4881693951914485</v>
      </c>
    </row>
    <row r="569" spans="1:21">
      <c r="A569" s="12">
        <v>10</v>
      </c>
      <c r="B569" s="12">
        <v>30</v>
      </c>
      <c r="C569" s="11">
        <v>13.816394323818171</v>
      </c>
      <c r="D569" s="11">
        <v>30.41139990053043</v>
      </c>
      <c r="E569" s="11"/>
      <c r="F569" s="10">
        <v>85</v>
      </c>
      <c r="G569" s="12" t="s">
        <v>11</v>
      </c>
      <c r="H569" s="13">
        <v>14.2</v>
      </c>
      <c r="I569" s="14"/>
      <c r="J569" s="14" t="s">
        <v>70</v>
      </c>
      <c r="K569" s="14"/>
      <c r="L569" s="13">
        <v>5</v>
      </c>
      <c r="M569" s="13"/>
      <c r="P569" s="12" t="s">
        <v>12</v>
      </c>
      <c r="Q569" s="12"/>
      <c r="R569" s="12"/>
      <c r="T569">
        <f t="shared" si="16"/>
        <v>4.520000383809827</v>
      </c>
      <c r="U569" t="str">
        <f t="shared" si="17"/>
        <v>dead</v>
      </c>
    </row>
    <row r="570" spans="1:21">
      <c r="A570" s="12">
        <v>20</v>
      </c>
      <c r="B570" s="12">
        <v>40</v>
      </c>
      <c r="C570" s="11">
        <v>26.088068052261637</v>
      </c>
      <c r="D570" s="11">
        <v>46.326438760553302</v>
      </c>
      <c r="E570" s="11"/>
      <c r="F570" s="12">
        <v>186</v>
      </c>
      <c r="G570" s="12" t="s">
        <v>13</v>
      </c>
      <c r="H570" s="13">
        <v>14.3</v>
      </c>
      <c r="I570" s="14"/>
      <c r="J570" s="14">
        <v>15.2</v>
      </c>
      <c r="K570" s="14"/>
      <c r="L570" s="13">
        <v>5</v>
      </c>
      <c r="M570" s="13">
        <v>2</v>
      </c>
      <c r="P570" s="12" t="s">
        <v>14</v>
      </c>
      <c r="Q570" s="12"/>
      <c r="R570" s="12"/>
      <c r="T570">
        <f t="shared" si="16"/>
        <v>4.5518313724282073</v>
      </c>
      <c r="U570">
        <f t="shared" si="17"/>
        <v>4.8383102699936185</v>
      </c>
    </row>
    <row r="571" spans="1:21">
      <c r="A571" s="12">
        <v>10</v>
      </c>
      <c r="B571" s="12">
        <v>40</v>
      </c>
      <c r="C571" s="11">
        <v>12.358481639250277</v>
      </c>
      <c r="D571" s="11">
        <v>45.370549054084215</v>
      </c>
      <c r="E571" s="11"/>
      <c r="F571" s="10">
        <v>75</v>
      </c>
      <c r="G571" s="12" t="s">
        <v>11</v>
      </c>
      <c r="H571" s="13">
        <v>14.4</v>
      </c>
      <c r="I571" s="14"/>
      <c r="J571" s="14">
        <v>17.399999999999999</v>
      </c>
      <c r="K571" s="14"/>
      <c r="L571" s="13">
        <v>3.7</v>
      </c>
      <c r="M571" s="13">
        <v>0.8</v>
      </c>
      <c r="P571" s="12" t="s">
        <v>14</v>
      </c>
      <c r="Q571" s="12"/>
      <c r="R571" s="12"/>
      <c r="T571">
        <f t="shared" si="16"/>
        <v>4.5836623610465859</v>
      </c>
      <c r="U571">
        <f t="shared" si="17"/>
        <v>5.5385920195979574</v>
      </c>
    </row>
    <row r="572" spans="1:21">
      <c r="A572" s="12">
        <v>50</v>
      </c>
      <c r="B572" s="12">
        <v>-30</v>
      </c>
      <c r="C572" s="11">
        <v>50.215139710240834</v>
      </c>
      <c r="D572" s="11">
        <v>-27.437723206428444</v>
      </c>
      <c r="E572" s="11"/>
      <c r="F572" s="12">
        <v>2007</v>
      </c>
      <c r="G572" s="12" t="s">
        <v>13</v>
      </c>
      <c r="H572" s="13">
        <v>14.4</v>
      </c>
      <c r="I572" s="14"/>
      <c r="J572" s="14">
        <v>10.5</v>
      </c>
      <c r="K572" s="14"/>
      <c r="L572" s="13"/>
      <c r="M572" s="13"/>
      <c r="N572">
        <v>3.5</v>
      </c>
      <c r="O572">
        <v>1.9</v>
      </c>
      <c r="P572" s="12"/>
      <c r="Q572" s="12"/>
      <c r="R572" s="12" t="s">
        <v>57</v>
      </c>
      <c r="S572" t="s">
        <v>141</v>
      </c>
      <c r="T572">
        <f t="shared" si="16"/>
        <v>4.5836623610465859</v>
      </c>
      <c r="U572">
        <f t="shared" si="17"/>
        <v>3.3422538049298023</v>
      </c>
    </row>
    <row r="573" spans="1:21">
      <c r="A573" s="12">
        <v>20</v>
      </c>
      <c r="B573" s="12">
        <v>30</v>
      </c>
      <c r="C573" s="11">
        <v>21.331866296913631</v>
      </c>
      <c r="D573" s="11">
        <v>38.494599001214105</v>
      </c>
      <c r="E573" s="11"/>
      <c r="F573" s="12">
        <v>182</v>
      </c>
      <c r="G573" s="12" t="s">
        <v>11</v>
      </c>
      <c r="H573" s="13">
        <v>14.6</v>
      </c>
      <c r="I573" s="14"/>
      <c r="J573" s="14">
        <v>18.399999999999999</v>
      </c>
      <c r="K573" s="14"/>
      <c r="L573" s="13">
        <v>5.2</v>
      </c>
      <c r="M573" s="13">
        <v>0.2</v>
      </c>
      <c r="P573" s="12" t="s">
        <v>14</v>
      </c>
      <c r="Q573" s="12"/>
      <c r="R573" s="12"/>
      <c r="T573">
        <f t="shared" si="16"/>
        <v>4.6473243382833438</v>
      </c>
      <c r="U573">
        <f t="shared" si="17"/>
        <v>5.856901905781748</v>
      </c>
    </row>
    <row r="574" spans="1:21">
      <c r="A574" s="12">
        <v>30</v>
      </c>
      <c r="B574" s="12">
        <v>-20</v>
      </c>
      <c r="C574" s="11">
        <v>49.938192270330752</v>
      </c>
      <c r="D574" s="11">
        <v>-27.773576332121721</v>
      </c>
      <c r="E574" s="11"/>
      <c r="F574" s="12">
        <v>706</v>
      </c>
      <c r="G574" s="12" t="s">
        <v>13</v>
      </c>
      <c r="H574" s="13">
        <v>14.6</v>
      </c>
      <c r="I574" s="14"/>
      <c r="J574" s="14">
        <v>16.3</v>
      </c>
      <c r="K574" s="14"/>
      <c r="L574" s="13">
        <v>5.2</v>
      </c>
      <c r="M574" s="13">
        <v>1.6</v>
      </c>
      <c r="P574" s="12" t="s">
        <v>14</v>
      </c>
      <c r="Q574" s="12"/>
      <c r="R574" s="12"/>
      <c r="S574" t="s">
        <v>128</v>
      </c>
      <c r="T574">
        <f t="shared" si="16"/>
        <v>4.6473243382833438</v>
      </c>
      <c r="U574">
        <f t="shared" si="17"/>
        <v>5.1884511447957884</v>
      </c>
    </row>
    <row r="575" spans="1:21">
      <c r="A575" s="9">
        <v>0</v>
      </c>
      <c r="B575" s="12">
        <v>20</v>
      </c>
      <c r="C575" s="11">
        <v>9.0445474699669113</v>
      </c>
      <c r="D575" s="11">
        <v>22.938751616505748</v>
      </c>
      <c r="E575" s="11"/>
      <c r="F575" s="12">
        <v>38</v>
      </c>
      <c r="G575" s="12" t="s">
        <v>13</v>
      </c>
      <c r="H575" s="13">
        <v>14.7</v>
      </c>
      <c r="I575" s="14"/>
      <c r="J575" s="14" t="s">
        <v>70</v>
      </c>
      <c r="K575" s="14"/>
      <c r="L575" s="13">
        <v>1.7</v>
      </c>
      <c r="M575" s="13">
        <v>1</v>
      </c>
      <c r="P575" s="12" t="s">
        <v>14</v>
      </c>
      <c r="Q575" s="12"/>
      <c r="R575" s="12" t="s">
        <v>74</v>
      </c>
      <c r="S575" t="s">
        <v>77</v>
      </c>
      <c r="T575">
        <f t="shared" si="16"/>
        <v>4.6791553269017232</v>
      </c>
      <c r="U575" t="str">
        <f t="shared" si="17"/>
        <v>dead</v>
      </c>
    </row>
    <row r="576" spans="1:21">
      <c r="A576" s="12">
        <v>20</v>
      </c>
      <c r="B576" s="12">
        <v>0</v>
      </c>
      <c r="C576" s="11">
        <v>27.062223874983264</v>
      </c>
      <c r="D576" s="11">
        <v>8.9744857200630914</v>
      </c>
      <c r="E576" s="11"/>
      <c r="F576" s="12">
        <v>132</v>
      </c>
      <c r="G576" s="12" t="s">
        <v>21</v>
      </c>
      <c r="H576" s="13">
        <v>14.7</v>
      </c>
      <c r="I576" s="14"/>
      <c r="J576" s="14">
        <v>15.4</v>
      </c>
      <c r="K576" s="14"/>
      <c r="L576" s="13">
        <v>6</v>
      </c>
      <c r="M576" s="13">
        <v>2.5</v>
      </c>
      <c r="P576" s="12" t="s">
        <v>14</v>
      </c>
      <c r="Q576" s="12"/>
      <c r="R576" s="12"/>
      <c r="T576">
        <f t="shared" si="16"/>
        <v>4.6791553269017232</v>
      </c>
      <c r="U576">
        <f t="shared" si="17"/>
        <v>4.9019722472303764</v>
      </c>
    </row>
    <row r="577" spans="1:21">
      <c r="A577" s="12">
        <v>10</v>
      </c>
      <c r="B577" s="12">
        <v>-20</v>
      </c>
      <c r="C577" s="11">
        <v>14.058492422108468</v>
      </c>
      <c r="D577" s="11">
        <v>-19.417430088437879</v>
      </c>
      <c r="E577" s="11"/>
      <c r="F577" s="12">
        <v>576</v>
      </c>
      <c r="G577" s="12" t="s">
        <v>11</v>
      </c>
      <c r="H577" s="13">
        <v>14.7</v>
      </c>
      <c r="I577" s="14"/>
      <c r="J577" s="14">
        <v>18</v>
      </c>
      <c r="K577" s="14"/>
      <c r="L577" s="13">
        <v>4.9000000000000004</v>
      </c>
      <c r="M577" s="13">
        <v>0.1</v>
      </c>
      <c r="P577" s="12" t="s">
        <v>14</v>
      </c>
      <c r="Q577" s="12"/>
      <c r="R577" s="12"/>
      <c r="T577">
        <f t="shared" si="16"/>
        <v>4.6791553269017232</v>
      </c>
      <c r="U577">
        <f t="shared" si="17"/>
        <v>5.7295779513082321</v>
      </c>
    </row>
    <row r="578" spans="1:21">
      <c r="A578" s="9">
        <v>0</v>
      </c>
      <c r="B578" s="9">
        <v>0</v>
      </c>
      <c r="C578" s="11">
        <v>4.5347512748652568</v>
      </c>
      <c r="D578" s="11">
        <v>8.6069255682437298</v>
      </c>
      <c r="E578" s="11"/>
      <c r="F578" s="12">
        <v>2</v>
      </c>
      <c r="G578" s="12" t="s">
        <v>13</v>
      </c>
      <c r="H578" s="13">
        <v>14.8</v>
      </c>
      <c r="I578" s="14"/>
      <c r="J578" s="14">
        <v>15.6</v>
      </c>
      <c r="K578" s="14"/>
      <c r="L578" s="13">
        <v>3.8</v>
      </c>
      <c r="M578" s="13">
        <v>2.2000000000000002</v>
      </c>
      <c r="P578" s="12" t="s">
        <v>14</v>
      </c>
      <c r="Q578" s="12"/>
      <c r="R578" s="12"/>
      <c r="T578">
        <f t="shared" ref="T578:T641" si="18">IF(H578="",I578,H578/PI())</f>
        <v>4.7109863155201026</v>
      </c>
      <c r="U578">
        <f t="shared" ref="U578:U641" si="19">IF(J578="dead","dead",J578/PI()+K578)</f>
        <v>4.9656342244671343</v>
      </c>
    </row>
    <row r="579" spans="1:21">
      <c r="A579" s="12">
        <v>30</v>
      </c>
      <c r="B579" s="12">
        <v>10</v>
      </c>
      <c r="C579" s="11">
        <v>37.160972634049095</v>
      </c>
      <c r="D579" s="11">
        <v>18.582089236094202</v>
      </c>
      <c r="E579" s="11"/>
      <c r="F579" s="10">
        <v>213</v>
      </c>
      <c r="G579" s="12" t="s">
        <v>11</v>
      </c>
      <c r="H579" s="13">
        <v>14.8</v>
      </c>
      <c r="I579" s="14"/>
      <c r="J579" s="14">
        <v>18.2</v>
      </c>
      <c r="K579" s="14"/>
      <c r="L579" s="13">
        <v>5.0999999999999996</v>
      </c>
      <c r="M579" s="13">
        <v>0.1</v>
      </c>
      <c r="P579" s="12" t="s">
        <v>14</v>
      </c>
      <c r="Q579" s="12"/>
      <c r="R579" s="12"/>
      <c r="T579">
        <f t="shared" si="18"/>
        <v>4.7109863155201026</v>
      </c>
      <c r="U579">
        <f t="shared" si="19"/>
        <v>5.79323992854499</v>
      </c>
    </row>
    <row r="580" spans="1:21">
      <c r="A580" s="12">
        <v>40</v>
      </c>
      <c r="B580" s="12">
        <v>-10</v>
      </c>
      <c r="C580" s="11">
        <v>48.209032601146284</v>
      </c>
      <c r="D580" s="11">
        <v>-3.3401400833263204</v>
      </c>
      <c r="E580" s="11"/>
      <c r="F580" s="12">
        <v>466</v>
      </c>
      <c r="G580" s="12" t="s">
        <v>13</v>
      </c>
      <c r="H580" s="13">
        <v>14.8</v>
      </c>
      <c r="I580" s="14"/>
      <c r="J580" s="14">
        <v>15.7</v>
      </c>
      <c r="K580" s="14"/>
      <c r="L580" s="13">
        <v>4.0999999999999996</v>
      </c>
      <c r="M580" s="13">
        <v>1.6</v>
      </c>
      <c r="P580" s="12" t="s">
        <v>14</v>
      </c>
      <c r="Q580" s="12"/>
      <c r="R580" s="12"/>
      <c r="T580">
        <f t="shared" si="18"/>
        <v>4.7109863155201026</v>
      </c>
      <c r="U580">
        <f t="shared" si="19"/>
        <v>4.9974652130855137</v>
      </c>
    </row>
    <row r="581" spans="1:21">
      <c r="A581" s="12">
        <v>40</v>
      </c>
      <c r="B581" s="12">
        <v>-10</v>
      </c>
      <c r="C581" s="11">
        <v>48.343280774778137</v>
      </c>
      <c r="D581" s="11">
        <v>-3.1961353864910453</v>
      </c>
      <c r="E581" s="11"/>
      <c r="F581" s="10">
        <v>467</v>
      </c>
      <c r="G581" s="12" t="s">
        <v>13</v>
      </c>
      <c r="H581" s="13">
        <v>15.2</v>
      </c>
      <c r="I581" s="14"/>
      <c r="J581" s="14">
        <v>15.9</v>
      </c>
      <c r="K581" s="14"/>
      <c r="L581" s="13">
        <v>5</v>
      </c>
      <c r="M581" s="13">
        <v>2.5</v>
      </c>
      <c r="P581" s="12" t="s">
        <v>14</v>
      </c>
      <c r="Q581" s="12"/>
      <c r="R581" s="12"/>
      <c r="T581">
        <f t="shared" si="18"/>
        <v>4.8383102699936185</v>
      </c>
      <c r="U581">
        <f t="shared" si="19"/>
        <v>5.0611271903222717</v>
      </c>
    </row>
    <row r="582" spans="1:21">
      <c r="A582" s="12">
        <v>20</v>
      </c>
      <c r="B582" s="12">
        <v>40</v>
      </c>
      <c r="C582" s="11">
        <v>26.58482899694452</v>
      </c>
      <c r="D582" s="11">
        <v>47.338911845839178</v>
      </c>
      <c r="E582" s="11"/>
      <c r="F582" s="10">
        <v>193</v>
      </c>
      <c r="G582" s="12" t="s">
        <v>13</v>
      </c>
      <c r="H582" s="13">
        <v>15.3</v>
      </c>
      <c r="I582" s="14"/>
      <c r="J582" s="14">
        <v>13.8</v>
      </c>
      <c r="K582" s="14"/>
      <c r="L582" s="13">
        <v>4.4000000000000004</v>
      </c>
      <c r="M582" s="13">
        <v>2.6</v>
      </c>
      <c r="P582" s="12" t="s">
        <v>14</v>
      </c>
      <c r="Q582" s="12"/>
      <c r="R582" s="12"/>
      <c r="T582">
        <f t="shared" si="18"/>
        <v>4.8701412586119979</v>
      </c>
      <c r="U582">
        <f t="shared" si="19"/>
        <v>4.3926764293363121</v>
      </c>
    </row>
    <row r="583" spans="1:21">
      <c r="A583" s="12">
        <v>20</v>
      </c>
      <c r="B583" s="12">
        <v>10</v>
      </c>
      <c r="C583" s="11">
        <v>24.319680469471667</v>
      </c>
      <c r="D583" s="11">
        <v>11.740547714722046</v>
      </c>
      <c r="E583" s="11"/>
      <c r="F583" s="12">
        <v>144</v>
      </c>
      <c r="G583" s="12" t="s">
        <v>13</v>
      </c>
      <c r="H583" s="13">
        <v>15.4</v>
      </c>
      <c r="I583" s="14"/>
      <c r="J583" s="14">
        <v>16.8</v>
      </c>
      <c r="K583" s="14"/>
      <c r="L583" s="13">
        <v>3.3</v>
      </c>
      <c r="M583" s="13">
        <v>1.5</v>
      </c>
      <c r="P583" s="12" t="s">
        <v>14</v>
      </c>
      <c r="Q583" s="12"/>
      <c r="R583" s="12"/>
      <c r="T583">
        <f t="shared" si="18"/>
        <v>4.9019722472303764</v>
      </c>
      <c r="U583">
        <f t="shared" si="19"/>
        <v>5.3476060878876837</v>
      </c>
    </row>
    <row r="584" spans="1:21">
      <c r="A584" s="12">
        <v>30</v>
      </c>
      <c r="B584" s="12">
        <v>10</v>
      </c>
      <c r="C584" s="11">
        <v>31.891796831328939</v>
      </c>
      <c r="D584" s="11">
        <v>17.247418530002466</v>
      </c>
      <c r="E584" s="11"/>
      <c r="F584" s="10">
        <v>225</v>
      </c>
      <c r="G584" s="12" t="s">
        <v>13</v>
      </c>
      <c r="H584" s="13">
        <v>15.4</v>
      </c>
      <c r="I584" s="14"/>
      <c r="J584" s="14">
        <v>16.3</v>
      </c>
      <c r="K584" s="14"/>
      <c r="L584" s="13">
        <v>4.3</v>
      </c>
      <c r="M584" s="13">
        <v>2</v>
      </c>
      <c r="P584" s="12" t="s">
        <v>14</v>
      </c>
      <c r="Q584" s="12"/>
      <c r="R584" s="12"/>
      <c r="T584">
        <f t="shared" si="18"/>
        <v>4.9019722472303764</v>
      </c>
      <c r="U584">
        <f t="shared" si="19"/>
        <v>5.1884511447957884</v>
      </c>
    </row>
    <row r="585" spans="1:21">
      <c r="A585" s="12">
        <v>40</v>
      </c>
      <c r="B585" s="12">
        <v>0</v>
      </c>
      <c r="C585" s="11">
        <v>40.677648474707539</v>
      </c>
      <c r="D585" s="11">
        <v>5.5715473870970973</v>
      </c>
      <c r="E585" s="11"/>
      <c r="F585" s="12">
        <v>268</v>
      </c>
      <c r="G585" s="12" t="s">
        <v>13</v>
      </c>
      <c r="H585" s="13">
        <v>15.4</v>
      </c>
      <c r="I585" s="14"/>
      <c r="J585" s="14">
        <v>15.9</v>
      </c>
      <c r="K585" s="14"/>
      <c r="L585" s="13">
        <v>4.9000000000000004</v>
      </c>
      <c r="M585" s="13">
        <v>1.7</v>
      </c>
      <c r="P585" s="12" t="s">
        <v>14</v>
      </c>
      <c r="Q585" s="12"/>
      <c r="R585" s="12"/>
      <c r="T585">
        <f t="shared" si="18"/>
        <v>4.9019722472303764</v>
      </c>
      <c r="U585">
        <f t="shared" si="19"/>
        <v>5.0611271903222717</v>
      </c>
    </row>
    <row r="586" spans="1:21">
      <c r="A586" s="12">
        <v>40</v>
      </c>
      <c r="B586" s="12">
        <v>30</v>
      </c>
      <c r="C586" s="11">
        <v>48.806686210966056</v>
      </c>
      <c r="D586" s="11">
        <v>30.211197469555618</v>
      </c>
      <c r="E586" s="11"/>
      <c r="F586" s="10">
        <v>289</v>
      </c>
      <c r="G586" s="12" t="s">
        <v>30</v>
      </c>
      <c r="H586" s="13">
        <v>15.4</v>
      </c>
      <c r="I586" s="14"/>
      <c r="J586" s="14" t="s">
        <v>70</v>
      </c>
      <c r="K586" s="14"/>
      <c r="L586" s="13">
        <v>3</v>
      </c>
      <c r="M586" s="13"/>
      <c r="P586" s="12" t="s">
        <v>12</v>
      </c>
      <c r="Q586" s="12"/>
      <c r="R586" s="12" t="s">
        <v>16</v>
      </c>
      <c r="T586">
        <f t="shared" si="18"/>
        <v>4.9019722472303764</v>
      </c>
      <c r="U586" t="str">
        <f t="shared" si="19"/>
        <v>dead</v>
      </c>
    </row>
    <row r="587" spans="1:21">
      <c r="A587" s="12">
        <v>30</v>
      </c>
      <c r="B587" s="12">
        <v>-20</v>
      </c>
      <c r="C587" s="11">
        <v>31.979589225403007</v>
      </c>
      <c r="D587" s="11">
        <v>-31.226808384339172</v>
      </c>
      <c r="E587" s="11"/>
      <c r="F587" s="12">
        <v>712</v>
      </c>
      <c r="G587" s="12" t="s">
        <v>11</v>
      </c>
      <c r="H587" s="13">
        <v>15.4</v>
      </c>
      <c r="I587" s="14"/>
      <c r="J587" s="14">
        <v>18.7</v>
      </c>
      <c r="K587" s="14"/>
      <c r="L587" s="13">
        <v>4.9000000000000004</v>
      </c>
      <c r="M587" s="13">
        <v>0.7</v>
      </c>
      <c r="P587" s="12" t="s">
        <v>14</v>
      </c>
      <c r="Q587" s="12"/>
      <c r="R587" s="12"/>
      <c r="T587">
        <f t="shared" si="18"/>
        <v>4.9019722472303764</v>
      </c>
      <c r="U587">
        <f t="shared" si="19"/>
        <v>5.9523948716368853</v>
      </c>
    </row>
    <row r="588" spans="1:21">
      <c r="A588" s="12">
        <v>40</v>
      </c>
      <c r="B588" s="12">
        <v>-40</v>
      </c>
      <c r="C588" s="11">
        <v>42.983024702777627</v>
      </c>
      <c r="D588" s="11">
        <v>-35.691965224998938</v>
      </c>
      <c r="E588" s="11"/>
      <c r="F588" s="10">
        <v>705</v>
      </c>
      <c r="G588" s="12" t="s">
        <v>51</v>
      </c>
      <c r="H588" s="13">
        <v>15.6</v>
      </c>
      <c r="I588" s="14"/>
      <c r="J588" s="14" t="s">
        <v>70</v>
      </c>
      <c r="K588" s="14"/>
      <c r="L588" s="13"/>
      <c r="M588" s="13"/>
      <c r="P588" s="12" t="s">
        <v>14</v>
      </c>
      <c r="Q588" s="12"/>
      <c r="R588" s="12" t="s">
        <v>52</v>
      </c>
      <c r="T588">
        <f t="shared" si="18"/>
        <v>4.9656342244671343</v>
      </c>
      <c r="U588" t="str">
        <f t="shared" si="19"/>
        <v>dead</v>
      </c>
    </row>
    <row r="589" spans="1:21">
      <c r="A589" s="12">
        <v>20</v>
      </c>
      <c r="B589" s="12">
        <v>10</v>
      </c>
      <c r="C589" s="11">
        <v>23.822225534738159</v>
      </c>
      <c r="D589" s="11">
        <v>11.163807234165036</v>
      </c>
      <c r="E589" s="11"/>
      <c r="F589" s="10">
        <v>143</v>
      </c>
      <c r="G589" s="12" t="s">
        <v>13</v>
      </c>
      <c r="H589" s="13">
        <v>15.8</v>
      </c>
      <c r="I589" s="14"/>
      <c r="J589" s="14">
        <v>17</v>
      </c>
      <c r="K589" s="14"/>
      <c r="L589" s="13">
        <v>5.5</v>
      </c>
      <c r="M589" s="13">
        <v>1.6</v>
      </c>
      <c r="P589" s="12" t="s">
        <v>14</v>
      </c>
      <c r="Q589" s="12"/>
      <c r="R589" s="12"/>
      <c r="T589">
        <f t="shared" si="18"/>
        <v>5.0292962017038931</v>
      </c>
      <c r="U589">
        <f t="shared" si="19"/>
        <v>5.4112680651244416</v>
      </c>
    </row>
    <row r="590" spans="1:21">
      <c r="A590" s="9">
        <v>20</v>
      </c>
      <c r="B590" s="9">
        <v>-10</v>
      </c>
      <c r="C590" s="11">
        <v>21.622350838410512</v>
      </c>
      <c r="D590" s="11">
        <v>-9.3261221968864305</v>
      </c>
      <c r="E590" s="11"/>
      <c r="F590" s="10">
        <v>413</v>
      </c>
      <c r="G590" s="12" t="s">
        <v>13</v>
      </c>
      <c r="H590" s="13">
        <v>15.8</v>
      </c>
      <c r="I590" s="14"/>
      <c r="J590" s="14">
        <v>16.2</v>
      </c>
      <c r="K590" s="14"/>
      <c r="L590" s="13">
        <v>5.7</v>
      </c>
      <c r="M590" s="13">
        <v>1.5</v>
      </c>
      <c r="P590" s="12" t="s">
        <v>14</v>
      </c>
      <c r="Q590" s="12"/>
      <c r="R590" s="12"/>
      <c r="T590">
        <f t="shared" si="18"/>
        <v>5.0292962017038931</v>
      </c>
      <c r="U590">
        <f t="shared" si="19"/>
        <v>5.156620156177409</v>
      </c>
    </row>
    <row r="591" spans="1:21">
      <c r="A591" s="12">
        <v>40</v>
      </c>
      <c r="B591" s="12">
        <v>-30</v>
      </c>
      <c r="C591" s="11">
        <v>42.086746232082206</v>
      </c>
      <c r="D591" s="11">
        <v>-25.305710651858675</v>
      </c>
      <c r="E591" s="11"/>
      <c r="F591" s="12">
        <v>676</v>
      </c>
      <c r="G591" s="12" t="s">
        <v>13</v>
      </c>
      <c r="H591" s="13">
        <v>15.8</v>
      </c>
      <c r="I591" s="14"/>
      <c r="J591" s="14">
        <v>17.2</v>
      </c>
      <c r="K591" s="14"/>
      <c r="L591" s="13">
        <v>5.8</v>
      </c>
      <c r="M591" s="13">
        <v>2.5</v>
      </c>
      <c r="P591" s="12" t="s">
        <v>14</v>
      </c>
      <c r="Q591" s="12"/>
      <c r="R591" s="12"/>
      <c r="S591" t="s">
        <v>124</v>
      </c>
      <c r="T591">
        <f t="shared" si="18"/>
        <v>5.0292962017038931</v>
      </c>
      <c r="U591">
        <f t="shared" si="19"/>
        <v>5.4749300423611995</v>
      </c>
    </row>
    <row r="592" spans="1:21">
      <c r="A592" s="9">
        <v>0</v>
      </c>
      <c r="B592" s="12">
        <v>30</v>
      </c>
      <c r="C592" s="11">
        <v>2.3642066204640333</v>
      </c>
      <c r="D592" s="11">
        <v>35.450159450819726</v>
      </c>
      <c r="E592" s="11"/>
      <c r="F592" s="12">
        <v>52</v>
      </c>
      <c r="G592" s="12" t="s">
        <v>11</v>
      </c>
      <c r="H592" s="13">
        <v>16</v>
      </c>
      <c r="I592" s="14"/>
      <c r="J592" s="14" t="s">
        <v>70</v>
      </c>
      <c r="K592" s="14"/>
      <c r="L592" s="13">
        <v>5.0999999999999996</v>
      </c>
      <c r="M592" s="13">
        <v>0.3</v>
      </c>
      <c r="P592" s="12" t="s">
        <v>14</v>
      </c>
      <c r="Q592" s="12"/>
      <c r="R592" s="12"/>
      <c r="T592">
        <f t="shared" si="18"/>
        <v>5.0929581789406511</v>
      </c>
      <c r="U592" t="str">
        <f t="shared" si="19"/>
        <v>dead</v>
      </c>
    </row>
    <row r="593" spans="1:21">
      <c r="A593" s="12">
        <v>40</v>
      </c>
      <c r="B593" s="12">
        <v>-10</v>
      </c>
      <c r="C593" s="11">
        <v>48.415466708767497</v>
      </c>
      <c r="D593" s="11">
        <v>-2.6060994319050623</v>
      </c>
      <c r="E593" s="11"/>
      <c r="F593" s="12">
        <v>464</v>
      </c>
      <c r="G593" s="12" t="s">
        <v>13</v>
      </c>
      <c r="H593" s="13">
        <v>16</v>
      </c>
      <c r="I593" s="14"/>
      <c r="J593" s="14">
        <v>17.600000000000001</v>
      </c>
      <c r="K593" s="14"/>
      <c r="L593" s="13">
        <v>5.0999999999999996</v>
      </c>
      <c r="M593" s="13">
        <v>1</v>
      </c>
      <c r="P593" s="12" t="s">
        <v>14</v>
      </c>
      <c r="Q593" s="12"/>
      <c r="R593" s="12"/>
      <c r="T593">
        <f t="shared" si="18"/>
        <v>5.0929581789406511</v>
      </c>
      <c r="U593">
        <f t="shared" si="19"/>
        <v>5.6022539968347163</v>
      </c>
    </row>
    <row r="594" spans="1:21">
      <c r="A594" s="9">
        <v>0</v>
      </c>
      <c r="B594" s="12">
        <v>40</v>
      </c>
      <c r="C594" s="11">
        <v>7.3835974736291741</v>
      </c>
      <c r="D594" s="11">
        <v>42.457339298042783</v>
      </c>
      <c r="E594" s="11"/>
      <c r="F594" s="10">
        <v>65</v>
      </c>
      <c r="G594" s="12" t="s">
        <v>11</v>
      </c>
      <c r="H594" s="13">
        <v>16.100000000000001</v>
      </c>
      <c r="I594" s="14"/>
      <c r="J594" s="14" t="s">
        <v>70</v>
      </c>
      <c r="K594" s="14"/>
      <c r="L594" s="13">
        <v>5.0999999999999996</v>
      </c>
      <c r="M594" s="13">
        <v>0.4</v>
      </c>
      <c r="P594" s="12" t="s">
        <v>14</v>
      </c>
      <c r="Q594" s="12"/>
      <c r="R594" s="12"/>
      <c r="T594">
        <f t="shared" si="18"/>
        <v>5.1247891675590305</v>
      </c>
      <c r="U594" t="str">
        <f t="shared" si="19"/>
        <v>dead</v>
      </c>
    </row>
    <row r="595" spans="1:21">
      <c r="A595" s="9">
        <v>0</v>
      </c>
      <c r="B595" s="9">
        <v>0</v>
      </c>
      <c r="C595" s="11">
        <v>4.4670921285436664</v>
      </c>
      <c r="D595" s="11">
        <v>9.0144389993630316</v>
      </c>
      <c r="E595" s="11"/>
      <c r="F595" s="10">
        <v>9</v>
      </c>
      <c r="G595" s="12" t="s">
        <v>13</v>
      </c>
      <c r="H595" s="13">
        <v>16.2</v>
      </c>
      <c r="I595" s="14"/>
      <c r="J595" s="14">
        <v>17</v>
      </c>
      <c r="K595" s="14"/>
      <c r="L595" s="13">
        <v>6</v>
      </c>
      <c r="M595" s="13">
        <v>2.2000000000000002</v>
      </c>
      <c r="P595" s="12" t="s">
        <v>14</v>
      </c>
      <c r="Q595" s="12"/>
      <c r="R595" s="12" t="s">
        <v>15</v>
      </c>
      <c r="T595">
        <f t="shared" si="18"/>
        <v>5.156620156177409</v>
      </c>
      <c r="U595">
        <f t="shared" si="19"/>
        <v>5.4112680651244416</v>
      </c>
    </row>
    <row r="596" spans="1:21">
      <c r="A596" s="12">
        <v>20</v>
      </c>
      <c r="B596" s="12">
        <v>-30</v>
      </c>
      <c r="C596" s="11">
        <v>24.934351111620828</v>
      </c>
      <c r="D596" s="11">
        <v>-25.745850793369321</v>
      </c>
      <c r="E596" s="11"/>
      <c r="F596" s="10">
        <v>641</v>
      </c>
      <c r="G596" s="12" t="s">
        <v>13</v>
      </c>
      <c r="H596" s="13">
        <v>16.2</v>
      </c>
      <c r="I596" s="14"/>
      <c r="J596" s="14">
        <v>16.3</v>
      </c>
      <c r="K596" s="14"/>
      <c r="L596" s="13">
        <v>6.4</v>
      </c>
      <c r="M596" s="13">
        <v>2</v>
      </c>
      <c r="P596" s="12" t="s">
        <v>14</v>
      </c>
      <c r="Q596" s="12"/>
      <c r="R596" s="12"/>
      <c r="T596">
        <f t="shared" si="18"/>
        <v>5.156620156177409</v>
      </c>
      <c r="U596">
        <f t="shared" si="19"/>
        <v>5.1884511447957884</v>
      </c>
    </row>
    <row r="597" spans="1:21">
      <c r="A597" s="9">
        <v>0</v>
      </c>
      <c r="B597" s="12">
        <v>40</v>
      </c>
      <c r="C597" s="11">
        <v>3.513090536807443</v>
      </c>
      <c r="D597" s="11">
        <v>47.808975077844821</v>
      </c>
      <c r="E597" s="11"/>
      <c r="F597" s="10">
        <v>69</v>
      </c>
      <c r="G597" s="12" t="s">
        <v>11</v>
      </c>
      <c r="H597" s="13">
        <v>16.3</v>
      </c>
      <c r="I597" s="14"/>
      <c r="J597" s="14">
        <v>19.600000000000001</v>
      </c>
      <c r="K597" s="14"/>
      <c r="L597" s="13">
        <v>5.4</v>
      </c>
      <c r="M597" s="13">
        <v>0.4</v>
      </c>
      <c r="P597" s="12" t="s">
        <v>14</v>
      </c>
      <c r="Q597" s="12"/>
      <c r="R597" s="12"/>
      <c r="T597">
        <f t="shared" si="18"/>
        <v>5.1884511447957884</v>
      </c>
      <c r="U597">
        <f t="shared" si="19"/>
        <v>6.2388737692022982</v>
      </c>
    </row>
    <row r="598" spans="1:21">
      <c r="A598" s="12">
        <v>40</v>
      </c>
      <c r="B598" s="12">
        <v>20</v>
      </c>
      <c r="C598" s="11">
        <v>41.946733044397213</v>
      </c>
      <c r="D598" s="11">
        <v>29.300277929498005</v>
      </c>
      <c r="E598" s="11"/>
      <c r="F598" s="12">
        <v>304</v>
      </c>
      <c r="G598" s="12" t="s">
        <v>13</v>
      </c>
      <c r="H598" s="13">
        <v>16.3</v>
      </c>
      <c r="I598" s="14"/>
      <c r="J598" s="14">
        <v>17.5</v>
      </c>
      <c r="K598" s="14"/>
      <c r="L598" s="13">
        <v>6.6</v>
      </c>
      <c r="M598" s="13">
        <v>2.5</v>
      </c>
      <c r="P598" s="12" t="s">
        <v>14</v>
      </c>
      <c r="Q598" s="12"/>
      <c r="R598" s="12"/>
      <c r="T598">
        <f t="shared" si="18"/>
        <v>5.1884511447957884</v>
      </c>
      <c r="U598">
        <f t="shared" si="19"/>
        <v>5.5704230082163368</v>
      </c>
    </row>
    <row r="599" spans="1:21">
      <c r="A599" s="12">
        <v>20</v>
      </c>
      <c r="B599" s="12">
        <v>-20</v>
      </c>
      <c r="C599" s="11">
        <v>27.802826060536908</v>
      </c>
      <c r="D599" s="11">
        <v>-18.540553137267075</v>
      </c>
      <c r="E599" s="11"/>
      <c r="F599" s="12">
        <v>560</v>
      </c>
      <c r="G599" s="12" t="s">
        <v>13</v>
      </c>
      <c r="H599" s="13">
        <v>16.399999999999999</v>
      </c>
      <c r="I599" s="14"/>
      <c r="J599" s="14">
        <v>17.8</v>
      </c>
      <c r="K599" s="14"/>
      <c r="L599" s="13">
        <v>6</v>
      </c>
      <c r="M599" s="13">
        <v>1.4</v>
      </c>
      <c r="P599" s="12" t="s">
        <v>14</v>
      </c>
      <c r="Q599" s="12"/>
      <c r="R599" s="12"/>
      <c r="T599">
        <f t="shared" si="18"/>
        <v>5.2202821334141669</v>
      </c>
      <c r="U599">
        <f t="shared" si="19"/>
        <v>5.6659159740714742</v>
      </c>
    </row>
    <row r="600" spans="1:21">
      <c r="A600" s="12">
        <v>40</v>
      </c>
      <c r="B600" s="12">
        <v>-20</v>
      </c>
      <c r="C600" s="11">
        <v>48.78592455891193</v>
      </c>
      <c r="D600" s="11">
        <v>-16.38334783989626</v>
      </c>
      <c r="E600" s="11"/>
      <c r="F600" s="10">
        <v>505</v>
      </c>
      <c r="G600" s="12" t="s">
        <v>13</v>
      </c>
      <c r="H600" s="13">
        <v>16.5</v>
      </c>
      <c r="I600" s="14"/>
      <c r="J600" s="14">
        <v>17.5</v>
      </c>
      <c r="K600" s="14"/>
      <c r="L600" s="13">
        <v>5.6</v>
      </c>
      <c r="M600" s="13">
        <v>2.2999999999999998</v>
      </c>
      <c r="P600" s="12" t="s">
        <v>14</v>
      </c>
      <c r="Q600" s="12"/>
      <c r="R600" s="12"/>
      <c r="T600">
        <f t="shared" si="18"/>
        <v>5.2521131220325463</v>
      </c>
      <c r="U600">
        <f t="shared" si="19"/>
        <v>5.5704230082163368</v>
      </c>
    </row>
    <row r="601" spans="1:21">
      <c r="A601" s="12">
        <v>20</v>
      </c>
      <c r="B601" s="12">
        <v>-30</v>
      </c>
      <c r="C601" s="11">
        <v>28.221146721837993</v>
      </c>
      <c r="D601" s="11">
        <v>-27.58417965338192</v>
      </c>
      <c r="E601" s="11"/>
      <c r="F601" s="10">
        <v>657</v>
      </c>
      <c r="G601" s="12" t="s">
        <v>11</v>
      </c>
      <c r="H601" s="13">
        <v>16.5</v>
      </c>
      <c r="I601" s="14"/>
      <c r="J601" s="14">
        <v>21.7</v>
      </c>
      <c r="K601" s="14"/>
      <c r="L601" s="13">
        <v>6.5</v>
      </c>
      <c r="M601" s="13">
        <v>0.7</v>
      </c>
      <c r="P601" s="12" t="s">
        <v>14</v>
      </c>
      <c r="Q601" s="12"/>
      <c r="R601" s="12"/>
      <c r="S601" t="s">
        <v>117</v>
      </c>
      <c r="T601">
        <f t="shared" si="18"/>
        <v>5.2521131220325463</v>
      </c>
      <c r="U601">
        <f t="shared" si="19"/>
        <v>6.9073245301882578</v>
      </c>
    </row>
    <row r="602" spans="1:21">
      <c r="A602" s="12">
        <v>40</v>
      </c>
      <c r="B602" s="12">
        <v>0</v>
      </c>
      <c r="C602" s="11">
        <v>40.777857411188769</v>
      </c>
      <c r="D602" s="11">
        <v>5.4966859039304499</v>
      </c>
      <c r="E602" s="11"/>
      <c r="F602" s="10">
        <v>269</v>
      </c>
      <c r="G602" s="12" t="s">
        <v>13</v>
      </c>
      <c r="H602" s="13">
        <v>16.7</v>
      </c>
      <c r="I602" s="14"/>
      <c r="J602" s="14">
        <v>17.399999999999999</v>
      </c>
      <c r="K602" s="14"/>
      <c r="L602" s="13">
        <v>5.0999999999999996</v>
      </c>
      <c r="M602" s="13">
        <v>1.9</v>
      </c>
      <c r="P602" s="12" t="s">
        <v>14</v>
      </c>
      <c r="Q602" s="12"/>
      <c r="R602" s="12"/>
      <c r="T602">
        <f t="shared" si="18"/>
        <v>5.3157750992693042</v>
      </c>
      <c r="U602">
        <f t="shared" si="19"/>
        <v>5.5385920195979574</v>
      </c>
    </row>
    <row r="603" spans="1:21">
      <c r="A603" s="12">
        <v>30</v>
      </c>
      <c r="B603" s="12">
        <v>-10</v>
      </c>
      <c r="C603" s="11">
        <v>33.65070084480169</v>
      </c>
      <c r="D603" s="11">
        <v>-1.9024386240178419</v>
      </c>
      <c r="E603" s="11"/>
      <c r="F603" s="10">
        <v>427</v>
      </c>
      <c r="G603" s="12" t="s">
        <v>13</v>
      </c>
      <c r="H603" s="13">
        <v>16.8</v>
      </c>
      <c r="I603" s="14"/>
      <c r="J603" s="14">
        <v>17.8</v>
      </c>
      <c r="K603" s="14"/>
      <c r="L603" s="13">
        <v>5.7</v>
      </c>
      <c r="M603" s="13">
        <v>1.8</v>
      </c>
      <c r="P603" s="12" t="s">
        <v>14</v>
      </c>
      <c r="Q603" s="12"/>
      <c r="R603" s="12"/>
      <c r="T603">
        <f t="shared" si="18"/>
        <v>5.3476060878876837</v>
      </c>
      <c r="U603">
        <f t="shared" si="19"/>
        <v>5.6659159740714742</v>
      </c>
    </row>
    <row r="604" spans="1:21">
      <c r="A604" s="12">
        <v>40</v>
      </c>
      <c r="B604" s="12">
        <v>30</v>
      </c>
      <c r="C604" s="11">
        <v>48.274236971404648</v>
      </c>
      <c r="D604" s="11">
        <v>30.59705673902403</v>
      </c>
      <c r="E604" s="11"/>
      <c r="F604" s="12">
        <v>338</v>
      </c>
      <c r="G604" s="12" t="s">
        <v>30</v>
      </c>
      <c r="H604" s="13">
        <v>17.2</v>
      </c>
      <c r="I604" s="14"/>
      <c r="J604" s="14" t="s">
        <v>70</v>
      </c>
      <c r="K604" s="14"/>
      <c r="L604" s="13">
        <v>3.4</v>
      </c>
      <c r="M604" s="13">
        <v>1.8</v>
      </c>
      <c r="P604" s="12" t="s">
        <v>14</v>
      </c>
      <c r="Q604" s="12"/>
      <c r="R604" s="12" t="s">
        <v>32</v>
      </c>
      <c r="T604">
        <f t="shared" si="18"/>
        <v>5.4749300423611995</v>
      </c>
      <c r="U604" t="str">
        <f t="shared" si="19"/>
        <v>dead</v>
      </c>
    </row>
    <row r="605" spans="1:21">
      <c r="A605" s="12">
        <v>40</v>
      </c>
      <c r="B605" s="12">
        <v>-10</v>
      </c>
      <c r="C605" s="11">
        <v>47.207444046148773</v>
      </c>
      <c r="D605" s="11">
        <v>-0.39246814470738367</v>
      </c>
      <c r="E605" s="11"/>
      <c r="F605" s="12">
        <v>456</v>
      </c>
      <c r="G605" s="12" t="s">
        <v>11</v>
      </c>
      <c r="H605" s="13">
        <v>17.2</v>
      </c>
      <c r="I605" s="14"/>
      <c r="J605" s="14" t="s">
        <v>70</v>
      </c>
      <c r="K605" s="14"/>
      <c r="L605" s="13">
        <v>5.01</v>
      </c>
      <c r="M605" s="13"/>
      <c r="P605" s="12" t="s">
        <v>12</v>
      </c>
      <c r="Q605" s="12"/>
      <c r="R605" s="12"/>
      <c r="T605">
        <f t="shared" si="18"/>
        <v>5.4749300423611995</v>
      </c>
      <c r="U605" t="str">
        <f t="shared" si="19"/>
        <v>dead</v>
      </c>
    </row>
    <row r="606" spans="1:21">
      <c r="A606" s="12">
        <v>20</v>
      </c>
      <c r="B606" s="12">
        <v>20</v>
      </c>
      <c r="C606" s="11">
        <v>26.023388160580492</v>
      </c>
      <c r="D606" s="11">
        <v>28.859083961886746</v>
      </c>
      <c r="E606" s="11"/>
      <c r="F606" s="12">
        <v>168</v>
      </c>
      <c r="G606" s="12" t="s">
        <v>11</v>
      </c>
      <c r="H606" s="13">
        <v>17.3</v>
      </c>
      <c r="I606" s="14"/>
      <c r="J606" s="14" t="s">
        <v>70</v>
      </c>
      <c r="K606" s="14"/>
      <c r="L606" s="13">
        <v>3.7</v>
      </c>
      <c r="M606" s="13"/>
      <c r="P606" s="12" t="s">
        <v>12</v>
      </c>
      <c r="Q606" s="12"/>
      <c r="R606" s="12" t="s">
        <v>16</v>
      </c>
      <c r="T606">
        <f t="shared" si="18"/>
        <v>5.5067610309795789</v>
      </c>
      <c r="U606" t="str">
        <f t="shared" si="19"/>
        <v>dead</v>
      </c>
    </row>
    <row r="607" spans="1:21">
      <c r="A607" s="12">
        <v>30</v>
      </c>
      <c r="B607" s="12">
        <v>10</v>
      </c>
      <c r="C607" s="11">
        <v>32.410464545492722</v>
      </c>
      <c r="D607" s="11">
        <v>17.503890892824881</v>
      </c>
      <c r="E607" s="11"/>
      <c r="F607" s="12">
        <v>220</v>
      </c>
      <c r="G607" s="12" t="s">
        <v>13</v>
      </c>
      <c r="H607" s="13">
        <v>17.3</v>
      </c>
      <c r="I607" s="14"/>
      <c r="J607" s="14">
        <v>18.7</v>
      </c>
      <c r="K607" s="14"/>
      <c r="L607" s="13">
        <v>5.6</v>
      </c>
      <c r="M607" s="13">
        <v>2.2999999999999998</v>
      </c>
      <c r="P607" s="12" t="s">
        <v>14</v>
      </c>
      <c r="Q607" s="12"/>
      <c r="R607" s="12"/>
      <c r="T607">
        <f t="shared" si="18"/>
        <v>5.5067610309795789</v>
      </c>
      <c r="U607">
        <f t="shared" si="19"/>
        <v>5.9523948716368853</v>
      </c>
    </row>
    <row r="608" spans="1:21">
      <c r="A608" s="12">
        <v>30</v>
      </c>
      <c r="B608" s="12">
        <v>10</v>
      </c>
      <c r="C608" s="11">
        <v>39.735868630954577</v>
      </c>
      <c r="D608" s="11">
        <v>10.432588542307032</v>
      </c>
      <c r="E608" s="11"/>
      <c r="F608" s="12">
        <v>240</v>
      </c>
      <c r="G608" s="12" t="s">
        <v>11</v>
      </c>
      <c r="H608" s="13">
        <v>17.399999999999999</v>
      </c>
      <c r="I608" s="14"/>
      <c r="J608" s="14" t="s">
        <v>70</v>
      </c>
      <c r="K608" s="14"/>
      <c r="L608" s="13">
        <v>5.0999999999999996</v>
      </c>
      <c r="M608" s="13">
        <v>0.3</v>
      </c>
      <c r="P608" s="12" t="s">
        <v>14</v>
      </c>
      <c r="Q608" s="12"/>
      <c r="R608" s="12"/>
      <c r="T608">
        <f t="shared" si="18"/>
        <v>5.5385920195979574</v>
      </c>
      <c r="U608" t="str">
        <f t="shared" si="19"/>
        <v>dead</v>
      </c>
    </row>
    <row r="609" spans="1:21">
      <c r="A609" s="12">
        <v>40</v>
      </c>
      <c r="B609" s="12">
        <v>-10</v>
      </c>
      <c r="C609" s="11">
        <v>46.774147756904384</v>
      </c>
      <c r="D609" s="11">
        <v>-3.4593030086586767</v>
      </c>
      <c r="E609" s="11"/>
      <c r="F609" s="10">
        <v>457</v>
      </c>
      <c r="G609" s="12" t="s">
        <v>13</v>
      </c>
      <c r="H609" s="13">
        <v>17.399999999999999</v>
      </c>
      <c r="I609" s="14"/>
      <c r="J609" s="14">
        <v>17.7</v>
      </c>
      <c r="K609" s="14"/>
      <c r="L609" s="13">
        <v>4.2</v>
      </c>
      <c r="M609" s="13">
        <v>2.1</v>
      </c>
      <c r="P609" s="12" t="s">
        <v>14</v>
      </c>
      <c r="Q609" s="12"/>
      <c r="R609" s="12"/>
      <c r="S609" t="s">
        <v>91</v>
      </c>
      <c r="T609">
        <f t="shared" si="18"/>
        <v>5.5385920195979574</v>
      </c>
      <c r="U609">
        <f t="shared" si="19"/>
        <v>5.6340849854530948</v>
      </c>
    </row>
    <row r="610" spans="1:21">
      <c r="A610" s="12">
        <v>40</v>
      </c>
      <c r="B610" s="12">
        <v>-50</v>
      </c>
      <c r="C610" s="11">
        <v>44.836810606651362</v>
      </c>
      <c r="D610" s="11">
        <v>-49.251965367173881</v>
      </c>
      <c r="E610" s="11"/>
      <c r="F610" s="10">
        <v>825</v>
      </c>
      <c r="G610" s="12" t="s">
        <v>11</v>
      </c>
      <c r="H610" s="13">
        <v>17.5</v>
      </c>
      <c r="I610" s="14"/>
      <c r="J610" s="14">
        <v>17.899999999999999</v>
      </c>
      <c r="K610" s="14"/>
      <c r="L610" s="13">
        <v>4.4000000000000004</v>
      </c>
      <c r="M610" s="13">
        <v>1.6</v>
      </c>
      <c r="P610" s="12" t="s">
        <v>14</v>
      </c>
      <c r="Q610" s="12"/>
      <c r="R610" s="12"/>
      <c r="T610">
        <f t="shared" si="18"/>
        <v>5.5704230082163368</v>
      </c>
      <c r="U610">
        <f t="shared" si="19"/>
        <v>5.6977469626898527</v>
      </c>
    </row>
    <row r="611" spans="1:21">
      <c r="A611" s="12">
        <v>30</v>
      </c>
      <c r="B611" s="12">
        <v>-20</v>
      </c>
      <c r="C611" s="11">
        <v>30.138860708753782</v>
      </c>
      <c r="D611" s="11">
        <v>-12.93973330059718</v>
      </c>
      <c r="E611" s="11"/>
      <c r="F611" s="10">
        <v>533</v>
      </c>
      <c r="G611" s="12" t="s">
        <v>13</v>
      </c>
      <c r="H611" s="13">
        <v>17.600000000000001</v>
      </c>
      <c r="I611" s="14"/>
      <c r="J611" s="14">
        <v>17.899999999999999</v>
      </c>
      <c r="K611" s="14"/>
      <c r="L611" s="13">
        <v>5.2</v>
      </c>
      <c r="M611" s="13">
        <v>2.7</v>
      </c>
      <c r="P611" s="12" t="s">
        <v>14</v>
      </c>
      <c r="Q611" s="12"/>
      <c r="R611" s="12"/>
      <c r="S611" t="s">
        <v>98</v>
      </c>
      <c r="T611">
        <f t="shared" si="18"/>
        <v>5.6022539968347163</v>
      </c>
      <c r="U611">
        <f t="shared" si="19"/>
        <v>5.6977469626898527</v>
      </c>
    </row>
    <row r="612" spans="1:21">
      <c r="A612" s="9">
        <v>0</v>
      </c>
      <c r="B612" s="12">
        <v>40</v>
      </c>
      <c r="C612" s="11">
        <v>6.7995243082631154</v>
      </c>
      <c r="D612" s="11">
        <v>42.379869731107441</v>
      </c>
      <c r="E612" s="11"/>
      <c r="F612" s="12">
        <v>66</v>
      </c>
      <c r="G612" s="12" t="s">
        <v>11</v>
      </c>
      <c r="H612" s="13">
        <v>17.7</v>
      </c>
      <c r="I612" s="14"/>
      <c r="J612" s="14" t="s">
        <v>70</v>
      </c>
      <c r="K612" s="14"/>
      <c r="L612" s="13">
        <v>5.5</v>
      </c>
      <c r="M612" s="13">
        <v>1</v>
      </c>
      <c r="P612" s="12" t="s">
        <v>14</v>
      </c>
      <c r="Q612" s="12"/>
      <c r="R612" s="12"/>
      <c r="T612">
        <f t="shared" si="18"/>
        <v>5.6340849854530948</v>
      </c>
      <c r="U612" t="str">
        <f t="shared" si="19"/>
        <v>dead</v>
      </c>
    </row>
    <row r="613" spans="1:21">
      <c r="A613" s="12">
        <v>0</v>
      </c>
      <c r="B613" s="12">
        <v>30</v>
      </c>
      <c r="C613" s="11">
        <v>8.9931143600748431</v>
      </c>
      <c r="D613" s="11">
        <v>32.377960013936693</v>
      </c>
      <c r="E613" s="11"/>
      <c r="F613" s="12">
        <v>84</v>
      </c>
      <c r="G613" s="12" t="s">
        <v>11</v>
      </c>
      <c r="H613" s="13">
        <v>17.7</v>
      </c>
      <c r="I613" s="14"/>
      <c r="J613" s="14" t="s">
        <v>70</v>
      </c>
      <c r="K613" s="14"/>
      <c r="L613" s="13">
        <v>5.0999999999999996</v>
      </c>
      <c r="M613" s="13">
        <v>0.3</v>
      </c>
      <c r="P613" s="12" t="s">
        <v>14</v>
      </c>
      <c r="Q613" s="12"/>
      <c r="R613" s="12"/>
      <c r="T613">
        <f t="shared" si="18"/>
        <v>5.6340849854530948</v>
      </c>
      <c r="U613" t="str">
        <f t="shared" si="19"/>
        <v>dead</v>
      </c>
    </row>
    <row r="614" spans="1:21">
      <c r="A614" s="12">
        <v>10</v>
      </c>
      <c r="B614" s="12">
        <v>-30</v>
      </c>
      <c r="C614" s="11">
        <v>10.053751892067991</v>
      </c>
      <c r="D614" s="11">
        <v>-22.868215606397772</v>
      </c>
      <c r="E614" s="11"/>
      <c r="F614" s="10">
        <v>615</v>
      </c>
      <c r="G614" s="12" t="s">
        <v>11</v>
      </c>
      <c r="H614" s="13">
        <v>17.7</v>
      </c>
      <c r="I614" s="14"/>
      <c r="J614" s="14" t="s">
        <v>70</v>
      </c>
      <c r="K614" s="14"/>
      <c r="L614" s="13">
        <v>5.6</v>
      </c>
      <c r="M614" s="13">
        <v>1</v>
      </c>
      <c r="P614" s="12" t="s">
        <v>14</v>
      </c>
      <c r="Q614" s="12"/>
      <c r="R614" s="12"/>
      <c r="T614">
        <f t="shared" si="18"/>
        <v>5.6340849854530948</v>
      </c>
      <c r="U614" t="str">
        <f t="shared" si="19"/>
        <v>dead</v>
      </c>
    </row>
    <row r="615" spans="1:21">
      <c r="A615" s="12">
        <v>40</v>
      </c>
      <c r="B615" s="12">
        <v>0</v>
      </c>
      <c r="C615" s="11">
        <v>41.100623071933988</v>
      </c>
      <c r="D615" s="11">
        <v>5.1944273126372771</v>
      </c>
      <c r="E615" s="11"/>
      <c r="F615" s="10">
        <v>267</v>
      </c>
      <c r="G615" s="12" t="s">
        <v>13</v>
      </c>
      <c r="H615" s="13">
        <v>17.8</v>
      </c>
      <c r="I615" s="14"/>
      <c r="J615" s="14">
        <v>20</v>
      </c>
      <c r="K615" s="14"/>
      <c r="L615" s="13">
        <v>5.0999999999999996</v>
      </c>
      <c r="M615" s="13">
        <v>1.9</v>
      </c>
      <c r="P615" s="12" t="s">
        <v>14</v>
      </c>
      <c r="Q615" s="12"/>
      <c r="R615" s="12"/>
      <c r="T615">
        <f t="shared" si="18"/>
        <v>5.6659159740714742</v>
      </c>
      <c r="U615">
        <f t="shared" si="19"/>
        <v>6.366197723675814</v>
      </c>
    </row>
    <row r="616" spans="1:21">
      <c r="A616" s="12">
        <v>40</v>
      </c>
      <c r="B616" s="12">
        <v>40</v>
      </c>
      <c r="C616" s="11">
        <v>46.208042528020819</v>
      </c>
      <c r="D616" s="11">
        <v>45.883966224469788</v>
      </c>
      <c r="E616" s="11"/>
      <c r="F616" s="10">
        <v>353</v>
      </c>
      <c r="G616" s="12" t="s">
        <v>11</v>
      </c>
      <c r="H616" s="13">
        <v>17.899999999999999</v>
      </c>
      <c r="I616" s="14"/>
      <c r="J616" s="14">
        <v>22.3</v>
      </c>
      <c r="K616" s="14"/>
      <c r="L616" s="13">
        <v>6.8</v>
      </c>
      <c r="M616" s="13">
        <v>0.8</v>
      </c>
      <c r="P616" s="12" t="s">
        <v>14</v>
      </c>
      <c r="Q616" s="12"/>
      <c r="R616" s="12"/>
      <c r="T616">
        <f t="shared" si="18"/>
        <v>5.6977469626898527</v>
      </c>
      <c r="U616">
        <f t="shared" si="19"/>
        <v>7.0983104618985324</v>
      </c>
    </row>
    <row r="617" spans="1:21">
      <c r="A617" s="12">
        <v>30</v>
      </c>
      <c r="B617" s="12">
        <v>10</v>
      </c>
      <c r="C617" s="11">
        <v>31.896743692831674</v>
      </c>
      <c r="D617" s="11">
        <v>17.510168004924175</v>
      </c>
      <c r="E617" s="11"/>
      <c r="F617" s="12">
        <v>1001</v>
      </c>
      <c r="G617" s="12" t="s">
        <v>13</v>
      </c>
      <c r="H617" s="13">
        <v>17.899999999999999</v>
      </c>
      <c r="I617" s="14"/>
      <c r="J617" s="14">
        <v>18.2</v>
      </c>
      <c r="K617" s="14"/>
      <c r="L617" s="13">
        <v>6</v>
      </c>
      <c r="M617" s="13">
        <v>2.1</v>
      </c>
      <c r="P617" s="12" t="s">
        <v>14</v>
      </c>
      <c r="Q617" s="12"/>
      <c r="R617" s="12" t="s">
        <v>65</v>
      </c>
      <c r="S617" t="s">
        <v>88</v>
      </c>
      <c r="T617">
        <f t="shared" si="18"/>
        <v>5.6977469626898527</v>
      </c>
      <c r="U617">
        <f t="shared" si="19"/>
        <v>5.79323992854499</v>
      </c>
    </row>
    <row r="618" spans="1:21">
      <c r="A618" s="12">
        <v>40</v>
      </c>
      <c r="B618" s="12">
        <v>-10</v>
      </c>
      <c r="C618" s="11">
        <v>48.186840600406832</v>
      </c>
      <c r="D618" s="11">
        <v>-2.4773681582814722</v>
      </c>
      <c r="E618" s="11"/>
      <c r="F618" s="10">
        <v>463</v>
      </c>
      <c r="G618" s="12" t="s">
        <v>13</v>
      </c>
      <c r="H618" s="13">
        <v>17.899999999999999</v>
      </c>
      <c r="I618" s="14"/>
      <c r="J618" s="14">
        <v>18.8</v>
      </c>
      <c r="K618" s="14"/>
      <c r="L618" s="13">
        <v>5.3</v>
      </c>
      <c r="M618" s="13">
        <v>1.9</v>
      </c>
      <c r="P618" s="12" t="s">
        <v>14</v>
      </c>
      <c r="Q618" s="12"/>
      <c r="R618" s="12"/>
      <c r="T618">
        <f t="shared" si="18"/>
        <v>5.6977469626898527</v>
      </c>
      <c r="U618">
        <f t="shared" si="19"/>
        <v>5.9842258602552647</v>
      </c>
    </row>
    <row r="619" spans="1:21">
      <c r="A619" s="12">
        <v>20</v>
      </c>
      <c r="B619" s="12">
        <v>40</v>
      </c>
      <c r="C619" s="11">
        <v>26.109179631508535</v>
      </c>
      <c r="D619" s="11">
        <v>46.690405386070509</v>
      </c>
      <c r="E619" s="11"/>
      <c r="F619" s="12">
        <v>188</v>
      </c>
      <c r="G619" s="12" t="s">
        <v>13</v>
      </c>
      <c r="H619" s="13">
        <v>18</v>
      </c>
      <c r="I619" s="14"/>
      <c r="J619" s="14">
        <v>19</v>
      </c>
      <c r="K619" s="14"/>
      <c r="L619" s="13">
        <v>6.7</v>
      </c>
      <c r="M619" s="13">
        <v>2</v>
      </c>
      <c r="P619" s="12" t="s">
        <v>14</v>
      </c>
      <c r="Q619" s="12"/>
      <c r="R619" s="12"/>
      <c r="T619">
        <f t="shared" si="18"/>
        <v>5.7295779513082321</v>
      </c>
      <c r="U619">
        <f t="shared" si="19"/>
        <v>6.0478878374920226</v>
      </c>
    </row>
    <row r="620" spans="1:21">
      <c r="A620" s="12">
        <v>40</v>
      </c>
      <c r="B620" s="12">
        <v>40</v>
      </c>
      <c r="C620" s="11">
        <v>49.59543713340743</v>
      </c>
      <c r="D620" s="11">
        <v>42.182825894791982</v>
      </c>
      <c r="E620" s="11"/>
      <c r="F620" s="10">
        <v>349</v>
      </c>
      <c r="G620" s="12" t="s">
        <v>13</v>
      </c>
      <c r="H620" s="13">
        <v>18</v>
      </c>
      <c r="I620" s="14"/>
      <c r="J620" s="14">
        <v>19</v>
      </c>
      <c r="K620" s="14"/>
      <c r="L620" s="13">
        <v>6.8</v>
      </c>
      <c r="M620" s="13">
        <v>2.5</v>
      </c>
      <c r="P620" s="12" t="s">
        <v>14</v>
      </c>
      <c r="Q620" s="12"/>
      <c r="R620" s="12"/>
      <c r="T620">
        <f t="shared" si="18"/>
        <v>5.7295779513082321</v>
      </c>
      <c r="U620">
        <f t="shared" si="19"/>
        <v>6.0478878374920226</v>
      </c>
    </row>
    <row r="621" spans="1:21">
      <c r="A621" s="12">
        <v>40</v>
      </c>
      <c r="B621" s="12">
        <v>0</v>
      </c>
      <c r="C621" s="11">
        <v>41.045795804813331</v>
      </c>
      <c r="D621" s="11">
        <v>5.0799175683089572</v>
      </c>
      <c r="E621" s="11"/>
      <c r="F621" s="12">
        <v>266</v>
      </c>
      <c r="G621" s="12" t="s">
        <v>13</v>
      </c>
      <c r="H621" s="13">
        <v>18.100000000000001</v>
      </c>
      <c r="I621" s="14"/>
      <c r="J621" s="14">
        <v>19.7</v>
      </c>
      <c r="K621" s="14"/>
      <c r="L621" s="13">
        <v>4.3</v>
      </c>
      <c r="M621" s="13">
        <v>1.6</v>
      </c>
      <c r="P621" s="12" t="s">
        <v>14</v>
      </c>
      <c r="Q621" s="12"/>
      <c r="R621" s="12"/>
      <c r="T621">
        <f t="shared" si="18"/>
        <v>5.7614089399266115</v>
      </c>
      <c r="U621">
        <f t="shared" si="19"/>
        <v>6.2707047578206758</v>
      </c>
    </row>
    <row r="622" spans="1:21">
      <c r="A622" s="12">
        <v>50</v>
      </c>
      <c r="B622" s="12">
        <v>-30</v>
      </c>
      <c r="C622" s="11">
        <v>50.277366863519219</v>
      </c>
      <c r="D622" s="11">
        <v>-27.783751864123932</v>
      </c>
      <c r="E622" s="11"/>
      <c r="F622" s="10">
        <v>703</v>
      </c>
      <c r="G622" s="12" t="s">
        <v>13</v>
      </c>
      <c r="H622" s="13">
        <v>18.2</v>
      </c>
      <c r="I622" s="14"/>
      <c r="J622" s="14">
        <v>19.2</v>
      </c>
      <c r="K622" s="14"/>
      <c r="L622" s="13">
        <v>6.6</v>
      </c>
      <c r="M622" s="13">
        <v>3.4</v>
      </c>
      <c r="P622" s="12" t="s">
        <v>14</v>
      </c>
      <c r="Q622" s="12"/>
      <c r="R622" s="12"/>
      <c r="T622">
        <f t="shared" si="18"/>
        <v>5.79323992854499</v>
      </c>
      <c r="U622">
        <f t="shared" si="19"/>
        <v>6.1115498147287806</v>
      </c>
    </row>
    <row r="623" spans="1:21">
      <c r="A623" s="9">
        <v>0</v>
      </c>
      <c r="B623" s="12">
        <v>20</v>
      </c>
      <c r="C623" s="11">
        <v>8.8119505183786533</v>
      </c>
      <c r="D623" s="11">
        <v>22.148121984815155</v>
      </c>
      <c r="E623" s="11"/>
      <c r="F623" s="12">
        <v>34</v>
      </c>
      <c r="G623" s="12" t="s">
        <v>13</v>
      </c>
      <c r="H623" s="13">
        <v>18.399999999999999</v>
      </c>
      <c r="I623" s="14"/>
      <c r="J623" s="14">
        <v>21</v>
      </c>
      <c r="K623" s="14"/>
      <c r="L623" s="13">
        <v>4.3</v>
      </c>
      <c r="M623" s="13">
        <v>0.9</v>
      </c>
      <c r="P623" s="12" t="s">
        <v>14</v>
      </c>
      <c r="Q623" s="12"/>
      <c r="R623" s="12"/>
      <c r="T623">
        <f t="shared" si="18"/>
        <v>5.856901905781748</v>
      </c>
      <c r="U623">
        <f t="shared" si="19"/>
        <v>6.6845076098596046</v>
      </c>
    </row>
    <row r="624" spans="1:21">
      <c r="A624" s="12">
        <v>30</v>
      </c>
      <c r="B624" s="12">
        <v>10</v>
      </c>
      <c r="C624" s="11">
        <v>32.249368886906424</v>
      </c>
      <c r="D624" s="11">
        <v>17.100131104581216</v>
      </c>
      <c r="E624" s="11"/>
      <c r="F624" s="10">
        <v>229</v>
      </c>
      <c r="G624" s="12" t="s">
        <v>13</v>
      </c>
      <c r="H624" s="13">
        <v>18.399999999999999</v>
      </c>
      <c r="I624" s="14"/>
      <c r="J624" s="14">
        <v>20.2</v>
      </c>
      <c r="K624" s="14"/>
      <c r="L624" s="13">
        <v>5.6</v>
      </c>
      <c r="M624" s="13">
        <v>1.5</v>
      </c>
      <c r="P624" s="12" t="s">
        <v>14</v>
      </c>
      <c r="Q624" s="12"/>
      <c r="R624" s="12"/>
      <c r="T624">
        <f t="shared" si="18"/>
        <v>5.856901905781748</v>
      </c>
      <c r="U624">
        <f t="shared" si="19"/>
        <v>6.429859700912572</v>
      </c>
    </row>
    <row r="625" spans="1:21">
      <c r="A625" s="12">
        <v>20</v>
      </c>
      <c r="B625" s="12">
        <v>10</v>
      </c>
      <c r="C625" s="11">
        <v>24.256321189866224</v>
      </c>
      <c r="D625" s="11">
        <v>10.97345114030658</v>
      </c>
      <c r="E625" s="11"/>
      <c r="F625" s="12">
        <v>136</v>
      </c>
      <c r="G625" s="12" t="s">
        <v>13</v>
      </c>
      <c r="H625" s="13">
        <v>18.5</v>
      </c>
      <c r="I625" s="14"/>
      <c r="J625" s="14">
        <v>18.100000000000001</v>
      </c>
      <c r="K625" s="14"/>
      <c r="L625" s="13">
        <v>6.6</v>
      </c>
      <c r="M625" s="13">
        <v>2.6</v>
      </c>
      <c r="P625" s="12" t="s">
        <v>14</v>
      </c>
      <c r="Q625" s="12"/>
      <c r="R625" s="12"/>
      <c r="T625">
        <f t="shared" si="18"/>
        <v>5.8887328944001274</v>
      </c>
      <c r="U625">
        <f t="shared" si="19"/>
        <v>5.7614089399266115</v>
      </c>
    </row>
    <row r="626" spans="1:21">
      <c r="A626" s="9">
        <v>10</v>
      </c>
      <c r="B626" s="9">
        <v>-10</v>
      </c>
      <c r="C626" s="11">
        <v>12.525669415854443</v>
      </c>
      <c r="D626" s="11">
        <v>-2.7854252820381808</v>
      </c>
      <c r="E626" s="11"/>
      <c r="F626" s="10">
        <v>407</v>
      </c>
      <c r="G626" s="12" t="s">
        <v>11</v>
      </c>
      <c r="H626" s="13">
        <v>18.7</v>
      </c>
      <c r="I626" s="14"/>
      <c r="J626" s="14" t="s">
        <v>70</v>
      </c>
      <c r="K626" s="14"/>
      <c r="L626" s="13">
        <v>5.6</v>
      </c>
      <c r="M626" s="13"/>
      <c r="P626" s="12" t="s">
        <v>12</v>
      </c>
      <c r="Q626" s="12"/>
      <c r="R626" s="12"/>
      <c r="T626">
        <f t="shared" si="18"/>
        <v>5.9523948716368853</v>
      </c>
      <c r="U626" t="str">
        <f t="shared" si="19"/>
        <v>dead</v>
      </c>
    </row>
    <row r="627" spans="1:21">
      <c r="A627" s="12">
        <v>20</v>
      </c>
      <c r="B627" s="12">
        <v>10</v>
      </c>
      <c r="C627" s="11">
        <v>21.951670549920319</v>
      </c>
      <c r="D627" s="11">
        <v>12.184686375306248</v>
      </c>
      <c r="E627" s="11"/>
      <c r="F627" s="10">
        <v>149</v>
      </c>
      <c r="G627" s="12" t="s">
        <v>13</v>
      </c>
      <c r="H627" s="13">
        <v>18.8</v>
      </c>
      <c r="I627" s="14"/>
      <c r="J627" s="14">
        <v>18.399999999999999</v>
      </c>
      <c r="K627" s="14"/>
      <c r="L627" s="13">
        <v>5.6</v>
      </c>
      <c r="M627" s="13">
        <v>2.2000000000000002</v>
      </c>
      <c r="P627" s="12" t="s">
        <v>14</v>
      </c>
      <c r="Q627" s="12"/>
      <c r="R627" s="12"/>
      <c r="T627">
        <f t="shared" si="18"/>
        <v>5.9842258602552647</v>
      </c>
      <c r="U627">
        <f t="shared" si="19"/>
        <v>5.856901905781748</v>
      </c>
    </row>
    <row r="628" spans="1:21">
      <c r="A628" s="12">
        <v>30</v>
      </c>
      <c r="B628" s="12">
        <v>40</v>
      </c>
      <c r="C628" s="11">
        <v>30.571213760692721</v>
      </c>
      <c r="D628" s="11">
        <v>48.901788563302368</v>
      </c>
      <c r="E628" s="11"/>
      <c r="F628" s="10">
        <v>199</v>
      </c>
      <c r="G628" s="12" t="s">
        <v>13</v>
      </c>
      <c r="H628" s="13">
        <v>18.8</v>
      </c>
      <c r="I628" s="14"/>
      <c r="J628" s="14">
        <v>18.8</v>
      </c>
      <c r="K628" s="14"/>
      <c r="L628" s="13">
        <v>6.9</v>
      </c>
      <c r="M628" s="13">
        <v>2.5</v>
      </c>
      <c r="P628" s="12" t="s">
        <v>14</v>
      </c>
      <c r="Q628" s="12"/>
      <c r="R628" s="12"/>
      <c r="T628">
        <f t="shared" si="18"/>
        <v>5.9842258602552647</v>
      </c>
      <c r="U628">
        <f t="shared" si="19"/>
        <v>5.9842258602552647</v>
      </c>
    </row>
    <row r="629" spans="1:21">
      <c r="A629" s="12">
        <v>30</v>
      </c>
      <c r="B629" s="12">
        <v>20</v>
      </c>
      <c r="C629" s="11">
        <v>30.124602273945477</v>
      </c>
      <c r="D629" s="11">
        <v>24.75836886688365</v>
      </c>
      <c r="E629" s="11"/>
      <c r="F629" s="10">
        <v>207</v>
      </c>
      <c r="G629" s="12" t="s">
        <v>11</v>
      </c>
      <c r="H629" s="13">
        <v>18.899999999999999</v>
      </c>
      <c r="I629" s="14"/>
      <c r="J629" s="14" t="s">
        <v>70</v>
      </c>
      <c r="K629" s="14"/>
      <c r="L629" s="13">
        <v>6.3</v>
      </c>
      <c r="M629" s="13">
        <v>0.3</v>
      </c>
      <c r="P629" s="12" t="s">
        <v>14</v>
      </c>
      <c r="Q629" s="12"/>
      <c r="R629" s="12"/>
      <c r="T629">
        <f t="shared" si="18"/>
        <v>6.0160568488736432</v>
      </c>
      <c r="U629" t="str">
        <f t="shared" si="19"/>
        <v>dead</v>
      </c>
    </row>
    <row r="630" spans="1:21">
      <c r="A630" s="12">
        <v>40</v>
      </c>
      <c r="B630" s="12">
        <v>-10</v>
      </c>
      <c r="C630" s="11">
        <v>47.831262169247523</v>
      </c>
      <c r="D630" s="11">
        <v>-2.5663546562123978</v>
      </c>
      <c r="E630" s="11"/>
      <c r="F630" s="12">
        <v>458</v>
      </c>
      <c r="G630" s="12" t="s">
        <v>13</v>
      </c>
      <c r="H630" s="13">
        <v>18.899999999999999</v>
      </c>
      <c r="I630" s="14"/>
      <c r="J630" s="14">
        <v>19.899999999999999</v>
      </c>
      <c r="K630" s="14"/>
      <c r="L630" s="13">
        <v>5.4</v>
      </c>
      <c r="M630" s="13">
        <v>1.9</v>
      </c>
      <c r="P630" s="12" t="s">
        <v>14</v>
      </c>
      <c r="Q630" s="12"/>
      <c r="R630" s="12"/>
      <c r="T630">
        <f t="shared" si="18"/>
        <v>6.0160568488736432</v>
      </c>
      <c r="U630">
        <f t="shared" si="19"/>
        <v>6.3343667350574338</v>
      </c>
    </row>
    <row r="631" spans="1:21">
      <c r="A631" s="12">
        <v>20</v>
      </c>
      <c r="B631" s="12">
        <v>30</v>
      </c>
      <c r="C631" s="11">
        <v>20.851731153255873</v>
      </c>
      <c r="D631" s="11">
        <v>33.616571920780075</v>
      </c>
      <c r="E631" s="11"/>
      <c r="F631" s="10">
        <v>177</v>
      </c>
      <c r="G631" s="12" t="s">
        <v>13</v>
      </c>
      <c r="H631" s="13">
        <v>19.2</v>
      </c>
      <c r="I631" s="14"/>
      <c r="J631" s="14">
        <v>21.6</v>
      </c>
      <c r="K631" s="14"/>
      <c r="L631" s="13">
        <v>5.6</v>
      </c>
      <c r="M631" s="13">
        <v>2.7</v>
      </c>
      <c r="P631" s="12" t="s">
        <v>14</v>
      </c>
      <c r="Q631" s="12"/>
      <c r="R631" s="12"/>
      <c r="T631">
        <f t="shared" si="18"/>
        <v>6.1115498147287806</v>
      </c>
      <c r="U631">
        <f t="shared" si="19"/>
        <v>6.8754935415698792</v>
      </c>
    </row>
    <row r="632" spans="1:21">
      <c r="A632" s="12">
        <v>20</v>
      </c>
      <c r="B632" s="12">
        <v>-20</v>
      </c>
      <c r="C632" s="11">
        <v>26.95918370245057</v>
      </c>
      <c r="D632" s="11">
        <v>-13.567563635531844</v>
      </c>
      <c r="E632" s="11"/>
      <c r="F632" s="12">
        <v>552</v>
      </c>
      <c r="G632" s="12" t="s">
        <v>13</v>
      </c>
      <c r="H632" s="13">
        <v>19.3</v>
      </c>
      <c r="I632" s="14"/>
      <c r="J632" s="14">
        <v>20.7</v>
      </c>
      <c r="K632" s="14"/>
      <c r="L632" s="13">
        <v>6.6</v>
      </c>
      <c r="M632" s="13">
        <v>3.5</v>
      </c>
      <c r="P632" s="12" t="s">
        <v>14</v>
      </c>
      <c r="Q632" s="12"/>
      <c r="R632" s="12" t="s">
        <v>40</v>
      </c>
      <c r="T632">
        <f t="shared" si="18"/>
        <v>6.1433808033471609</v>
      </c>
      <c r="U632">
        <f t="shared" si="19"/>
        <v>6.5890146440044672</v>
      </c>
    </row>
    <row r="633" spans="1:21">
      <c r="A633" s="12">
        <v>40</v>
      </c>
      <c r="B633" s="12">
        <v>-30</v>
      </c>
      <c r="C633" s="11">
        <v>42.713143904854235</v>
      </c>
      <c r="D633" s="11">
        <v>-25.766937840350597</v>
      </c>
      <c r="E633" s="11"/>
      <c r="F633" s="10">
        <v>681</v>
      </c>
      <c r="G633" s="12" t="s">
        <v>13</v>
      </c>
      <c r="H633" s="13">
        <v>19.399999999999999</v>
      </c>
      <c r="I633" s="14"/>
      <c r="J633" s="14">
        <v>20.3</v>
      </c>
      <c r="K633" s="14"/>
      <c r="L633" s="13">
        <v>5.0999999999999996</v>
      </c>
      <c r="M633" s="13">
        <v>1.9</v>
      </c>
      <c r="P633" s="12" t="s">
        <v>14</v>
      </c>
      <c r="Q633" s="12"/>
      <c r="R633" s="12"/>
      <c r="T633">
        <f t="shared" si="18"/>
        <v>6.1752117919655385</v>
      </c>
      <c r="U633">
        <f t="shared" si="19"/>
        <v>6.4616906895309514</v>
      </c>
    </row>
    <row r="634" spans="1:21">
      <c r="A634" s="12">
        <v>40</v>
      </c>
      <c r="B634" s="12">
        <v>-30</v>
      </c>
      <c r="C634" s="11">
        <v>42.241277722406934</v>
      </c>
      <c r="D634" s="11">
        <v>-25.786425470262586</v>
      </c>
      <c r="E634" s="11"/>
      <c r="F634" s="10">
        <v>687</v>
      </c>
      <c r="G634" s="12" t="s">
        <v>13</v>
      </c>
      <c r="H634" s="13">
        <v>19.399999999999999</v>
      </c>
      <c r="I634" s="14"/>
      <c r="J634" s="14" t="s">
        <v>70</v>
      </c>
      <c r="K634" s="14"/>
      <c r="L634" s="13">
        <v>2.8</v>
      </c>
      <c r="M634" s="13"/>
      <c r="P634" s="12" t="s">
        <v>12</v>
      </c>
      <c r="Q634" s="12"/>
      <c r="R634" s="12"/>
      <c r="T634">
        <f t="shared" si="18"/>
        <v>6.1752117919655385</v>
      </c>
      <c r="U634" t="str">
        <f t="shared" si="19"/>
        <v>dead</v>
      </c>
    </row>
    <row r="635" spans="1:21">
      <c r="A635" s="12">
        <v>40</v>
      </c>
      <c r="B635" s="12">
        <v>-30</v>
      </c>
      <c r="C635" s="11">
        <v>41.972325866754147</v>
      </c>
      <c r="D635" s="11">
        <v>-25.582787237594637</v>
      </c>
      <c r="E635" s="11"/>
      <c r="F635" s="10">
        <v>691</v>
      </c>
      <c r="G635" s="12" t="s">
        <v>13</v>
      </c>
      <c r="H635" s="13">
        <v>19.399999999999999</v>
      </c>
      <c r="I635" s="14"/>
      <c r="J635" s="14" t="s">
        <v>70</v>
      </c>
      <c r="K635" s="14"/>
      <c r="L635" s="13">
        <v>5</v>
      </c>
      <c r="M635" s="13">
        <v>3.4</v>
      </c>
      <c r="P635" s="12" t="s">
        <v>14</v>
      </c>
      <c r="Q635" s="12"/>
      <c r="R635" s="12"/>
      <c r="T635">
        <f t="shared" si="18"/>
        <v>6.1752117919655385</v>
      </c>
      <c r="U635" t="str">
        <f t="shared" si="19"/>
        <v>dead</v>
      </c>
    </row>
    <row r="636" spans="1:21">
      <c r="A636" s="12">
        <v>40</v>
      </c>
      <c r="B636" s="12">
        <v>-30</v>
      </c>
      <c r="C636" s="11">
        <v>48.14767037396004</v>
      </c>
      <c r="D636" s="11">
        <v>-23.593335497569491</v>
      </c>
      <c r="E636" s="11"/>
      <c r="F636" s="10">
        <v>699</v>
      </c>
      <c r="G636" s="12" t="s">
        <v>13</v>
      </c>
      <c r="H636" s="13">
        <v>19.5</v>
      </c>
      <c r="I636" s="14"/>
      <c r="J636" s="14">
        <v>20.5</v>
      </c>
      <c r="K636" s="31"/>
      <c r="L636" s="13">
        <v>6.2</v>
      </c>
      <c r="M636" s="13">
        <v>2.5</v>
      </c>
      <c r="P636" s="12" t="s">
        <v>14</v>
      </c>
      <c r="Q636" s="12"/>
      <c r="R636" s="12"/>
      <c r="T636">
        <f t="shared" si="18"/>
        <v>6.2070427805839179</v>
      </c>
      <c r="U636">
        <f t="shared" si="19"/>
        <v>6.5253526667677093</v>
      </c>
    </row>
    <row r="637" spans="1:21">
      <c r="A637" s="12">
        <v>30</v>
      </c>
      <c r="B637" s="12">
        <v>-30</v>
      </c>
      <c r="C637" s="11">
        <v>31.465226941117038</v>
      </c>
      <c r="D637" s="11">
        <v>-21.375939682916666</v>
      </c>
      <c r="E637" s="11"/>
      <c r="F637" s="12">
        <v>660</v>
      </c>
      <c r="G637" s="12" t="s">
        <v>21</v>
      </c>
      <c r="H637" s="13">
        <v>19.7</v>
      </c>
      <c r="I637" s="14"/>
      <c r="J637" s="14">
        <v>21</v>
      </c>
      <c r="K637" s="14"/>
      <c r="L637" s="13">
        <v>7.1</v>
      </c>
      <c r="M637" s="13">
        <v>1</v>
      </c>
      <c r="P637" s="12" t="s">
        <v>14</v>
      </c>
      <c r="Q637" s="12"/>
      <c r="R637" s="12"/>
      <c r="S637" t="s">
        <v>118</v>
      </c>
      <c r="T637">
        <f t="shared" si="18"/>
        <v>6.2707047578206758</v>
      </c>
      <c r="U637">
        <f t="shared" si="19"/>
        <v>6.6845076098596046</v>
      </c>
    </row>
    <row r="638" spans="1:21">
      <c r="A638" s="12">
        <v>10</v>
      </c>
      <c r="B638" s="12">
        <v>40</v>
      </c>
      <c r="C638" s="11">
        <v>10.849723576956984</v>
      </c>
      <c r="D638" s="11">
        <v>47.732583098932928</v>
      </c>
      <c r="E638" s="11"/>
      <c r="F638" s="10">
        <v>73</v>
      </c>
      <c r="G638" s="12" t="s">
        <v>11</v>
      </c>
      <c r="H638" s="13">
        <v>19.899999999999999</v>
      </c>
      <c r="I638" s="14"/>
      <c r="J638" s="14" t="s">
        <v>70</v>
      </c>
      <c r="K638" s="14"/>
      <c r="L638" s="13">
        <v>5.4</v>
      </c>
      <c r="M638" s="13"/>
      <c r="P638" s="12" t="s">
        <v>12</v>
      </c>
      <c r="Q638" s="12"/>
      <c r="R638" s="12"/>
      <c r="T638">
        <f t="shared" si="18"/>
        <v>6.3343667350574338</v>
      </c>
      <c r="U638" t="str">
        <f t="shared" si="19"/>
        <v>dead</v>
      </c>
    </row>
    <row r="639" spans="1:21">
      <c r="A639" s="12">
        <v>40</v>
      </c>
      <c r="B639" s="12">
        <v>20</v>
      </c>
      <c r="C639" s="11">
        <v>42.049845489303813</v>
      </c>
      <c r="D639" s="11">
        <v>29.65374661382328</v>
      </c>
      <c r="E639" s="11"/>
      <c r="F639" s="12">
        <v>310</v>
      </c>
      <c r="G639" s="12" t="s">
        <v>13</v>
      </c>
      <c r="H639" s="13"/>
      <c r="I639" s="14">
        <v>6.35</v>
      </c>
      <c r="J639" s="14">
        <v>23.3</v>
      </c>
      <c r="K639" s="14"/>
      <c r="L639" s="13">
        <v>5.9</v>
      </c>
      <c r="M639" s="13">
        <v>2</v>
      </c>
      <c r="P639" s="12" t="s">
        <v>14</v>
      </c>
      <c r="Q639" s="12"/>
      <c r="R639" s="12"/>
      <c r="T639">
        <f t="shared" si="18"/>
        <v>6.35</v>
      </c>
      <c r="U639">
        <f t="shared" si="19"/>
        <v>7.416620348082323</v>
      </c>
    </row>
    <row r="640" spans="1:21">
      <c r="A640" s="12">
        <v>20</v>
      </c>
      <c r="B640" s="12">
        <v>-30</v>
      </c>
      <c r="C640" s="11">
        <v>24.491891167551483</v>
      </c>
      <c r="D640" s="11">
        <v>-26.074597689551354</v>
      </c>
      <c r="E640" s="11"/>
      <c r="F640" s="10">
        <v>643</v>
      </c>
      <c r="G640" s="12" t="s">
        <v>13</v>
      </c>
      <c r="H640" s="13">
        <v>20.100000000000001</v>
      </c>
      <c r="I640" s="14"/>
      <c r="J640" s="14">
        <v>22</v>
      </c>
      <c r="K640" s="14"/>
      <c r="L640" s="13">
        <v>6.4</v>
      </c>
      <c r="M640" s="13">
        <v>3.6</v>
      </c>
      <c r="P640" s="12" t="s">
        <v>14</v>
      </c>
      <c r="Q640" s="12"/>
      <c r="R640" s="12"/>
      <c r="T640">
        <f t="shared" si="18"/>
        <v>6.3980287122941935</v>
      </c>
      <c r="U640">
        <f t="shared" si="19"/>
        <v>7.0028174960433951</v>
      </c>
    </row>
    <row r="641" spans="1:21">
      <c r="A641" s="12">
        <v>20</v>
      </c>
      <c r="B641" s="12">
        <v>40</v>
      </c>
      <c r="C641" s="11">
        <v>26.363027006017866</v>
      </c>
      <c r="D641" s="11">
        <v>46.658527413827123</v>
      </c>
      <c r="E641" s="11"/>
      <c r="F641" s="10">
        <v>187</v>
      </c>
      <c r="G641" s="12" t="s">
        <v>13</v>
      </c>
      <c r="H641" s="13">
        <v>20.3</v>
      </c>
      <c r="I641" s="14"/>
      <c r="J641" s="14">
        <v>22</v>
      </c>
      <c r="K641" s="14"/>
      <c r="L641" s="13">
        <v>6.6</v>
      </c>
      <c r="M641" s="13">
        <v>2.1</v>
      </c>
      <c r="P641" s="12" t="s">
        <v>14</v>
      </c>
      <c r="Q641" s="12"/>
      <c r="R641" s="12"/>
      <c r="T641">
        <f t="shared" si="18"/>
        <v>6.4616906895309514</v>
      </c>
      <c r="U641">
        <f t="shared" si="19"/>
        <v>7.0028174960433951</v>
      </c>
    </row>
    <row r="642" spans="1:21">
      <c r="A642" s="12">
        <v>40</v>
      </c>
      <c r="B642" s="12">
        <v>-30</v>
      </c>
      <c r="C642" s="11">
        <v>42.059526159725067</v>
      </c>
      <c r="D642" s="11">
        <v>-25.726284030932</v>
      </c>
      <c r="E642" s="11"/>
      <c r="F642" s="12">
        <v>688</v>
      </c>
      <c r="G642" s="12" t="s">
        <v>13</v>
      </c>
      <c r="H642" s="13">
        <v>20.3</v>
      </c>
      <c r="I642" s="14"/>
      <c r="J642" s="14">
        <v>19.8</v>
      </c>
      <c r="K642" s="14"/>
      <c r="L642" s="13">
        <v>5.0999999999999996</v>
      </c>
      <c r="M642" s="13">
        <v>1.8</v>
      </c>
      <c r="P642" s="12" t="s">
        <v>14</v>
      </c>
      <c r="Q642" s="12"/>
      <c r="R642" s="12"/>
      <c r="T642">
        <f t="shared" ref="T642:T705" si="20">IF(H642="",I642,H642/PI())</f>
        <v>6.4616906895309514</v>
      </c>
      <c r="U642">
        <f t="shared" ref="U642:U705" si="21">IF(J642="dead","dead",J642/PI()+K642)</f>
        <v>6.3025357464390561</v>
      </c>
    </row>
    <row r="643" spans="1:21">
      <c r="A643" s="12">
        <v>10</v>
      </c>
      <c r="B643" s="12">
        <v>40</v>
      </c>
      <c r="C643" s="11">
        <v>14.923433426844973</v>
      </c>
      <c r="D643" s="11">
        <v>45.147948312514899</v>
      </c>
      <c r="E643" s="11"/>
      <c r="F643" s="10">
        <v>77</v>
      </c>
      <c r="G643" s="12" t="s">
        <v>11</v>
      </c>
      <c r="H643" s="13">
        <v>20.5</v>
      </c>
      <c r="I643" s="14"/>
      <c r="J643" s="14" t="s">
        <v>70</v>
      </c>
      <c r="K643" s="14"/>
      <c r="L643" s="13">
        <v>5.0999999999999996</v>
      </c>
      <c r="M643" s="13"/>
      <c r="P643" s="12" t="s">
        <v>12</v>
      </c>
      <c r="Q643" s="12"/>
      <c r="R643" s="12"/>
      <c r="T643">
        <f t="shared" si="20"/>
        <v>6.5253526667677093</v>
      </c>
      <c r="U643" t="str">
        <f t="shared" si="21"/>
        <v>dead</v>
      </c>
    </row>
    <row r="644" spans="1:21">
      <c r="A644" s="12">
        <v>20</v>
      </c>
      <c r="B644" s="12">
        <v>10</v>
      </c>
      <c r="C644" s="11">
        <v>21.916912528638999</v>
      </c>
      <c r="D644" s="11">
        <v>12.382501619525305</v>
      </c>
      <c r="E644" s="11"/>
      <c r="F644" s="12">
        <v>152</v>
      </c>
      <c r="G644" s="12" t="s">
        <v>13</v>
      </c>
      <c r="H644" s="13">
        <v>20.5</v>
      </c>
      <c r="I644" s="14"/>
      <c r="J644" s="14">
        <v>21.2</v>
      </c>
      <c r="K644" s="14"/>
      <c r="L644" s="13">
        <v>6.4</v>
      </c>
      <c r="M644" s="13">
        <v>2</v>
      </c>
      <c r="P644" s="12" t="s">
        <v>14</v>
      </c>
      <c r="Q644" s="12"/>
      <c r="R644" s="12"/>
      <c r="T644">
        <f t="shared" si="20"/>
        <v>6.5253526667677093</v>
      </c>
      <c r="U644">
        <f t="shared" si="21"/>
        <v>6.7481695870963625</v>
      </c>
    </row>
    <row r="645" spans="1:21">
      <c r="A645" s="12">
        <v>40</v>
      </c>
      <c r="B645" s="12">
        <v>-10</v>
      </c>
      <c r="C645" s="11">
        <v>43.452236059635894</v>
      </c>
      <c r="D645" s="11">
        <v>-9.6493346487751737</v>
      </c>
      <c r="E645" s="11"/>
      <c r="F645" s="12">
        <v>450</v>
      </c>
      <c r="G645" s="12" t="s">
        <v>13</v>
      </c>
      <c r="H645" s="13">
        <v>20.5</v>
      </c>
      <c r="I645" s="14"/>
      <c r="J645" s="14">
        <v>23.2</v>
      </c>
      <c r="K645" s="14"/>
      <c r="L645" s="13">
        <v>6.2</v>
      </c>
      <c r="M645" s="13">
        <v>2.4</v>
      </c>
      <c r="P645" s="12" t="s">
        <v>14</v>
      </c>
      <c r="Q645" s="12"/>
      <c r="R645" s="12"/>
      <c r="T645">
        <f t="shared" si="20"/>
        <v>6.5253526667677093</v>
      </c>
      <c r="U645">
        <f t="shared" si="21"/>
        <v>7.3847893594639435</v>
      </c>
    </row>
    <row r="646" spans="1:21">
      <c r="A646" s="12">
        <v>20</v>
      </c>
      <c r="B646" s="12">
        <v>-20</v>
      </c>
      <c r="C646" s="11">
        <v>27.40438838957202</v>
      </c>
      <c r="D646" s="11">
        <v>-13.093778944794197</v>
      </c>
      <c r="E646" s="11"/>
      <c r="F646" s="10">
        <v>541</v>
      </c>
      <c r="G646" s="12" t="s">
        <v>13</v>
      </c>
      <c r="H646" s="13">
        <v>20.6</v>
      </c>
      <c r="I646" s="14"/>
      <c r="J646" s="14">
        <v>21.1</v>
      </c>
      <c r="K646" s="14"/>
      <c r="L646" s="13">
        <v>5.9</v>
      </c>
      <c r="M646" s="13">
        <v>2.1</v>
      </c>
      <c r="P646" s="12" t="s">
        <v>14</v>
      </c>
      <c r="Q646" s="12"/>
      <c r="R646" s="12"/>
      <c r="T646">
        <f t="shared" si="20"/>
        <v>6.5571836553860887</v>
      </c>
      <c r="U646">
        <f t="shared" si="21"/>
        <v>6.716338598477984</v>
      </c>
    </row>
    <row r="647" spans="1:21">
      <c r="A647" s="12">
        <v>30</v>
      </c>
      <c r="B647" s="12">
        <v>10</v>
      </c>
      <c r="C647" s="11">
        <v>31.641290490894413</v>
      </c>
      <c r="D647" s="11">
        <v>17.868740859374537</v>
      </c>
      <c r="E647" s="11"/>
      <c r="F647" s="10">
        <v>223</v>
      </c>
      <c r="G647" s="12" t="s">
        <v>13</v>
      </c>
      <c r="H647" s="13">
        <v>20.7</v>
      </c>
      <c r="I647" s="14"/>
      <c r="J647" s="14">
        <v>21.5</v>
      </c>
      <c r="K647" s="14"/>
      <c r="L647" s="13">
        <v>5.8</v>
      </c>
      <c r="M647" s="13">
        <v>1.9</v>
      </c>
      <c r="P647" s="12" t="s">
        <v>14</v>
      </c>
      <c r="Q647" s="12"/>
      <c r="R647" s="12"/>
      <c r="T647">
        <f t="shared" si="20"/>
        <v>6.5890146440044672</v>
      </c>
      <c r="U647">
        <f t="shared" si="21"/>
        <v>6.8436625529514998</v>
      </c>
    </row>
    <row r="648" spans="1:21">
      <c r="A648" s="12">
        <v>30</v>
      </c>
      <c r="B648" s="12">
        <v>20</v>
      </c>
      <c r="C648" s="11">
        <v>35.189947767486714</v>
      </c>
      <c r="D648" s="11">
        <v>23.205377071540834</v>
      </c>
      <c r="E648" s="11"/>
      <c r="F648" s="12">
        <v>212</v>
      </c>
      <c r="G648" s="12" t="s">
        <v>13</v>
      </c>
      <c r="H648" s="13">
        <v>21.3</v>
      </c>
      <c r="I648" s="14"/>
      <c r="J648" s="14">
        <v>24.2</v>
      </c>
      <c r="K648" s="14"/>
      <c r="L648" s="13">
        <v>6</v>
      </c>
      <c r="M648" s="13">
        <v>1.4</v>
      </c>
      <c r="P648" s="12" t="s">
        <v>14</v>
      </c>
      <c r="Q648" s="12"/>
      <c r="R648" s="12"/>
      <c r="T648">
        <f t="shared" si="20"/>
        <v>6.7800005757147419</v>
      </c>
      <c r="U648">
        <f t="shared" si="21"/>
        <v>7.7030992456477341</v>
      </c>
    </row>
    <row r="649" spans="1:21">
      <c r="A649" s="12">
        <v>30</v>
      </c>
      <c r="B649" s="12">
        <v>0</v>
      </c>
      <c r="C649" s="11">
        <v>34.51042732397022</v>
      </c>
      <c r="D649" s="11">
        <v>5.862593186959022</v>
      </c>
      <c r="E649" s="11"/>
      <c r="F649" s="12">
        <v>258</v>
      </c>
      <c r="G649" s="12" t="s">
        <v>21</v>
      </c>
      <c r="H649" s="13">
        <v>21.3</v>
      </c>
      <c r="I649" s="14"/>
      <c r="J649" s="14">
        <v>22.5</v>
      </c>
      <c r="K649" s="14"/>
      <c r="L649" s="13">
        <v>8.3000000000000007</v>
      </c>
      <c r="M649" s="13">
        <v>2.7</v>
      </c>
      <c r="P649" s="12" t="s">
        <v>14</v>
      </c>
      <c r="Q649" s="12"/>
      <c r="R649" s="12"/>
      <c r="T649">
        <f t="shared" si="20"/>
        <v>6.7800005757147419</v>
      </c>
      <c r="U649">
        <f t="shared" si="21"/>
        <v>7.1619724391352904</v>
      </c>
    </row>
    <row r="650" spans="1:21">
      <c r="A650" s="12">
        <v>30</v>
      </c>
      <c r="B650" s="12">
        <v>-10</v>
      </c>
      <c r="C650" s="11">
        <v>32.773001461476369</v>
      </c>
      <c r="D650" s="11">
        <v>-3.8493421389108899</v>
      </c>
      <c r="E650" s="11"/>
      <c r="F650" s="10">
        <v>425</v>
      </c>
      <c r="G650" s="12" t="s">
        <v>13</v>
      </c>
      <c r="H650" s="13">
        <v>21.4</v>
      </c>
      <c r="I650" s="14"/>
      <c r="J650" s="14">
        <v>22</v>
      </c>
      <c r="K650" s="14"/>
      <c r="L650" s="13">
        <v>6.9</v>
      </c>
      <c r="M650" s="13">
        <v>1.9</v>
      </c>
      <c r="P650" s="12" t="s">
        <v>14</v>
      </c>
      <c r="Q650" s="12"/>
      <c r="R650" s="12"/>
      <c r="T650">
        <f t="shared" si="20"/>
        <v>6.8118315643331204</v>
      </c>
      <c r="U650">
        <f t="shared" si="21"/>
        <v>7.0028174960433951</v>
      </c>
    </row>
    <row r="651" spans="1:21">
      <c r="A651" s="12">
        <v>40</v>
      </c>
      <c r="B651" s="12">
        <v>0</v>
      </c>
      <c r="C651" s="11">
        <v>40.901352263515584</v>
      </c>
      <c r="D651" s="11">
        <v>5.4891725706855805</v>
      </c>
      <c r="E651" s="11"/>
      <c r="F651" s="12">
        <v>270</v>
      </c>
      <c r="G651" s="12" t="s">
        <v>13</v>
      </c>
      <c r="H651" s="13">
        <v>21.6</v>
      </c>
      <c r="I651" s="14"/>
      <c r="J651" s="14">
        <v>23.2</v>
      </c>
      <c r="K651" s="14"/>
      <c r="L651" s="13">
        <v>5.8</v>
      </c>
      <c r="M651" s="13">
        <v>2.1</v>
      </c>
      <c r="P651" s="12" t="s">
        <v>14</v>
      </c>
      <c r="Q651" s="12"/>
      <c r="R651" s="12"/>
      <c r="T651">
        <f t="shared" si="20"/>
        <v>6.8754935415698792</v>
      </c>
      <c r="U651">
        <f t="shared" si="21"/>
        <v>7.3847893594639435</v>
      </c>
    </row>
    <row r="652" spans="1:21">
      <c r="A652" s="9">
        <v>0</v>
      </c>
      <c r="B652" s="12">
        <v>30</v>
      </c>
      <c r="C652" s="11">
        <v>3.1837218938327423</v>
      </c>
      <c r="D652" s="11">
        <v>39.876639929895845</v>
      </c>
      <c r="E652" s="11"/>
      <c r="F652" s="12">
        <v>54</v>
      </c>
      <c r="G652" s="12" t="s">
        <v>11</v>
      </c>
      <c r="H652" s="13">
        <v>21.8</v>
      </c>
      <c r="I652" s="14"/>
      <c r="J652" s="14" t="s">
        <v>70</v>
      </c>
      <c r="K652" s="14"/>
      <c r="L652" s="13">
        <v>4.8</v>
      </c>
      <c r="M652" s="13"/>
      <c r="P652" s="12" t="s">
        <v>12</v>
      </c>
      <c r="Q652" s="12"/>
      <c r="R652" s="12"/>
      <c r="S652" t="s">
        <v>78</v>
      </c>
      <c r="T652">
        <f t="shared" si="20"/>
        <v>6.9391555188066372</v>
      </c>
      <c r="U652" t="str">
        <f t="shared" si="21"/>
        <v>dead</v>
      </c>
    </row>
    <row r="653" spans="1:21">
      <c r="A653" s="12">
        <v>40</v>
      </c>
      <c r="B653" s="12">
        <v>40</v>
      </c>
      <c r="C653" s="11">
        <v>41.733447275510564</v>
      </c>
      <c r="D653" s="11">
        <v>49.442807106641339</v>
      </c>
      <c r="E653" s="11"/>
      <c r="F653" s="12">
        <v>364</v>
      </c>
      <c r="G653" s="12" t="s">
        <v>13</v>
      </c>
      <c r="H653" s="13">
        <v>21.8</v>
      </c>
      <c r="I653" s="14"/>
      <c r="J653" s="14">
        <v>22.5</v>
      </c>
      <c r="K653" s="14"/>
      <c r="L653" s="13">
        <v>6.9</v>
      </c>
      <c r="M653" s="13">
        <v>3.4</v>
      </c>
      <c r="P653" s="12" t="s">
        <v>14</v>
      </c>
      <c r="Q653" s="12"/>
      <c r="R653" s="12"/>
      <c r="T653">
        <f t="shared" si="20"/>
        <v>6.9391555188066372</v>
      </c>
      <c r="U653">
        <f t="shared" si="21"/>
        <v>7.1619724391352904</v>
      </c>
    </row>
    <row r="654" spans="1:21">
      <c r="A654" s="12">
        <v>30</v>
      </c>
      <c r="B654" s="12">
        <v>-10</v>
      </c>
      <c r="C654" s="11">
        <v>31.683064910093709</v>
      </c>
      <c r="D654" s="11">
        <v>-7.3137031604296894</v>
      </c>
      <c r="E654" s="11"/>
      <c r="F654" s="10">
        <v>421</v>
      </c>
      <c r="G654" s="12" t="s">
        <v>21</v>
      </c>
      <c r="H654" s="13">
        <v>21.8</v>
      </c>
      <c r="I654" s="14"/>
      <c r="J654" s="14">
        <v>22</v>
      </c>
      <c r="K654" s="14"/>
      <c r="L654" s="13">
        <v>7.6</v>
      </c>
      <c r="M654" s="13">
        <v>3.5</v>
      </c>
      <c r="P654" s="12" t="s">
        <v>14</v>
      </c>
      <c r="Q654" s="12"/>
      <c r="R654" s="12"/>
      <c r="T654">
        <f t="shared" si="20"/>
        <v>6.9391555188066372</v>
      </c>
      <c r="U654">
        <f t="shared" si="21"/>
        <v>7.0028174960433951</v>
      </c>
    </row>
    <row r="655" spans="1:21">
      <c r="A655" s="12">
        <v>30</v>
      </c>
      <c r="B655" s="12">
        <v>-10</v>
      </c>
      <c r="C655" s="11">
        <v>33.019969865726083</v>
      </c>
      <c r="D655" s="11">
        <v>-9.3524821819996067</v>
      </c>
      <c r="E655" s="11"/>
      <c r="F655" s="12">
        <v>428</v>
      </c>
      <c r="G655" s="12" t="s">
        <v>21</v>
      </c>
      <c r="H655" s="13">
        <v>22.1</v>
      </c>
      <c r="I655" s="14"/>
      <c r="J655" s="14">
        <v>23.9</v>
      </c>
      <c r="K655" s="14"/>
      <c r="L655" s="13">
        <v>8.9</v>
      </c>
      <c r="M655" s="13">
        <v>3</v>
      </c>
      <c r="P655" s="12" t="s">
        <v>14</v>
      </c>
      <c r="Q655" s="12"/>
      <c r="R655" s="12"/>
      <c r="T655">
        <f t="shared" si="20"/>
        <v>7.0346484846617745</v>
      </c>
      <c r="U655">
        <f t="shared" si="21"/>
        <v>7.6076062797925967</v>
      </c>
    </row>
    <row r="656" spans="1:21">
      <c r="A656" s="12">
        <v>20</v>
      </c>
      <c r="B656" s="12">
        <v>-20</v>
      </c>
      <c r="C656" s="11">
        <v>27.385008708664767</v>
      </c>
      <c r="D656" s="11">
        <v>-13.380176729038922</v>
      </c>
      <c r="E656" s="11"/>
      <c r="F656" s="10">
        <v>547</v>
      </c>
      <c r="G656" s="12" t="s">
        <v>13</v>
      </c>
      <c r="H656" s="13">
        <v>22.1</v>
      </c>
      <c r="I656" s="14"/>
      <c r="J656" s="14">
        <v>22.1</v>
      </c>
      <c r="K656" s="14"/>
      <c r="L656" s="13">
        <v>7.1</v>
      </c>
      <c r="M656" s="13">
        <v>3.4</v>
      </c>
      <c r="P656" s="12" t="s">
        <v>14</v>
      </c>
      <c r="Q656" s="12"/>
      <c r="R656" s="12"/>
      <c r="T656">
        <f t="shared" si="20"/>
        <v>7.0346484846617745</v>
      </c>
      <c r="U656">
        <f t="shared" si="21"/>
        <v>7.0346484846617745</v>
      </c>
    </row>
    <row r="657" spans="1:21">
      <c r="A657" s="12">
        <v>40</v>
      </c>
      <c r="B657" s="12">
        <v>-30</v>
      </c>
      <c r="C657" s="11">
        <v>42.268491342012091</v>
      </c>
      <c r="D657" s="11">
        <v>-25.487961387525822</v>
      </c>
      <c r="E657" s="11"/>
      <c r="F657" s="10">
        <v>677</v>
      </c>
      <c r="G657" s="12" t="s">
        <v>13</v>
      </c>
      <c r="H657" s="13">
        <v>22.1</v>
      </c>
      <c r="I657" s="14"/>
      <c r="J657" s="14" t="s">
        <v>70</v>
      </c>
      <c r="K657" s="14"/>
      <c r="L657" s="13">
        <v>5.2</v>
      </c>
      <c r="M657" s="13">
        <v>2.2000000000000002</v>
      </c>
      <c r="P657" s="12" t="s">
        <v>14</v>
      </c>
      <c r="Q657" s="12"/>
      <c r="R657" s="12"/>
      <c r="T657">
        <f t="shared" si="20"/>
        <v>7.0346484846617745</v>
      </c>
      <c r="U657" t="str">
        <f t="shared" si="21"/>
        <v>dead</v>
      </c>
    </row>
    <row r="658" spans="1:21">
      <c r="A658" s="12">
        <v>40</v>
      </c>
      <c r="B658" s="12">
        <v>-50</v>
      </c>
      <c r="C658" s="11">
        <v>41.216872835862169</v>
      </c>
      <c r="D658" s="11">
        <v>-41.229683089800275</v>
      </c>
      <c r="E658" s="11"/>
      <c r="F658" s="10">
        <v>823</v>
      </c>
      <c r="G658" s="12" t="s">
        <v>11</v>
      </c>
      <c r="H658" s="13">
        <v>22.1</v>
      </c>
      <c r="I658" s="14"/>
      <c r="J658" s="14">
        <v>25.6</v>
      </c>
      <c r="K658" s="14"/>
      <c r="L658" s="13">
        <v>7.3</v>
      </c>
      <c r="M658" s="13">
        <v>1.4</v>
      </c>
      <c r="P658" s="12" t="s">
        <v>14</v>
      </c>
      <c r="Q658" s="12"/>
      <c r="R658" s="12"/>
      <c r="T658">
        <f t="shared" si="20"/>
        <v>7.0346484846617745</v>
      </c>
      <c r="U658">
        <f t="shared" si="21"/>
        <v>8.1487330863050413</v>
      </c>
    </row>
    <row r="659" spans="1:21">
      <c r="A659" s="12">
        <v>0</v>
      </c>
      <c r="B659" s="12">
        <v>-20</v>
      </c>
      <c r="C659" s="11">
        <v>7.8356849124416224</v>
      </c>
      <c r="D659" s="11">
        <v>-16.883817396832569</v>
      </c>
      <c r="E659" s="11"/>
      <c r="F659" s="10">
        <v>581</v>
      </c>
      <c r="G659" s="12" t="s">
        <v>13</v>
      </c>
      <c r="H659" s="13">
        <v>22.3</v>
      </c>
      <c r="I659" s="14"/>
      <c r="J659" s="14">
        <v>24.3</v>
      </c>
      <c r="K659" s="14"/>
      <c r="L659" s="13">
        <v>6.3</v>
      </c>
      <c r="M659" s="13">
        <v>1.5</v>
      </c>
      <c r="P659" s="12" t="s">
        <v>14</v>
      </c>
      <c r="Q659" s="12"/>
      <c r="R659" s="12"/>
      <c r="S659" t="s">
        <v>102</v>
      </c>
      <c r="T659">
        <f t="shared" si="20"/>
        <v>7.0983104618985324</v>
      </c>
      <c r="U659">
        <f t="shared" si="21"/>
        <v>7.7349302342661135</v>
      </c>
    </row>
    <row r="660" spans="1:21">
      <c r="A660" s="12">
        <v>20</v>
      </c>
      <c r="B660" s="12">
        <v>-30</v>
      </c>
      <c r="C660" s="11">
        <v>29.747392448829025</v>
      </c>
      <c r="D660" s="11">
        <v>-29.646693186014126</v>
      </c>
      <c r="E660" s="11"/>
      <c r="F660" s="12">
        <v>658</v>
      </c>
      <c r="G660" s="12" t="s">
        <v>11</v>
      </c>
      <c r="H660" s="13">
        <v>22.5</v>
      </c>
      <c r="I660" s="14"/>
      <c r="J660" s="14" t="s">
        <v>70</v>
      </c>
      <c r="K660" s="14"/>
      <c r="L660" s="13">
        <v>7.1</v>
      </c>
      <c r="M660" s="13">
        <v>0.7</v>
      </c>
      <c r="P660" s="12" t="s">
        <v>14</v>
      </c>
      <c r="Q660" s="12"/>
      <c r="R660" s="12"/>
      <c r="T660">
        <f t="shared" si="20"/>
        <v>7.1619724391352904</v>
      </c>
      <c r="U660" t="str">
        <f t="shared" si="21"/>
        <v>dead</v>
      </c>
    </row>
    <row r="661" spans="1:21">
      <c r="A661" s="12">
        <v>30</v>
      </c>
      <c r="B661" s="12">
        <v>10</v>
      </c>
      <c r="C661" s="11">
        <v>32.261169715280353</v>
      </c>
      <c r="D661" s="11">
        <v>17.237390451276372</v>
      </c>
      <c r="E661" s="11"/>
      <c r="F661" s="12">
        <v>228</v>
      </c>
      <c r="G661" s="12" t="s">
        <v>13</v>
      </c>
      <c r="H661" s="13">
        <v>22.9</v>
      </c>
      <c r="I661" s="14"/>
      <c r="J661" s="14">
        <v>23.1</v>
      </c>
      <c r="K661" s="14"/>
      <c r="L661" s="13">
        <v>4.3</v>
      </c>
      <c r="M661" s="13">
        <v>2.9</v>
      </c>
      <c r="P661" s="12" t="s">
        <v>14</v>
      </c>
      <c r="Q661" s="12"/>
      <c r="R661" s="12"/>
      <c r="T661">
        <f t="shared" si="20"/>
        <v>7.2892963936088062</v>
      </c>
      <c r="U661">
        <f t="shared" si="21"/>
        <v>7.352958370845565</v>
      </c>
    </row>
    <row r="662" spans="1:21">
      <c r="A662" s="12">
        <v>30</v>
      </c>
      <c r="B662" s="12">
        <v>-10</v>
      </c>
      <c r="C662" s="11">
        <v>36.224931257984402</v>
      </c>
      <c r="D662" s="11">
        <v>-1.8300026932038236</v>
      </c>
      <c r="E662" s="11"/>
      <c r="F662" s="10">
        <v>435</v>
      </c>
      <c r="G662" s="12" t="s">
        <v>13</v>
      </c>
      <c r="H662" s="13">
        <v>23</v>
      </c>
      <c r="I662" s="14"/>
      <c r="J662" s="14">
        <v>23.7</v>
      </c>
      <c r="K662" s="14"/>
      <c r="L662" s="13">
        <v>6.4</v>
      </c>
      <c r="M662" s="13">
        <v>2.2000000000000002</v>
      </c>
      <c r="P662" s="12" t="s">
        <v>14</v>
      </c>
      <c r="Q662" s="12"/>
      <c r="R662" s="12"/>
      <c r="T662">
        <f t="shared" si="20"/>
        <v>7.3211273822271856</v>
      </c>
      <c r="U662">
        <f t="shared" si="21"/>
        <v>7.5439443025558388</v>
      </c>
    </row>
    <row r="663" spans="1:21">
      <c r="A663" s="12">
        <v>30</v>
      </c>
      <c r="B663" s="12">
        <v>-10</v>
      </c>
      <c r="C663" s="11">
        <v>38.599978655638978</v>
      </c>
      <c r="D663" s="11">
        <v>-2.2961801529803694</v>
      </c>
      <c r="E663" s="11"/>
      <c r="F663" s="10">
        <v>439</v>
      </c>
      <c r="G663" s="12" t="s">
        <v>11</v>
      </c>
      <c r="H663" s="13">
        <v>23.1</v>
      </c>
      <c r="I663" s="14"/>
      <c r="J663" s="14" t="s">
        <v>70</v>
      </c>
      <c r="K663" s="14"/>
      <c r="L663" s="13">
        <v>7.9</v>
      </c>
      <c r="M663" s="13"/>
      <c r="P663" s="12" t="s">
        <v>12</v>
      </c>
      <c r="Q663" s="12"/>
      <c r="R663" s="12"/>
      <c r="T663">
        <f t="shared" si="20"/>
        <v>7.352958370845565</v>
      </c>
      <c r="U663" t="str">
        <f t="shared" si="21"/>
        <v>dead</v>
      </c>
    </row>
    <row r="664" spans="1:21">
      <c r="A664" s="12">
        <v>40</v>
      </c>
      <c r="B664" s="12">
        <v>-30</v>
      </c>
      <c r="C664" s="11">
        <v>42.242981371580008</v>
      </c>
      <c r="D664" s="11">
        <v>-25.944872339684423</v>
      </c>
      <c r="E664" s="11"/>
      <c r="F664" s="12">
        <v>686</v>
      </c>
      <c r="G664" s="12" t="s">
        <v>13</v>
      </c>
      <c r="H664" s="13">
        <v>23.1</v>
      </c>
      <c r="I664" s="14"/>
      <c r="J664" s="14">
        <v>25.2</v>
      </c>
      <c r="K664" s="14"/>
      <c r="L664" s="13">
        <v>5.9</v>
      </c>
      <c r="M664" s="13">
        <v>1.6</v>
      </c>
      <c r="P664" s="12" t="s">
        <v>14</v>
      </c>
      <c r="Q664" s="12"/>
      <c r="R664" s="12"/>
      <c r="T664">
        <f t="shared" si="20"/>
        <v>7.352958370845565</v>
      </c>
      <c r="U664">
        <f t="shared" si="21"/>
        <v>8.0214091318315255</v>
      </c>
    </row>
    <row r="665" spans="1:21">
      <c r="A665" s="12">
        <v>30</v>
      </c>
      <c r="B665" s="12">
        <v>-20</v>
      </c>
      <c r="C665" s="11">
        <v>39.721062829151542</v>
      </c>
      <c r="D665" s="11">
        <v>-19.98610504925314</v>
      </c>
      <c r="E665" s="11"/>
      <c r="F665" s="12">
        <v>514</v>
      </c>
      <c r="G665" s="12" t="s">
        <v>21</v>
      </c>
      <c r="H665" s="13">
        <v>23.3</v>
      </c>
      <c r="I665" s="14"/>
      <c r="J665" s="14">
        <v>24.2</v>
      </c>
      <c r="K665" s="14"/>
      <c r="L665" s="13">
        <v>7</v>
      </c>
      <c r="M665" s="13">
        <v>1.4</v>
      </c>
      <c r="P665" s="12" t="s">
        <v>14</v>
      </c>
      <c r="Q665" s="12"/>
      <c r="R665" s="12"/>
      <c r="S665" t="s">
        <v>96</v>
      </c>
      <c r="T665">
        <f t="shared" si="20"/>
        <v>7.416620348082323</v>
      </c>
      <c r="U665">
        <f t="shared" si="21"/>
        <v>7.7030992456477341</v>
      </c>
    </row>
    <row r="666" spans="1:21">
      <c r="A666" s="12">
        <v>30</v>
      </c>
      <c r="B666" s="12">
        <v>0</v>
      </c>
      <c r="C666" s="11">
        <v>34.025777339984387</v>
      </c>
      <c r="D666" s="11">
        <v>9.7119086697301942</v>
      </c>
      <c r="E666" s="11"/>
      <c r="F666" s="10">
        <v>245</v>
      </c>
      <c r="G666" s="12" t="s">
        <v>13</v>
      </c>
      <c r="H666" s="13">
        <v>23.4</v>
      </c>
      <c r="I666" s="14"/>
      <c r="J666" s="14">
        <v>24.2</v>
      </c>
      <c r="K666" s="14"/>
      <c r="L666" s="13">
        <v>6.6</v>
      </c>
      <c r="M666" s="13">
        <v>3.4</v>
      </c>
      <c r="P666" s="12" t="s">
        <v>14</v>
      </c>
      <c r="Q666" s="12"/>
      <c r="R666" s="12"/>
      <c r="T666">
        <f t="shared" si="20"/>
        <v>7.4484513367007015</v>
      </c>
      <c r="U666">
        <f t="shared" si="21"/>
        <v>7.7030992456477341</v>
      </c>
    </row>
    <row r="667" spans="1:21">
      <c r="A667" s="12">
        <v>40</v>
      </c>
      <c r="B667" s="12">
        <v>0</v>
      </c>
      <c r="C667" s="11">
        <v>40.620282470305909</v>
      </c>
      <c r="D667" s="11">
        <v>5.3511991162202692</v>
      </c>
      <c r="E667" s="11"/>
      <c r="F667" s="12">
        <v>264</v>
      </c>
      <c r="G667" s="12" t="s">
        <v>13</v>
      </c>
      <c r="H667" s="13">
        <v>23.4</v>
      </c>
      <c r="I667" s="14"/>
      <c r="J667" s="14"/>
      <c r="K667" s="14">
        <v>25.1</v>
      </c>
      <c r="L667" s="13">
        <v>8.1</v>
      </c>
      <c r="M667" s="13">
        <v>1.8</v>
      </c>
      <c r="P667" s="12" t="s">
        <v>14</v>
      </c>
      <c r="Q667" s="12"/>
      <c r="R667" s="12"/>
      <c r="T667">
        <f t="shared" si="20"/>
        <v>7.4484513367007015</v>
      </c>
      <c r="U667">
        <f t="shared" si="21"/>
        <v>25.1</v>
      </c>
    </row>
    <row r="668" spans="1:21">
      <c r="A668" s="12">
        <v>40</v>
      </c>
      <c r="B668" s="12">
        <v>40</v>
      </c>
      <c r="C668" s="11">
        <v>45.361908717962699</v>
      </c>
      <c r="D668" s="11">
        <v>45.727565735937873</v>
      </c>
      <c r="E668" s="11"/>
      <c r="F668" s="12">
        <v>354</v>
      </c>
      <c r="G668" s="12" t="s">
        <v>11</v>
      </c>
      <c r="H668" s="13">
        <v>23.4</v>
      </c>
      <c r="I668" s="14"/>
      <c r="J668" s="14">
        <v>27.5</v>
      </c>
      <c r="K668" s="14"/>
      <c r="L668" s="13">
        <v>7.9</v>
      </c>
      <c r="M668" s="13">
        <v>0.8</v>
      </c>
      <c r="P668" s="12" t="s">
        <v>14</v>
      </c>
      <c r="Q668" s="12"/>
      <c r="R668" s="12"/>
      <c r="T668">
        <f t="shared" si="20"/>
        <v>7.4484513367007015</v>
      </c>
      <c r="U668">
        <f t="shared" si="21"/>
        <v>8.753521870054243</v>
      </c>
    </row>
    <row r="669" spans="1:21">
      <c r="A669" s="12">
        <v>10</v>
      </c>
      <c r="B669" s="12">
        <v>20</v>
      </c>
      <c r="C669" s="11">
        <v>12.124794924736131</v>
      </c>
      <c r="D669" s="11">
        <v>29.575586041234914</v>
      </c>
      <c r="E669" s="11"/>
      <c r="F669" s="10">
        <v>97</v>
      </c>
      <c r="G669" s="12" t="s">
        <v>11</v>
      </c>
      <c r="H669" s="13">
        <v>23.5</v>
      </c>
      <c r="I669" s="14"/>
      <c r="J669" s="14" t="s">
        <v>70</v>
      </c>
      <c r="K669" s="14"/>
      <c r="L669" s="13">
        <v>4.7</v>
      </c>
      <c r="M669" s="13">
        <v>0.7</v>
      </c>
      <c r="P669" s="12" t="s">
        <v>14</v>
      </c>
      <c r="Q669" s="12"/>
      <c r="R669" s="12"/>
      <c r="T669">
        <f t="shared" si="20"/>
        <v>7.4802823253190809</v>
      </c>
      <c r="U669" t="str">
        <f t="shared" si="21"/>
        <v>dead</v>
      </c>
    </row>
    <row r="670" spans="1:21">
      <c r="A670" s="12">
        <v>40</v>
      </c>
      <c r="B670" s="12">
        <v>-10</v>
      </c>
      <c r="C670" s="11">
        <v>43.482322601613816</v>
      </c>
      <c r="D670" s="11">
        <v>-9.5600803501892919</v>
      </c>
      <c r="E670" s="11"/>
      <c r="F670" s="12">
        <v>452</v>
      </c>
      <c r="G670" s="12" t="s">
        <v>13</v>
      </c>
      <c r="H670" s="13">
        <v>23.5</v>
      </c>
      <c r="I670" s="14"/>
      <c r="J670" s="14">
        <v>26.3</v>
      </c>
      <c r="K670" s="14"/>
      <c r="L670" s="13">
        <v>5.3</v>
      </c>
      <c r="M670" s="13">
        <v>2</v>
      </c>
      <c r="P670" s="12" t="s">
        <v>14</v>
      </c>
      <c r="Q670" s="12"/>
      <c r="R670" s="12"/>
      <c r="T670">
        <f t="shared" si="20"/>
        <v>7.4802823253190809</v>
      </c>
      <c r="U670">
        <f t="shared" si="21"/>
        <v>8.3715500066336954</v>
      </c>
    </row>
    <row r="671" spans="1:21">
      <c r="A671" s="12">
        <v>20</v>
      </c>
      <c r="B671" s="12">
        <v>-30</v>
      </c>
      <c r="C671" s="11">
        <v>25.627680224719889</v>
      </c>
      <c r="D671" s="11">
        <v>-20.929365257955382</v>
      </c>
      <c r="E671" s="11"/>
      <c r="F671" s="10">
        <v>635</v>
      </c>
      <c r="G671" s="12" t="s">
        <v>11</v>
      </c>
      <c r="H671" s="13">
        <v>23.5</v>
      </c>
      <c r="I671" s="14"/>
      <c r="J671" s="14" t="s">
        <v>70</v>
      </c>
      <c r="K671" s="14"/>
      <c r="L671" s="13">
        <v>7.4</v>
      </c>
      <c r="M671" s="13"/>
      <c r="P671" s="12" t="s">
        <v>12</v>
      </c>
      <c r="Q671" s="12"/>
      <c r="R671" s="12"/>
      <c r="T671">
        <f t="shared" si="20"/>
        <v>7.4802823253190809</v>
      </c>
      <c r="U671" t="str">
        <f t="shared" si="21"/>
        <v>dead</v>
      </c>
    </row>
    <row r="672" spans="1:21">
      <c r="A672" s="12">
        <v>20</v>
      </c>
      <c r="B672" s="12">
        <v>30</v>
      </c>
      <c r="C672" s="11">
        <v>20.557772508087009</v>
      </c>
      <c r="D672" s="11">
        <v>33.493865215873384</v>
      </c>
      <c r="E672" s="11"/>
      <c r="F672" s="10">
        <v>173</v>
      </c>
      <c r="G672" s="12" t="s">
        <v>13</v>
      </c>
      <c r="H672" s="13">
        <v>23.6</v>
      </c>
      <c r="I672" s="14"/>
      <c r="J672" s="14">
        <v>24.1</v>
      </c>
      <c r="K672" s="14"/>
      <c r="L672" s="13">
        <v>7.7</v>
      </c>
      <c r="M672" s="13">
        <v>1.3</v>
      </c>
      <c r="P672" s="12" t="s">
        <v>14</v>
      </c>
      <c r="Q672" s="12"/>
      <c r="R672" s="12"/>
      <c r="T672">
        <f t="shared" si="20"/>
        <v>7.5121133139374603</v>
      </c>
      <c r="U672">
        <f t="shared" si="21"/>
        <v>7.6712682570293556</v>
      </c>
    </row>
    <row r="673" spans="1:21">
      <c r="A673" s="12">
        <v>20</v>
      </c>
      <c r="B673" s="12">
        <v>10</v>
      </c>
      <c r="C673" s="11">
        <v>24.481330698158807</v>
      </c>
      <c r="D673" s="11">
        <v>11.261086766992761</v>
      </c>
      <c r="E673" s="11"/>
      <c r="F673" s="10">
        <v>133</v>
      </c>
      <c r="G673" s="12" t="s">
        <v>13</v>
      </c>
      <c r="H673" s="13">
        <v>24</v>
      </c>
      <c r="I673" s="14"/>
      <c r="J673" s="14">
        <v>14.9</v>
      </c>
      <c r="K673" s="14"/>
      <c r="L673" s="13">
        <v>8.5</v>
      </c>
      <c r="M673" s="13">
        <v>2.8</v>
      </c>
      <c r="P673" s="12" t="s">
        <v>14</v>
      </c>
      <c r="Q673" s="12"/>
      <c r="R673" s="12"/>
      <c r="T673">
        <f t="shared" si="20"/>
        <v>7.6394372684109761</v>
      </c>
      <c r="U673">
        <f t="shared" si="21"/>
        <v>4.7428173041384811</v>
      </c>
    </row>
    <row r="674" spans="1:21">
      <c r="A674" s="12">
        <v>20</v>
      </c>
      <c r="B674" s="12">
        <v>30</v>
      </c>
      <c r="C674" s="11">
        <v>21.000976199357556</v>
      </c>
      <c r="D674" s="11">
        <v>33.607899668472051</v>
      </c>
      <c r="E674" s="11"/>
      <c r="F674" s="12">
        <v>178</v>
      </c>
      <c r="G674" s="12" t="s">
        <v>13</v>
      </c>
      <c r="H674" s="13">
        <v>24.1</v>
      </c>
      <c r="I674" s="14"/>
      <c r="J674" s="14">
        <v>25.5</v>
      </c>
      <c r="K674" s="14"/>
      <c r="L674" s="13">
        <v>9.1999999999999993</v>
      </c>
      <c r="M674" s="13">
        <v>1.1000000000000001</v>
      </c>
      <c r="P674" s="12" t="s">
        <v>14</v>
      </c>
      <c r="Q674" s="12"/>
      <c r="R674" s="12" t="s">
        <v>26</v>
      </c>
      <c r="T674">
        <f t="shared" si="20"/>
        <v>7.6712682570293556</v>
      </c>
      <c r="U674">
        <f t="shared" si="21"/>
        <v>8.1169020976866619</v>
      </c>
    </row>
    <row r="675" spans="1:21">
      <c r="A675" s="12">
        <v>40</v>
      </c>
      <c r="B675" s="12">
        <v>-20</v>
      </c>
      <c r="C675" s="11">
        <v>47.835224083829708</v>
      </c>
      <c r="D675" s="11">
        <v>-10.273612054147605</v>
      </c>
      <c r="E675" s="11"/>
      <c r="F675" s="10">
        <v>501</v>
      </c>
      <c r="G675" s="12" t="s">
        <v>13</v>
      </c>
      <c r="H675" s="13">
        <v>24.2</v>
      </c>
      <c r="I675" s="14"/>
      <c r="J675" s="14">
        <v>26</v>
      </c>
      <c r="K675" s="14"/>
      <c r="L675" s="13">
        <v>7.6</v>
      </c>
      <c r="M675" s="13">
        <v>2.2000000000000002</v>
      </c>
      <c r="P675" s="12" t="s">
        <v>14</v>
      </c>
      <c r="Q675" s="12"/>
      <c r="R675" s="12" t="s">
        <v>37</v>
      </c>
      <c r="T675">
        <f t="shared" si="20"/>
        <v>7.7030992456477341</v>
      </c>
      <c r="U675">
        <f t="shared" si="21"/>
        <v>8.2760570407785572</v>
      </c>
    </row>
    <row r="676" spans="1:21">
      <c r="A676" s="12">
        <v>30</v>
      </c>
      <c r="B676" s="12">
        <v>10</v>
      </c>
      <c r="C676" s="11">
        <v>31.685505222718554</v>
      </c>
      <c r="D676" s="11">
        <v>18.033487314002659</v>
      </c>
      <c r="E676" s="11"/>
      <c r="F676" s="12">
        <v>222</v>
      </c>
      <c r="G676" s="12" t="s">
        <v>13</v>
      </c>
      <c r="H676" s="13">
        <v>24.4</v>
      </c>
      <c r="I676" s="14"/>
      <c r="J676" s="14">
        <v>25.7</v>
      </c>
      <c r="K676" s="14"/>
      <c r="L676" s="13">
        <v>7.2</v>
      </c>
      <c r="M676" s="13">
        <v>2.8</v>
      </c>
      <c r="P676" s="12" t="s">
        <v>14</v>
      </c>
      <c r="Q676" s="12"/>
      <c r="R676" s="12"/>
      <c r="T676">
        <f t="shared" si="20"/>
        <v>7.766761222884492</v>
      </c>
      <c r="U676">
        <f t="shared" si="21"/>
        <v>8.1805640749234207</v>
      </c>
    </row>
    <row r="677" spans="1:21">
      <c r="A677" s="12">
        <v>0</v>
      </c>
      <c r="B677" s="12">
        <v>-50</v>
      </c>
      <c r="C677" s="11">
        <v>6.1188161453040522</v>
      </c>
      <c r="D677" s="11">
        <v>-45.461356231381316</v>
      </c>
      <c r="E677" s="11"/>
      <c r="F677" s="12">
        <v>808</v>
      </c>
      <c r="G677" s="12" t="s">
        <v>11</v>
      </c>
      <c r="H677" s="13">
        <v>24.5</v>
      </c>
      <c r="I677" s="14"/>
      <c r="J677" s="14">
        <v>25.7</v>
      </c>
      <c r="K677" s="14"/>
      <c r="L677" s="13">
        <v>7.3</v>
      </c>
      <c r="M677" s="13">
        <v>1.8</v>
      </c>
      <c r="P677" s="12" t="s">
        <v>14</v>
      </c>
      <c r="Q677" s="12"/>
      <c r="R677" s="12"/>
      <c r="T677">
        <f t="shared" si="20"/>
        <v>7.7985922115028714</v>
      </c>
      <c r="U677">
        <f t="shared" si="21"/>
        <v>8.1805640749234207</v>
      </c>
    </row>
    <row r="678" spans="1:21">
      <c r="A678" s="9">
        <v>0</v>
      </c>
      <c r="B678" s="9">
        <v>0</v>
      </c>
      <c r="C678" s="11">
        <v>4.6543320396682057</v>
      </c>
      <c r="D678" s="11">
        <v>9.1054419762351273</v>
      </c>
      <c r="E678" s="11"/>
      <c r="F678" s="10">
        <v>11</v>
      </c>
      <c r="G678" s="12" t="s">
        <v>13</v>
      </c>
      <c r="H678" s="13">
        <v>24.8</v>
      </c>
      <c r="I678" s="14"/>
      <c r="J678" s="14">
        <v>25.9</v>
      </c>
      <c r="K678" s="14"/>
      <c r="L678" s="13">
        <v>6.6</v>
      </c>
      <c r="M678" s="13">
        <v>3.9</v>
      </c>
      <c r="P678" s="12" t="s">
        <v>14</v>
      </c>
      <c r="Q678" s="12"/>
      <c r="R678" s="12"/>
      <c r="T678">
        <f t="shared" si="20"/>
        <v>7.8940851773580096</v>
      </c>
      <c r="U678">
        <f t="shared" si="21"/>
        <v>8.2442260521601778</v>
      </c>
    </row>
    <row r="679" spans="1:21">
      <c r="A679" s="12">
        <v>30</v>
      </c>
      <c r="B679" s="12">
        <v>-10</v>
      </c>
      <c r="C679" s="11">
        <v>35.335404450103319</v>
      </c>
      <c r="D679" s="11">
        <v>-8.6005542683319032</v>
      </c>
      <c r="E679" s="11"/>
      <c r="F679" s="12">
        <v>432</v>
      </c>
      <c r="G679" s="12" t="s">
        <v>21</v>
      </c>
      <c r="H679" s="13">
        <v>24.9</v>
      </c>
      <c r="I679" s="14"/>
      <c r="J679" s="14">
        <v>26.3</v>
      </c>
      <c r="K679" s="14"/>
      <c r="L679" s="13">
        <v>8.1</v>
      </c>
      <c r="M679" s="13">
        <v>2.5</v>
      </c>
      <c r="P679" s="12" t="s">
        <v>14</v>
      </c>
      <c r="Q679" s="12"/>
      <c r="R679" s="12"/>
      <c r="T679">
        <f t="shared" si="20"/>
        <v>7.9259161659763873</v>
      </c>
      <c r="U679">
        <f t="shared" si="21"/>
        <v>8.3715500066336954</v>
      </c>
    </row>
    <row r="680" spans="1:21">
      <c r="A680" s="12">
        <v>50</v>
      </c>
      <c r="B680" s="12">
        <v>-30</v>
      </c>
      <c r="C680" s="11">
        <v>50.215139710240834</v>
      </c>
      <c r="D680" s="11">
        <v>-27.437723206428444</v>
      </c>
      <c r="E680" s="11"/>
      <c r="F680" s="12">
        <v>2003</v>
      </c>
      <c r="G680" s="12" t="s">
        <v>13</v>
      </c>
      <c r="H680" s="13">
        <v>25</v>
      </c>
      <c r="I680" s="14"/>
      <c r="J680" s="14">
        <v>38.799999999999997</v>
      </c>
      <c r="K680" s="14"/>
      <c r="L680" s="13"/>
      <c r="M680" s="13"/>
      <c r="N680">
        <v>7</v>
      </c>
      <c r="O680">
        <v>2.2000000000000002</v>
      </c>
      <c r="P680" s="12"/>
      <c r="Q680" s="12"/>
      <c r="R680" s="12" t="s">
        <v>57</v>
      </c>
      <c r="S680" t="s">
        <v>137</v>
      </c>
      <c r="T680">
        <f t="shared" si="20"/>
        <v>7.9577471545947667</v>
      </c>
      <c r="U680">
        <f t="shared" si="21"/>
        <v>12.350423583931077</v>
      </c>
    </row>
    <row r="681" spans="1:21">
      <c r="A681" s="12">
        <v>30</v>
      </c>
      <c r="B681" s="12">
        <v>0</v>
      </c>
      <c r="C681" s="11">
        <v>30.928387507289877</v>
      </c>
      <c r="D681" s="11">
        <v>8.0276987045174106</v>
      </c>
      <c r="E681" s="11"/>
      <c r="F681" s="10">
        <v>127</v>
      </c>
      <c r="G681" s="12" t="s">
        <v>21</v>
      </c>
      <c r="H681" s="13">
        <v>25.5</v>
      </c>
      <c r="I681" s="14"/>
      <c r="J681" s="14" t="s">
        <v>70</v>
      </c>
      <c r="K681" s="14"/>
      <c r="L681" s="13">
        <v>8.1</v>
      </c>
      <c r="M681" s="13"/>
      <c r="P681" s="12" t="s">
        <v>12</v>
      </c>
      <c r="Q681" s="12"/>
      <c r="R681" s="12"/>
      <c r="T681">
        <f t="shared" si="20"/>
        <v>8.1169020976866619</v>
      </c>
      <c r="U681" t="str">
        <f t="shared" si="21"/>
        <v>dead</v>
      </c>
    </row>
    <row r="682" spans="1:21">
      <c r="A682" s="12">
        <v>40</v>
      </c>
      <c r="B682" s="12">
        <v>-10</v>
      </c>
      <c r="C682" s="11">
        <v>47.995502870026861</v>
      </c>
      <c r="D682" s="11">
        <v>-2.519998265064773</v>
      </c>
      <c r="E682" s="11"/>
      <c r="F682" s="12">
        <v>460</v>
      </c>
      <c r="G682" s="12" t="s">
        <v>13</v>
      </c>
      <c r="H682" s="13">
        <v>25.5</v>
      </c>
      <c r="I682" s="14"/>
      <c r="J682" s="14">
        <v>29</v>
      </c>
      <c r="K682" s="14"/>
      <c r="L682" s="13">
        <v>6.6</v>
      </c>
      <c r="M682" s="13">
        <v>2.2999999999999998</v>
      </c>
      <c r="P682" s="12" t="s">
        <v>14</v>
      </c>
      <c r="Q682" s="12"/>
      <c r="R682" s="12"/>
      <c r="T682">
        <f t="shared" si="20"/>
        <v>8.1169020976866619</v>
      </c>
      <c r="U682">
        <f t="shared" si="21"/>
        <v>9.2309866993299305</v>
      </c>
    </row>
    <row r="683" spans="1:21">
      <c r="A683" s="9">
        <v>0</v>
      </c>
      <c r="B683" s="9">
        <v>0</v>
      </c>
      <c r="C683" s="11">
        <v>4.5413373125291585</v>
      </c>
      <c r="D683" s="11">
        <v>8.7497993503386731</v>
      </c>
      <c r="E683" s="11"/>
      <c r="F683" s="12">
        <v>4</v>
      </c>
      <c r="G683" s="12" t="s">
        <v>13</v>
      </c>
      <c r="H683" s="13">
        <v>26</v>
      </c>
      <c r="I683" s="14"/>
      <c r="J683" s="14">
        <v>28</v>
      </c>
      <c r="K683" s="14"/>
      <c r="L683" s="13">
        <v>8.3000000000000007</v>
      </c>
      <c r="M683" s="13">
        <v>3.2</v>
      </c>
      <c r="N683" s="32"/>
      <c r="O683" s="32"/>
      <c r="P683" s="12" t="s">
        <v>14</v>
      </c>
      <c r="Q683" s="12"/>
      <c r="R683" s="12"/>
      <c r="S683" s="32" t="s">
        <v>72</v>
      </c>
      <c r="T683">
        <f t="shared" si="20"/>
        <v>8.2760570407785572</v>
      </c>
      <c r="U683">
        <f t="shared" si="21"/>
        <v>8.91267681314614</v>
      </c>
    </row>
    <row r="684" spans="1:21">
      <c r="A684" s="12">
        <v>30</v>
      </c>
      <c r="B684" s="12">
        <v>-50</v>
      </c>
      <c r="C684" s="11">
        <v>39.579541004681793</v>
      </c>
      <c r="D684" s="11">
        <v>-40.455647048992972</v>
      </c>
      <c r="E684" s="11"/>
      <c r="F684" s="12">
        <v>822</v>
      </c>
      <c r="G684" s="12" t="s">
        <v>11</v>
      </c>
      <c r="H684" s="13">
        <v>26.3</v>
      </c>
      <c r="I684" s="14"/>
      <c r="J684" s="14">
        <v>29.3</v>
      </c>
      <c r="K684" s="14"/>
      <c r="L684" s="13">
        <v>7.3</v>
      </c>
      <c r="M684" s="13">
        <v>1.7</v>
      </c>
      <c r="P684" s="12" t="s">
        <v>14</v>
      </c>
      <c r="Q684" s="12"/>
      <c r="R684" s="12"/>
      <c r="T684">
        <f t="shared" si="20"/>
        <v>8.3715500066336954</v>
      </c>
      <c r="U684">
        <f t="shared" si="21"/>
        <v>9.326479665185067</v>
      </c>
    </row>
    <row r="685" spans="1:21">
      <c r="A685" s="12">
        <v>20</v>
      </c>
      <c r="B685" s="12">
        <v>10</v>
      </c>
      <c r="C685" s="11">
        <v>24.431560707957821</v>
      </c>
      <c r="D685" s="11">
        <v>11.484658013701774</v>
      </c>
      <c r="E685" s="11"/>
      <c r="F685" s="10">
        <v>135</v>
      </c>
      <c r="G685" s="12" t="s">
        <v>13</v>
      </c>
      <c r="H685" s="13">
        <v>26.6</v>
      </c>
      <c r="I685" s="14"/>
      <c r="J685" s="14">
        <v>27.1</v>
      </c>
      <c r="K685" s="14"/>
      <c r="L685" s="13">
        <v>7.1</v>
      </c>
      <c r="M685" s="13">
        <v>2.7</v>
      </c>
      <c r="P685" s="12" t="s">
        <v>14</v>
      </c>
      <c r="Q685" s="12"/>
      <c r="R685" s="12"/>
      <c r="T685">
        <f t="shared" si="20"/>
        <v>8.4670429724888319</v>
      </c>
      <c r="U685">
        <f t="shared" si="21"/>
        <v>8.6261979155807271</v>
      </c>
    </row>
    <row r="686" spans="1:21">
      <c r="A686" s="12">
        <v>10</v>
      </c>
      <c r="B686" s="12">
        <v>20</v>
      </c>
      <c r="C686" s="11">
        <v>10.313090442493955</v>
      </c>
      <c r="D686" s="11">
        <v>24.787177197988377</v>
      </c>
      <c r="E686" s="11"/>
      <c r="F686" s="12">
        <v>98</v>
      </c>
      <c r="G686" s="12" t="s">
        <v>11</v>
      </c>
      <c r="H686" s="13">
        <v>26.8</v>
      </c>
      <c r="I686" s="14"/>
      <c r="J686" s="14" t="s">
        <v>70</v>
      </c>
      <c r="K686" s="14"/>
      <c r="L686" s="13">
        <v>3.9</v>
      </c>
      <c r="M686" s="13"/>
      <c r="P686" s="12" t="s">
        <v>12</v>
      </c>
      <c r="Q686" s="12"/>
      <c r="R686" s="12" t="s">
        <v>16</v>
      </c>
      <c r="T686">
        <f t="shared" si="20"/>
        <v>8.5307049497255907</v>
      </c>
      <c r="U686" t="str">
        <f t="shared" si="21"/>
        <v>dead</v>
      </c>
    </row>
    <row r="687" spans="1:21">
      <c r="A687" s="12">
        <v>40</v>
      </c>
      <c r="B687" s="12">
        <v>20</v>
      </c>
      <c r="C687" s="11">
        <v>42.499091903781498</v>
      </c>
      <c r="D687" s="11">
        <v>29.730277569567264</v>
      </c>
      <c r="E687" s="11"/>
      <c r="F687" s="10">
        <v>299</v>
      </c>
      <c r="G687" s="12" t="s">
        <v>13</v>
      </c>
      <c r="H687" s="13">
        <v>26.8</v>
      </c>
      <c r="I687" s="14"/>
      <c r="J687" s="14">
        <v>28.1</v>
      </c>
      <c r="K687" s="14"/>
      <c r="L687" s="13">
        <v>7.3</v>
      </c>
      <c r="M687" s="13">
        <v>1.9</v>
      </c>
      <c r="P687" s="12" t="s">
        <v>14</v>
      </c>
      <c r="Q687" s="12"/>
      <c r="R687" s="12"/>
      <c r="T687">
        <f t="shared" si="20"/>
        <v>8.5307049497255907</v>
      </c>
      <c r="U687">
        <f t="shared" si="21"/>
        <v>8.9445078017645194</v>
      </c>
    </row>
    <row r="688" spans="1:21">
      <c r="A688" s="12">
        <v>40</v>
      </c>
      <c r="B688" s="12">
        <v>40</v>
      </c>
      <c r="C688" s="11">
        <v>49.006355480452719</v>
      </c>
      <c r="D688" s="11">
        <v>42.140623873727854</v>
      </c>
      <c r="E688" s="11"/>
      <c r="F688" s="10">
        <v>347</v>
      </c>
      <c r="G688" s="12" t="s">
        <v>13</v>
      </c>
      <c r="H688" s="13">
        <v>26.9</v>
      </c>
      <c r="I688" s="14"/>
      <c r="J688" s="14">
        <v>29.2</v>
      </c>
      <c r="K688" s="14"/>
      <c r="L688" s="13">
        <v>8.6</v>
      </c>
      <c r="M688" s="13">
        <v>2.2999999999999998</v>
      </c>
      <c r="P688" s="12" t="s">
        <v>14</v>
      </c>
      <c r="Q688" s="12"/>
      <c r="R688" s="12"/>
      <c r="T688">
        <f t="shared" si="20"/>
        <v>8.5625359383439683</v>
      </c>
      <c r="U688">
        <f t="shared" si="21"/>
        <v>9.2946486765666876</v>
      </c>
    </row>
    <row r="689" spans="1:21">
      <c r="A689" s="12">
        <v>10</v>
      </c>
      <c r="B689" s="12">
        <v>-30</v>
      </c>
      <c r="C689" s="11">
        <v>18.162512928283768</v>
      </c>
      <c r="D689" s="11">
        <v>-24.107753797548693</v>
      </c>
      <c r="E689" s="11"/>
      <c r="F689" s="10">
        <v>625</v>
      </c>
      <c r="G689" s="12" t="s">
        <v>11</v>
      </c>
      <c r="H689" s="13">
        <v>27.5</v>
      </c>
      <c r="I689" s="14"/>
      <c r="J689" s="14" t="s">
        <v>70</v>
      </c>
      <c r="K689" s="14"/>
      <c r="L689" s="13">
        <v>7.2</v>
      </c>
      <c r="M689" s="13">
        <v>0.9</v>
      </c>
      <c r="P689" s="12" t="s">
        <v>14</v>
      </c>
      <c r="Q689" s="12"/>
      <c r="R689" s="12"/>
      <c r="T689">
        <f t="shared" si="20"/>
        <v>8.753521870054243</v>
      </c>
      <c r="U689" t="str">
        <f t="shared" si="21"/>
        <v>dead</v>
      </c>
    </row>
    <row r="690" spans="1:21">
      <c r="A690" s="9">
        <v>0</v>
      </c>
      <c r="B690" s="12">
        <v>20</v>
      </c>
      <c r="C690" s="11">
        <v>7.614100830171675</v>
      </c>
      <c r="D690" s="11">
        <v>23.664419264764746</v>
      </c>
      <c r="E690" s="11"/>
      <c r="F690" s="10">
        <v>39</v>
      </c>
      <c r="G690" s="12" t="s">
        <v>11</v>
      </c>
      <c r="H690" s="13">
        <v>27.6</v>
      </c>
      <c r="I690" s="14"/>
      <c r="J690" s="14" t="s">
        <v>70</v>
      </c>
      <c r="K690" s="14"/>
      <c r="L690" s="13">
        <v>5.2</v>
      </c>
      <c r="M690" s="13"/>
      <c r="P690" s="12" t="s">
        <v>12</v>
      </c>
      <c r="Q690" s="12"/>
      <c r="R690" s="12"/>
      <c r="T690">
        <f t="shared" si="20"/>
        <v>8.7853528586726242</v>
      </c>
      <c r="U690" t="str">
        <f t="shared" si="21"/>
        <v>dead</v>
      </c>
    </row>
    <row r="691" spans="1:21">
      <c r="A691" s="12">
        <v>10</v>
      </c>
      <c r="B691" s="12">
        <v>10</v>
      </c>
      <c r="C691" s="11">
        <v>16.471613120300947</v>
      </c>
      <c r="D691" s="11">
        <v>13.888537465570909</v>
      </c>
      <c r="E691" s="11"/>
      <c r="F691" s="12">
        <v>112</v>
      </c>
      <c r="G691" s="12" t="s">
        <v>13</v>
      </c>
      <c r="H691" s="13">
        <v>27.6</v>
      </c>
      <c r="I691" s="14"/>
      <c r="J691" s="14">
        <v>30</v>
      </c>
      <c r="K691" s="14"/>
      <c r="L691" s="13">
        <v>6.3</v>
      </c>
      <c r="M691" s="13">
        <v>1.8</v>
      </c>
      <c r="P691" s="12" t="s">
        <v>14</v>
      </c>
      <c r="Q691" s="12"/>
      <c r="R691" s="12"/>
      <c r="T691">
        <f t="shared" si="20"/>
        <v>8.7853528586726242</v>
      </c>
      <c r="U691">
        <f t="shared" si="21"/>
        <v>9.5492965855137211</v>
      </c>
    </row>
    <row r="692" spans="1:21">
      <c r="A692" s="12">
        <v>50</v>
      </c>
      <c r="B692" s="12">
        <v>-30</v>
      </c>
      <c r="C692" s="11">
        <v>50.189114493623592</v>
      </c>
      <c r="D692" s="11">
        <v>-27.790330927717896</v>
      </c>
      <c r="E692" s="11"/>
      <c r="F692" s="12">
        <v>704</v>
      </c>
      <c r="G692" s="12" t="s">
        <v>13</v>
      </c>
      <c r="H692" s="13">
        <v>27.8</v>
      </c>
      <c r="I692" s="14"/>
      <c r="J692" s="14">
        <v>28.5</v>
      </c>
      <c r="K692" s="14"/>
      <c r="L692" s="13">
        <v>6.9</v>
      </c>
      <c r="M692" s="13">
        <v>2.2999999999999998</v>
      </c>
      <c r="P692" s="12" t="s">
        <v>14</v>
      </c>
      <c r="Q692" s="12"/>
      <c r="R692" s="12"/>
      <c r="T692">
        <f t="shared" si="20"/>
        <v>8.8490148359093812</v>
      </c>
      <c r="U692">
        <f t="shared" si="21"/>
        <v>9.0718317562380353</v>
      </c>
    </row>
    <row r="693" spans="1:21">
      <c r="A693" s="9">
        <v>20</v>
      </c>
      <c r="B693" s="9">
        <v>-10</v>
      </c>
      <c r="C693" s="11">
        <v>21.766250392445837</v>
      </c>
      <c r="D693" s="11">
        <v>-9.5225324628643904</v>
      </c>
      <c r="E693" s="11"/>
      <c r="F693" s="10">
        <v>411</v>
      </c>
      <c r="G693" s="12" t="s">
        <v>13</v>
      </c>
      <c r="H693" s="13">
        <v>28.3</v>
      </c>
      <c r="I693" s="14"/>
      <c r="J693" s="14" t="s">
        <v>70</v>
      </c>
      <c r="K693" s="14"/>
      <c r="L693" s="13">
        <v>4.4000000000000004</v>
      </c>
      <c r="M693" s="13">
        <v>2.2000000000000002</v>
      </c>
      <c r="P693" s="12" t="s">
        <v>14</v>
      </c>
      <c r="Q693" s="12"/>
      <c r="R693" s="12"/>
      <c r="T693">
        <f t="shared" si="20"/>
        <v>9.0081697790012765</v>
      </c>
      <c r="U693" t="str">
        <f t="shared" si="21"/>
        <v>dead</v>
      </c>
    </row>
    <row r="694" spans="1:21">
      <c r="A694" s="12">
        <v>10</v>
      </c>
      <c r="B694" s="12">
        <v>-50</v>
      </c>
      <c r="C694" s="11">
        <v>16.681584647994701</v>
      </c>
      <c r="D694" s="11">
        <v>-45.752622038059769</v>
      </c>
      <c r="E694" s="11"/>
      <c r="F694" s="12">
        <v>816</v>
      </c>
      <c r="G694" s="12" t="s">
        <v>11</v>
      </c>
      <c r="H694" s="13">
        <v>28.3</v>
      </c>
      <c r="I694" s="14"/>
      <c r="J694" s="14">
        <v>27.5</v>
      </c>
      <c r="K694" s="14"/>
      <c r="L694" s="13">
        <v>5.2</v>
      </c>
      <c r="M694" s="13">
        <v>2.6</v>
      </c>
      <c r="P694" s="12" t="s">
        <v>14</v>
      </c>
      <c r="Q694" s="12"/>
      <c r="R694" s="12" t="s">
        <v>55</v>
      </c>
      <c r="T694">
        <f t="shared" si="20"/>
        <v>9.0081697790012765</v>
      </c>
      <c r="U694">
        <f t="shared" si="21"/>
        <v>8.753521870054243</v>
      </c>
    </row>
    <row r="695" spans="1:21">
      <c r="A695" s="12">
        <v>20</v>
      </c>
      <c r="B695" s="12">
        <v>40</v>
      </c>
      <c r="C695" s="11">
        <v>25.842201321935772</v>
      </c>
      <c r="D695" s="11">
        <v>46.937837106330178</v>
      </c>
      <c r="E695" s="11"/>
      <c r="F695" s="10">
        <v>197</v>
      </c>
      <c r="G695" s="12" t="s">
        <v>13</v>
      </c>
      <c r="H695" s="13">
        <v>28.4</v>
      </c>
      <c r="I695" s="14"/>
      <c r="J695" s="14">
        <v>28.3</v>
      </c>
      <c r="K695" s="14"/>
      <c r="L695" s="13">
        <v>10.8</v>
      </c>
      <c r="M695" s="13">
        <v>3.7</v>
      </c>
      <c r="P695" s="12" t="s">
        <v>14</v>
      </c>
      <c r="Q695" s="12"/>
      <c r="R695" s="12"/>
      <c r="T695">
        <f t="shared" si="20"/>
        <v>9.0400007676196541</v>
      </c>
      <c r="U695">
        <f t="shared" si="21"/>
        <v>9.0081697790012765</v>
      </c>
    </row>
    <row r="696" spans="1:21">
      <c r="A696" s="12">
        <v>30</v>
      </c>
      <c r="B696" s="12">
        <v>10</v>
      </c>
      <c r="C696" s="11">
        <v>31.863786000705463</v>
      </c>
      <c r="D696" s="11">
        <v>17.937307162087787</v>
      </c>
      <c r="E696" s="11"/>
      <c r="F696" s="10">
        <v>221</v>
      </c>
      <c r="G696" s="12" t="s">
        <v>13</v>
      </c>
      <c r="H696" s="13">
        <v>28.7</v>
      </c>
      <c r="I696" s="14"/>
      <c r="J696" s="14">
        <v>25</v>
      </c>
      <c r="K696" s="14"/>
      <c r="L696" s="13">
        <v>7.4</v>
      </c>
      <c r="M696" s="13">
        <v>1.7</v>
      </c>
      <c r="P696" s="12" t="s">
        <v>14</v>
      </c>
      <c r="Q696" s="12"/>
      <c r="R696" s="12"/>
      <c r="T696">
        <f t="shared" si="20"/>
        <v>9.1354937334747923</v>
      </c>
      <c r="U696">
        <f t="shared" si="21"/>
        <v>7.9577471545947667</v>
      </c>
    </row>
    <row r="697" spans="1:21">
      <c r="A697" s="12">
        <v>10</v>
      </c>
      <c r="B697" s="12">
        <v>-50</v>
      </c>
      <c r="C697" s="11">
        <v>14.848486988509565</v>
      </c>
      <c r="D697" s="11">
        <v>-47.855632099558299</v>
      </c>
      <c r="E697" s="11"/>
      <c r="F697" s="10">
        <v>815</v>
      </c>
      <c r="G697" s="12" t="s">
        <v>11</v>
      </c>
      <c r="H697" s="13">
        <v>29.3</v>
      </c>
      <c r="I697" s="14"/>
      <c r="J697" s="14">
        <v>30.4</v>
      </c>
      <c r="K697" s="14"/>
      <c r="L697" s="13">
        <v>8.5</v>
      </c>
      <c r="M697" s="13">
        <v>1.7</v>
      </c>
      <c r="P697" s="12" t="s">
        <v>14</v>
      </c>
      <c r="Q697" s="12"/>
      <c r="R697" s="12"/>
      <c r="T697">
        <f t="shared" si="20"/>
        <v>9.326479665185067</v>
      </c>
      <c r="U697">
        <f t="shared" si="21"/>
        <v>9.6766205399872369</v>
      </c>
    </row>
    <row r="698" spans="1:21">
      <c r="A698" s="12">
        <v>30</v>
      </c>
      <c r="B698" s="12">
        <v>0</v>
      </c>
      <c r="C698" s="11">
        <v>35.804963619066001</v>
      </c>
      <c r="D698" s="11">
        <v>9.125</v>
      </c>
      <c r="E698" s="11"/>
      <c r="F698" s="10">
        <v>243</v>
      </c>
      <c r="G698" s="12" t="s">
        <v>11</v>
      </c>
      <c r="H698" s="13">
        <v>29.4</v>
      </c>
      <c r="I698" s="14"/>
      <c r="J698" s="14" t="s">
        <v>70</v>
      </c>
      <c r="K698" s="14"/>
      <c r="L698" s="13">
        <v>6.5</v>
      </c>
      <c r="M698" s="13"/>
      <c r="P698" s="12" t="s">
        <v>12</v>
      </c>
      <c r="Q698" s="12"/>
      <c r="R698" s="12"/>
      <c r="T698">
        <f t="shared" si="20"/>
        <v>9.3583106538034464</v>
      </c>
      <c r="U698" t="str">
        <f t="shared" si="21"/>
        <v>dead</v>
      </c>
    </row>
    <row r="699" spans="1:21">
      <c r="A699" s="12">
        <v>30</v>
      </c>
      <c r="B699" s="12">
        <v>0</v>
      </c>
      <c r="C699" s="11">
        <v>33.450797670107235</v>
      </c>
      <c r="D699" s="11">
        <v>6.101552428508481</v>
      </c>
      <c r="E699" s="11"/>
      <c r="F699" s="10">
        <v>257</v>
      </c>
      <c r="G699" s="12" t="s">
        <v>21</v>
      </c>
      <c r="H699" s="13">
        <v>29.5</v>
      </c>
      <c r="I699" s="14"/>
      <c r="J699" s="14">
        <v>31.3</v>
      </c>
      <c r="K699" s="14"/>
      <c r="L699" s="13">
        <v>10</v>
      </c>
      <c r="M699" s="13">
        <v>4.2</v>
      </c>
      <c r="P699" s="12" t="s">
        <v>14</v>
      </c>
      <c r="Q699" s="12"/>
      <c r="R699" s="12"/>
      <c r="T699">
        <f t="shared" si="20"/>
        <v>9.3901416424218258</v>
      </c>
      <c r="U699">
        <f t="shared" si="21"/>
        <v>9.963099437552648</v>
      </c>
    </row>
    <row r="700" spans="1:21">
      <c r="A700" s="12">
        <v>30</v>
      </c>
      <c r="B700" s="12">
        <v>-10</v>
      </c>
      <c r="C700" s="11">
        <v>34.217457461745369</v>
      </c>
      <c r="D700" s="11">
        <v>-7.32809023481785</v>
      </c>
      <c r="E700" s="11"/>
      <c r="F700" s="12">
        <v>430</v>
      </c>
      <c r="G700" s="12" t="s">
        <v>13</v>
      </c>
      <c r="H700" s="13">
        <v>29.5</v>
      </c>
      <c r="I700" s="14"/>
      <c r="J700" s="14">
        <v>29.7</v>
      </c>
      <c r="K700" s="14"/>
      <c r="L700" s="13">
        <v>8.6</v>
      </c>
      <c r="M700" s="13">
        <v>3.3</v>
      </c>
      <c r="P700" s="12" t="s">
        <v>14</v>
      </c>
      <c r="Q700" s="12"/>
      <c r="R700" s="12" t="s">
        <v>35</v>
      </c>
      <c r="T700">
        <f t="shared" si="20"/>
        <v>9.3901416424218258</v>
      </c>
      <c r="U700">
        <f t="shared" si="21"/>
        <v>9.4538036196585828</v>
      </c>
    </row>
    <row r="701" spans="1:21">
      <c r="A701" s="12">
        <v>50</v>
      </c>
      <c r="B701" s="12">
        <v>-30</v>
      </c>
      <c r="C701" s="11">
        <v>50.122764376874976</v>
      </c>
      <c r="D701" s="11">
        <v>-27.684136505344721</v>
      </c>
      <c r="E701" s="11"/>
      <c r="F701" s="12">
        <v>702</v>
      </c>
      <c r="G701" s="12" t="s">
        <v>13</v>
      </c>
      <c r="H701" s="13">
        <v>29.7</v>
      </c>
      <c r="I701" s="14"/>
      <c r="J701" s="14">
        <v>30.3</v>
      </c>
      <c r="K701" s="14"/>
      <c r="L701" s="13">
        <v>11</v>
      </c>
      <c r="M701" s="13">
        <v>4.0999999999999996</v>
      </c>
      <c r="P701" s="12" t="s">
        <v>14</v>
      </c>
      <c r="Q701" s="12"/>
      <c r="R701" s="12" t="s">
        <v>50</v>
      </c>
      <c r="T701">
        <f t="shared" si="20"/>
        <v>9.4538036196585828</v>
      </c>
      <c r="U701">
        <f t="shared" si="21"/>
        <v>9.6447895513688575</v>
      </c>
    </row>
    <row r="702" spans="1:21">
      <c r="A702" s="12">
        <v>20</v>
      </c>
      <c r="B702" s="12">
        <v>-30</v>
      </c>
      <c r="C702" s="11">
        <v>24.978339189507665</v>
      </c>
      <c r="D702" s="11">
        <v>-25.942333102777518</v>
      </c>
      <c r="E702" s="11"/>
      <c r="F702" s="10">
        <v>647</v>
      </c>
      <c r="G702" s="12" t="s">
        <v>13</v>
      </c>
      <c r="H702" s="13">
        <v>30</v>
      </c>
      <c r="I702" s="14"/>
      <c r="J702" s="14">
        <v>31.2</v>
      </c>
      <c r="K702" s="14"/>
      <c r="L702" s="13">
        <v>7.9</v>
      </c>
      <c r="M702" s="13">
        <v>3.3</v>
      </c>
      <c r="P702" s="12" t="s">
        <v>14</v>
      </c>
      <c r="Q702" s="12"/>
      <c r="R702" s="12"/>
      <c r="T702">
        <f t="shared" si="20"/>
        <v>9.5492965855137211</v>
      </c>
      <c r="U702">
        <f t="shared" si="21"/>
        <v>9.9312684489342686</v>
      </c>
    </row>
    <row r="703" spans="1:21">
      <c r="A703" s="9">
        <v>0</v>
      </c>
      <c r="B703" s="12">
        <v>10</v>
      </c>
      <c r="C703" s="11">
        <v>9.9838034761087275</v>
      </c>
      <c r="D703" s="11">
        <v>12.319943463236516</v>
      </c>
      <c r="E703" s="11"/>
      <c r="F703" s="12">
        <v>18</v>
      </c>
      <c r="G703" s="12" t="s">
        <v>11</v>
      </c>
      <c r="H703" s="13">
        <v>30.5</v>
      </c>
      <c r="I703" s="14"/>
      <c r="J703" s="31" t="s">
        <v>70</v>
      </c>
      <c r="K703" s="14"/>
      <c r="L703" s="13">
        <v>7.6</v>
      </c>
      <c r="M703" s="13"/>
      <c r="P703" s="12" t="s">
        <v>12</v>
      </c>
      <c r="Q703" s="12"/>
      <c r="R703" s="12"/>
      <c r="T703">
        <f t="shared" si="20"/>
        <v>9.7084515286056163</v>
      </c>
      <c r="U703" t="str">
        <f t="shared" si="21"/>
        <v>dead</v>
      </c>
    </row>
    <row r="704" spans="1:21">
      <c r="A704" s="12">
        <v>40</v>
      </c>
      <c r="B704" s="12">
        <v>-50</v>
      </c>
      <c r="C704" s="11">
        <v>46.484910842853935</v>
      </c>
      <c r="D704" s="11">
        <v>-41.761911280466606</v>
      </c>
      <c r="E704" s="11"/>
      <c r="F704" s="12">
        <v>830</v>
      </c>
      <c r="G704" s="12" t="s">
        <v>11</v>
      </c>
      <c r="H704" s="13">
        <v>31</v>
      </c>
      <c r="I704" s="14"/>
      <c r="J704" s="14">
        <v>33.9</v>
      </c>
      <c r="K704" s="14"/>
      <c r="L704" s="13">
        <v>6.6</v>
      </c>
      <c r="M704" s="13">
        <v>1.8</v>
      </c>
      <c r="P704" s="12" t="s">
        <v>14</v>
      </c>
      <c r="Q704" s="12"/>
      <c r="R704" s="12"/>
      <c r="T704">
        <f t="shared" si="20"/>
        <v>9.8676064716975116</v>
      </c>
      <c r="U704">
        <f t="shared" si="21"/>
        <v>10.790705141630504</v>
      </c>
    </row>
    <row r="705" spans="1:21">
      <c r="A705" s="12">
        <v>30</v>
      </c>
      <c r="B705" s="12">
        <v>-10</v>
      </c>
      <c r="C705" s="11">
        <v>34.096027688842931</v>
      </c>
      <c r="D705" s="11">
        <v>-6.9396714311873886</v>
      </c>
      <c r="E705" s="11"/>
      <c r="F705" s="10">
        <v>431</v>
      </c>
      <c r="G705" s="12" t="s">
        <v>13</v>
      </c>
      <c r="H705" s="13">
        <v>31.2</v>
      </c>
      <c r="I705" s="14"/>
      <c r="J705" s="14" t="s">
        <v>70</v>
      </c>
      <c r="K705" s="14"/>
      <c r="L705" s="13">
        <v>3.4</v>
      </c>
      <c r="M705" s="13"/>
      <c r="P705" s="12" t="s">
        <v>12</v>
      </c>
      <c r="Q705" s="12"/>
      <c r="R705" s="12"/>
      <c r="T705">
        <f t="shared" si="20"/>
        <v>9.9312684489342686</v>
      </c>
      <c r="U705" t="str">
        <f t="shared" si="21"/>
        <v>dead</v>
      </c>
    </row>
    <row r="706" spans="1:21">
      <c r="A706" s="12">
        <v>30</v>
      </c>
      <c r="B706" s="12">
        <v>10</v>
      </c>
      <c r="C706" s="11">
        <v>33.173371849837416</v>
      </c>
      <c r="D706" s="11">
        <v>11.088136496632174</v>
      </c>
      <c r="E706" s="11"/>
      <c r="F706" s="12">
        <v>236</v>
      </c>
      <c r="G706" s="12" t="s">
        <v>11</v>
      </c>
      <c r="H706" s="13">
        <v>31.4</v>
      </c>
      <c r="I706" s="14"/>
      <c r="J706" s="14" t="s">
        <v>70</v>
      </c>
      <c r="K706" s="14"/>
      <c r="L706" s="13">
        <v>1.6</v>
      </c>
      <c r="M706" s="13"/>
      <c r="P706" s="12" t="s">
        <v>12</v>
      </c>
      <c r="Q706" s="12"/>
      <c r="R706" s="12" t="s">
        <v>16</v>
      </c>
      <c r="T706">
        <f t="shared" ref="T706:T769" si="22">IF(H706="",I706,H706/PI())</f>
        <v>9.9949304261710274</v>
      </c>
      <c r="U706" t="str">
        <f t="shared" ref="U706:U769" si="23">IF(J706="dead","dead",J706/PI()+K706)</f>
        <v>dead</v>
      </c>
    </row>
    <row r="707" spans="1:21">
      <c r="A707" s="12">
        <v>10</v>
      </c>
      <c r="B707" s="12">
        <v>-50</v>
      </c>
      <c r="C707" s="11">
        <v>13.313416888113256</v>
      </c>
      <c r="D707" s="11">
        <v>-46.262995010997308</v>
      </c>
      <c r="E707" s="11"/>
      <c r="F707" s="10">
        <v>813</v>
      </c>
      <c r="G707" s="12" t="s">
        <v>11</v>
      </c>
      <c r="H707" s="13">
        <v>31.6</v>
      </c>
      <c r="I707" s="14"/>
      <c r="J707" s="14">
        <v>32.299999999999997</v>
      </c>
      <c r="K707" s="14"/>
      <c r="L707" s="13">
        <v>7.9</v>
      </c>
      <c r="M707" s="13">
        <v>3.4</v>
      </c>
      <c r="P707" s="12" t="s">
        <v>14</v>
      </c>
      <c r="Q707" s="12"/>
      <c r="R707" s="12"/>
      <c r="T707">
        <f t="shared" si="22"/>
        <v>10.058592403407786</v>
      </c>
      <c r="U707">
        <f t="shared" si="23"/>
        <v>10.281409323736439</v>
      </c>
    </row>
    <row r="708" spans="1:21">
      <c r="A708" s="12">
        <v>30</v>
      </c>
      <c r="B708" s="12">
        <v>0</v>
      </c>
      <c r="C708" s="11">
        <v>32.364956775153857</v>
      </c>
      <c r="D708" s="11">
        <v>6.71362375685269</v>
      </c>
      <c r="E708" s="11"/>
      <c r="F708" s="10">
        <v>255</v>
      </c>
      <c r="G708" s="12" t="s">
        <v>21</v>
      </c>
      <c r="H708" s="13">
        <v>31.8</v>
      </c>
      <c r="I708" s="14"/>
      <c r="J708" s="14">
        <v>33.4</v>
      </c>
      <c r="K708" s="14"/>
      <c r="L708" s="13">
        <v>10.199999999999999</v>
      </c>
      <c r="M708" s="13">
        <v>3.3</v>
      </c>
      <c r="P708" s="12" t="s">
        <v>14</v>
      </c>
      <c r="Q708" s="12"/>
      <c r="R708" s="12"/>
      <c r="T708">
        <f t="shared" si="22"/>
        <v>10.122254380644543</v>
      </c>
      <c r="U708">
        <f t="shared" si="23"/>
        <v>10.631550198538608</v>
      </c>
    </row>
    <row r="709" spans="1:21">
      <c r="A709" s="12">
        <v>20</v>
      </c>
      <c r="B709" s="12">
        <v>-30</v>
      </c>
      <c r="C709" s="11">
        <v>24.426142049030712</v>
      </c>
      <c r="D709" s="11">
        <v>-26.190396396226696</v>
      </c>
      <c r="E709" s="11"/>
      <c r="F709" s="12">
        <v>644</v>
      </c>
      <c r="G709" s="12" t="s">
        <v>13</v>
      </c>
      <c r="H709" s="13">
        <v>32.299999999999997</v>
      </c>
      <c r="I709" s="14"/>
      <c r="J709" s="14">
        <v>33.200000000000003</v>
      </c>
      <c r="K709" s="14"/>
      <c r="L709" s="13">
        <v>7.9</v>
      </c>
      <c r="M709" s="13">
        <v>2.7</v>
      </c>
      <c r="P709" s="12" t="s">
        <v>14</v>
      </c>
      <c r="Q709" s="12"/>
      <c r="R709" s="12"/>
      <c r="T709">
        <f t="shared" si="22"/>
        <v>10.281409323736439</v>
      </c>
      <c r="U709">
        <f t="shared" si="23"/>
        <v>10.567888221301851</v>
      </c>
    </row>
    <row r="710" spans="1:21">
      <c r="A710" s="9">
        <v>20</v>
      </c>
      <c r="B710" s="9">
        <v>-10</v>
      </c>
      <c r="C710" s="11">
        <v>28.096502686916914</v>
      </c>
      <c r="D710" s="11">
        <v>-4.7002215407223211</v>
      </c>
      <c r="E710" s="11"/>
      <c r="F710" s="12">
        <v>418</v>
      </c>
      <c r="G710" s="12" t="s">
        <v>13</v>
      </c>
      <c r="H710" s="13">
        <v>32.4</v>
      </c>
      <c r="I710" s="14"/>
      <c r="J710" s="14">
        <v>30.4</v>
      </c>
      <c r="K710" s="14"/>
      <c r="L710" s="13">
        <v>6.1</v>
      </c>
      <c r="M710" s="13">
        <v>2.4</v>
      </c>
      <c r="P710" s="12" t="s">
        <v>14</v>
      </c>
      <c r="Q710" s="12"/>
      <c r="R710" s="12"/>
      <c r="S710" t="s">
        <v>89</v>
      </c>
      <c r="T710">
        <f t="shared" si="22"/>
        <v>10.313240312354818</v>
      </c>
      <c r="U710">
        <f t="shared" si="23"/>
        <v>9.6766205399872369</v>
      </c>
    </row>
    <row r="711" spans="1:21">
      <c r="A711" s="12">
        <v>20</v>
      </c>
      <c r="B711" s="12">
        <v>0</v>
      </c>
      <c r="C711" s="11">
        <v>23.975649436810265</v>
      </c>
      <c r="D711" s="11">
        <v>3.1623743541191063</v>
      </c>
      <c r="E711" s="11"/>
      <c r="F711" s="10">
        <v>121</v>
      </c>
      <c r="G711" s="12" t="s">
        <v>21</v>
      </c>
      <c r="H711" s="13">
        <v>32.5</v>
      </c>
      <c r="I711" s="14"/>
      <c r="J711" s="14">
        <v>33.1</v>
      </c>
      <c r="K711" s="14"/>
      <c r="L711" s="13">
        <v>9.9</v>
      </c>
      <c r="M711" s="13">
        <v>2.6</v>
      </c>
      <c r="P711" s="12" t="s">
        <v>14</v>
      </c>
      <c r="Q711" s="12"/>
      <c r="R711" s="12"/>
      <c r="T711">
        <f t="shared" si="22"/>
        <v>10.345071300973197</v>
      </c>
      <c r="U711">
        <f t="shared" si="23"/>
        <v>10.536057232683472</v>
      </c>
    </row>
    <row r="712" spans="1:21">
      <c r="A712" s="12">
        <v>30</v>
      </c>
      <c r="B712" s="12">
        <v>-10</v>
      </c>
      <c r="C712" s="11">
        <v>35.122213435174388</v>
      </c>
      <c r="D712" s="11">
        <v>-6.1890554677341747</v>
      </c>
      <c r="E712" s="28"/>
      <c r="F712" s="33">
        <v>433</v>
      </c>
      <c r="G712" s="18" t="s">
        <v>21</v>
      </c>
      <c r="H712" s="19">
        <v>32.5</v>
      </c>
      <c r="I712" s="20"/>
      <c r="J712" s="20">
        <v>34</v>
      </c>
      <c r="K712" s="20"/>
      <c r="L712" s="19">
        <v>9.1999999999999993</v>
      </c>
      <c r="M712" s="19">
        <v>3.3</v>
      </c>
      <c r="P712" s="18" t="s">
        <v>14</v>
      </c>
      <c r="Q712" s="18"/>
      <c r="R712" s="18"/>
      <c r="T712">
        <f t="shared" si="22"/>
        <v>10.345071300973197</v>
      </c>
      <c r="U712">
        <f t="shared" si="23"/>
        <v>10.822536130248883</v>
      </c>
    </row>
    <row r="713" spans="1:21">
      <c r="A713" s="9">
        <v>0</v>
      </c>
      <c r="B713" s="12">
        <v>10</v>
      </c>
      <c r="C713" s="11">
        <v>6.8999120717316238</v>
      </c>
      <c r="D713" s="11">
        <v>17.634595918383937</v>
      </c>
      <c r="E713" s="11"/>
      <c r="F713" s="12">
        <v>20</v>
      </c>
      <c r="G713" s="12" t="s">
        <v>13</v>
      </c>
      <c r="H713" s="13">
        <v>32.700000000000003</v>
      </c>
      <c r="I713" s="14"/>
      <c r="J713" s="14">
        <v>35.9</v>
      </c>
      <c r="K713" s="14"/>
      <c r="L713" s="13">
        <v>8.1999999999999993</v>
      </c>
      <c r="M713" s="13">
        <v>2.7</v>
      </c>
      <c r="P713" s="12" t="s">
        <v>14</v>
      </c>
      <c r="Q713" s="12"/>
      <c r="R713" s="12"/>
      <c r="T713">
        <f t="shared" si="22"/>
        <v>10.408733278209956</v>
      </c>
      <c r="U713">
        <f t="shared" si="23"/>
        <v>11.427324913998085</v>
      </c>
    </row>
    <row r="714" spans="1:21">
      <c r="A714" s="12">
        <v>20</v>
      </c>
      <c r="B714" s="12">
        <v>30</v>
      </c>
      <c r="C714" s="11">
        <v>20.652257610790159</v>
      </c>
      <c r="D714" s="11">
        <v>33.794183372901976</v>
      </c>
      <c r="E714" s="11"/>
      <c r="F714" s="12">
        <v>176</v>
      </c>
      <c r="G714" s="12" t="s">
        <v>13</v>
      </c>
      <c r="H714" s="13">
        <v>32.799999999999997</v>
      </c>
      <c r="I714" s="14"/>
      <c r="J714" s="14">
        <v>35.299999999999997</v>
      </c>
      <c r="K714" s="14"/>
      <c r="L714" s="13">
        <v>9.9</v>
      </c>
      <c r="M714" s="13">
        <v>2.8</v>
      </c>
      <c r="P714" s="12" t="s">
        <v>14</v>
      </c>
      <c r="Q714" s="12"/>
      <c r="R714" s="12"/>
      <c r="T714">
        <f t="shared" si="22"/>
        <v>10.440564266828334</v>
      </c>
      <c r="U714">
        <f t="shared" si="23"/>
        <v>11.23633898228781</v>
      </c>
    </row>
    <row r="715" spans="1:21">
      <c r="A715" s="12">
        <v>30</v>
      </c>
      <c r="B715" s="12">
        <v>10</v>
      </c>
      <c r="C715" s="11">
        <v>34.695315057578405</v>
      </c>
      <c r="D715" s="11">
        <v>13.584665518456774</v>
      </c>
      <c r="E715" s="11"/>
      <c r="F715" s="12">
        <v>232</v>
      </c>
      <c r="G715" s="12" t="s">
        <v>11</v>
      </c>
      <c r="H715" s="13">
        <v>32.799999999999997</v>
      </c>
      <c r="I715" s="14"/>
      <c r="J715" s="14" t="s">
        <v>70</v>
      </c>
      <c r="K715" s="14"/>
      <c r="L715" s="13">
        <v>8.3000000000000007</v>
      </c>
      <c r="M715" s="13"/>
      <c r="P715" s="12" t="s">
        <v>12</v>
      </c>
      <c r="Q715" s="12"/>
      <c r="R715" s="12"/>
      <c r="T715">
        <f t="shared" si="22"/>
        <v>10.440564266828334</v>
      </c>
      <c r="U715" t="str">
        <f t="shared" si="23"/>
        <v>dead</v>
      </c>
    </row>
    <row r="716" spans="1:21">
      <c r="A716" s="12">
        <v>40</v>
      </c>
      <c r="B716" s="12">
        <v>-50</v>
      </c>
      <c r="C716" s="11">
        <v>44.973961314677979</v>
      </c>
      <c r="D716" s="11">
        <v>-49.889621268789163</v>
      </c>
      <c r="E716" s="11"/>
      <c r="F716" s="10">
        <v>827</v>
      </c>
      <c r="G716" s="12" t="s">
        <v>11</v>
      </c>
      <c r="H716" s="13">
        <v>32.799999999999997</v>
      </c>
      <c r="I716" s="14"/>
      <c r="J716" s="14">
        <v>33.9</v>
      </c>
      <c r="K716" s="14"/>
      <c r="L716" s="13">
        <v>8.8000000000000007</v>
      </c>
      <c r="M716" s="13">
        <v>4.4000000000000004</v>
      </c>
      <c r="P716" s="12" t="s">
        <v>14</v>
      </c>
      <c r="Q716" s="12"/>
      <c r="R716" s="12"/>
      <c r="T716">
        <f t="shared" si="22"/>
        <v>10.440564266828334</v>
      </c>
      <c r="U716">
        <f t="shared" si="23"/>
        <v>10.790705141630504</v>
      </c>
    </row>
    <row r="717" spans="1:21">
      <c r="A717" s="12">
        <v>20</v>
      </c>
      <c r="B717" s="12">
        <v>-50</v>
      </c>
      <c r="C717" s="11">
        <v>26.290903973680571</v>
      </c>
      <c r="D717" s="11">
        <v>-49.394254844072186</v>
      </c>
      <c r="E717" s="11"/>
      <c r="F717" s="12">
        <v>820</v>
      </c>
      <c r="G717" s="12" t="s">
        <v>11</v>
      </c>
      <c r="H717" s="13">
        <v>33</v>
      </c>
      <c r="I717" s="14"/>
      <c r="J717" s="14">
        <v>33.299999999999997</v>
      </c>
      <c r="K717" s="14"/>
      <c r="L717" s="13">
        <v>9.1999999999999993</v>
      </c>
      <c r="M717" s="13">
        <v>4.9000000000000004</v>
      </c>
      <c r="P717" s="12" t="s">
        <v>14</v>
      </c>
      <c r="Q717" s="12"/>
      <c r="R717" s="12"/>
      <c r="T717">
        <f t="shared" si="22"/>
        <v>10.504226244065093</v>
      </c>
      <c r="U717">
        <f t="shared" si="23"/>
        <v>10.599719209920229</v>
      </c>
    </row>
    <row r="718" spans="1:21">
      <c r="A718" s="12">
        <v>20</v>
      </c>
      <c r="B718" s="12">
        <v>40</v>
      </c>
      <c r="C718" s="11">
        <v>26.645579839866279</v>
      </c>
      <c r="D718" s="11">
        <v>47.052118021698369</v>
      </c>
      <c r="E718" s="11"/>
      <c r="F718" s="10">
        <v>191</v>
      </c>
      <c r="G718" s="12" t="s">
        <v>13</v>
      </c>
      <c r="H718" s="13">
        <v>33.200000000000003</v>
      </c>
      <c r="I718" s="14"/>
      <c r="J718" s="14">
        <v>33.799999999999997</v>
      </c>
      <c r="K718" s="14"/>
      <c r="L718" s="13">
        <v>9.5</v>
      </c>
      <c r="M718" s="13">
        <v>3.6</v>
      </c>
      <c r="P718" s="12" t="s">
        <v>14</v>
      </c>
      <c r="Q718" s="12"/>
      <c r="R718" s="12"/>
      <c r="T718">
        <f t="shared" si="22"/>
        <v>10.567888221301851</v>
      </c>
      <c r="U718">
        <f t="shared" si="23"/>
        <v>10.758874153012124</v>
      </c>
    </row>
    <row r="719" spans="1:21">
      <c r="A719" s="9">
        <v>20</v>
      </c>
      <c r="B719" s="9">
        <v>-10</v>
      </c>
      <c r="C719" s="11">
        <v>27.496033648053988</v>
      </c>
      <c r="D719" s="11">
        <v>-9.3665763902395547</v>
      </c>
      <c r="E719" s="11"/>
      <c r="F719" s="12">
        <v>420</v>
      </c>
      <c r="G719" s="12" t="s">
        <v>11</v>
      </c>
      <c r="H719" s="13">
        <v>33.4</v>
      </c>
      <c r="I719" s="14"/>
      <c r="J719" s="14" t="s">
        <v>70</v>
      </c>
      <c r="K719" s="14"/>
      <c r="L719" s="13">
        <v>7.7</v>
      </c>
      <c r="M719" s="13">
        <v>0.7</v>
      </c>
      <c r="P719" s="12" t="s">
        <v>14</v>
      </c>
      <c r="Q719" s="12"/>
      <c r="R719" s="12"/>
      <c r="T719">
        <f t="shared" si="22"/>
        <v>10.631550198538608</v>
      </c>
      <c r="U719" t="str">
        <f t="shared" si="23"/>
        <v>dead</v>
      </c>
    </row>
    <row r="720" spans="1:21">
      <c r="A720" s="9">
        <v>0</v>
      </c>
      <c r="B720" s="12">
        <v>40</v>
      </c>
      <c r="C720" s="11">
        <v>2.0941290288313348</v>
      </c>
      <c r="D720" s="11">
        <v>41.357580003610096</v>
      </c>
      <c r="E720" s="11"/>
      <c r="F720" s="12">
        <v>68</v>
      </c>
      <c r="G720" s="12" t="s">
        <v>11</v>
      </c>
      <c r="H720" s="13">
        <v>33.5</v>
      </c>
      <c r="I720" s="14"/>
      <c r="J720" s="14" t="s">
        <v>70</v>
      </c>
      <c r="K720" s="14"/>
      <c r="L720" s="13">
        <v>2.2000000000000002</v>
      </c>
      <c r="M720" s="13"/>
      <c r="P720" s="12" t="s">
        <v>12</v>
      </c>
      <c r="Q720" s="12"/>
      <c r="R720" s="12" t="s">
        <v>16</v>
      </c>
      <c r="T720">
        <f t="shared" si="22"/>
        <v>10.663381187156988</v>
      </c>
      <c r="U720" t="str">
        <f t="shared" si="23"/>
        <v>dead</v>
      </c>
    </row>
    <row r="721" spans="1:21">
      <c r="A721" s="12">
        <v>20</v>
      </c>
      <c r="B721" s="12">
        <v>30</v>
      </c>
      <c r="C721" s="11">
        <v>20.978472868674029</v>
      </c>
      <c r="D721" s="11">
        <v>33.95872605775331</v>
      </c>
      <c r="E721" s="11"/>
      <c r="F721" s="10">
        <v>179</v>
      </c>
      <c r="G721" s="12" t="s">
        <v>13</v>
      </c>
      <c r="H721" s="13">
        <v>33.5</v>
      </c>
      <c r="I721" s="14"/>
      <c r="J721" s="14" t="s">
        <v>70</v>
      </c>
      <c r="K721" s="14"/>
      <c r="L721" s="13">
        <v>6.8</v>
      </c>
      <c r="M721" s="13"/>
      <c r="P721" s="12" t="s">
        <v>12</v>
      </c>
      <c r="Q721" s="12"/>
      <c r="R721" s="12" t="s">
        <v>16</v>
      </c>
      <c r="T721">
        <f t="shared" si="22"/>
        <v>10.663381187156988</v>
      </c>
      <c r="U721" t="str">
        <f t="shared" si="23"/>
        <v>dead</v>
      </c>
    </row>
    <row r="722" spans="1:21">
      <c r="A722" s="12">
        <v>30</v>
      </c>
      <c r="B722" s="12">
        <v>10</v>
      </c>
      <c r="C722" s="11">
        <v>31.896743692831674</v>
      </c>
      <c r="D722" s="11">
        <v>17.510168004924175</v>
      </c>
      <c r="E722" s="11"/>
      <c r="F722" s="12">
        <v>1000</v>
      </c>
      <c r="G722" s="12" t="s">
        <v>13</v>
      </c>
      <c r="H722" s="13">
        <v>34.5</v>
      </c>
      <c r="I722" s="14"/>
      <c r="J722" s="14">
        <v>34.4</v>
      </c>
      <c r="K722" s="14"/>
      <c r="L722" s="13">
        <v>7.6</v>
      </c>
      <c r="M722" s="13">
        <v>3.4</v>
      </c>
      <c r="P722" s="12" t="s">
        <v>14</v>
      </c>
      <c r="Q722" s="12"/>
      <c r="R722" s="12" t="s">
        <v>65</v>
      </c>
      <c r="S722" t="s">
        <v>87</v>
      </c>
      <c r="T722">
        <f t="shared" si="22"/>
        <v>10.981691073340778</v>
      </c>
      <c r="U722">
        <f t="shared" si="23"/>
        <v>10.949860084722399</v>
      </c>
    </row>
    <row r="723" spans="1:21">
      <c r="A723" s="9">
        <v>0</v>
      </c>
      <c r="B723" s="12">
        <v>10</v>
      </c>
      <c r="C723" s="11">
        <v>6.9093167736498451</v>
      </c>
      <c r="D723" s="11">
        <v>17.281193390808802</v>
      </c>
      <c r="E723" s="11"/>
      <c r="F723" s="10">
        <v>19</v>
      </c>
      <c r="G723" s="12" t="s">
        <v>13</v>
      </c>
      <c r="H723" s="13">
        <v>34.700000000000003</v>
      </c>
      <c r="I723" s="14"/>
      <c r="J723" s="14" t="s">
        <v>70</v>
      </c>
      <c r="K723" s="14"/>
      <c r="L723" s="13">
        <v>5</v>
      </c>
      <c r="M723" s="13"/>
      <c r="P723" s="12" t="s">
        <v>12</v>
      </c>
      <c r="Q723" s="12"/>
      <c r="R723" s="12" t="s">
        <v>16</v>
      </c>
      <c r="T723">
        <f t="shared" si="22"/>
        <v>11.045353050577537</v>
      </c>
      <c r="U723" t="str">
        <f t="shared" si="23"/>
        <v>dead</v>
      </c>
    </row>
    <row r="724" spans="1:21">
      <c r="A724" s="12">
        <v>40</v>
      </c>
      <c r="B724" s="12">
        <v>10</v>
      </c>
      <c r="C724" s="11">
        <v>49.999878153155805</v>
      </c>
      <c r="D724" s="11">
        <v>19.930186971695527</v>
      </c>
      <c r="E724" s="11"/>
      <c r="F724" s="10">
        <v>285</v>
      </c>
      <c r="G724" s="12" t="s">
        <v>11</v>
      </c>
      <c r="H724" s="13">
        <v>34.700000000000003</v>
      </c>
      <c r="I724" s="14"/>
      <c r="J724" s="14" t="s">
        <v>70</v>
      </c>
      <c r="K724" s="14"/>
      <c r="L724" s="13">
        <v>7.4</v>
      </c>
      <c r="M724" s="13">
        <v>1.6</v>
      </c>
      <c r="P724" s="12" t="s">
        <v>14</v>
      </c>
      <c r="Q724" s="12"/>
      <c r="R724" s="12"/>
      <c r="T724">
        <f t="shared" si="22"/>
        <v>11.045353050577537</v>
      </c>
      <c r="U724" t="str">
        <f t="shared" si="23"/>
        <v>dead</v>
      </c>
    </row>
    <row r="725" spans="1:21">
      <c r="A725" s="12">
        <v>40</v>
      </c>
      <c r="B725" s="12">
        <v>-50</v>
      </c>
      <c r="C725" s="11">
        <v>43.173974312698384</v>
      </c>
      <c r="D725" s="11">
        <v>-48.816052805101094</v>
      </c>
      <c r="E725" s="11"/>
      <c r="F725" s="12">
        <v>824</v>
      </c>
      <c r="G725" s="12" t="s">
        <v>11</v>
      </c>
      <c r="H725" s="13">
        <v>34.799999999999997</v>
      </c>
      <c r="I725" s="14"/>
      <c r="J725" s="14">
        <v>36</v>
      </c>
      <c r="K725" s="14"/>
      <c r="L725" s="13">
        <v>8.3000000000000007</v>
      </c>
      <c r="M725" s="13">
        <v>3.2</v>
      </c>
      <c r="P725" s="12" t="s">
        <v>14</v>
      </c>
      <c r="Q725" s="12"/>
      <c r="R725" s="12"/>
      <c r="T725">
        <f t="shared" si="22"/>
        <v>11.077184039195915</v>
      </c>
      <c r="U725">
        <f t="shared" si="23"/>
        <v>11.459155902616464</v>
      </c>
    </row>
    <row r="726" spans="1:21">
      <c r="A726" s="12">
        <v>20</v>
      </c>
      <c r="B726" s="12">
        <v>10</v>
      </c>
      <c r="C726" s="11">
        <v>23.904153440943681</v>
      </c>
      <c r="D726" s="11">
        <v>10.785104816809508</v>
      </c>
      <c r="E726" s="11"/>
      <c r="F726" s="10">
        <v>139</v>
      </c>
      <c r="G726" s="12" t="s">
        <v>13</v>
      </c>
      <c r="H726" s="13">
        <v>35</v>
      </c>
      <c r="I726" s="14"/>
      <c r="J726" s="14">
        <v>36.299999999999997</v>
      </c>
      <c r="K726" s="14"/>
      <c r="L726" s="13">
        <v>1.6</v>
      </c>
      <c r="M726" s="13">
        <v>0.4</v>
      </c>
      <c r="P726" s="12" t="s">
        <v>14</v>
      </c>
      <c r="Q726" s="12"/>
      <c r="R726" s="12"/>
      <c r="T726">
        <f t="shared" si="22"/>
        <v>11.140846016432674</v>
      </c>
      <c r="U726">
        <f t="shared" si="23"/>
        <v>11.554648868471601</v>
      </c>
    </row>
    <row r="727" spans="1:21">
      <c r="A727" s="12">
        <v>40</v>
      </c>
      <c r="B727" s="12">
        <v>20</v>
      </c>
      <c r="C727" s="11">
        <v>48.295744434881712</v>
      </c>
      <c r="D727" s="11">
        <v>26.804126363721846</v>
      </c>
      <c r="E727" s="11"/>
      <c r="F727" s="12">
        <v>288</v>
      </c>
      <c r="G727" s="12" t="s">
        <v>11</v>
      </c>
      <c r="H727" s="13">
        <v>35</v>
      </c>
      <c r="I727" s="14"/>
      <c r="J727" s="14" t="s">
        <v>70</v>
      </c>
      <c r="K727" s="14"/>
      <c r="L727" s="13">
        <v>9.8000000000000007</v>
      </c>
      <c r="M727" s="13"/>
      <c r="P727" s="12" t="s">
        <v>12</v>
      </c>
      <c r="Q727" s="12"/>
      <c r="R727" s="12"/>
      <c r="T727">
        <f t="shared" si="22"/>
        <v>11.140846016432674</v>
      </c>
      <c r="U727" t="str">
        <f t="shared" si="23"/>
        <v>dead</v>
      </c>
    </row>
    <row r="728" spans="1:21">
      <c r="A728" s="12">
        <v>30</v>
      </c>
      <c r="B728" s="12">
        <v>0</v>
      </c>
      <c r="C728" s="11">
        <v>31.285787071530518</v>
      </c>
      <c r="D728" s="11">
        <v>8.1996042694799964</v>
      </c>
      <c r="E728" s="11"/>
      <c r="F728" s="12">
        <v>128</v>
      </c>
      <c r="G728" s="12" t="s">
        <v>21</v>
      </c>
      <c r="H728" s="13">
        <v>35.1</v>
      </c>
      <c r="I728" s="14"/>
      <c r="J728" s="14">
        <v>38</v>
      </c>
      <c r="K728" s="14"/>
      <c r="L728" s="13">
        <v>11</v>
      </c>
      <c r="M728" s="13">
        <v>3.2</v>
      </c>
      <c r="P728" s="12" t="s">
        <v>14</v>
      </c>
      <c r="Q728" s="12"/>
      <c r="R728" s="12"/>
      <c r="T728">
        <f t="shared" si="22"/>
        <v>11.172677005051053</v>
      </c>
      <c r="U728">
        <f t="shared" si="23"/>
        <v>12.095775674984045</v>
      </c>
    </row>
    <row r="729" spans="1:21">
      <c r="A729" s="12">
        <v>10</v>
      </c>
      <c r="B729" s="12">
        <v>-20</v>
      </c>
      <c r="C729" s="11">
        <v>16.117883851958656</v>
      </c>
      <c r="D729" s="11">
        <v>-12.281271204847481</v>
      </c>
      <c r="E729" s="11"/>
      <c r="F729" s="10">
        <v>575</v>
      </c>
      <c r="G729" s="12" t="s">
        <v>13</v>
      </c>
      <c r="H729" s="13">
        <v>35.200000000000003</v>
      </c>
      <c r="I729" s="14"/>
      <c r="J729" s="14">
        <v>36.1</v>
      </c>
      <c r="K729" s="14"/>
      <c r="L729" s="13">
        <v>7.3</v>
      </c>
      <c r="M729" s="13">
        <v>4.3</v>
      </c>
      <c r="P729" s="12" t="s">
        <v>14</v>
      </c>
      <c r="Q729" s="12"/>
      <c r="R729" s="12"/>
      <c r="T729">
        <f t="shared" si="22"/>
        <v>11.204507993669433</v>
      </c>
      <c r="U729">
        <f t="shared" si="23"/>
        <v>11.490986891234844</v>
      </c>
    </row>
    <row r="730" spans="1:21">
      <c r="A730" s="9">
        <v>0</v>
      </c>
      <c r="B730" s="12">
        <v>20</v>
      </c>
      <c r="C730" s="11">
        <v>6.0918837271439479</v>
      </c>
      <c r="D730" s="11">
        <v>26.624873784077607</v>
      </c>
      <c r="E730" s="11"/>
      <c r="F730" s="10">
        <v>41</v>
      </c>
      <c r="G730" s="12" t="s">
        <v>11</v>
      </c>
      <c r="H730" s="13">
        <v>35.4</v>
      </c>
      <c r="I730" s="14"/>
      <c r="J730" s="14" t="s">
        <v>70</v>
      </c>
      <c r="K730" s="14"/>
      <c r="L730" s="13">
        <v>4</v>
      </c>
      <c r="M730" s="13"/>
      <c r="P730" s="12" t="s">
        <v>12</v>
      </c>
      <c r="Q730" s="12"/>
      <c r="R730" s="12" t="s">
        <v>16</v>
      </c>
      <c r="T730">
        <f t="shared" si="22"/>
        <v>11.26816997090619</v>
      </c>
      <c r="U730" t="str">
        <f t="shared" si="23"/>
        <v>dead</v>
      </c>
    </row>
    <row r="731" spans="1:21">
      <c r="A731" s="12">
        <v>40</v>
      </c>
      <c r="B731" s="12">
        <v>0</v>
      </c>
      <c r="C731" s="11">
        <v>49.011636361915841</v>
      </c>
      <c r="D731" s="11">
        <v>7.869739433638161</v>
      </c>
      <c r="E731" s="11"/>
      <c r="F731" s="12">
        <v>278</v>
      </c>
      <c r="G731" s="12" t="s">
        <v>11</v>
      </c>
      <c r="H731" s="13">
        <v>36</v>
      </c>
      <c r="I731" s="14"/>
      <c r="J731" s="14" t="s">
        <v>70</v>
      </c>
      <c r="K731" s="14"/>
      <c r="L731" s="13">
        <v>10</v>
      </c>
      <c r="M731" s="13"/>
      <c r="P731" s="12" t="s">
        <v>12</v>
      </c>
      <c r="Q731" s="12"/>
      <c r="R731" s="12"/>
      <c r="T731">
        <f t="shared" si="22"/>
        <v>11.459155902616464</v>
      </c>
      <c r="U731" t="str">
        <f t="shared" si="23"/>
        <v>dead</v>
      </c>
    </row>
    <row r="732" spans="1:21">
      <c r="A732" s="12">
        <v>20</v>
      </c>
      <c r="B732" s="12">
        <v>-20</v>
      </c>
      <c r="C732" s="11">
        <v>27.816973727695228</v>
      </c>
      <c r="D732" s="11">
        <v>-18.819040245306269</v>
      </c>
      <c r="E732" s="11"/>
      <c r="F732" s="12">
        <v>562</v>
      </c>
      <c r="G732" s="12" t="s">
        <v>13</v>
      </c>
      <c r="H732" s="13">
        <v>36</v>
      </c>
      <c r="I732" s="14"/>
      <c r="J732" s="14">
        <v>36.6</v>
      </c>
      <c r="K732" s="14"/>
      <c r="L732" s="13">
        <v>9.1999999999999993</v>
      </c>
      <c r="M732" s="13">
        <v>3.3</v>
      </c>
      <c r="P732" s="12" t="s">
        <v>14</v>
      </c>
      <c r="Q732" s="12"/>
      <c r="R732" s="12"/>
      <c r="T732">
        <f t="shared" si="22"/>
        <v>11.459155902616464</v>
      </c>
      <c r="U732">
        <f t="shared" si="23"/>
        <v>11.650141834326739</v>
      </c>
    </row>
    <row r="733" spans="1:21">
      <c r="A733" s="12">
        <v>0</v>
      </c>
      <c r="B733" s="12">
        <v>-50</v>
      </c>
      <c r="C733" s="11">
        <v>8.2400703001238895</v>
      </c>
      <c r="D733" s="11">
        <v>-43.791443979738325</v>
      </c>
      <c r="E733" s="11"/>
      <c r="F733" s="10">
        <v>809</v>
      </c>
      <c r="G733" s="12" t="s">
        <v>11</v>
      </c>
      <c r="H733" s="13">
        <v>36.200000000000003</v>
      </c>
      <c r="I733" s="14"/>
      <c r="J733" s="14">
        <v>36.6</v>
      </c>
      <c r="K733" s="14"/>
      <c r="L733" s="13">
        <v>9.3000000000000007</v>
      </c>
      <c r="M733" s="13">
        <v>4.3</v>
      </c>
      <c r="P733" s="12" t="s">
        <v>14</v>
      </c>
      <c r="Q733" s="12"/>
      <c r="R733" s="12"/>
      <c r="T733">
        <f t="shared" si="22"/>
        <v>11.522817879853223</v>
      </c>
      <c r="U733">
        <f t="shared" si="23"/>
        <v>11.650141834326739</v>
      </c>
    </row>
    <row r="734" spans="1:21">
      <c r="A734" s="12">
        <v>30</v>
      </c>
      <c r="B734" s="12">
        <v>-10</v>
      </c>
      <c r="C734" s="11">
        <v>32.700022916406624</v>
      </c>
      <c r="D734" s="11">
        <v>-4.0462839688971055</v>
      </c>
      <c r="E734" s="11"/>
      <c r="F734" s="10">
        <v>423</v>
      </c>
      <c r="G734" s="12" t="s">
        <v>13</v>
      </c>
      <c r="H734" s="13">
        <v>36.5</v>
      </c>
      <c r="I734" s="14"/>
      <c r="J734" s="14">
        <v>37</v>
      </c>
      <c r="K734" s="14"/>
      <c r="L734" s="13">
        <v>8.1</v>
      </c>
      <c r="M734" s="13">
        <v>3.1</v>
      </c>
      <c r="P734" s="12" t="s">
        <v>14</v>
      </c>
      <c r="Q734" s="12"/>
      <c r="R734" s="12" t="s">
        <v>34</v>
      </c>
      <c r="T734">
        <f t="shared" si="22"/>
        <v>11.618310845708359</v>
      </c>
      <c r="U734">
        <f t="shared" si="23"/>
        <v>11.777465788800255</v>
      </c>
    </row>
    <row r="735" spans="1:21">
      <c r="A735" s="12">
        <v>20</v>
      </c>
      <c r="B735" s="12">
        <v>10</v>
      </c>
      <c r="C735" s="11">
        <v>27.91934640397676</v>
      </c>
      <c r="D735" s="11">
        <v>12.973972118584976</v>
      </c>
      <c r="E735" s="11"/>
      <c r="F735" s="12">
        <v>160</v>
      </c>
      <c r="G735" s="12" t="s">
        <v>21</v>
      </c>
      <c r="H735" s="13">
        <v>36.6</v>
      </c>
      <c r="I735" s="14"/>
      <c r="J735" s="14">
        <v>39.299999999999997</v>
      </c>
      <c r="K735" s="14"/>
      <c r="L735" s="13">
        <v>11.5</v>
      </c>
      <c r="M735" s="13">
        <v>2.8</v>
      </c>
      <c r="P735" s="12" t="s">
        <v>14</v>
      </c>
      <c r="Q735" s="12"/>
      <c r="R735" s="12"/>
      <c r="T735">
        <f t="shared" si="22"/>
        <v>11.650141834326739</v>
      </c>
      <c r="U735">
        <f t="shared" si="23"/>
        <v>12.509578527022972</v>
      </c>
    </row>
    <row r="736" spans="1:21">
      <c r="A736" s="12">
        <v>40</v>
      </c>
      <c r="B736" s="12">
        <v>-30</v>
      </c>
      <c r="C736" s="11">
        <v>48.053490775127813</v>
      </c>
      <c r="D736" s="11">
        <v>-23.804467220567812</v>
      </c>
      <c r="E736" s="11"/>
      <c r="F736" s="12">
        <v>698</v>
      </c>
      <c r="G736" s="12" t="s">
        <v>13</v>
      </c>
      <c r="H736" s="13">
        <v>36.700000000000003</v>
      </c>
      <c r="I736" s="14"/>
      <c r="J736" s="14" t="s">
        <v>70</v>
      </c>
      <c r="K736" s="14"/>
      <c r="L736" s="13">
        <v>6.4</v>
      </c>
      <c r="M736" s="13"/>
      <c r="P736" s="12" t="s">
        <v>12</v>
      </c>
      <c r="Q736" s="12"/>
      <c r="R736" s="12"/>
      <c r="S736" t="s">
        <v>127</v>
      </c>
      <c r="T736">
        <f t="shared" si="22"/>
        <v>11.681972822945118</v>
      </c>
      <c r="U736" t="str">
        <f t="shared" si="23"/>
        <v>dead</v>
      </c>
    </row>
    <row r="737" spans="1:21">
      <c r="A737" s="12">
        <v>30</v>
      </c>
      <c r="B737" s="12">
        <v>20</v>
      </c>
      <c r="C737" s="11">
        <v>35.139414580817089</v>
      </c>
      <c r="D737" s="11">
        <v>25.434778538862901</v>
      </c>
      <c r="E737" s="11"/>
      <c r="F737" s="12">
        <v>208</v>
      </c>
      <c r="G737" s="12" t="s">
        <v>11</v>
      </c>
      <c r="H737" s="13">
        <v>37</v>
      </c>
      <c r="I737" s="14"/>
      <c r="J737" s="14" t="s">
        <v>70</v>
      </c>
      <c r="K737" s="14"/>
      <c r="L737" s="13">
        <v>4.3</v>
      </c>
      <c r="M737" s="13"/>
      <c r="P737" s="12" t="s">
        <v>12</v>
      </c>
      <c r="Q737" s="12"/>
      <c r="R737" s="12" t="s">
        <v>16</v>
      </c>
      <c r="T737">
        <f t="shared" si="22"/>
        <v>11.777465788800255</v>
      </c>
      <c r="U737" t="str">
        <f t="shared" si="23"/>
        <v>dead</v>
      </c>
    </row>
    <row r="738" spans="1:21">
      <c r="A738" s="12">
        <v>0</v>
      </c>
      <c r="B738" s="12">
        <v>-50</v>
      </c>
      <c r="C738" s="11">
        <v>7.1191281745700135</v>
      </c>
      <c r="D738" s="11">
        <v>-48.272737003280334</v>
      </c>
      <c r="E738" s="11"/>
      <c r="F738" s="10">
        <v>807</v>
      </c>
      <c r="G738" s="12" t="s">
        <v>11</v>
      </c>
      <c r="H738" s="13">
        <v>37.4</v>
      </c>
      <c r="I738" s="14"/>
      <c r="J738" s="14">
        <v>38.4</v>
      </c>
      <c r="K738" s="14"/>
      <c r="L738" s="13">
        <v>11.2</v>
      </c>
      <c r="M738" s="13">
        <v>5.0999999999999996</v>
      </c>
      <c r="P738" s="12" t="s">
        <v>14</v>
      </c>
      <c r="Q738" s="12"/>
      <c r="R738" s="12"/>
      <c r="T738">
        <f t="shared" si="22"/>
        <v>11.904789743273771</v>
      </c>
      <c r="U738">
        <f t="shared" si="23"/>
        <v>12.223099629457561</v>
      </c>
    </row>
    <row r="739" spans="1:21">
      <c r="A739" s="12">
        <v>20</v>
      </c>
      <c r="B739" s="12">
        <v>0</v>
      </c>
      <c r="C739" s="11">
        <v>22.479514615325314</v>
      </c>
      <c r="D739" s="11">
        <v>3.6348324957813607</v>
      </c>
      <c r="E739" s="11"/>
      <c r="F739" s="12">
        <v>122</v>
      </c>
      <c r="G739" s="12" t="s">
        <v>21</v>
      </c>
      <c r="H739" s="13">
        <v>37.6</v>
      </c>
      <c r="I739" s="14"/>
      <c r="J739" s="14">
        <v>38.5</v>
      </c>
      <c r="K739" s="14"/>
      <c r="L739" s="13">
        <v>10.5</v>
      </c>
      <c r="M739" s="13">
        <v>3.2</v>
      </c>
      <c r="P739" s="12" t="s">
        <v>14</v>
      </c>
      <c r="Q739" s="12"/>
      <c r="R739" s="12"/>
      <c r="T739">
        <f t="shared" si="22"/>
        <v>11.968451720510529</v>
      </c>
      <c r="U739">
        <f t="shared" si="23"/>
        <v>12.254930618075941</v>
      </c>
    </row>
    <row r="740" spans="1:21">
      <c r="A740" s="12">
        <v>0</v>
      </c>
      <c r="B740" s="12">
        <v>-50</v>
      </c>
      <c r="C740" s="11">
        <v>2.6202140931912341</v>
      </c>
      <c r="D740" s="11">
        <v>-43.363162197942096</v>
      </c>
      <c r="E740" s="11"/>
      <c r="F740" s="10">
        <v>803</v>
      </c>
      <c r="G740" s="12" t="s">
        <v>11</v>
      </c>
      <c r="H740" s="13">
        <v>37.700000000000003</v>
      </c>
      <c r="I740" s="14"/>
      <c r="J740" s="14">
        <v>38.9</v>
      </c>
      <c r="K740" s="14"/>
      <c r="L740" s="13">
        <v>11.4</v>
      </c>
      <c r="M740" s="13">
        <v>5</v>
      </c>
      <c r="P740" s="12" t="s">
        <v>14</v>
      </c>
      <c r="Q740" s="12"/>
      <c r="R740" s="12"/>
      <c r="T740">
        <f t="shared" si="22"/>
        <v>12.000282709128909</v>
      </c>
      <c r="U740">
        <f t="shared" si="23"/>
        <v>12.382254572549456</v>
      </c>
    </row>
    <row r="741" spans="1:21">
      <c r="A741" s="12">
        <v>30</v>
      </c>
      <c r="B741" s="12">
        <v>0</v>
      </c>
      <c r="C741" s="11">
        <v>35.396556682889127</v>
      </c>
      <c r="D741" s="11">
        <v>9.324486168716339</v>
      </c>
      <c r="E741" s="11"/>
      <c r="F741" s="12">
        <v>244</v>
      </c>
      <c r="G741" s="12" t="s">
        <v>11</v>
      </c>
      <c r="H741" s="13">
        <v>37.9</v>
      </c>
      <c r="I741" s="14"/>
      <c r="J741" s="14" t="s">
        <v>70</v>
      </c>
      <c r="K741" s="14"/>
      <c r="L741" s="13">
        <v>9</v>
      </c>
      <c r="M741" s="13"/>
      <c r="P741" s="12" t="s">
        <v>12</v>
      </c>
      <c r="Q741" s="12"/>
      <c r="R741" s="12"/>
      <c r="T741">
        <f t="shared" si="22"/>
        <v>12.063944686365666</v>
      </c>
      <c r="U741" t="str">
        <f t="shared" si="23"/>
        <v>dead</v>
      </c>
    </row>
    <row r="742" spans="1:21">
      <c r="A742" s="12">
        <v>10</v>
      </c>
      <c r="B742" s="12">
        <v>-50</v>
      </c>
      <c r="C742" s="11">
        <v>11.166274455480494</v>
      </c>
      <c r="D742" s="11">
        <v>-48.442375846327636</v>
      </c>
      <c r="E742" s="11"/>
      <c r="F742" s="10">
        <v>811</v>
      </c>
      <c r="G742" s="12" t="s">
        <v>11</v>
      </c>
      <c r="H742" s="13">
        <v>37.9</v>
      </c>
      <c r="I742" s="14"/>
      <c r="J742" s="14">
        <v>37.4</v>
      </c>
      <c r="K742" s="14"/>
      <c r="L742" s="13">
        <v>10.6</v>
      </c>
      <c r="M742" s="13">
        <v>6.1</v>
      </c>
      <c r="P742" s="12" t="s">
        <v>14</v>
      </c>
      <c r="Q742" s="12"/>
      <c r="R742" s="12"/>
      <c r="T742">
        <f t="shared" si="22"/>
        <v>12.063944686365666</v>
      </c>
      <c r="U742">
        <f t="shared" si="23"/>
        <v>11.904789743273771</v>
      </c>
    </row>
    <row r="743" spans="1:21">
      <c r="A743" s="9">
        <v>10</v>
      </c>
      <c r="B743" s="9">
        <v>-20</v>
      </c>
      <c r="C743" s="11">
        <v>17.002655475487977</v>
      </c>
      <c r="D743" s="11">
        <v>-10.07550079607055</v>
      </c>
      <c r="E743" s="11"/>
      <c r="F743" s="10">
        <v>409</v>
      </c>
      <c r="G743" s="12" t="s">
        <v>13</v>
      </c>
      <c r="H743" s="13">
        <v>38</v>
      </c>
      <c r="I743" s="14"/>
      <c r="J743" s="14" t="s">
        <v>70</v>
      </c>
      <c r="K743" s="14"/>
      <c r="L743" s="13">
        <v>2.8</v>
      </c>
      <c r="M743" s="13"/>
      <c r="P743" s="12" t="s">
        <v>12</v>
      </c>
      <c r="Q743" s="12"/>
      <c r="R743" s="12" t="s">
        <v>16</v>
      </c>
      <c r="T743">
        <f t="shared" si="22"/>
        <v>12.095775674984045</v>
      </c>
      <c r="U743" t="str">
        <f t="shared" si="23"/>
        <v>dead</v>
      </c>
    </row>
    <row r="744" spans="1:21">
      <c r="A744" s="12">
        <v>10</v>
      </c>
      <c r="B744" s="12">
        <v>20</v>
      </c>
      <c r="C744" s="11">
        <v>19.288186164934192</v>
      </c>
      <c r="D744" s="11">
        <v>28.62802262785867</v>
      </c>
      <c r="E744" s="11"/>
      <c r="F744" s="10">
        <v>91</v>
      </c>
      <c r="G744" s="12" t="s">
        <v>13</v>
      </c>
      <c r="H744" s="13">
        <v>38.200000000000003</v>
      </c>
      <c r="I744" s="14"/>
      <c r="J744" s="14">
        <v>38.700000000000003</v>
      </c>
      <c r="K744" s="14"/>
      <c r="L744" s="13">
        <v>7.4</v>
      </c>
      <c r="M744" s="13">
        <v>2.8</v>
      </c>
      <c r="P744" s="12" t="s">
        <v>14</v>
      </c>
      <c r="Q744" s="12"/>
      <c r="R744" s="12" t="s">
        <v>18</v>
      </c>
      <c r="T744">
        <f t="shared" si="22"/>
        <v>12.159437652220806</v>
      </c>
      <c r="U744">
        <f t="shared" si="23"/>
        <v>12.318592595312701</v>
      </c>
    </row>
    <row r="745" spans="1:21">
      <c r="A745" s="12">
        <v>40</v>
      </c>
      <c r="B745" s="12">
        <v>-20</v>
      </c>
      <c r="C745" s="11">
        <v>49.112968455015206</v>
      </c>
      <c r="D745" s="11">
        <v>-16.596689013277626</v>
      </c>
      <c r="E745" s="11"/>
      <c r="F745" s="10">
        <v>507</v>
      </c>
      <c r="G745" s="12" t="s">
        <v>13</v>
      </c>
      <c r="H745" s="13">
        <v>38.200000000000003</v>
      </c>
      <c r="I745" s="14"/>
      <c r="J745" s="14" t="s">
        <v>70</v>
      </c>
      <c r="K745" s="14"/>
      <c r="L745" s="13">
        <v>7.8</v>
      </c>
      <c r="M745" s="13"/>
      <c r="P745" s="12" t="s">
        <v>12</v>
      </c>
      <c r="Q745" s="12"/>
      <c r="R745" s="12"/>
      <c r="T745">
        <f t="shared" si="22"/>
        <v>12.159437652220806</v>
      </c>
      <c r="U745" t="str">
        <f t="shared" si="23"/>
        <v>dead</v>
      </c>
    </row>
    <row r="746" spans="1:21">
      <c r="A746" s="12">
        <v>50</v>
      </c>
      <c r="B746" s="12">
        <v>-30</v>
      </c>
      <c r="C746" s="11">
        <v>50.215139710240834</v>
      </c>
      <c r="D746" s="11">
        <v>-27.437723206428444</v>
      </c>
      <c r="E746" s="11"/>
      <c r="F746" s="12">
        <v>2008</v>
      </c>
      <c r="G746" s="12" t="s">
        <v>13</v>
      </c>
      <c r="H746" s="13">
        <v>38.4</v>
      </c>
      <c r="I746" s="14"/>
      <c r="J746" s="14">
        <v>25.5</v>
      </c>
      <c r="K746" s="14"/>
      <c r="L746" s="13"/>
      <c r="M746" s="13"/>
      <c r="N746">
        <v>8</v>
      </c>
      <c r="O746">
        <v>3.7</v>
      </c>
      <c r="P746" s="12"/>
      <c r="Q746" s="12"/>
      <c r="R746" s="12" t="s">
        <v>57</v>
      </c>
      <c r="S746" t="s">
        <v>142</v>
      </c>
      <c r="T746">
        <f t="shared" si="22"/>
        <v>12.223099629457561</v>
      </c>
      <c r="U746">
        <f t="shared" si="23"/>
        <v>8.1169020976866619</v>
      </c>
    </row>
    <row r="747" spans="1:21">
      <c r="A747" s="9">
        <v>0</v>
      </c>
      <c r="B747" s="9">
        <v>0</v>
      </c>
      <c r="C747" s="11">
        <v>9.4845444850729379</v>
      </c>
      <c r="D747" s="11">
        <v>3.8616039870230532</v>
      </c>
      <c r="E747" s="11"/>
      <c r="F747" s="10">
        <v>17</v>
      </c>
      <c r="G747" s="12" t="s">
        <v>11</v>
      </c>
      <c r="H747" s="13">
        <v>39.200000000000003</v>
      </c>
      <c r="I747" s="14"/>
      <c r="J747" s="14" t="s">
        <v>70</v>
      </c>
      <c r="K747" s="14"/>
      <c r="L747" s="13">
        <v>9.4</v>
      </c>
      <c r="M747" s="13"/>
      <c r="P747" s="12" t="s">
        <v>12</v>
      </c>
      <c r="Q747" s="12"/>
      <c r="R747" s="12"/>
      <c r="T747">
        <f t="shared" si="22"/>
        <v>12.477747538404596</v>
      </c>
      <c r="U747" t="str">
        <f t="shared" si="23"/>
        <v>dead</v>
      </c>
    </row>
    <row r="748" spans="1:21">
      <c r="A748" s="12">
        <v>10</v>
      </c>
      <c r="B748" s="12">
        <v>40</v>
      </c>
      <c r="C748" s="11">
        <v>12.792044209999499</v>
      </c>
      <c r="D748" s="11">
        <v>41.998943053065361</v>
      </c>
      <c r="E748" s="11"/>
      <c r="F748" s="12">
        <v>82</v>
      </c>
      <c r="G748" s="12" t="s">
        <v>11</v>
      </c>
      <c r="H748" s="13">
        <v>39.299999999999997</v>
      </c>
      <c r="I748" s="14"/>
      <c r="J748" s="14" t="s">
        <v>70</v>
      </c>
      <c r="K748" s="14"/>
      <c r="L748" s="13">
        <v>8.4</v>
      </c>
      <c r="M748" s="13"/>
      <c r="P748" s="12" t="s">
        <v>12</v>
      </c>
      <c r="Q748" s="12"/>
      <c r="R748" s="12"/>
      <c r="T748">
        <f t="shared" si="22"/>
        <v>12.509578527022972</v>
      </c>
      <c r="U748" t="str">
        <f t="shared" si="23"/>
        <v>dead</v>
      </c>
    </row>
    <row r="749" spans="1:21">
      <c r="A749" s="12">
        <v>20</v>
      </c>
      <c r="B749" s="12">
        <v>40</v>
      </c>
      <c r="C749" s="11">
        <v>26.125615719030783</v>
      </c>
      <c r="D749" s="11">
        <v>47.274402522734292</v>
      </c>
      <c r="E749" s="11"/>
      <c r="F749" s="10">
        <v>195</v>
      </c>
      <c r="G749" s="12" t="s">
        <v>13</v>
      </c>
      <c r="H749" s="13">
        <v>39.4</v>
      </c>
      <c r="I749" s="14"/>
      <c r="J749" s="14">
        <v>38.200000000000003</v>
      </c>
      <c r="K749" s="14"/>
      <c r="L749" s="13">
        <v>9.6999999999999993</v>
      </c>
      <c r="M749" s="13">
        <v>4.2</v>
      </c>
      <c r="P749" s="12" t="s">
        <v>14</v>
      </c>
      <c r="Q749" s="12"/>
      <c r="R749" s="12"/>
      <c r="T749">
        <f t="shared" si="22"/>
        <v>12.541409515641352</v>
      </c>
      <c r="U749">
        <f t="shared" si="23"/>
        <v>12.159437652220806</v>
      </c>
    </row>
    <row r="750" spans="1:21">
      <c r="A750" s="12">
        <v>0</v>
      </c>
      <c r="B750" s="12">
        <v>-40</v>
      </c>
      <c r="C750" s="11">
        <v>8.2807998791533848</v>
      </c>
      <c r="D750" s="11">
        <v>-36.859816733933989</v>
      </c>
      <c r="E750" s="11"/>
      <c r="F750" s="12">
        <v>726</v>
      </c>
      <c r="G750" s="12" t="s">
        <v>11</v>
      </c>
      <c r="H750" s="13">
        <v>39.5</v>
      </c>
      <c r="I750" s="14"/>
      <c r="J750" s="14" t="s">
        <v>70</v>
      </c>
      <c r="K750" s="14"/>
      <c r="L750" s="13">
        <v>9</v>
      </c>
      <c r="M750" s="13">
        <v>1.8</v>
      </c>
      <c r="P750" s="12" t="s">
        <v>14</v>
      </c>
      <c r="Q750" s="12"/>
      <c r="R750" s="12"/>
      <c r="T750">
        <f t="shared" si="22"/>
        <v>12.573240504259733</v>
      </c>
      <c r="U750" t="str">
        <f t="shared" si="23"/>
        <v>dead</v>
      </c>
    </row>
    <row r="751" spans="1:21">
      <c r="A751" s="12">
        <v>0</v>
      </c>
      <c r="B751" s="12">
        <v>-50</v>
      </c>
      <c r="C751" s="11">
        <v>3.6412415325252461</v>
      </c>
      <c r="D751" s="11">
        <v>-45.488733073516883</v>
      </c>
      <c r="E751" s="11"/>
      <c r="F751" s="12">
        <v>804</v>
      </c>
      <c r="G751" s="12" t="s">
        <v>11</v>
      </c>
      <c r="H751" s="13">
        <v>39.5</v>
      </c>
      <c r="I751" s="14"/>
      <c r="J751" s="14">
        <v>39.9</v>
      </c>
      <c r="K751" s="14"/>
      <c r="L751" s="13">
        <v>12.6</v>
      </c>
      <c r="M751" s="13">
        <v>6.4</v>
      </c>
      <c r="P751" s="12" t="s">
        <v>14</v>
      </c>
      <c r="Q751" s="12"/>
      <c r="R751" s="12" t="s">
        <v>54</v>
      </c>
      <c r="T751">
        <f t="shared" si="22"/>
        <v>12.573240504259733</v>
      </c>
      <c r="U751">
        <f t="shared" si="23"/>
        <v>12.700564458733249</v>
      </c>
    </row>
    <row r="752" spans="1:21">
      <c r="A752" s="12">
        <v>30</v>
      </c>
      <c r="B752" s="12">
        <v>40</v>
      </c>
      <c r="C752" s="11">
        <v>37.972624291761235</v>
      </c>
      <c r="D752" s="11">
        <v>45.943877191462981</v>
      </c>
      <c r="E752" s="11"/>
      <c r="F752" s="12">
        <v>200</v>
      </c>
      <c r="G752" s="12" t="s">
        <v>13</v>
      </c>
      <c r="H752" s="13">
        <v>39.700000000000003</v>
      </c>
      <c r="I752" s="14"/>
      <c r="J752" s="14">
        <v>40.6</v>
      </c>
      <c r="K752" s="14"/>
      <c r="L752" s="13">
        <v>10.7</v>
      </c>
      <c r="M752" s="13">
        <v>2.9</v>
      </c>
      <c r="P752" s="12" t="s">
        <v>14</v>
      </c>
      <c r="Q752" s="12"/>
      <c r="R752" s="12"/>
      <c r="T752">
        <f t="shared" si="22"/>
        <v>12.636902481496492</v>
      </c>
      <c r="U752">
        <f t="shared" si="23"/>
        <v>12.923381379061903</v>
      </c>
    </row>
    <row r="753" spans="1:21">
      <c r="A753" s="12">
        <v>10</v>
      </c>
      <c r="B753" s="12">
        <v>-20</v>
      </c>
      <c r="C753" s="11">
        <v>11.930988836250952</v>
      </c>
      <c r="D753" s="11">
        <v>-17.142613284958919</v>
      </c>
      <c r="E753" s="11"/>
      <c r="F753" s="12">
        <v>578</v>
      </c>
      <c r="G753" s="12" t="s">
        <v>11</v>
      </c>
      <c r="H753" s="13">
        <v>40</v>
      </c>
      <c r="I753" s="14"/>
      <c r="J753" s="14" t="s">
        <v>70</v>
      </c>
      <c r="K753" s="14"/>
      <c r="L753" s="13">
        <v>6.4</v>
      </c>
      <c r="M753" s="13"/>
      <c r="P753" s="12" t="s">
        <v>12</v>
      </c>
      <c r="Q753" s="12"/>
      <c r="R753" s="12" t="s">
        <v>16</v>
      </c>
      <c r="T753">
        <f t="shared" si="22"/>
        <v>12.732395447351628</v>
      </c>
      <c r="U753" t="str">
        <f t="shared" si="23"/>
        <v>dead</v>
      </c>
    </row>
    <row r="754" spans="1:21">
      <c r="A754" s="12">
        <v>0</v>
      </c>
      <c r="B754" s="12">
        <v>-30</v>
      </c>
      <c r="C754" s="11">
        <v>9.3207208494274312</v>
      </c>
      <c r="D754" s="11">
        <v>-23.663665790959932</v>
      </c>
      <c r="E754" s="11"/>
      <c r="F754" s="10">
        <v>607</v>
      </c>
      <c r="G754" s="12" t="s">
        <v>11</v>
      </c>
      <c r="H754" s="13">
        <v>40</v>
      </c>
      <c r="I754" s="14"/>
      <c r="J754" s="14" t="s">
        <v>70</v>
      </c>
      <c r="K754" s="14"/>
      <c r="L754" s="13">
        <v>10.5</v>
      </c>
      <c r="M754" s="13"/>
      <c r="P754" s="12" t="s">
        <v>12</v>
      </c>
      <c r="Q754" s="12"/>
      <c r="R754" s="12"/>
      <c r="T754">
        <f t="shared" si="22"/>
        <v>12.732395447351628</v>
      </c>
      <c r="U754" t="str">
        <f t="shared" si="23"/>
        <v>dead</v>
      </c>
    </row>
    <row r="755" spans="1:21">
      <c r="A755" s="9">
        <v>0</v>
      </c>
      <c r="B755" s="12">
        <v>20</v>
      </c>
      <c r="C755" s="11">
        <v>6.420031139275026</v>
      </c>
      <c r="D755" s="11">
        <v>24.873068865790739</v>
      </c>
      <c r="E755" s="11"/>
      <c r="F755" s="12">
        <v>40</v>
      </c>
      <c r="G755" s="12" t="s">
        <v>11</v>
      </c>
      <c r="H755" s="13">
        <v>40.4</v>
      </c>
      <c r="I755" s="14"/>
      <c r="J755" s="14" t="s">
        <v>70</v>
      </c>
      <c r="K755" s="14"/>
      <c r="L755" s="13">
        <v>8.1999999999999993</v>
      </c>
      <c r="M755" s="13"/>
      <c r="P755" s="12" t="s">
        <v>12</v>
      </c>
      <c r="Q755" s="12"/>
      <c r="R755" s="12" t="s">
        <v>16</v>
      </c>
      <c r="T755">
        <f t="shared" si="22"/>
        <v>12.859719401825144</v>
      </c>
      <c r="U755" t="str">
        <f t="shared" si="23"/>
        <v>dead</v>
      </c>
    </row>
    <row r="756" spans="1:21">
      <c r="A756" s="12">
        <v>30</v>
      </c>
      <c r="B756" s="12">
        <v>40</v>
      </c>
      <c r="C756" s="11">
        <v>37.195101814616379</v>
      </c>
      <c r="D756" s="11">
        <v>45.587027258299045</v>
      </c>
      <c r="E756" s="11"/>
      <c r="F756" s="10">
        <v>203</v>
      </c>
      <c r="G756" s="12" t="s">
        <v>13</v>
      </c>
      <c r="H756" s="13">
        <v>40.4</v>
      </c>
      <c r="I756" s="14"/>
      <c r="J756" s="14">
        <v>42.2</v>
      </c>
      <c r="K756" s="14"/>
      <c r="L756" s="13">
        <v>8.3000000000000007</v>
      </c>
      <c r="M756" s="13">
        <v>1.9</v>
      </c>
      <c r="P756" s="12" t="s">
        <v>14</v>
      </c>
      <c r="Q756" s="12"/>
      <c r="R756" s="12"/>
      <c r="T756">
        <f t="shared" si="22"/>
        <v>12.859719401825144</v>
      </c>
      <c r="U756">
        <f t="shared" si="23"/>
        <v>13.432677196955968</v>
      </c>
    </row>
    <row r="757" spans="1:21">
      <c r="A757" s="12">
        <v>0</v>
      </c>
      <c r="B757" s="12">
        <v>-50</v>
      </c>
      <c r="C757" s="11">
        <v>1.3122807443575066</v>
      </c>
      <c r="D757" s="11">
        <v>-43.563093337977357</v>
      </c>
      <c r="E757" s="11"/>
      <c r="F757" s="10">
        <v>801</v>
      </c>
      <c r="G757" s="12" t="s">
        <v>11</v>
      </c>
      <c r="H757" s="13">
        <v>40.5</v>
      </c>
      <c r="I757" s="14"/>
      <c r="J757" s="14">
        <v>42.8</v>
      </c>
      <c r="K757" s="14"/>
      <c r="L757" s="13">
        <v>12.3</v>
      </c>
      <c r="M757" s="13">
        <v>3.4</v>
      </c>
      <c r="P757" s="12" t="s">
        <v>14</v>
      </c>
      <c r="Q757" s="12"/>
      <c r="R757" s="12" t="s">
        <v>16</v>
      </c>
      <c r="T757">
        <f t="shared" si="22"/>
        <v>12.891550390443523</v>
      </c>
      <c r="U757">
        <f t="shared" si="23"/>
        <v>13.623663128666241</v>
      </c>
    </row>
    <row r="758" spans="1:21">
      <c r="A758" s="12">
        <v>10</v>
      </c>
      <c r="B758" s="12">
        <v>20</v>
      </c>
      <c r="C758" s="11">
        <v>19.074849547210579</v>
      </c>
      <c r="D758" s="11">
        <v>28.29398063364512</v>
      </c>
      <c r="E758" s="11"/>
      <c r="F758" s="12">
        <v>94</v>
      </c>
      <c r="G758" s="12" t="s">
        <v>13</v>
      </c>
      <c r="H758" s="13">
        <v>40.6</v>
      </c>
      <c r="I758" s="14"/>
      <c r="J758" s="14">
        <v>42.8</v>
      </c>
      <c r="K758" s="14"/>
      <c r="L758" s="13">
        <v>6.4</v>
      </c>
      <c r="M758" s="13">
        <v>3.1</v>
      </c>
      <c r="P758" s="12" t="s">
        <v>14</v>
      </c>
      <c r="Q758" s="12"/>
      <c r="R758" s="12" t="s">
        <v>19</v>
      </c>
      <c r="T758">
        <f t="shared" si="22"/>
        <v>12.923381379061903</v>
      </c>
      <c r="U758">
        <f t="shared" si="23"/>
        <v>13.623663128666241</v>
      </c>
    </row>
    <row r="759" spans="1:21">
      <c r="A759" s="12">
        <v>40</v>
      </c>
      <c r="B759" s="12">
        <v>20</v>
      </c>
      <c r="C759" s="11">
        <v>42.20210713056332</v>
      </c>
      <c r="D759" s="11">
        <v>29.671270938933304</v>
      </c>
      <c r="E759" s="11"/>
      <c r="F759" s="12">
        <v>302</v>
      </c>
      <c r="G759" s="12" t="s">
        <v>13</v>
      </c>
      <c r="H759" s="13">
        <v>40.6</v>
      </c>
      <c r="I759" s="14"/>
      <c r="J759" s="14">
        <v>40.9</v>
      </c>
      <c r="K759" s="14"/>
      <c r="L759" s="13">
        <v>8</v>
      </c>
      <c r="M759" s="13">
        <v>4</v>
      </c>
      <c r="P759" s="12" t="s">
        <v>14</v>
      </c>
      <c r="Q759" s="12"/>
      <c r="R759" s="12"/>
      <c r="T759">
        <f t="shared" si="22"/>
        <v>12.923381379061903</v>
      </c>
      <c r="U759">
        <f t="shared" si="23"/>
        <v>13.018874344917039</v>
      </c>
    </row>
    <row r="760" spans="1:21">
      <c r="A760" s="12">
        <v>20</v>
      </c>
      <c r="B760" s="12">
        <v>20</v>
      </c>
      <c r="C760" s="11">
        <v>30.004333579254549</v>
      </c>
      <c r="D760" s="11">
        <v>27.592263592948925</v>
      </c>
      <c r="E760" s="11"/>
      <c r="F760" s="10">
        <v>169</v>
      </c>
      <c r="G760" s="12" t="s">
        <v>11</v>
      </c>
      <c r="H760" s="13">
        <v>41</v>
      </c>
      <c r="I760" s="14"/>
      <c r="J760" s="14" t="s">
        <v>70</v>
      </c>
      <c r="K760" s="14"/>
      <c r="L760" s="13">
        <v>9.9</v>
      </c>
      <c r="M760" s="13"/>
      <c r="P760" s="12" t="s">
        <v>12</v>
      </c>
      <c r="Q760" s="12"/>
      <c r="R760" s="12"/>
      <c r="T760">
        <f t="shared" si="22"/>
        <v>13.050705333535419</v>
      </c>
      <c r="U760" t="str">
        <f t="shared" si="23"/>
        <v>dead</v>
      </c>
    </row>
    <row r="761" spans="1:21">
      <c r="A761" s="12">
        <v>30</v>
      </c>
      <c r="B761" s="12">
        <v>10</v>
      </c>
      <c r="C761" s="11">
        <v>34.753410149350231</v>
      </c>
      <c r="D761" s="11">
        <v>11.281629054000154</v>
      </c>
      <c r="E761" s="11"/>
      <c r="F761" s="12">
        <v>238</v>
      </c>
      <c r="G761" s="12" t="s">
        <v>11</v>
      </c>
      <c r="H761" s="13">
        <v>41</v>
      </c>
      <c r="I761" s="14"/>
      <c r="J761" s="14" t="s">
        <v>70</v>
      </c>
      <c r="K761" s="14"/>
      <c r="L761" s="13">
        <v>8.1</v>
      </c>
      <c r="M761" s="13"/>
      <c r="P761" s="12" t="s">
        <v>12</v>
      </c>
      <c r="Q761" s="12"/>
      <c r="R761" s="12"/>
      <c r="T761">
        <f t="shared" si="22"/>
        <v>13.050705333535419</v>
      </c>
      <c r="U761" t="str">
        <f t="shared" si="23"/>
        <v>dead</v>
      </c>
    </row>
    <row r="762" spans="1:21">
      <c r="A762" s="9">
        <v>0</v>
      </c>
      <c r="B762" s="9">
        <v>0</v>
      </c>
      <c r="C762" s="11">
        <v>2.9719342653964747</v>
      </c>
      <c r="D762" s="11">
        <v>8.7986707237015302</v>
      </c>
      <c r="E762" s="11"/>
      <c r="F762" s="10">
        <v>1</v>
      </c>
      <c r="G762" s="12" t="s">
        <v>11</v>
      </c>
      <c r="H762" s="13">
        <v>41.2</v>
      </c>
      <c r="I762" s="14"/>
      <c r="J762" s="14" t="s">
        <v>70</v>
      </c>
      <c r="K762" s="14"/>
      <c r="L762" s="13">
        <v>9</v>
      </c>
      <c r="M762" s="13"/>
      <c r="P762" s="12" t="s">
        <v>12</v>
      </c>
      <c r="Q762" s="12"/>
      <c r="R762" s="12"/>
      <c r="T762">
        <f t="shared" si="22"/>
        <v>13.114367310772177</v>
      </c>
      <c r="U762" t="str">
        <f t="shared" si="23"/>
        <v>dead</v>
      </c>
    </row>
    <row r="763" spans="1:21">
      <c r="A763" s="9">
        <v>0</v>
      </c>
      <c r="B763" s="12">
        <v>40</v>
      </c>
      <c r="C763" s="11">
        <v>4.8306923269049742</v>
      </c>
      <c r="D763" s="11">
        <v>46.320372558966213</v>
      </c>
      <c r="E763" s="11"/>
      <c r="F763" s="12">
        <v>70</v>
      </c>
      <c r="G763" s="12" t="s">
        <v>11</v>
      </c>
      <c r="H763" s="13">
        <v>41.3</v>
      </c>
      <c r="I763" s="14"/>
      <c r="J763" s="14">
        <v>44.5</v>
      </c>
      <c r="K763" s="14"/>
      <c r="L763" s="13">
        <v>9.6999999999999993</v>
      </c>
      <c r="M763" s="13">
        <v>1.2</v>
      </c>
      <c r="P763" s="12" t="s">
        <v>14</v>
      </c>
      <c r="Q763" s="12"/>
      <c r="R763" s="12"/>
      <c r="T763">
        <f t="shared" si="22"/>
        <v>13.146198299390555</v>
      </c>
      <c r="U763">
        <f t="shared" si="23"/>
        <v>14.164789935178685</v>
      </c>
    </row>
    <row r="764" spans="1:21">
      <c r="A764" s="12">
        <v>40</v>
      </c>
      <c r="B764" s="12">
        <v>-30</v>
      </c>
      <c r="C764" s="11">
        <v>42.374703444130603</v>
      </c>
      <c r="D764" s="11">
        <v>-25.665581582664061</v>
      </c>
      <c r="E764" s="11"/>
      <c r="F764" s="12">
        <v>678</v>
      </c>
      <c r="G764" s="12" t="s">
        <v>13</v>
      </c>
      <c r="H764" s="13">
        <v>41.5</v>
      </c>
      <c r="I764" s="14"/>
      <c r="J764" s="14" t="s">
        <v>70</v>
      </c>
      <c r="K764" s="14"/>
      <c r="L764" s="13">
        <v>4.3</v>
      </c>
      <c r="M764" s="13"/>
      <c r="P764" s="12" t="s">
        <v>12</v>
      </c>
      <c r="Q764" s="12"/>
      <c r="R764" s="12" t="s">
        <v>16</v>
      </c>
      <c r="T764">
        <f t="shared" si="22"/>
        <v>13.209860276627314</v>
      </c>
      <c r="U764" t="str">
        <f t="shared" si="23"/>
        <v>dead</v>
      </c>
    </row>
    <row r="765" spans="1:21">
      <c r="A765" s="12">
        <v>50</v>
      </c>
      <c r="B765" s="12">
        <v>-30</v>
      </c>
      <c r="C765" s="11">
        <v>50.215139710240834</v>
      </c>
      <c r="D765" s="11">
        <v>-27.437723206428444</v>
      </c>
      <c r="E765" s="11"/>
      <c r="F765" s="12">
        <v>2006</v>
      </c>
      <c r="G765" s="12" t="s">
        <v>13</v>
      </c>
      <c r="H765" s="13">
        <v>41.5</v>
      </c>
      <c r="I765" s="14"/>
      <c r="J765" s="14">
        <v>12.9</v>
      </c>
      <c r="K765" s="14"/>
      <c r="L765" s="13"/>
      <c r="M765" s="13"/>
      <c r="N765">
        <v>3.5</v>
      </c>
      <c r="O765">
        <v>2.1</v>
      </c>
      <c r="P765" s="12"/>
      <c r="Q765" s="12"/>
      <c r="R765" s="12" t="s">
        <v>57</v>
      </c>
      <c r="S765" t="s">
        <v>139</v>
      </c>
      <c r="T765">
        <f t="shared" si="22"/>
        <v>13.209860276627314</v>
      </c>
      <c r="U765">
        <f t="shared" si="23"/>
        <v>4.1061975317709001</v>
      </c>
    </row>
    <row r="766" spans="1:21">
      <c r="A766" s="9">
        <v>0</v>
      </c>
      <c r="B766" s="12">
        <v>20</v>
      </c>
      <c r="C766" s="11">
        <v>8.5072670275945281</v>
      </c>
      <c r="D766" s="11">
        <v>22.715015234064623</v>
      </c>
      <c r="E766" s="11"/>
      <c r="F766" s="10">
        <v>33</v>
      </c>
      <c r="G766" s="12" t="s">
        <v>13</v>
      </c>
      <c r="H766" s="13">
        <v>42.7</v>
      </c>
      <c r="I766" s="14"/>
      <c r="J766" s="14">
        <v>43</v>
      </c>
      <c r="K766" s="14"/>
      <c r="L766" s="13">
        <v>5.8</v>
      </c>
      <c r="M766" s="13">
        <v>1.9</v>
      </c>
      <c r="P766" s="12" t="s">
        <v>14</v>
      </c>
      <c r="Q766" s="12"/>
      <c r="R766" s="12" t="s">
        <v>15</v>
      </c>
      <c r="T766">
        <f t="shared" si="22"/>
        <v>13.591832140047863</v>
      </c>
      <c r="U766">
        <f t="shared" si="23"/>
        <v>13.687325105903</v>
      </c>
    </row>
    <row r="767" spans="1:21">
      <c r="A767" s="12">
        <v>0</v>
      </c>
      <c r="B767" s="12">
        <v>-50</v>
      </c>
      <c r="C767" s="11">
        <v>4.3793029065855924</v>
      </c>
      <c r="D767" s="11">
        <v>-46.242416534010111</v>
      </c>
      <c r="E767" s="11"/>
      <c r="F767" s="10">
        <v>805</v>
      </c>
      <c r="G767" s="12" t="s">
        <v>11</v>
      </c>
      <c r="H767" s="13">
        <v>43.4</v>
      </c>
      <c r="I767" s="14"/>
      <c r="J767" s="14">
        <v>44.9</v>
      </c>
      <c r="K767" s="14"/>
      <c r="L767" s="13">
        <v>11.5</v>
      </c>
      <c r="M767" s="13">
        <v>5.2</v>
      </c>
      <c r="P767" s="12" t="s">
        <v>14</v>
      </c>
      <c r="Q767" s="12"/>
      <c r="R767" s="12" t="s">
        <v>16</v>
      </c>
      <c r="T767">
        <f t="shared" si="22"/>
        <v>13.814649060376516</v>
      </c>
      <c r="U767">
        <f t="shared" si="23"/>
        <v>14.292113889652201</v>
      </c>
    </row>
    <row r="768" spans="1:21">
      <c r="A768" s="12">
        <v>40</v>
      </c>
      <c r="B768" s="12">
        <v>-10</v>
      </c>
      <c r="C768" s="11">
        <v>43.624437901391879</v>
      </c>
      <c r="D768" s="11">
        <v>-9.6637710616945149</v>
      </c>
      <c r="E768" s="11"/>
      <c r="F768" s="10">
        <v>453</v>
      </c>
      <c r="G768" s="12" t="s">
        <v>13</v>
      </c>
      <c r="H768" s="13">
        <v>43.5</v>
      </c>
      <c r="I768" s="14"/>
      <c r="J768" s="14" t="s">
        <v>70</v>
      </c>
      <c r="K768" s="14"/>
      <c r="L768" s="13">
        <v>3.9</v>
      </c>
      <c r="M768" s="13"/>
      <c r="P768" s="12" t="s">
        <v>12</v>
      </c>
      <c r="Q768" s="12"/>
      <c r="R768" s="12"/>
      <c r="T768">
        <f t="shared" si="22"/>
        <v>13.846480048994895</v>
      </c>
      <c r="U768" t="str">
        <f t="shared" si="23"/>
        <v>dead</v>
      </c>
    </row>
    <row r="769" spans="1:21">
      <c r="A769" s="12">
        <v>30</v>
      </c>
      <c r="B769" s="12">
        <v>10</v>
      </c>
      <c r="C769" s="11">
        <v>33.238191204915331</v>
      </c>
      <c r="D769" s="11">
        <v>10.433176194765108</v>
      </c>
      <c r="E769" s="11"/>
      <c r="F769" s="10">
        <v>237</v>
      </c>
      <c r="G769" s="12" t="s">
        <v>11</v>
      </c>
      <c r="H769" s="13">
        <v>43.7</v>
      </c>
      <c r="I769" s="14"/>
      <c r="J769" s="14" t="s">
        <v>70</v>
      </c>
      <c r="K769" s="14"/>
      <c r="L769" s="13">
        <v>10.3</v>
      </c>
      <c r="M769" s="13">
        <v>1.5</v>
      </c>
      <c r="P769" s="12" t="s">
        <v>14</v>
      </c>
      <c r="Q769" s="12"/>
      <c r="R769" s="12"/>
      <c r="T769">
        <f t="shared" si="22"/>
        <v>13.910142026231654</v>
      </c>
      <c r="U769" t="str">
        <f t="shared" si="23"/>
        <v>dead</v>
      </c>
    </row>
    <row r="770" spans="1:21">
      <c r="A770" s="12">
        <v>10</v>
      </c>
      <c r="B770" s="12">
        <v>-20</v>
      </c>
      <c r="C770" s="11">
        <v>16.067810813301975</v>
      </c>
      <c r="D770" s="11">
        <v>-11.937817404696471</v>
      </c>
      <c r="E770" s="11"/>
      <c r="F770" s="12">
        <v>574</v>
      </c>
      <c r="G770" s="12" t="s">
        <v>13</v>
      </c>
      <c r="H770" s="13">
        <v>44.7</v>
      </c>
      <c r="I770" s="14"/>
      <c r="J770" s="14">
        <v>46</v>
      </c>
      <c r="K770" s="14"/>
      <c r="L770" s="13">
        <v>10.199999999999999</v>
      </c>
      <c r="M770" s="13">
        <v>2.8</v>
      </c>
      <c r="P770" s="12" t="s">
        <v>14</v>
      </c>
      <c r="Q770" s="12"/>
      <c r="R770" s="12"/>
      <c r="T770">
        <f t="shared" ref="T770:T833" si="24">IF(H770="",I770,H770/PI())</f>
        <v>14.228451912415444</v>
      </c>
      <c r="U770">
        <f t="shared" ref="U770:U833" si="25">IF(J770="dead","dead",J770/PI()+K770)</f>
        <v>14.642254764454371</v>
      </c>
    </row>
    <row r="771" spans="1:21">
      <c r="A771" s="12">
        <v>50</v>
      </c>
      <c r="B771" s="12">
        <v>-30</v>
      </c>
      <c r="C771" s="11">
        <v>50.215139710240834</v>
      </c>
      <c r="D771" s="11">
        <v>-27.437723206428444</v>
      </c>
      <c r="E771" s="11"/>
      <c r="F771" s="12">
        <v>2002</v>
      </c>
      <c r="G771" s="12" t="s">
        <v>13</v>
      </c>
      <c r="H771" s="13">
        <v>44.8</v>
      </c>
      <c r="I771" s="14"/>
      <c r="J771" s="14">
        <v>10.3</v>
      </c>
      <c r="K771" s="14"/>
      <c r="L771" s="13"/>
      <c r="M771" s="13"/>
      <c r="N771">
        <v>6</v>
      </c>
      <c r="O771">
        <v>2.1</v>
      </c>
      <c r="P771" s="12"/>
      <c r="Q771" s="12"/>
      <c r="R771" s="12" t="s">
        <v>57</v>
      </c>
      <c r="S771" t="s">
        <v>136</v>
      </c>
      <c r="T771">
        <f t="shared" si="24"/>
        <v>14.260282901033822</v>
      </c>
      <c r="U771">
        <f t="shared" si="25"/>
        <v>3.2785918276930444</v>
      </c>
    </row>
    <row r="772" spans="1:21">
      <c r="A772" s="12">
        <v>30</v>
      </c>
      <c r="B772" s="12">
        <v>10</v>
      </c>
      <c r="C772" s="11">
        <v>32.689872970198586</v>
      </c>
      <c r="D772" s="11">
        <v>12.689139352703059</v>
      </c>
      <c r="E772" s="11"/>
      <c r="F772" s="10">
        <v>235</v>
      </c>
      <c r="G772" s="12" t="s">
        <v>11</v>
      </c>
      <c r="H772" s="13">
        <v>45.2</v>
      </c>
      <c r="I772" s="14"/>
      <c r="J772" s="14" t="s">
        <v>70</v>
      </c>
      <c r="K772" s="14"/>
      <c r="L772" s="13">
        <v>7.6</v>
      </c>
      <c r="M772" s="13"/>
      <c r="P772" s="12" t="s">
        <v>12</v>
      </c>
      <c r="Q772" s="12"/>
      <c r="R772" s="12" t="s">
        <v>16</v>
      </c>
      <c r="T772">
        <f t="shared" si="24"/>
        <v>14.38760685550734</v>
      </c>
      <c r="U772" t="str">
        <f t="shared" si="25"/>
        <v>dead</v>
      </c>
    </row>
    <row r="773" spans="1:21">
      <c r="A773" s="12">
        <v>40</v>
      </c>
      <c r="B773" s="12">
        <v>20</v>
      </c>
      <c r="C773" s="11">
        <v>41.081628906778029</v>
      </c>
      <c r="D773" s="11">
        <v>27.390527773607346</v>
      </c>
      <c r="E773" s="11"/>
      <c r="F773" s="10">
        <v>303</v>
      </c>
      <c r="G773" s="12" t="s">
        <v>11</v>
      </c>
      <c r="H773" s="13">
        <v>45.4</v>
      </c>
      <c r="I773" s="14"/>
      <c r="J773" s="14" t="s">
        <v>70</v>
      </c>
      <c r="K773" s="14"/>
      <c r="L773" s="13">
        <v>7.5</v>
      </c>
      <c r="M773" s="13"/>
      <c r="P773" s="12" t="s">
        <v>12</v>
      </c>
      <c r="Q773" s="12"/>
      <c r="R773" s="12" t="s">
        <v>16</v>
      </c>
      <c r="T773">
        <f t="shared" si="24"/>
        <v>14.451268832744097</v>
      </c>
      <c r="U773" t="str">
        <f t="shared" si="25"/>
        <v>dead</v>
      </c>
    </row>
    <row r="774" spans="1:21">
      <c r="A774" s="9">
        <v>0</v>
      </c>
      <c r="B774" s="12">
        <v>30</v>
      </c>
      <c r="C774" s="11">
        <v>3.7176452813807801</v>
      </c>
      <c r="D774" s="11">
        <v>39.488579054457183</v>
      </c>
      <c r="E774" s="11"/>
      <c r="F774" s="10">
        <v>55</v>
      </c>
      <c r="G774" s="12" t="s">
        <v>11</v>
      </c>
      <c r="H774" s="13">
        <v>46.4</v>
      </c>
      <c r="I774" s="14"/>
      <c r="J774" s="14" t="s">
        <v>70</v>
      </c>
      <c r="K774" s="14"/>
      <c r="L774" s="13">
        <v>12</v>
      </c>
      <c r="M774" s="13"/>
      <c r="P774" s="12" t="s">
        <v>12</v>
      </c>
      <c r="Q774" s="12"/>
      <c r="R774" s="12"/>
      <c r="T774">
        <f t="shared" si="24"/>
        <v>14.769578718927887</v>
      </c>
      <c r="U774" t="str">
        <f t="shared" si="25"/>
        <v>dead</v>
      </c>
    </row>
    <row r="775" spans="1:21">
      <c r="A775" s="12">
        <v>40</v>
      </c>
      <c r="B775" s="12">
        <v>0</v>
      </c>
      <c r="C775" s="11">
        <v>40.876130854070112</v>
      </c>
      <c r="D775" s="11">
        <v>5.1789633141256459</v>
      </c>
      <c r="E775" s="11"/>
      <c r="F775" s="10">
        <v>265</v>
      </c>
      <c r="G775" s="12" t="s">
        <v>13</v>
      </c>
      <c r="H775" s="13">
        <v>46.9</v>
      </c>
      <c r="I775" s="14"/>
      <c r="J775" s="14" t="s">
        <v>70</v>
      </c>
      <c r="K775" s="14"/>
      <c r="L775" s="13">
        <v>6.6</v>
      </c>
      <c r="M775" s="13">
        <v>4.4000000000000004</v>
      </c>
      <c r="P775" s="12" t="s">
        <v>14</v>
      </c>
      <c r="Q775" s="12"/>
      <c r="R775" s="12" t="s">
        <v>28</v>
      </c>
      <c r="T775">
        <f t="shared" si="24"/>
        <v>14.928733662019782</v>
      </c>
      <c r="U775" t="str">
        <f t="shared" si="25"/>
        <v>dead</v>
      </c>
    </row>
    <row r="776" spans="1:21">
      <c r="A776" s="12">
        <v>30</v>
      </c>
      <c r="B776" s="12">
        <v>-20</v>
      </c>
      <c r="C776" s="11">
        <v>31.451980341886681</v>
      </c>
      <c r="D776" s="11">
        <v>-13.401670166919232</v>
      </c>
      <c r="E776" s="11"/>
      <c r="F776" s="12">
        <v>526</v>
      </c>
      <c r="G776" s="12" t="s">
        <v>21</v>
      </c>
      <c r="H776" s="13">
        <v>46.9</v>
      </c>
      <c r="I776" s="14"/>
      <c r="J776" s="14">
        <v>50.3</v>
      </c>
      <c r="K776" s="14"/>
      <c r="L776" s="13">
        <v>12.6</v>
      </c>
      <c r="M776" s="13">
        <v>2.5</v>
      </c>
      <c r="P776" s="12" t="s">
        <v>14</v>
      </c>
      <c r="Q776" s="12"/>
      <c r="R776" s="12"/>
      <c r="T776">
        <f t="shared" si="24"/>
        <v>14.928733662019782</v>
      </c>
      <c r="U776">
        <f t="shared" si="25"/>
        <v>16.01098727504467</v>
      </c>
    </row>
    <row r="777" spans="1:21">
      <c r="A777" s="12">
        <v>20</v>
      </c>
      <c r="B777" s="12">
        <v>-20</v>
      </c>
      <c r="C777" s="11">
        <v>27.094591953759824</v>
      </c>
      <c r="D777" s="11">
        <v>-13.337565454045706</v>
      </c>
      <c r="E777" s="11"/>
      <c r="F777" s="12">
        <v>546</v>
      </c>
      <c r="G777" s="12" t="s">
        <v>13</v>
      </c>
      <c r="H777" s="13">
        <v>48</v>
      </c>
      <c r="I777" s="14"/>
      <c r="J777" s="14" t="s">
        <v>70</v>
      </c>
      <c r="K777" s="14"/>
      <c r="L777" s="13">
        <v>4.3</v>
      </c>
      <c r="M777" s="13"/>
      <c r="P777" s="12" t="s">
        <v>12</v>
      </c>
      <c r="Q777" s="12"/>
      <c r="R777" s="12"/>
      <c r="T777">
        <f t="shared" si="24"/>
        <v>15.278874536821952</v>
      </c>
      <c r="U777" t="str">
        <f t="shared" si="25"/>
        <v>dead</v>
      </c>
    </row>
    <row r="778" spans="1:21">
      <c r="A778" s="9">
        <v>0</v>
      </c>
      <c r="B778" s="12">
        <v>20</v>
      </c>
      <c r="C778" s="11">
        <v>8.9259555083891282</v>
      </c>
      <c r="D778" s="11">
        <v>22.883005074962199</v>
      </c>
      <c r="E778" s="11"/>
      <c r="F778" s="10">
        <v>37</v>
      </c>
      <c r="G778" s="12" t="s">
        <v>13</v>
      </c>
      <c r="H778" s="13">
        <v>48.4</v>
      </c>
      <c r="I778" s="14"/>
      <c r="J778" s="14">
        <v>52.5</v>
      </c>
      <c r="K778" s="14"/>
      <c r="L778" s="13">
        <v>14.2</v>
      </c>
      <c r="M778" s="13">
        <v>3</v>
      </c>
      <c r="P778" s="12" t="s">
        <v>14</v>
      </c>
      <c r="Q778" s="12"/>
      <c r="R778" s="12"/>
      <c r="T778">
        <f t="shared" si="24"/>
        <v>15.406198491295468</v>
      </c>
      <c r="U778">
        <f t="shared" si="25"/>
        <v>16.71126902464901</v>
      </c>
    </row>
    <row r="779" spans="1:21">
      <c r="A779" s="12">
        <v>20</v>
      </c>
      <c r="B779" s="12">
        <v>30</v>
      </c>
      <c r="C779" s="11">
        <v>25.097578655256243</v>
      </c>
      <c r="D779" s="11">
        <v>34.13590656166906</v>
      </c>
      <c r="E779" s="11"/>
      <c r="F779" s="12">
        <v>170</v>
      </c>
      <c r="G779" s="12" t="s">
        <v>13</v>
      </c>
      <c r="H779" s="13">
        <v>49</v>
      </c>
      <c r="I779" s="14"/>
      <c r="J779" s="14" t="s">
        <v>70</v>
      </c>
      <c r="K779" s="14"/>
      <c r="L779" s="13">
        <v>6.1</v>
      </c>
      <c r="M779" s="13">
        <v>3.2</v>
      </c>
      <c r="P779" s="12" t="s">
        <v>14</v>
      </c>
      <c r="Q779" s="12"/>
      <c r="R779" s="12" t="s">
        <v>24</v>
      </c>
      <c r="T779">
        <f t="shared" si="24"/>
        <v>15.597184423005743</v>
      </c>
      <c r="U779" t="str">
        <f t="shared" si="25"/>
        <v>dead</v>
      </c>
    </row>
    <row r="780" spans="1:21">
      <c r="A780" s="12">
        <v>10</v>
      </c>
      <c r="B780" s="12">
        <v>-50</v>
      </c>
      <c r="C780" s="11">
        <v>17.164256873551739</v>
      </c>
      <c r="D780" s="11">
        <v>-46.13960352802961</v>
      </c>
      <c r="E780" s="11"/>
      <c r="F780" s="10">
        <v>817</v>
      </c>
      <c r="G780" s="12" t="s">
        <v>11</v>
      </c>
      <c r="H780" s="13">
        <v>49.4</v>
      </c>
      <c r="I780" s="14"/>
      <c r="J780" s="14">
        <v>50.5</v>
      </c>
      <c r="K780" s="14"/>
      <c r="L780" s="13">
        <v>11.7</v>
      </c>
      <c r="M780" s="13">
        <v>3.6</v>
      </c>
      <c r="P780" s="12" t="s">
        <v>14</v>
      </c>
      <c r="Q780" s="12"/>
      <c r="R780" s="12"/>
      <c r="T780">
        <f t="shared" si="24"/>
        <v>15.724508377479259</v>
      </c>
      <c r="U780">
        <f t="shared" si="25"/>
        <v>16.074649252281429</v>
      </c>
    </row>
    <row r="781" spans="1:21">
      <c r="A781" s="12">
        <v>40</v>
      </c>
      <c r="B781" s="12">
        <v>10</v>
      </c>
      <c r="C781" s="11">
        <v>42.304581878069619</v>
      </c>
      <c r="D781" s="11">
        <v>19.634808535312285</v>
      </c>
      <c r="E781" s="11"/>
      <c r="F781" s="12">
        <v>284</v>
      </c>
      <c r="G781" s="12" t="s">
        <v>13</v>
      </c>
      <c r="H781" s="13">
        <v>49.7</v>
      </c>
      <c r="I781" s="14"/>
      <c r="J781" s="14">
        <v>50.3</v>
      </c>
      <c r="K781" s="14"/>
      <c r="L781" s="13">
        <v>10.7</v>
      </c>
      <c r="M781" s="13">
        <v>3.2</v>
      </c>
      <c r="P781" s="12" t="s">
        <v>14</v>
      </c>
      <c r="Q781" s="12"/>
      <c r="R781" s="12"/>
      <c r="T781">
        <f t="shared" si="24"/>
        <v>15.820001343334399</v>
      </c>
      <c r="U781">
        <f t="shared" si="25"/>
        <v>16.01098727504467</v>
      </c>
    </row>
    <row r="782" spans="1:21">
      <c r="A782" s="12">
        <v>10</v>
      </c>
      <c r="B782" s="12">
        <v>40</v>
      </c>
      <c r="C782" s="11">
        <v>19.23738470341846</v>
      </c>
      <c r="D782" s="11">
        <v>42.642142673933385</v>
      </c>
      <c r="E782" s="11"/>
      <c r="F782" s="10">
        <v>81</v>
      </c>
      <c r="G782" s="12" t="s">
        <v>11</v>
      </c>
      <c r="H782" s="13">
        <v>50.2</v>
      </c>
      <c r="I782" s="14"/>
      <c r="J782" s="14" t="s">
        <v>70</v>
      </c>
      <c r="K782" s="14"/>
      <c r="L782" s="13">
        <v>12.1</v>
      </c>
      <c r="M782" s="13"/>
      <c r="P782" s="12" t="s">
        <v>12</v>
      </c>
      <c r="Q782" s="12"/>
      <c r="R782" s="12"/>
      <c r="T782">
        <f t="shared" si="24"/>
        <v>15.979156286426294</v>
      </c>
      <c r="U782" t="str">
        <f t="shared" si="25"/>
        <v>dead</v>
      </c>
    </row>
    <row r="783" spans="1:21">
      <c r="A783" s="12">
        <v>40</v>
      </c>
      <c r="B783" s="12">
        <v>0</v>
      </c>
      <c r="C783" s="11">
        <v>48.467731741905403</v>
      </c>
      <c r="D783" s="11">
        <v>4.3313476780518956</v>
      </c>
      <c r="E783" s="11"/>
      <c r="F783" s="10">
        <v>277</v>
      </c>
      <c r="G783" s="12" t="s">
        <v>11</v>
      </c>
      <c r="H783" s="13">
        <v>50.3</v>
      </c>
      <c r="I783" s="14"/>
      <c r="J783" s="14" t="s">
        <v>70</v>
      </c>
      <c r="K783" s="14"/>
      <c r="L783" s="13">
        <v>4.0999999999999996</v>
      </c>
      <c r="M783" s="13"/>
      <c r="P783" s="12" t="s">
        <v>12</v>
      </c>
      <c r="Q783" s="12"/>
      <c r="R783" s="12" t="s">
        <v>16</v>
      </c>
      <c r="T783">
        <f t="shared" si="24"/>
        <v>16.01098727504467</v>
      </c>
      <c r="U783" t="str">
        <f t="shared" si="25"/>
        <v>dead</v>
      </c>
    </row>
    <row r="784" spans="1:21">
      <c r="A784" s="12">
        <v>40</v>
      </c>
      <c r="B784" s="12">
        <v>-30</v>
      </c>
      <c r="C784" s="11">
        <v>48.043097408521334</v>
      </c>
      <c r="D784" s="11">
        <v>-23.901055742566481</v>
      </c>
      <c r="E784" s="11"/>
      <c r="F784" s="12">
        <v>696</v>
      </c>
      <c r="G784" s="12" t="s">
        <v>13</v>
      </c>
      <c r="H784" s="13">
        <v>51</v>
      </c>
      <c r="I784" s="14"/>
      <c r="J784" s="14">
        <v>50</v>
      </c>
      <c r="K784" s="14"/>
      <c r="L784" s="13">
        <v>9.5</v>
      </c>
      <c r="M784" s="13">
        <v>4.2</v>
      </c>
      <c r="P784" s="12" t="s">
        <v>14</v>
      </c>
      <c r="Q784" s="12"/>
      <c r="R784" s="12" t="s">
        <v>49</v>
      </c>
      <c r="T784">
        <f t="shared" si="24"/>
        <v>16.233804195373324</v>
      </c>
      <c r="U784">
        <f t="shared" si="25"/>
        <v>15.915494309189533</v>
      </c>
    </row>
    <row r="785" spans="1:21">
      <c r="A785" s="12">
        <v>0</v>
      </c>
      <c r="B785" s="12">
        <v>-30</v>
      </c>
      <c r="C785" s="11">
        <v>9.0173586714432492</v>
      </c>
      <c r="D785" s="11">
        <v>-23.071405532326935</v>
      </c>
      <c r="E785" s="11"/>
      <c r="F785" s="12">
        <v>608</v>
      </c>
      <c r="G785" s="12" t="s">
        <v>13</v>
      </c>
      <c r="H785" s="13">
        <v>51.7</v>
      </c>
      <c r="I785" s="14"/>
      <c r="J785" s="14" t="s">
        <v>70</v>
      </c>
      <c r="K785" s="14"/>
      <c r="L785" s="13">
        <v>6.6</v>
      </c>
      <c r="M785" s="13">
        <v>5</v>
      </c>
      <c r="P785" s="12" t="s">
        <v>14</v>
      </c>
      <c r="Q785" s="12"/>
      <c r="R785" s="12" t="s">
        <v>44</v>
      </c>
      <c r="T785">
        <f t="shared" si="24"/>
        <v>16.456621115701978</v>
      </c>
      <c r="U785" t="str">
        <f t="shared" si="25"/>
        <v>dead</v>
      </c>
    </row>
    <row r="786" spans="1:21">
      <c r="A786" s="12">
        <v>20</v>
      </c>
      <c r="B786" s="12">
        <v>-30</v>
      </c>
      <c r="C786" s="11">
        <v>24.631125327517815</v>
      </c>
      <c r="D786" s="11">
        <v>-26.197998447174644</v>
      </c>
      <c r="E786" s="11"/>
      <c r="F786" s="12">
        <v>646</v>
      </c>
      <c r="G786" s="12" t="s">
        <v>13</v>
      </c>
      <c r="H786" s="13">
        <v>52.2</v>
      </c>
      <c r="I786" s="14"/>
      <c r="J786" s="14">
        <v>52</v>
      </c>
      <c r="K786" s="14"/>
      <c r="L786" s="13">
        <v>11.9</v>
      </c>
      <c r="M786" s="13">
        <v>4.0999999999999996</v>
      </c>
      <c r="P786" s="12" t="s">
        <v>14</v>
      </c>
      <c r="Q786" s="12"/>
      <c r="R786" s="12"/>
      <c r="T786">
        <f t="shared" si="24"/>
        <v>16.615776058793873</v>
      </c>
      <c r="U786">
        <f t="shared" si="25"/>
        <v>16.552114081557114</v>
      </c>
    </row>
    <row r="787" spans="1:21">
      <c r="A787" s="12">
        <v>40</v>
      </c>
      <c r="B787" s="12">
        <v>-50</v>
      </c>
      <c r="C787" s="11">
        <v>45.008992517250434</v>
      </c>
      <c r="D787" s="11">
        <v>-49.500399673810001</v>
      </c>
      <c r="E787" s="11"/>
      <c r="F787" s="12">
        <v>826</v>
      </c>
      <c r="G787" s="12" t="s">
        <v>11</v>
      </c>
      <c r="H787" s="13">
        <v>53.2</v>
      </c>
      <c r="I787" s="14"/>
      <c r="J787" s="14">
        <v>54.6</v>
      </c>
      <c r="K787" s="14"/>
      <c r="L787" s="13">
        <v>11.1</v>
      </c>
      <c r="M787" s="13">
        <v>3.7</v>
      </c>
      <c r="P787" s="12" t="s">
        <v>14</v>
      </c>
      <c r="Q787" s="12"/>
      <c r="R787" s="12"/>
      <c r="T787">
        <f t="shared" si="24"/>
        <v>16.934085944977664</v>
      </c>
      <c r="U787">
        <f t="shared" si="25"/>
        <v>17.379719785634972</v>
      </c>
    </row>
    <row r="788" spans="1:21">
      <c r="A788" s="12">
        <v>40</v>
      </c>
      <c r="B788" s="12">
        <v>-30</v>
      </c>
      <c r="C788" s="11">
        <v>43.168294263952326</v>
      </c>
      <c r="D788" s="11">
        <v>-26.62296203959831</v>
      </c>
      <c r="E788" s="11"/>
      <c r="F788" s="10">
        <v>683</v>
      </c>
      <c r="G788" s="12" t="s">
        <v>11</v>
      </c>
      <c r="H788" s="13">
        <v>53.6</v>
      </c>
      <c r="I788" s="14"/>
      <c r="J788" s="14" t="s">
        <v>70</v>
      </c>
      <c r="K788" s="14"/>
      <c r="L788" s="13">
        <v>12</v>
      </c>
      <c r="M788" s="13"/>
      <c r="P788" s="12" t="s">
        <v>12</v>
      </c>
      <c r="Q788" s="12"/>
      <c r="R788" s="12"/>
      <c r="T788">
        <f t="shared" si="24"/>
        <v>17.061409899451181</v>
      </c>
      <c r="U788" t="str">
        <f t="shared" si="25"/>
        <v>dead</v>
      </c>
    </row>
    <row r="789" spans="1:21">
      <c r="A789" s="12">
        <v>0</v>
      </c>
      <c r="B789" s="12">
        <v>-20</v>
      </c>
      <c r="C789" s="11">
        <v>6.4666413112328369</v>
      </c>
      <c r="D789" s="11">
        <v>-17.283553401455698</v>
      </c>
      <c r="E789" s="11"/>
      <c r="F789" s="12">
        <v>582</v>
      </c>
      <c r="G789" s="12" t="s">
        <v>11</v>
      </c>
      <c r="H789" s="13">
        <v>54.8</v>
      </c>
      <c r="I789" s="14"/>
      <c r="J789" s="14" t="s">
        <v>70</v>
      </c>
      <c r="K789" s="14"/>
      <c r="L789" s="13">
        <v>3.7</v>
      </c>
      <c r="M789" s="13"/>
      <c r="P789" s="12" t="s">
        <v>12</v>
      </c>
      <c r="Q789" s="12"/>
      <c r="R789" s="12" t="s">
        <v>16</v>
      </c>
      <c r="T789">
        <f t="shared" si="24"/>
        <v>17.443381762871727</v>
      </c>
      <c r="U789" t="str">
        <f t="shared" si="25"/>
        <v>dead</v>
      </c>
    </row>
    <row r="790" spans="1:21">
      <c r="A790" s="12">
        <v>0</v>
      </c>
      <c r="B790" s="12">
        <v>-40</v>
      </c>
      <c r="C790" s="11">
        <v>4.8140191056457162</v>
      </c>
      <c r="D790" s="11">
        <v>-37.96763631123946</v>
      </c>
      <c r="E790" s="11"/>
      <c r="F790" s="12">
        <v>728</v>
      </c>
      <c r="G790" s="12" t="s">
        <v>11</v>
      </c>
      <c r="H790" s="13">
        <v>54.8</v>
      </c>
      <c r="I790" s="14"/>
      <c r="J790" s="14">
        <v>55.8</v>
      </c>
      <c r="K790" s="14"/>
      <c r="L790" s="13">
        <v>13.1</v>
      </c>
      <c r="M790" s="13">
        <v>3</v>
      </c>
      <c r="P790" s="12" t="s">
        <v>14</v>
      </c>
      <c r="Q790" s="12"/>
      <c r="R790" s="12"/>
      <c r="T790">
        <f t="shared" si="24"/>
        <v>17.443381762871727</v>
      </c>
      <c r="U790">
        <f t="shared" si="25"/>
        <v>17.761691649055518</v>
      </c>
    </row>
    <row r="791" spans="1:21">
      <c r="A791" s="9">
        <v>10</v>
      </c>
      <c r="B791" s="9">
        <v>-10</v>
      </c>
      <c r="C791" s="11">
        <v>10.990466041018198</v>
      </c>
      <c r="D791" s="11">
        <v>-3.8857530829415468</v>
      </c>
      <c r="E791" s="11"/>
      <c r="F791" s="12">
        <v>406</v>
      </c>
      <c r="G791" s="12" t="s">
        <v>11</v>
      </c>
      <c r="H791" s="13">
        <v>56.9</v>
      </c>
      <c r="I791" s="14"/>
      <c r="J791" s="14" t="s">
        <v>70</v>
      </c>
      <c r="K791" s="14"/>
      <c r="L791" s="13">
        <v>11.4</v>
      </c>
      <c r="M791" s="13"/>
      <c r="P791" s="12" t="s">
        <v>12</v>
      </c>
      <c r="Q791" s="12"/>
      <c r="R791" s="12"/>
      <c r="T791">
        <f t="shared" si="24"/>
        <v>18.111832523857689</v>
      </c>
      <c r="U791" t="str">
        <f t="shared" si="25"/>
        <v>dead</v>
      </c>
    </row>
    <row r="792" spans="1:21">
      <c r="A792" s="9">
        <v>0</v>
      </c>
      <c r="B792" s="12">
        <v>20</v>
      </c>
      <c r="C792" s="11">
        <v>8.640717581892984</v>
      </c>
      <c r="D792" s="11">
        <v>22.445076618424352</v>
      </c>
      <c r="E792" s="11"/>
      <c r="F792" s="12">
        <v>32</v>
      </c>
      <c r="G792" s="12" t="s">
        <v>13</v>
      </c>
      <c r="H792" s="13">
        <v>57.3</v>
      </c>
      <c r="I792" s="14"/>
      <c r="J792" s="14">
        <v>58.2</v>
      </c>
      <c r="K792" s="14"/>
      <c r="L792" s="13">
        <v>11.9</v>
      </c>
      <c r="M792" s="13">
        <v>3.5</v>
      </c>
      <c r="P792" s="12" t="s">
        <v>14</v>
      </c>
      <c r="Q792" s="12"/>
      <c r="R792" s="12"/>
      <c r="T792">
        <f t="shared" si="24"/>
        <v>18.239156478331207</v>
      </c>
      <c r="U792">
        <f t="shared" si="25"/>
        <v>18.52563537589662</v>
      </c>
    </row>
    <row r="793" spans="1:21">
      <c r="A793" s="12">
        <v>10</v>
      </c>
      <c r="B793" s="12">
        <v>40</v>
      </c>
      <c r="C793" s="11">
        <v>11.407461215204988</v>
      </c>
      <c r="D793" s="11">
        <v>46.883921646256113</v>
      </c>
      <c r="E793" s="11"/>
      <c r="F793" s="12">
        <v>74</v>
      </c>
      <c r="G793" s="12" t="s">
        <v>11</v>
      </c>
      <c r="H793" s="13">
        <v>57.7</v>
      </c>
      <c r="I793" s="14"/>
      <c r="J793" s="14">
        <v>58.8</v>
      </c>
      <c r="K793" s="14"/>
      <c r="L793" s="13">
        <v>11.3</v>
      </c>
      <c r="M793" s="13">
        <v>1.1000000000000001</v>
      </c>
      <c r="P793" s="12" t="s">
        <v>14</v>
      </c>
      <c r="Q793" s="12"/>
      <c r="R793" s="12"/>
      <c r="T793">
        <f t="shared" si="24"/>
        <v>18.366480432804725</v>
      </c>
      <c r="U793">
        <f t="shared" si="25"/>
        <v>18.716621307606893</v>
      </c>
    </row>
    <row r="794" spans="1:21">
      <c r="A794" s="12">
        <v>30</v>
      </c>
      <c r="B794" s="12">
        <v>40</v>
      </c>
      <c r="C794" s="11">
        <v>37.478923043387454</v>
      </c>
      <c r="D794" s="11">
        <v>45.780601114359932</v>
      </c>
      <c r="E794" s="11"/>
      <c r="F794" s="12">
        <v>202</v>
      </c>
      <c r="G794" s="12" t="s">
        <v>13</v>
      </c>
      <c r="H794" s="13">
        <v>57.7</v>
      </c>
      <c r="I794" s="14"/>
      <c r="J794" s="14" t="s">
        <v>70</v>
      </c>
      <c r="K794" s="14"/>
      <c r="L794" s="13">
        <v>5.9</v>
      </c>
      <c r="M794" s="13"/>
      <c r="P794" s="12" t="s">
        <v>12</v>
      </c>
      <c r="Q794" s="12"/>
      <c r="R794" s="12" t="s">
        <v>16</v>
      </c>
      <c r="T794">
        <f t="shared" si="24"/>
        <v>18.366480432804725</v>
      </c>
      <c r="U794" t="str">
        <f t="shared" si="25"/>
        <v>dead</v>
      </c>
    </row>
    <row r="795" spans="1:21">
      <c r="A795" s="12">
        <v>0</v>
      </c>
      <c r="B795" s="12">
        <v>-50</v>
      </c>
      <c r="C795" s="11">
        <v>8.970067549236866</v>
      </c>
      <c r="D795" s="11">
        <v>-42.178838944682475</v>
      </c>
      <c r="E795" s="11"/>
      <c r="F795" s="12">
        <v>810</v>
      </c>
      <c r="G795" s="12" t="s">
        <v>11</v>
      </c>
      <c r="H795" s="13">
        <v>58.5</v>
      </c>
      <c r="I795" s="14"/>
      <c r="J795" s="14">
        <v>59.5</v>
      </c>
      <c r="K795" s="14"/>
      <c r="L795" s="13">
        <v>14</v>
      </c>
      <c r="M795" s="13">
        <v>4.5</v>
      </c>
      <c r="P795" s="12" t="s">
        <v>14</v>
      </c>
      <c r="Q795" s="12"/>
      <c r="R795" s="12"/>
      <c r="T795">
        <f t="shared" si="24"/>
        <v>18.621128341751756</v>
      </c>
      <c r="U795">
        <f t="shared" si="25"/>
        <v>18.939438227935547</v>
      </c>
    </row>
    <row r="796" spans="1:21">
      <c r="A796" s="12">
        <v>20</v>
      </c>
      <c r="B796" s="12">
        <v>-30</v>
      </c>
      <c r="C796" s="11">
        <v>24.64606832553627</v>
      </c>
      <c r="D796" s="11">
        <v>-24.540464252163428</v>
      </c>
      <c r="E796" s="11"/>
      <c r="F796" s="10">
        <v>639</v>
      </c>
      <c r="G796" s="12" t="s">
        <v>11</v>
      </c>
      <c r="H796" s="13">
        <v>59</v>
      </c>
      <c r="I796" s="14"/>
      <c r="J796" s="14" t="s">
        <v>70</v>
      </c>
      <c r="K796" s="14"/>
      <c r="L796" s="13">
        <v>8.6999999999999993</v>
      </c>
      <c r="M796" s="13"/>
      <c r="P796" s="12" t="s">
        <v>12</v>
      </c>
      <c r="Q796" s="12"/>
      <c r="R796" s="12" t="s">
        <v>16</v>
      </c>
      <c r="T796">
        <f t="shared" si="24"/>
        <v>18.780283284843652</v>
      </c>
      <c r="U796" t="str">
        <f t="shared" si="25"/>
        <v>dead</v>
      </c>
    </row>
    <row r="797" spans="1:21">
      <c r="A797" s="12">
        <v>30</v>
      </c>
      <c r="B797" s="12">
        <v>-20</v>
      </c>
      <c r="C797" s="11">
        <v>30.348473496172943</v>
      </c>
      <c r="D797" s="11">
        <v>-13.361017129668324</v>
      </c>
      <c r="E797" s="11"/>
      <c r="F797" s="10">
        <v>527</v>
      </c>
      <c r="G797" s="12" t="s">
        <v>13</v>
      </c>
      <c r="H797" s="13">
        <v>59.8</v>
      </c>
      <c r="I797" s="14"/>
      <c r="J797" s="14">
        <v>61</v>
      </c>
      <c r="K797" s="14"/>
      <c r="L797" s="13">
        <v>11.3</v>
      </c>
      <c r="M797" s="13">
        <v>4.0999999999999996</v>
      </c>
      <c r="P797" s="12" t="s">
        <v>14</v>
      </c>
      <c r="Q797" s="12"/>
      <c r="R797" s="12" t="s">
        <v>38</v>
      </c>
      <c r="T797">
        <f t="shared" si="24"/>
        <v>19.034931193790683</v>
      </c>
      <c r="U797">
        <f t="shared" si="25"/>
        <v>19.416903057211233</v>
      </c>
    </row>
    <row r="798" spans="1:21">
      <c r="A798" s="12">
        <v>20</v>
      </c>
      <c r="B798" s="12">
        <v>10</v>
      </c>
      <c r="C798" s="11">
        <v>21.782757902395126</v>
      </c>
      <c r="D798" s="11">
        <v>10.540297636283698</v>
      </c>
      <c r="E798" s="11"/>
      <c r="F798" s="12">
        <v>146</v>
      </c>
      <c r="G798" s="12" t="s">
        <v>13</v>
      </c>
      <c r="H798" s="13">
        <v>60</v>
      </c>
      <c r="I798" s="14"/>
      <c r="J798" s="14" t="s">
        <v>70</v>
      </c>
      <c r="K798" s="14"/>
      <c r="L798" s="13">
        <v>7.5</v>
      </c>
      <c r="M798" s="13"/>
      <c r="P798" s="12" t="s">
        <v>12</v>
      </c>
      <c r="Q798" s="12"/>
      <c r="R798" s="12" t="s">
        <v>64</v>
      </c>
      <c r="T798">
        <f t="shared" si="24"/>
        <v>19.098593171027442</v>
      </c>
      <c r="U798" t="str">
        <f t="shared" si="25"/>
        <v>dead</v>
      </c>
    </row>
    <row r="799" spans="1:21">
      <c r="A799" s="12">
        <v>0</v>
      </c>
      <c r="B799" s="12">
        <v>-40</v>
      </c>
      <c r="C799" s="11">
        <v>2.0996441669634551</v>
      </c>
      <c r="D799" s="11">
        <v>-32.60697776877376</v>
      </c>
      <c r="E799" s="11"/>
      <c r="F799" s="12">
        <v>730</v>
      </c>
      <c r="G799" s="12" t="s">
        <v>11</v>
      </c>
      <c r="H799" s="13">
        <v>61.3</v>
      </c>
      <c r="I799" s="14"/>
      <c r="J799" s="14" t="s">
        <v>70</v>
      </c>
      <c r="K799" s="14"/>
      <c r="L799" s="13">
        <v>13.2</v>
      </c>
      <c r="M799" s="13"/>
      <c r="P799" s="12" t="s">
        <v>12</v>
      </c>
      <c r="Q799" s="12"/>
      <c r="R799" s="12"/>
      <c r="T799">
        <f t="shared" si="24"/>
        <v>19.512396023066369</v>
      </c>
      <c r="U799" t="str">
        <f t="shared" si="25"/>
        <v>dead</v>
      </c>
    </row>
    <row r="800" spans="1:21">
      <c r="A800" s="12">
        <v>20</v>
      </c>
      <c r="B800" s="12">
        <v>0</v>
      </c>
      <c r="C800" s="11">
        <v>27.834202182826417</v>
      </c>
      <c r="D800" s="11">
        <v>1.0174852129627514</v>
      </c>
      <c r="E800" s="11"/>
      <c r="F800" s="10">
        <v>117</v>
      </c>
      <c r="G800" s="12" t="s">
        <v>21</v>
      </c>
      <c r="H800" s="13">
        <v>61.5</v>
      </c>
      <c r="I800" s="14"/>
      <c r="J800" s="14">
        <v>62.4</v>
      </c>
      <c r="K800" s="14"/>
      <c r="L800" s="13">
        <v>10.5</v>
      </c>
      <c r="M800" s="13">
        <v>4.9000000000000004</v>
      </c>
      <c r="P800" s="12" t="s">
        <v>14</v>
      </c>
      <c r="Q800" s="12"/>
      <c r="R800" s="12"/>
      <c r="T800">
        <f t="shared" si="24"/>
        <v>19.576058000303128</v>
      </c>
      <c r="U800">
        <f t="shared" si="25"/>
        <v>19.862536897868537</v>
      </c>
    </row>
    <row r="801" spans="1:21">
      <c r="A801" s="12">
        <v>0</v>
      </c>
      <c r="B801" s="12">
        <v>-50</v>
      </c>
      <c r="C801" s="11">
        <v>1.8060621866094895</v>
      </c>
      <c r="D801" s="11">
        <v>-44.139055823528977</v>
      </c>
      <c r="E801" s="11"/>
      <c r="F801" s="12">
        <v>802</v>
      </c>
      <c r="G801" s="12" t="s">
        <v>11</v>
      </c>
      <c r="H801" s="13">
        <v>61.6</v>
      </c>
      <c r="I801" s="14"/>
      <c r="J801" s="14">
        <v>62</v>
      </c>
      <c r="K801" s="14"/>
      <c r="L801" s="13">
        <v>15.2</v>
      </c>
      <c r="M801" s="13">
        <v>6.9</v>
      </c>
      <c r="P801" s="12" t="s">
        <v>14</v>
      </c>
      <c r="Q801" s="12"/>
      <c r="R801" s="12"/>
      <c r="T801">
        <f t="shared" si="24"/>
        <v>19.607888988921506</v>
      </c>
      <c r="U801">
        <f t="shared" si="25"/>
        <v>19.735212943395023</v>
      </c>
    </row>
    <row r="802" spans="1:21">
      <c r="A802" s="12">
        <v>10</v>
      </c>
      <c r="B802" s="12">
        <v>-50</v>
      </c>
      <c r="C802" s="11">
        <v>13.668225905124411</v>
      </c>
      <c r="D802" s="11">
        <v>-49.401471127294251</v>
      </c>
      <c r="E802" s="11"/>
      <c r="F802" s="12">
        <v>814</v>
      </c>
      <c r="G802" s="12" t="s">
        <v>11</v>
      </c>
      <c r="H802" s="13">
        <v>62.8</v>
      </c>
      <c r="I802" s="14"/>
      <c r="J802" s="14">
        <v>63.4</v>
      </c>
      <c r="K802" s="14"/>
      <c r="L802" s="13">
        <v>16.7</v>
      </c>
      <c r="M802" s="13">
        <v>10.9</v>
      </c>
      <c r="P802" s="12" t="s">
        <v>14</v>
      </c>
      <c r="Q802" s="12"/>
      <c r="R802" s="12"/>
      <c r="T802">
        <f t="shared" si="24"/>
        <v>19.989860852342055</v>
      </c>
      <c r="U802">
        <f t="shared" si="25"/>
        <v>20.180846784052328</v>
      </c>
    </row>
    <row r="803" spans="1:21">
      <c r="A803" s="12">
        <v>0</v>
      </c>
      <c r="B803" s="12">
        <v>-40</v>
      </c>
      <c r="C803" s="11">
        <v>3.6821489091014223</v>
      </c>
      <c r="D803" s="11">
        <v>-38.271631522726807</v>
      </c>
      <c r="E803" s="11"/>
      <c r="F803" s="10">
        <v>729</v>
      </c>
      <c r="G803" s="12" t="s">
        <v>11</v>
      </c>
      <c r="H803" s="13">
        <v>63.4</v>
      </c>
      <c r="I803" s="14"/>
      <c r="J803" s="14">
        <v>64.5</v>
      </c>
      <c r="K803" s="14"/>
      <c r="L803" s="13">
        <v>16.2</v>
      </c>
      <c r="M803" s="13">
        <v>4.3</v>
      </c>
      <c r="P803" s="12" t="s">
        <v>14</v>
      </c>
      <c r="Q803" s="12"/>
      <c r="R803" s="12"/>
      <c r="T803">
        <f t="shared" si="24"/>
        <v>20.180846784052328</v>
      </c>
      <c r="U803">
        <f t="shared" si="25"/>
        <v>20.5309876588545</v>
      </c>
    </row>
    <row r="804" spans="1:21">
      <c r="A804" s="12">
        <v>10</v>
      </c>
      <c r="B804" s="12">
        <v>-50</v>
      </c>
      <c r="C804" s="11">
        <v>19.293620727485088</v>
      </c>
      <c r="D804" s="11">
        <v>-47.435506224737267</v>
      </c>
      <c r="E804" s="11"/>
      <c r="F804" s="12">
        <v>818</v>
      </c>
      <c r="G804" s="12" t="s">
        <v>11</v>
      </c>
      <c r="H804" s="13">
        <v>63.8</v>
      </c>
      <c r="I804" s="14"/>
      <c r="J804" s="14">
        <v>64.8</v>
      </c>
      <c r="K804" s="14"/>
      <c r="L804" s="13">
        <v>14.4</v>
      </c>
      <c r="M804" s="13">
        <v>4.5</v>
      </c>
      <c r="P804" s="12" t="s">
        <v>14</v>
      </c>
      <c r="Q804" s="12"/>
      <c r="R804" s="12"/>
      <c r="T804">
        <f t="shared" si="24"/>
        <v>20.308170738525845</v>
      </c>
      <c r="U804">
        <f t="shared" si="25"/>
        <v>20.626480624709636</v>
      </c>
    </row>
    <row r="805" spans="1:21">
      <c r="A805" s="12">
        <v>40</v>
      </c>
      <c r="B805" s="12">
        <v>30</v>
      </c>
      <c r="C805" s="11">
        <v>43.199272330210086</v>
      </c>
      <c r="D805" s="11">
        <v>33.055325553969148</v>
      </c>
      <c r="E805" s="11"/>
      <c r="F805" s="12">
        <v>342</v>
      </c>
      <c r="G805" s="12" t="s">
        <v>11</v>
      </c>
      <c r="H805" s="13">
        <v>65.5</v>
      </c>
      <c r="I805" s="14"/>
      <c r="J805" s="14" t="s">
        <v>70</v>
      </c>
      <c r="K805" s="14"/>
      <c r="L805" s="13">
        <v>7.9</v>
      </c>
      <c r="M805" s="13"/>
      <c r="P805" s="12" t="s">
        <v>12</v>
      </c>
      <c r="Q805" s="12"/>
      <c r="R805" s="12" t="s">
        <v>16</v>
      </c>
      <c r="T805">
        <f t="shared" si="24"/>
        <v>20.84929754503829</v>
      </c>
      <c r="U805" t="str">
        <f t="shared" si="25"/>
        <v>dead</v>
      </c>
    </row>
    <row r="806" spans="1:21">
      <c r="A806" s="12">
        <v>40</v>
      </c>
      <c r="B806" s="12">
        <v>20</v>
      </c>
      <c r="C806" s="11">
        <v>43.349094919314922</v>
      </c>
      <c r="D806" s="11">
        <v>23.576879203316832</v>
      </c>
      <c r="E806" s="11"/>
      <c r="F806" s="12">
        <v>286</v>
      </c>
      <c r="G806" s="12" t="s">
        <v>11</v>
      </c>
      <c r="H806" s="13">
        <v>65.599999999999994</v>
      </c>
      <c r="I806" s="14"/>
      <c r="J806" s="14" t="s">
        <v>70</v>
      </c>
      <c r="K806" s="14"/>
      <c r="L806" s="13">
        <v>12.2</v>
      </c>
      <c r="M806" s="13"/>
      <c r="P806" s="12" t="s">
        <v>12</v>
      </c>
      <c r="Q806" s="12"/>
      <c r="R806" s="12"/>
      <c r="T806">
        <f t="shared" si="24"/>
        <v>20.881128533656668</v>
      </c>
      <c r="U806" t="str">
        <f t="shared" si="25"/>
        <v>dead</v>
      </c>
    </row>
    <row r="807" spans="1:21">
      <c r="A807" s="12">
        <v>10</v>
      </c>
      <c r="B807" s="12">
        <v>-40</v>
      </c>
      <c r="C807" s="11">
        <v>15.458956323973755</v>
      </c>
      <c r="D807" s="11">
        <v>-30.151782097610404</v>
      </c>
      <c r="E807" s="11"/>
      <c r="F807" s="12">
        <v>724</v>
      </c>
      <c r="G807" s="12" t="s">
        <v>11</v>
      </c>
      <c r="H807" s="13">
        <v>66.900000000000006</v>
      </c>
      <c r="I807" s="14"/>
      <c r="J807" s="14" t="s">
        <v>70</v>
      </c>
      <c r="K807" s="14"/>
      <c r="L807" s="13">
        <v>15.7</v>
      </c>
      <c r="M807" s="13"/>
      <c r="P807" s="12" t="s">
        <v>12</v>
      </c>
      <c r="Q807" s="12"/>
      <c r="R807" s="12"/>
      <c r="T807">
        <f t="shared" si="24"/>
        <v>21.294931385695598</v>
      </c>
      <c r="U807" t="str">
        <f t="shared" si="25"/>
        <v>dead</v>
      </c>
    </row>
    <row r="808" spans="1:21">
      <c r="A808" s="12">
        <v>20</v>
      </c>
      <c r="B808" s="12">
        <v>10</v>
      </c>
      <c r="C808" s="11">
        <v>24.081992358517237</v>
      </c>
      <c r="D808" s="11">
        <v>14.329945512283251</v>
      </c>
      <c r="E808" s="11"/>
      <c r="F808" s="12">
        <v>158</v>
      </c>
      <c r="G808" s="12" t="s">
        <v>11</v>
      </c>
      <c r="H808" s="13">
        <v>67</v>
      </c>
      <c r="I808" s="14"/>
      <c r="J808" s="14" t="s">
        <v>70</v>
      </c>
      <c r="K808" s="14"/>
      <c r="L808" s="13">
        <v>11.4</v>
      </c>
      <c r="M808" s="13"/>
      <c r="P808" s="12" t="s">
        <v>12</v>
      </c>
      <c r="Q808" s="12"/>
      <c r="R808" s="12"/>
      <c r="T808">
        <f t="shared" si="24"/>
        <v>21.326762374313976</v>
      </c>
      <c r="U808" t="str">
        <f t="shared" si="25"/>
        <v>dead</v>
      </c>
    </row>
    <row r="809" spans="1:21">
      <c r="A809" s="12">
        <v>30</v>
      </c>
      <c r="B809" s="12">
        <v>10</v>
      </c>
      <c r="C809" s="11">
        <v>31.896743692831674</v>
      </c>
      <c r="D809" s="11">
        <v>17.510168004924175</v>
      </c>
      <c r="E809" s="11"/>
      <c r="F809" s="12">
        <v>224</v>
      </c>
      <c r="G809" s="12" t="s">
        <v>13</v>
      </c>
      <c r="H809" s="13">
        <v>68.8</v>
      </c>
      <c r="I809" s="14"/>
      <c r="J809" s="14">
        <v>68.5</v>
      </c>
      <c r="K809" s="14"/>
      <c r="L809" s="13">
        <v>7.3</v>
      </c>
      <c r="M809" s="13">
        <v>3.2</v>
      </c>
      <c r="P809" s="12" t="s">
        <v>14</v>
      </c>
      <c r="Q809" s="12"/>
      <c r="R809" s="12" t="s">
        <v>27</v>
      </c>
      <c r="T809">
        <f t="shared" si="24"/>
        <v>21.899720169444798</v>
      </c>
      <c r="U809">
        <f t="shared" si="25"/>
        <v>21.804227203589662</v>
      </c>
    </row>
    <row r="810" spans="1:21">
      <c r="A810" s="9">
        <v>10</v>
      </c>
      <c r="B810" s="9">
        <v>-10</v>
      </c>
      <c r="C810" s="11">
        <v>16.700577497173406</v>
      </c>
      <c r="D810" s="11">
        <v>-0.72791565745859188</v>
      </c>
      <c r="E810" s="11"/>
      <c r="F810" s="12">
        <v>408</v>
      </c>
      <c r="G810" s="12" t="s">
        <v>11</v>
      </c>
      <c r="H810" s="13">
        <v>69.2</v>
      </c>
      <c r="I810" s="14"/>
      <c r="J810" s="14" t="s">
        <v>70</v>
      </c>
      <c r="K810" s="14"/>
      <c r="L810" s="13">
        <v>13.5</v>
      </c>
      <c r="M810" s="13"/>
      <c r="P810" s="12" t="s">
        <v>12</v>
      </c>
      <c r="Q810" s="12"/>
      <c r="R810" s="12"/>
      <c r="T810">
        <f t="shared" si="24"/>
        <v>22.027044123918316</v>
      </c>
      <c r="U810" t="str">
        <f t="shared" si="25"/>
        <v>dead</v>
      </c>
    </row>
    <row r="811" spans="1:21">
      <c r="A811" s="12">
        <v>20</v>
      </c>
      <c r="B811" s="12">
        <v>-30</v>
      </c>
      <c r="C811" s="11">
        <v>25.194452297598396</v>
      </c>
      <c r="D811" s="11">
        <v>-23.933295219017086</v>
      </c>
      <c r="E811" s="11"/>
      <c r="F811" s="12">
        <v>638</v>
      </c>
      <c r="G811" s="12" t="s">
        <v>11</v>
      </c>
      <c r="H811" s="13">
        <v>69.8</v>
      </c>
      <c r="I811" s="14"/>
      <c r="J811" s="14" t="s">
        <v>70</v>
      </c>
      <c r="K811" s="14"/>
      <c r="L811" s="13">
        <v>14.6</v>
      </c>
      <c r="M811" s="13"/>
      <c r="P811" s="12" t="s">
        <v>12</v>
      </c>
      <c r="Q811" s="12"/>
      <c r="R811" s="12"/>
      <c r="T811">
        <f t="shared" si="24"/>
        <v>22.218030055628589</v>
      </c>
      <c r="U811" t="str">
        <f t="shared" si="25"/>
        <v>dead</v>
      </c>
    </row>
    <row r="812" spans="1:21">
      <c r="A812" s="12">
        <v>40</v>
      </c>
      <c r="B812" s="12">
        <v>-30</v>
      </c>
      <c r="C812" s="11">
        <v>47.825175149350287</v>
      </c>
      <c r="D812" s="11">
        <v>-23.723873104039001</v>
      </c>
      <c r="E812" s="11"/>
      <c r="F812" s="10">
        <v>697</v>
      </c>
      <c r="G812" s="12" t="s">
        <v>13</v>
      </c>
      <c r="H812" s="13">
        <v>71.2</v>
      </c>
      <c r="I812" s="14"/>
      <c r="J812" s="14">
        <v>18</v>
      </c>
      <c r="K812" s="14"/>
      <c r="L812" s="13">
        <v>5.5</v>
      </c>
      <c r="M812" s="13">
        <v>1.9</v>
      </c>
      <c r="P812" s="12" t="s">
        <v>14</v>
      </c>
      <c r="Q812" s="12"/>
      <c r="R812" s="12"/>
      <c r="T812">
        <f t="shared" si="24"/>
        <v>22.663663896285897</v>
      </c>
      <c r="U812">
        <f t="shared" si="25"/>
        <v>5.7295779513082321</v>
      </c>
    </row>
    <row r="813" spans="1:21">
      <c r="A813" s="9">
        <v>0</v>
      </c>
      <c r="B813" s="12">
        <v>30</v>
      </c>
      <c r="C813" s="11">
        <v>8.4116641956156712</v>
      </c>
      <c r="D813" s="11">
        <v>38.288269613612911</v>
      </c>
      <c r="E813" s="11"/>
      <c r="F813" s="12">
        <v>60</v>
      </c>
      <c r="G813" s="12" t="s">
        <v>11</v>
      </c>
      <c r="H813" s="13">
        <v>71.5</v>
      </c>
      <c r="I813" s="14"/>
      <c r="J813" s="14" t="s">
        <v>70</v>
      </c>
      <c r="K813" s="14"/>
      <c r="L813" s="13">
        <v>13.1</v>
      </c>
      <c r="M813" s="13"/>
      <c r="P813" s="12" t="s">
        <v>12</v>
      </c>
      <c r="Q813" s="12"/>
      <c r="R813" s="12"/>
      <c r="T813">
        <f t="shared" si="24"/>
        <v>22.759156862141033</v>
      </c>
      <c r="U813" t="str">
        <f t="shared" si="25"/>
        <v>dead</v>
      </c>
    </row>
    <row r="814" spans="1:21">
      <c r="A814" s="9">
        <v>0</v>
      </c>
      <c r="B814" s="9">
        <v>0</v>
      </c>
      <c r="C814" s="11">
        <v>5.1128726289895026</v>
      </c>
      <c r="D814" s="11">
        <v>4.974456640370116</v>
      </c>
      <c r="E814" s="11"/>
      <c r="F814" s="12">
        <v>16</v>
      </c>
      <c r="G814" s="12" t="s">
        <v>11</v>
      </c>
      <c r="H814" s="13">
        <v>72.2</v>
      </c>
      <c r="I814" s="14"/>
      <c r="J814" s="14" t="s">
        <v>70</v>
      </c>
      <c r="K814" s="14"/>
      <c r="L814" s="13">
        <v>9.8000000000000007</v>
      </c>
      <c r="M814" s="13"/>
      <c r="P814" s="12" t="s">
        <v>12</v>
      </c>
      <c r="Q814" s="12"/>
      <c r="R814" s="12" t="s">
        <v>16</v>
      </c>
      <c r="T814">
        <f t="shared" si="24"/>
        <v>22.981973782469687</v>
      </c>
      <c r="U814" t="str">
        <f t="shared" si="25"/>
        <v>dead</v>
      </c>
    </row>
    <row r="815" spans="1:21">
      <c r="A815" s="12">
        <v>20</v>
      </c>
      <c r="B815" s="12">
        <v>-20</v>
      </c>
      <c r="C815" s="11">
        <v>28.465129140768692</v>
      </c>
      <c r="D815" s="11">
        <v>-16.499565697864465</v>
      </c>
      <c r="E815" s="11"/>
      <c r="F815" s="10">
        <v>559</v>
      </c>
      <c r="G815" s="12" t="s">
        <v>11</v>
      </c>
      <c r="H815" s="13">
        <v>73</v>
      </c>
      <c r="I815" s="14"/>
      <c r="J815" s="14" t="s">
        <v>70</v>
      </c>
      <c r="K815" s="14"/>
      <c r="L815" s="13">
        <v>3</v>
      </c>
      <c r="M815" s="13"/>
      <c r="P815" s="12" t="s">
        <v>12</v>
      </c>
      <c r="Q815" s="12"/>
      <c r="R815" s="12"/>
      <c r="T815">
        <f t="shared" si="24"/>
        <v>23.236621691416719</v>
      </c>
      <c r="U815" t="str">
        <f t="shared" si="25"/>
        <v>dead</v>
      </c>
    </row>
    <row r="816" spans="1:21">
      <c r="A816" s="12">
        <v>10</v>
      </c>
      <c r="B816" s="12">
        <v>-30</v>
      </c>
      <c r="C816" s="11">
        <v>10.670995073625223</v>
      </c>
      <c r="D816" s="11">
        <v>-20.197424387494433</v>
      </c>
      <c r="E816" s="11"/>
      <c r="F816" s="10">
        <v>617</v>
      </c>
      <c r="G816" s="12" t="s">
        <v>11</v>
      </c>
      <c r="H816" s="13">
        <v>73</v>
      </c>
      <c r="I816" s="14"/>
      <c r="J816" s="14" t="s">
        <v>70</v>
      </c>
      <c r="K816" s="14"/>
      <c r="L816" s="13">
        <v>13.7</v>
      </c>
      <c r="M816" s="13"/>
      <c r="P816" s="12" t="s">
        <v>12</v>
      </c>
      <c r="Q816" s="12"/>
      <c r="R816" s="12"/>
      <c r="T816">
        <f t="shared" si="24"/>
        <v>23.236621691416719</v>
      </c>
      <c r="U816" t="str">
        <f t="shared" si="25"/>
        <v>dead</v>
      </c>
    </row>
    <row r="817" spans="1:21">
      <c r="A817" s="12">
        <v>40</v>
      </c>
      <c r="B817" s="12">
        <v>10</v>
      </c>
      <c r="C817" s="11">
        <v>44.877625007161186</v>
      </c>
      <c r="D817" s="11">
        <v>16.837663182661874</v>
      </c>
      <c r="E817" s="11"/>
      <c r="F817" s="10">
        <v>283</v>
      </c>
      <c r="G817" s="12" t="s">
        <v>11</v>
      </c>
      <c r="H817" s="13">
        <v>73.400000000000006</v>
      </c>
      <c r="I817" s="14"/>
      <c r="J817" s="14" t="s">
        <v>70</v>
      </c>
      <c r="K817" s="14"/>
      <c r="L817" s="13">
        <v>15.9</v>
      </c>
      <c r="M817" s="13"/>
      <c r="P817" s="12" t="s">
        <v>12</v>
      </c>
      <c r="Q817" s="12"/>
      <c r="R817" s="12"/>
      <c r="T817">
        <f t="shared" si="24"/>
        <v>23.363945645890237</v>
      </c>
      <c r="U817" t="str">
        <f t="shared" si="25"/>
        <v>dead</v>
      </c>
    </row>
    <row r="818" spans="1:21">
      <c r="A818" s="12">
        <v>40</v>
      </c>
      <c r="B818" s="12">
        <v>-30</v>
      </c>
      <c r="C818" s="11">
        <v>41.448771966454686</v>
      </c>
      <c r="D818" s="11">
        <v>-26.34615792902456</v>
      </c>
      <c r="E818" s="11"/>
      <c r="F818" s="10">
        <v>693</v>
      </c>
      <c r="G818" s="12" t="s">
        <v>11</v>
      </c>
      <c r="H818" s="13">
        <v>75.5</v>
      </c>
      <c r="I818" s="14"/>
      <c r="J818" s="14" t="s">
        <v>70</v>
      </c>
      <c r="K818" s="14"/>
      <c r="L818" s="13">
        <v>14.5</v>
      </c>
      <c r="M818" s="13"/>
      <c r="P818" s="12" t="s">
        <v>12</v>
      </c>
      <c r="Q818" s="12"/>
      <c r="R818" s="12"/>
      <c r="T818">
        <f t="shared" si="24"/>
        <v>24.032396406876195</v>
      </c>
      <c r="U818" t="str">
        <f t="shared" si="25"/>
        <v>dead</v>
      </c>
    </row>
    <row r="819" spans="1:21">
      <c r="A819" s="12">
        <v>10</v>
      </c>
      <c r="B819" s="12">
        <v>-50</v>
      </c>
      <c r="C819" s="11">
        <v>11.451037265159524</v>
      </c>
      <c r="D819" s="11">
        <v>-46.139995316284079</v>
      </c>
      <c r="E819" s="11"/>
      <c r="F819" s="12">
        <v>812</v>
      </c>
      <c r="G819" s="12" t="s">
        <v>11</v>
      </c>
      <c r="H819" s="13">
        <v>76.5</v>
      </c>
      <c r="I819" s="14"/>
      <c r="J819" s="14">
        <v>78.2</v>
      </c>
      <c r="K819" s="14"/>
      <c r="L819" s="13">
        <v>16</v>
      </c>
      <c r="M819" s="13">
        <v>4.5999999999999996</v>
      </c>
      <c r="P819" s="12" t="s">
        <v>14</v>
      </c>
      <c r="Q819" s="12"/>
      <c r="R819" s="12"/>
      <c r="T819">
        <f t="shared" si="24"/>
        <v>24.350706293059986</v>
      </c>
      <c r="U819">
        <f t="shared" si="25"/>
        <v>24.891833099572434</v>
      </c>
    </row>
    <row r="820" spans="1:21">
      <c r="A820" s="12">
        <v>20</v>
      </c>
      <c r="B820" s="12">
        <v>-30</v>
      </c>
      <c r="C820" s="11">
        <v>23.287444262669794</v>
      </c>
      <c r="D820" s="11">
        <v>-25.263316014950586</v>
      </c>
      <c r="E820" s="11"/>
      <c r="F820" s="12">
        <v>640</v>
      </c>
      <c r="G820" s="12" t="s">
        <v>11</v>
      </c>
      <c r="H820" s="13">
        <v>78.5</v>
      </c>
      <c r="I820" s="14"/>
      <c r="J820" s="14" t="s">
        <v>70</v>
      </c>
      <c r="K820" s="14"/>
      <c r="L820" s="13">
        <v>15.7</v>
      </c>
      <c r="M820" s="13"/>
      <c r="P820" s="12" t="s">
        <v>12</v>
      </c>
      <c r="Q820" s="12"/>
      <c r="R820" s="12"/>
      <c r="T820">
        <f t="shared" si="24"/>
        <v>24.98732606542757</v>
      </c>
      <c r="U820" t="str">
        <f t="shared" si="25"/>
        <v>dead</v>
      </c>
    </row>
    <row r="821" spans="1:21">
      <c r="A821" s="12">
        <v>10</v>
      </c>
      <c r="B821" s="12">
        <v>-40</v>
      </c>
      <c r="C821" s="11">
        <v>15.09772605013295</v>
      </c>
      <c r="D821" s="11">
        <v>-34.417277624868319</v>
      </c>
      <c r="E821" s="11"/>
      <c r="F821" s="10">
        <v>725</v>
      </c>
      <c r="G821" s="12" t="s">
        <v>11</v>
      </c>
      <c r="H821" s="13">
        <v>79.5</v>
      </c>
      <c r="I821" s="14"/>
      <c r="J821" s="14" t="s">
        <v>70</v>
      </c>
      <c r="K821" s="14"/>
      <c r="L821" s="13">
        <v>15.3</v>
      </c>
      <c r="M821" s="13"/>
      <c r="P821" s="12" t="s">
        <v>12</v>
      </c>
      <c r="Q821" s="12"/>
      <c r="R821" s="12"/>
      <c r="T821">
        <f t="shared" si="24"/>
        <v>25.305635951611361</v>
      </c>
      <c r="U821" t="str">
        <f t="shared" si="25"/>
        <v>dead</v>
      </c>
    </row>
    <row r="822" spans="1:21">
      <c r="A822" s="12">
        <v>20</v>
      </c>
      <c r="B822" s="12">
        <v>0</v>
      </c>
      <c r="C822" s="11">
        <v>26.439860963064383</v>
      </c>
      <c r="D822" s="11">
        <v>0.88215122082297992</v>
      </c>
      <c r="E822" s="11"/>
      <c r="F822" s="12">
        <v>116</v>
      </c>
      <c r="G822" s="12" t="s">
        <v>21</v>
      </c>
      <c r="H822" s="13">
        <v>80</v>
      </c>
      <c r="I822" s="14"/>
      <c r="J822" s="14" t="s">
        <v>70</v>
      </c>
      <c r="K822" s="14"/>
      <c r="L822" s="13">
        <v>1.8</v>
      </c>
      <c r="M822" s="13"/>
      <c r="P822" s="12" t="s">
        <v>12</v>
      </c>
      <c r="Q822" s="12"/>
      <c r="R822" s="12" t="s">
        <v>63</v>
      </c>
      <c r="T822">
        <f t="shared" si="24"/>
        <v>25.464790894703256</v>
      </c>
      <c r="U822" t="str">
        <f t="shared" si="25"/>
        <v>dead</v>
      </c>
    </row>
    <row r="823" spans="1:21">
      <c r="A823" s="12">
        <v>40</v>
      </c>
      <c r="B823" s="12">
        <v>20</v>
      </c>
      <c r="C823" s="11">
        <v>48.156732809019061</v>
      </c>
      <c r="D823" s="11">
        <v>26.181056034521198</v>
      </c>
      <c r="E823" s="11"/>
      <c r="F823" s="10">
        <v>287</v>
      </c>
      <c r="G823" s="12" t="s">
        <v>11</v>
      </c>
      <c r="H823" s="13">
        <v>80.400000000000006</v>
      </c>
      <c r="I823" s="14"/>
      <c r="J823" s="14" t="s">
        <v>70</v>
      </c>
      <c r="K823" s="14"/>
      <c r="L823" s="13">
        <v>18.5</v>
      </c>
      <c r="M823" s="13"/>
      <c r="P823" s="12" t="s">
        <v>12</v>
      </c>
      <c r="Q823" s="12"/>
      <c r="R823" s="12"/>
      <c r="T823">
        <f t="shared" si="24"/>
        <v>25.592114849176774</v>
      </c>
      <c r="U823" t="str">
        <f t="shared" si="25"/>
        <v>dead</v>
      </c>
    </row>
    <row r="824" spans="1:21">
      <c r="A824" s="12">
        <v>40</v>
      </c>
      <c r="B824" s="12">
        <v>-20</v>
      </c>
      <c r="C824" s="11">
        <v>40.793988816431167</v>
      </c>
      <c r="D824" s="11">
        <v>-19.0753336996158</v>
      </c>
      <c r="E824" s="11"/>
      <c r="F824" s="12">
        <v>512</v>
      </c>
      <c r="G824" s="12" t="s">
        <v>11</v>
      </c>
      <c r="H824" s="13">
        <v>86</v>
      </c>
      <c r="I824" s="14"/>
      <c r="J824" s="14" t="s">
        <v>70</v>
      </c>
      <c r="K824" s="14"/>
      <c r="L824" s="13">
        <v>16.5</v>
      </c>
      <c r="M824" s="13"/>
      <c r="P824" s="12" t="s">
        <v>12</v>
      </c>
      <c r="Q824" s="12"/>
      <c r="R824" s="12"/>
      <c r="T824">
        <f t="shared" si="24"/>
        <v>27.374650211805999</v>
      </c>
      <c r="U824" t="str">
        <f t="shared" si="25"/>
        <v>dead</v>
      </c>
    </row>
    <row r="825" spans="1:21">
      <c r="A825" s="12">
        <v>20</v>
      </c>
      <c r="B825" s="12">
        <v>-50</v>
      </c>
      <c r="C825" s="11">
        <v>23.607320227562639</v>
      </c>
      <c r="D825" s="11">
        <v>-43.356142628275542</v>
      </c>
      <c r="E825" s="11"/>
      <c r="F825" s="10">
        <v>819</v>
      </c>
      <c r="G825" s="10" t="s">
        <v>56</v>
      </c>
      <c r="H825" s="13">
        <v>87.8</v>
      </c>
      <c r="I825" s="14"/>
      <c r="J825" s="14" t="s">
        <v>70</v>
      </c>
      <c r="K825" s="14"/>
      <c r="L825" s="13">
        <v>16.899999999999999</v>
      </c>
      <c r="M825" s="13"/>
      <c r="P825" s="12" t="s">
        <v>12</v>
      </c>
      <c r="Q825" s="12"/>
      <c r="R825" s="12"/>
      <c r="T825">
        <f t="shared" si="24"/>
        <v>27.947608006936822</v>
      </c>
      <c r="U825" t="str">
        <f t="shared" si="25"/>
        <v>dead</v>
      </c>
    </row>
    <row r="826" spans="1:21">
      <c r="A826" s="12">
        <v>0</v>
      </c>
      <c r="B826" s="12">
        <v>-20</v>
      </c>
      <c r="C826" s="11">
        <v>8.5366685337559378</v>
      </c>
      <c r="D826" s="11">
        <v>-10.477273867691553</v>
      </c>
      <c r="E826" s="11"/>
      <c r="F826" s="12">
        <v>590</v>
      </c>
      <c r="G826" s="12" t="s">
        <v>11</v>
      </c>
      <c r="H826" s="13">
        <v>88.5</v>
      </c>
      <c r="I826" s="14"/>
      <c r="J826" s="14" t="s">
        <v>70</v>
      </c>
      <c r="K826" s="14"/>
      <c r="L826" s="13">
        <v>8.4</v>
      </c>
      <c r="M826" s="13"/>
      <c r="P826" s="12" t="s">
        <v>12</v>
      </c>
      <c r="Q826" s="12"/>
      <c r="R826" s="12" t="s">
        <v>16</v>
      </c>
      <c r="T826">
        <f t="shared" si="24"/>
        <v>28.170424927265476</v>
      </c>
      <c r="U826" t="str">
        <f t="shared" si="25"/>
        <v>dead</v>
      </c>
    </row>
    <row r="827" spans="1:21">
      <c r="A827" s="12">
        <v>20</v>
      </c>
      <c r="B827" s="12">
        <v>-20</v>
      </c>
      <c r="C827" s="11">
        <v>27.300589115830448</v>
      </c>
      <c r="D827" s="11">
        <v>-39.453605858000387</v>
      </c>
      <c r="E827" s="11"/>
      <c r="F827" s="10">
        <v>717</v>
      </c>
      <c r="G827" s="12" t="s">
        <v>11</v>
      </c>
      <c r="H827" s="13">
        <v>90.2</v>
      </c>
      <c r="I827" s="14"/>
      <c r="J827" s="14" t="s">
        <v>70</v>
      </c>
      <c r="K827" s="14"/>
      <c r="L827" s="13">
        <v>19.399999999999999</v>
      </c>
      <c r="M827" s="13"/>
      <c r="P827" s="12" t="s">
        <v>12</v>
      </c>
      <c r="Q827" s="12"/>
      <c r="R827" s="12"/>
      <c r="T827">
        <f t="shared" si="24"/>
        <v>28.71155173377792</v>
      </c>
      <c r="U827" t="str">
        <f t="shared" si="25"/>
        <v>dead</v>
      </c>
    </row>
    <row r="828" spans="1:21">
      <c r="A828" s="12">
        <v>30</v>
      </c>
      <c r="B828" s="12">
        <v>-20</v>
      </c>
      <c r="C828" s="11">
        <v>30.741420526021269</v>
      </c>
      <c r="D828" s="11">
        <v>-33.689937750172362</v>
      </c>
      <c r="E828" s="11"/>
      <c r="F828" s="10">
        <v>713</v>
      </c>
      <c r="G828" s="12" t="s">
        <v>11</v>
      </c>
      <c r="H828" s="13">
        <v>91.4</v>
      </c>
      <c r="I828" s="14"/>
      <c r="J828" s="14" t="s">
        <v>70</v>
      </c>
      <c r="K828" s="14"/>
      <c r="L828" s="13">
        <v>16.100000000000001</v>
      </c>
      <c r="M828" s="13"/>
      <c r="P828" s="12" t="s">
        <v>12</v>
      </c>
      <c r="Q828" s="12"/>
      <c r="R828" s="12" t="s">
        <v>16</v>
      </c>
      <c r="T828">
        <f t="shared" si="24"/>
        <v>29.09352359719847</v>
      </c>
      <c r="U828" t="str">
        <f t="shared" si="25"/>
        <v>dead</v>
      </c>
    </row>
    <row r="829" spans="1:21">
      <c r="A829" s="12">
        <v>0</v>
      </c>
      <c r="B829" s="12">
        <v>-20</v>
      </c>
      <c r="C829" s="11">
        <v>1.8407745955404609</v>
      </c>
      <c r="D829" s="11">
        <v>-14.422176939971177</v>
      </c>
      <c r="E829" s="11"/>
      <c r="F829" s="12">
        <v>588</v>
      </c>
      <c r="G829" s="12" t="s">
        <v>11</v>
      </c>
      <c r="H829" s="13">
        <v>92</v>
      </c>
      <c r="I829" s="14"/>
      <c r="J829" s="14" t="s">
        <v>70</v>
      </c>
      <c r="K829" s="14"/>
      <c r="L829" s="13">
        <v>13.5</v>
      </c>
      <c r="M829" s="13"/>
      <c r="P829" s="12" t="s">
        <v>12</v>
      </c>
      <c r="Q829" s="12"/>
      <c r="R829" s="12"/>
      <c r="T829">
        <f t="shared" si="24"/>
        <v>29.284509528908742</v>
      </c>
      <c r="U829" t="str">
        <f t="shared" si="25"/>
        <v>dead</v>
      </c>
    </row>
    <row r="830" spans="1:21">
      <c r="A830" s="12">
        <v>0</v>
      </c>
      <c r="B830" s="12">
        <v>-30</v>
      </c>
      <c r="C830" s="11">
        <v>3.7272304886527081</v>
      </c>
      <c r="D830" s="11">
        <v>-27.998115259228051</v>
      </c>
      <c r="E830" s="11"/>
      <c r="F830" s="12">
        <v>606</v>
      </c>
      <c r="G830" s="12" t="s">
        <v>11</v>
      </c>
      <c r="H830" s="13">
        <v>93.6</v>
      </c>
      <c r="I830" s="14"/>
      <c r="J830" s="14" t="s">
        <v>70</v>
      </c>
      <c r="K830" s="14"/>
      <c r="L830" s="13">
        <v>18.399999999999999</v>
      </c>
      <c r="M830" s="13"/>
      <c r="P830" s="12" t="s">
        <v>12</v>
      </c>
      <c r="Q830" s="12"/>
      <c r="R830" s="12"/>
      <c r="T830">
        <f t="shared" si="24"/>
        <v>29.793805346802806</v>
      </c>
      <c r="U830" t="str">
        <f t="shared" si="25"/>
        <v>dead</v>
      </c>
    </row>
    <row r="831" spans="1:21">
      <c r="A831" s="12">
        <v>10</v>
      </c>
      <c r="B831" s="12">
        <v>-20</v>
      </c>
      <c r="C831" s="11">
        <v>17.437640230641318</v>
      </c>
      <c r="D831" s="11">
        <v>-18.478582104623413</v>
      </c>
      <c r="E831" s="11"/>
      <c r="F831" s="10">
        <v>571</v>
      </c>
      <c r="G831" s="12" t="s">
        <v>11</v>
      </c>
      <c r="H831" s="13">
        <v>97.2</v>
      </c>
      <c r="I831" s="14"/>
      <c r="J831" s="14" t="s">
        <v>70</v>
      </c>
      <c r="K831" s="14"/>
      <c r="L831" s="13">
        <v>16.3</v>
      </c>
      <c r="M831" s="13"/>
      <c r="P831" s="12" t="s">
        <v>12</v>
      </c>
      <c r="Q831" s="12"/>
      <c r="R831" s="12"/>
      <c r="T831">
        <f t="shared" si="24"/>
        <v>30.939720937064454</v>
      </c>
      <c r="U831" t="str">
        <f t="shared" si="25"/>
        <v>dead</v>
      </c>
    </row>
    <row r="832" spans="1:21">
      <c r="A832" s="12">
        <v>20</v>
      </c>
      <c r="B832" s="12">
        <v>10</v>
      </c>
      <c r="C832" s="11">
        <v>23.07038032055581</v>
      </c>
      <c r="D832" s="11">
        <v>14.569998788165483</v>
      </c>
      <c r="E832" s="11"/>
      <c r="F832" s="12">
        <v>156</v>
      </c>
      <c r="G832" s="12" t="s">
        <v>11</v>
      </c>
      <c r="H832" s="13">
        <v>97.3</v>
      </c>
      <c r="I832" s="14"/>
      <c r="J832" s="14" t="s">
        <v>70</v>
      </c>
      <c r="K832" s="14"/>
      <c r="L832" s="13">
        <v>16.899999999999999</v>
      </c>
      <c r="M832" s="13"/>
      <c r="P832" s="12" t="s">
        <v>12</v>
      </c>
      <c r="Q832" s="12"/>
      <c r="R832" s="12"/>
      <c r="T832">
        <f t="shared" si="24"/>
        <v>30.971551925682832</v>
      </c>
      <c r="U832" t="str">
        <f t="shared" si="25"/>
        <v>dead</v>
      </c>
    </row>
    <row r="833" spans="1:21">
      <c r="A833" s="12">
        <v>30</v>
      </c>
      <c r="B833" s="12">
        <v>-50</v>
      </c>
      <c r="C833" s="11">
        <v>33.914906133753021</v>
      </c>
      <c r="D833" s="11">
        <v>-40.244402616523288</v>
      </c>
      <c r="E833" s="11"/>
      <c r="F833" s="10">
        <v>821</v>
      </c>
      <c r="G833" s="12" t="s">
        <v>11</v>
      </c>
      <c r="H833" s="13">
        <v>99.5</v>
      </c>
      <c r="I833" s="14"/>
      <c r="J833" s="14" t="s">
        <v>70</v>
      </c>
      <c r="K833" s="14"/>
      <c r="L833" s="13">
        <v>18.600000000000001</v>
      </c>
      <c r="M833" s="13"/>
      <c r="P833" s="12" t="s">
        <v>12</v>
      </c>
      <c r="Q833" s="12"/>
      <c r="R833" s="12"/>
      <c r="T833">
        <f t="shared" si="24"/>
        <v>31.671833675287171</v>
      </c>
      <c r="U833" t="str">
        <f t="shared" si="25"/>
        <v>dead</v>
      </c>
    </row>
    <row r="834" spans="1:21">
      <c r="A834" s="12">
        <v>10</v>
      </c>
      <c r="B834" s="12">
        <v>-40</v>
      </c>
      <c r="C834" s="11">
        <v>18.077169041346473</v>
      </c>
      <c r="D834" s="11">
        <v>-34.59280661733704</v>
      </c>
      <c r="E834" s="11"/>
      <c r="F834" s="12">
        <v>722</v>
      </c>
      <c r="G834" s="12" t="s">
        <v>11</v>
      </c>
      <c r="H834" s="13">
        <v>101.1</v>
      </c>
      <c r="I834" s="14"/>
      <c r="J834" s="14" t="s">
        <v>70</v>
      </c>
      <c r="K834" s="14"/>
      <c r="L834" s="13">
        <v>21.4</v>
      </c>
      <c r="M834" s="13"/>
      <c r="P834" s="12" t="s">
        <v>12</v>
      </c>
      <c r="Q834" s="12"/>
      <c r="R834" s="12"/>
      <c r="T834">
        <f t="shared" ref="T834:T842" si="26">IF(H834="",I834,H834/PI())</f>
        <v>32.181129493181238</v>
      </c>
      <c r="U834" t="str">
        <f t="shared" ref="U834:U842" si="27">IF(J834="dead","dead",J834/PI()+K834)</f>
        <v>dead</v>
      </c>
    </row>
    <row r="835" spans="1:21">
      <c r="A835" s="9">
        <v>0</v>
      </c>
      <c r="B835" s="9">
        <v>-10</v>
      </c>
      <c r="C835" s="11">
        <v>1.2154303413929617</v>
      </c>
      <c r="D835" s="11">
        <v>-9.4124380158473588</v>
      </c>
      <c r="E835" s="11"/>
      <c r="F835" s="10">
        <v>405</v>
      </c>
      <c r="G835" s="12" t="s">
        <v>11</v>
      </c>
      <c r="H835" s="13">
        <v>103</v>
      </c>
      <c r="I835" s="14"/>
      <c r="J835" s="14" t="s">
        <v>70</v>
      </c>
      <c r="K835" s="14"/>
      <c r="L835" s="13">
        <v>14.6</v>
      </c>
      <c r="M835" s="13"/>
      <c r="P835" s="12" t="s">
        <v>12</v>
      </c>
      <c r="Q835" s="12"/>
      <c r="R835" s="12"/>
      <c r="T835">
        <f t="shared" si="26"/>
        <v>32.785918276930438</v>
      </c>
      <c r="U835" t="str">
        <f t="shared" si="27"/>
        <v>dead</v>
      </c>
    </row>
    <row r="836" spans="1:21">
      <c r="A836" s="12">
        <v>0</v>
      </c>
      <c r="B836" s="12">
        <v>-50</v>
      </c>
      <c r="C836" s="11">
        <v>3.5447906807329383</v>
      </c>
      <c r="D836" s="11">
        <v>-47.858700442468063</v>
      </c>
      <c r="E836" s="11"/>
      <c r="F836" s="12">
        <v>806</v>
      </c>
      <c r="G836" s="12" t="s">
        <v>11</v>
      </c>
      <c r="H836" s="13">
        <v>103.2</v>
      </c>
      <c r="I836" s="14"/>
      <c r="J836" s="14">
        <v>105.3</v>
      </c>
      <c r="K836" s="14"/>
      <c r="L836" s="13">
        <v>18.5</v>
      </c>
      <c r="M836" s="13">
        <v>10.3</v>
      </c>
      <c r="P836" s="12" t="s">
        <v>14</v>
      </c>
      <c r="Q836" s="12"/>
      <c r="R836" s="12"/>
      <c r="T836">
        <f t="shared" si="26"/>
        <v>32.849580254167201</v>
      </c>
      <c r="U836">
        <f t="shared" si="27"/>
        <v>33.518031015153156</v>
      </c>
    </row>
    <row r="837" spans="1:21">
      <c r="A837" s="12">
        <v>30</v>
      </c>
      <c r="B837" s="12">
        <v>-30</v>
      </c>
      <c r="C837" s="11">
        <v>36.146983389485356</v>
      </c>
      <c r="D837" s="11">
        <v>-27.645305435977761</v>
      </c>
      <c r="E837" s="11"/>
      <c r="F837" s="10">
        <v>675</v>
      </c>
      <c r="G837" s="12" t="s">
        <v>11</v>
      </c>
      <c r="H837" s="13">
        <v>104</v>
      </c>
      <c r="I837" s="14"/>
      <c r="J837" s="14" t="s">
        <v>70</v>
      </c>
      <c r="K837" s="14"/>
      <c r="L837" s="13">
        <v>2.5</v>
      </c>
      <c r="M837" s="13"/>
      <c r="P837" s="12" t="s">
        <v>12</v>
      </c>
      <c r="Q837" s="12"/>
      <c r="R837" s="12" t="s">
        <v>46</v>
      </c>
      <c r="T837">
        <f t="shared" si="26"/>
        <v>33.104228163114229</v>
      </c>
      <c r="U837" t="str">
        <f t="shared" si="27"/>
        <v>dead</v>
      </c>
    </row>
    <row r="838" spans="1:21">
      <c r="A838" s="12">
        <v>0</v>
      </c>
      <c r="B838" s="12">
        <v>-40</v>
      </c>
      <c r="C838" s="11">
        <v>6.0081109655701512</v>
      </c>
      <c r="D838" s="11">
        <v>-33.485829144334737</v>
      </c>
      <c r="E838" s="11"/>
      <c r="F838" s="10">
        <v>727</v>
      </c>
      <c r="G838" s="12" t="s">
        <v>11</v>
      </c>
      <c r="H838" s="13">
        <v>117</v>
      </c>
      <c r="I838" s="14"/>
      <c r="J838" s="14" t="s">
        <v>70</v>
      </c>
      <c r="K838" s="14"/>
      <c r="L838" s="13">
        <v>21</v>
      </c>
      <c r="M838" s="13"/>
      <c r="P838" s="12" t="s">
        <v>12</v>
      </c>
      <c r="Q838" s="12"/>
      <c r="R838" s="12"/>
      <c r="T838">
        <f t="shared" si="26"/>
        <v>37.242256683503513</v>
      </c>
      <c r="U838" t="str">
        <f t="shared" si="27"/>
        <v>dead</v>
      </c>
    </row>
    <row r="839" spans="1:21">
      <c r="A839" s="12">
        <v>0</v>
      </c>
      <c r="B839" s="12">
        <v>-40</v>
      </c>
      <c r="C839" s="11">
        <v>0.80116598442242903</v>
      </c>
      <c r="D839" s="11">
        <v>-32.577476658584828</v>
      </c>
      <c r="E839" s="11"/>
      <c r="F839" s="10">
        <v>731</v>
      </c>
      <c r="G839" s="12" t="s">
        <v>11</v>
      </c>
      <c r="H839" s="13">
        <v>118.5</v>
      </c>
      <c r="I839" s="14"/>
      <c r="J839" s="14" t="s">
        <v>70</v>
      </c>
      <c r="K839" s="14"/>
      <c r="L839" s="13">
        <v>14.6</v>
      </c>
      <c r="M839" s="13"/>
      <c r="P839" s="12" t="s">
        <v>12</v>
      </c>
      <c r="Q839" s="12"/>
      <c r="R839" s="12" t="s">
        <v>16</v>
      </c>
      <c r="T839">
        <f t="shared" si="26"/>
        <v>37.719721512779195</v>
      </c>
      <c r="U839" t="str">
        <f t="shared" si="27"/>
        <v>dead</v>
      </c>
    </row>
    <row r="840" spans="1:21">
      <c r="A840" s="9">
        <v>0</v>
      </c>
      <c r="B840" s="9">
        <v>-10</v>
      </c>
      <c r="C840" s="11">
        <v>2.7557223334190488</v>
      </c>
      <c r="D840" s="11">
        <v>-4.5915903981766064</v>
      </c>
      <c r="E840" s="11"/>
      <c r="F840" s="12">
        <v>404</v>
      </c>
      <c r="G840" s="12" t="s">
        <v>11</v>
      </c>
      <c r="H840" s="13">
        <v>127.8</v>
      </c>
      <c r="I840" s="14"/>
      <c r="J840" s="14" t="s">
        <v>70</v>
      </c>
      <c r="K840" s="14"/>
      <c r="L840" s="13">
        <v>5.4</v>
      </c>
      <c r="M840" s="13"/>
      <c r="P840" s="12" t="s">
        <v>12</v>
      </c>
      <c r="Q840" s="12"/>
      <c r="R840" s="12" t="s">
        <v>16</v>
      </c>
      <c r="T840">
        <f t="shared" si="26"/>
        <v>40.680003454288446</v>
      </c>
      <c r="U840" t="str">
        <f t="shared" si="27"/>
        <v>dead</v>
      </c>
    </row>
    <row r="841" spans="1:21">
      <c r="A841" s="12">
        <v>10</v>
      </c>
      <c r="B841" s="12">
        <v>-30</v>
      </c>
      <c r="C841" s="11">
        <v>12.339531167012069</v>
      </c>
      <c r="D841" s="11">
        <v>-29.699835939788905</v>
      </c>
      <c r="E841" s="11"/>
      <c r="F841" s="12">
        <v>626</v>
      </c>
      <c r="G841" s="12" t="s">
        <v>11</v>
      </c>
      <c r="H841" s="13">
        <v>135</v>
      </c>
      <c r="I841" s="14"/>
      <c r="J841" s="14" t="s">
        <v>70</v>
      </c>
      <c r="K841" s="14"/>
      <c r="L841" s="13">
        <v>3.2</v>
      </c>
      <c r="M841" s="13"/>
      <c r="P841" s="12" t="s">
        <v>12</v>
      </c>
      <c r="Q841" s="12"/>
      <c r="R841" s="12" t="s">
        <v>16</v>
      </c>
      <c r="T841">
        <f t="shared" si="26"/>
        <v>42.971834634811742</v>
      </c>
      <c r="U841" t="str">
        <f t="shared" si="27"/>
        <v>dead</v>
      </c>
    </row>
    <row r="842" spans="1:21">
      <c r="A842" s="9" t="s">
        <v>0</v>
      </c>
      <c r="B842" s="9" t="s">
        <v>1</v>
      </c>
      <c r="C842" s="11" t="s">
        <v>7</v>
      </c>
      <c r="D842" s="11" t="s">
        <v>8</v>
      </c>
      <c r="E842" s="11"/>
      <c r="F842" s="10" t="s">
        <v>2</v>
      </c>
      <c r="G842" s="12" t="s">
        <v>3</v>
      </c>
      <c r="H842" s="13" t="s">
        <v>4</v>
      </c>
      <c r="I842" s="14" t="s">
        <v>5</v>
      </c>
      <c r="J842" s="14"/>
      <c r="K842" s="14"/>
      <c r="L842" s="13" t="s">
        <v>33</v>
      </c>
      <c r="M842" s="13" t="s">
        <v>9</v>
      </c>
      <c r="P842" s="11" t="s">
        <v>10</v>
      </c>
      <c r="Q842" s="11"/>
      <c r="R842" s="11" t="s">
        <v>6</v>
      </c>
      <c r="T842" t="e">
        <f t="shared" si="26"/>
        <v>#VALUE!</v>
      </c>
      <c r="U842">
        <f t="shared" si="27"/>
        <v>0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733"/>
  <sheetViews>
    <sheetView topLeftCell="D1" workbookViewId="0">
      <selection activeCell="O45" sqref="O45"/>
    </sheetView>
  </sheetViews>
  <sheetFormatPr defaultRowHeight="13"/>
  <sheetData>
    <row r="1" spans="1:22">
      <c r="A1" s="3" t="s">
        <v>58</v>
      </c>
      <c r="B1" s="3" t="s">
        <v>59</v>
      </c>
      <c r="C1" s="5" t="s">
        <v>7</v>
      </c>
      <c r="D1" s="5" t="s">
        <v>8</v>
      </c>
      <c r="E1" s="52" t="s">
        <v>184</v>
      </c>
      <c r="F1" s="32"/>
      <c r="G1" s="6" t="s">
        <v>3</v>
      </c>
      <c r="H1" s="7" t="s">
        <v>93</v>
      </c>
      <c r="I1" s="8" t="s">
        <v>61</v>
      </c>
      <c r="J1" s="7" t="s">
        <v>67</v>
      </c>
      <c r="K1" s="8" t="s">
        <v>94</v>
      </c>
      <c r="L1" s="7" t="s">
        <v>62</v>
      </c>
      <c r="M1" s="7" t="s">
        <v>66</v>
      </c>
      <c r="N1" s="22" t="s">
        <v>145</v>
      </c>
      <c r="O1" s="22" t="s">
        <v>146</v>
      </c>
      <c r="P1" s="5" t="s">
        <v>68</v>
      </c>
      <c r="Q1" s="5" t="s">
        <v>69</v>
      </c>
      <c r="R1" s="5" t="s">
        <v>75</v>
      </c>
      <c r="S1" s="22" t="s">
        <v>76</v>
      </c>
      <c r="T1" s="22" t="s">
        <v>157</v>
      </c>
      <c r="U1" s="22" t="s">
        <v>158</v>
      </c>
    </row>
    <row r="2" spans="1:22">
      <c r="A2">
        <f>生データ!A2</f>
        <v>10</v>
      </c>
      <c r="B2">
        <f>生データ!B2</f>
        <v>30</v>
      </c>
      <c r="C2">
        <f>生データ!C2</f>
        <v>17.134050908049542</v>
      </c>
      <c r="D2">
        <f>生データ!D2</f>
        <v>31.254967768961702</v>
      </c>
      <c r="E2" t="str">
        <f>生データ!E2</f>
        <v>Wr</v>
      </c>
      <c r="F2">
        <f>IF(生データ!E2="Wr",3000+生データ!F2,IF(生データ!E2="Wb",4000+生データ!F2,生データ!F2))</f>
        <v>3581</v>
      </c>
      <c r="G2" t="str">
        <f>生データ!G2</f>
        <v>lc</v>
      </c>
      <c r="H2">
        <f>生データ!H2</f>
        <v>0</v>
      </c>
      <c r="I2">
        <f>生データ!I2</f>
        <v>0</v>
      </c>
      <c r="J2">
        <f>生データ!J2</f>
        <v>0</v>
      </c>
      <c r="K2">
        <f>生データ!K2</f>
        <v>7</v>
      </c>
      <c r="L2">
        <f>生データ!L2</f>
        <v>0</v>
      </c>
      <c r="M2">
        <f>生データ!M2</f>
        <v>0</v>
      </c>
      <c r="N2">
        <f>生データ!N2</f>
        <v>1.73</v>
      </c>
      <c r="O2">
        <f>生データ!O2</f>
        <v>7.0000000000000007E-2</v>
      </c>
      <c r="P2" t="str">
        <f>生データ!P2</f>
        <v>L</v>
      </c>
      <c r="Q2">
        <f>生データ!Q2</f>
        <v>0</v>
      </c>
      <c r="R2">
        <f>生データ!R2</f>
        <v>0</v>
      </c>
      <c r="S2">
        <f>生データ!S2</f>
        <v>0</v>
      </c>
      <c r="T2">
        <f>生データ!T2</f>
        <v>0</v>
      </c>
      <c r="U2">
        <f>生データ!U2</f>
        <v>7</v>
      </c>
      <c r="V2">
        <f>COUNTIF(怪しいデータを手直し!F$2:F$701,Sheet5!F2)</f>
        <v>0</v>
      </c>
    </row>
    <row r="3" spans="1:22">
      <c r="A3">
        <f>生データ!A3</f>
        <v>10</v>
      </c>
      <c r="B3">
        <f>生データ!B3</f>
        <v>20</v>
      </c>
      <c r="C3">
        <f>生データ!C3</f>
        <v>0</v>
      </c>
      <c r="D3">
        <f>生データ!D3</f>
        <v>0</v>
      </c>
      <c r="E3">
        <f>生データ!E3</f>
        <v>0</v>
      </c>
      <c r="F3">
        <f>IF(生データ!E3="Wr",3000+生データ!F3,IF(生データ!E3="Wb",4000+生データ!F3,生データ!F3))</f>
        <v>103</v>
      </c>
      <c r="G3">
        <f>生データ!G3</f>
        <v>0</v>
      </c>
      <c r="H3">
        <f>生データ!H3</f>
        <v>0</v>
      </c>
      <c r="I3">
        <f>生データ!I3</f>
        <v>0</v>
      </c>
      <c r="J3" t="str">
        <f>生データ!J3</f>
        <v>dead</v>
      </c>
      <c r="K3">
        <f>生データ!K3</f>
        <v>0</v>
      </c>
      <c r="L3">
        <f>生データ!L3</f>
        <v>0</v>
      </c>
      <c r="M3">
        <f>生データ!M3</f>
        <v>0</v>
      </c>
      <c r="N3">
        <f>生データ!N3</f>
        <v>0</v>
      </c>
      <c r="O3">
        <f>生データ!O3</f>
        <v>0</v>
      </c>
      <c r="P3">
        <f>生データ!P3</f>
        <v>0</v>
      </c>
      <c r="Q3">
        <f>生データ!Q3</f>
        <v>0</v>
      </c>
      <c r="R3" t="str">
        <f>生データ!R3</f>
        <v>102 same tree</v>
      </c>
      <c r="S3">
        <f>生データ!S3</f>
        <v>0</v>
      </c>
      <c r="T3">
        <f>生データ!T3</f>
        <v>0</v>
      </c>
      <c r="U3" t="str">
        <f>生データ!U3</f>
        <v>dead</v>
      </c>
      <c r="V3">
        <f>COUNTIF(怪しいデータを手直し!F$2:F$701,Sheet5!F3)</f>
        <v>0</v>
      </c>
    </row>
    <row r="4" spans="1:22">
      <c r="A4">
        <f>生データ!A4</f>
        <v>10</v>
      </c>
      <c r="B4">
        <f>生データ!B4</f>
        <v>10</v>
      </c>
      <c r="C4">
        <f>生データ!C4</f>
        <v>16.471613120300947</v>
      </c>
      <c r="D4">
        <f>生データ!D4</f>
        <v>13.888537465570909</v>
      </c>
      <c r="E4" t="str">
        <f>生データ!E4</f>
        <v>Wr</v>
      </c>
      <c r="F4">
        <f>IF(生データ!E4="Wr",3000+生データ!F4,IF(生データ!E4="Wb",4000+生データ!F4,生データ!F4))</f>
        <v>3582</v>
      </c>
      <c r="G4" t="str">
        <f>生データ!G4</f>
        <v>bp</v>
      </c>
      <c r="H4">
        <f>生データ!H4</f>
        <v>0</v>
      </c>
      <c r="I4">
        <f>生データ!I4</f>
        <v>0</v>
      </c>
      <c r="J4">
        <f>生データ!J4</f>
        <v>0</v>
      </c>
      <c r="K4">
        <f>生データ!K4</f>
        <v>6.5</v>
      </c>
      <c r="L4">
        <f>生データ!L4</f>
        <v>0</v>
      </c>
      <c r="M4">
        <f>生データ!M4</f>
        <v>0</v>
      </c>
      <c r="N4">
        <f>生データ!N4</f>
        <v>1.85</v>
      </c>
      <c r="O4">
        <f>生データ!O4</f>
        <v>0.15</v>
      </c>
      <c r="P4" t="str">
        <f>生データ!P4</f>
        <v>L</v>
      </c>
      <c r="Q4">
        <f>生データ!Q4</f>
        <v>0</v>
      </c>
      <c r="R4">
        <f>生データ!R4</f>
        <v>0</v>
      </c>
      <c r="S4" t="str">
        <f>生データ!S4</f>
        <v>地際直径18.9mm</v>
      </c>
      <c r="T4">
        <f>生データ!T4</f>
        <v>0</v>
      </c>
      <c r="U4">
        <f>生データ!U4</f>
        <v>6.5</v>
      </c>
      <c r="V4">
        <f>COUNTIF(怪しいデータを手直し!F$2:F$701,Sheet5!F4)</f>
        <v>0</v>
      </c>
    </row>
    <row r="5" spans="1:22">
      <c r="A5">
        <f>生データ!A5</f>
        <v>10</v>
      </c>
      <c r="B5">
        <f>生データ!B5</f>
        <v>10</v>
      </c>
      <c r="C5">
        <f>生データ!C5</f>
        <v>16.471613120300947</v>
      </c>
      <c r="D5">
        <f>生データ!D5</f>
        <v>13.888537465570909</v>
      </c>
      <c r="E5" t="str">
        <f>生データ!E5</f>
        <v>Wr</v>
      </c>
      <c r="F5">
        <f>IF(生データ!E5="Wr",3000+生データ!F5,IF(生データ!E5="Wb",4000+生データ!F5,生データ!F5))</f>
        <v>3583</v>
      </c>
      <c r="G5" t="str">
        <f>生データ!G5</f>
        <v>bp</v>
      </c>
      <c r="H5">
        <f>生データ!H5</f>
        <v>0</v>
      </c>
      <c r="I5">
        <f>生データ!I5</f>
        <v>0</v>
      </c>
      <c r="J5">
        <f>生データ!J5</f>
        <v>0</v>
      </c>
      <c r="K5">
        <f>生データ!K5</f>
        <v>6.5</v>
      </c>
      <c r="L5">
        <f>生データ!L5</f>
        <v>0</v>
      </c>
      <c r="M5">
        <f>生データ!M5</f>
        <v>0</v>
      </c>
      <c r="N5">
        <f>生データ!N5</f>
        <v>1.62</v>
      </c>
      <c r="O5">
        <f>生データ!O5</f>
        <v>0.26</v>
      </c>
      <c r="P5" t="str">
        <f>生データ!P5</f>
        <v>L</v>
      </c>
      <c r="Q5">
        <f>生データ!Q5</f>
        <v>0</v>
      </c>
      <c r="R5">
        <f>生データ!R5</f>
        <v>0</v>
      </c>
      <c r="S5">
        <f>生データ!S5</f>
        <v>0</v>
      </c>
      <c r="T5">
        <f>生データ!T5</f>
        <v>0</v>
      </c>
      <c r="U5">
        <f>生データ!U5</f>
        <v>6.5</v>
      </c>
      <c r="V5">
        <f>COUNTIF(怪しいデータを手直し!F$2:F$701,Sheet5!F5)</f>
        <v>0</v>
      </c>
    </row>
    <row r="6" spans="1:22">
      <c r="A6">
        <f>生データ!A6</f>
        <v>0</v>
      </c>
      <c r="B6">
        <f>生データ!B6</f>
        <v>0</v>
      </c>
      <c r="C6">
        <f>生データ!C6</f>
        <v>0</v>
      </c>
      <c r="D6">
        <f>生データ!D6</f>
        <v>0</v>
      </c>
      <c r="E6">
        <f>生データ!E6</f>
        <v>0</v>
      </c>
      <c r="F6">
        <f>IF(生データ!E6="Wr",3000+生データ!F6,IF(生データ!E6="Wb",4000+生データ!F6,生データ!F6))</f>
        <v>0</v>
      </c>
      <c r="G6">
        <f>生データ!G6</f>
        <v>0</v>
      </c>
      <c r="H6">
        <f>生データ!H6</f>
        <v>0</v>
      </c>
      <c r="I6">
        <f>生データ!I6</f>
        <v>0</v>
      </c>
      <c r="J6">
        <f>生データ!J6</f>
        <v>0</v>
      </c>
      <c r="K6">
        <f>生データ!K6</f>
        <v>0</v>
      </c>
      <c r="L6">
        <f>生データ!L6</f>
        <v>0</v>
      </c>
      <c r="M6">
        <f>生データ!M6</f>
        <v>0</v>
      </c>
      <c r="N6">
        <f>生データ!N6</f>
        <v>0</v>
      </c>
      <c r="O6">
        <f>生データ!O6</f>
        <v>0</v>
      </c>
      <c r="P6">
        <f>生データ!P6</f>
        <v>0</v>
      </c>
      <c r="Q6">
        <f>生データ!Q6</f>
        <v>0</v>
      </c>
      <c r="R6">
        <f>生データ!R6</f>
        <v>0</v>
      </c>
      <c r="S6">
        <f>生データ!S6</f>
        <v>0</v>
      </c>
      <c r="T6">
        <f>生データ!T6</f>
        <v>0</v>
      </c>
      <c r="U6">
        <f>生データ!U6</f>
        <v>0</v>
      </c>
      <c r="V6">
        <f>COUNTIF(怪しいデータを手直し!F$2:F$701,Sheet5!F6)</f>
        <v>0</v>
      </c>
    </row>
    <row r="7" spans="1:22">
      <c r="A7">
        <f>生データ!A9</f>
        <v>20</v>
      </c>
      <c r="B7">
        <f>生データ!B9</f>
        <v>10</v>
      </c>
      <c r="C7">
        <f>生データ!C9</f>
        <v>20.025377074440154</v>
      </c>
      <c r="D7">
        <f>生データ!D9</f>
        <v>14.539977854319202</v>
      </c>
      <c r="E7" t="str">
        <f>生データ!E9</f>
        <v>Wr</v>
      </c>
      <c r="F7">
        <f>IF(生データ!E9="Wr",3000+生データ!F9,IF(生データ!E9="Wb",4000+生データ!F9,生データ!F9))</f>
        <v>3585</v>
      </c>
      <c r="G7" t="str">
        <f>生データ!G9</f>
        <v>lc</v>
      </c>
      <c r="H7">
        <f>生データ!H9</f>
        <v>0</v>
      </c>
      <c r="I7">
        <f>生データ!I9</f>
        <v>0</v>
      </c>
      <c r="J7">
        <f>生データ!J9</f>
        <v>0</v>
      </c>
      <c r="K7">
        <f>生データ!K9</f>
        <v>5.9</v>
      </c>
      <c r="L7">
        <f>生データ!L9</f>
        <v>0</v>
      </c>
      <c r="M7">
        <f>生データ!M9</f>
        <v>0</v>
      </c>
      <c r="N7">
        <f>生データ!N9</f>
        <v>1.62</v>
      </c>
      <c r="O7">
        <f>生データ!O9</f>
        <v>0</v>
      </c>
      <c r="P7">
        <f>生データ!P9</f>
        <v>0</v>
      </c>
      <c r="Q7">
        <f>生データ!Q9</f>
        <v>0</v>
      </c>
      <c r="R7">
        <f>生データ!R9</f>
        <v>0</v>
      </c>
      <c r="S7">
        <f>生データ!S9</f>
        <v>0</v>
      </c>
      <c r="T7">
        <f>生データ!T9</f>
        <v>0</v>
      </c>
      <c r="U7">
        <f>生データ!U9</f>
        <v>5.9</v>
      </c>
      <c r="V7">
        <f>COUNTIF(怪しいデータを手直し!F$2:F$701,Sheet5!F7)</f>
        <v>0</v>
      </c>
    </row>
    <row r="8" spans="1:22">
      <c r="A8">
        <f>生データ!A10</f>
        <v>20</v>
      </c>
      <c r="B8">
        <f>生データ!B10</f>
        <v>0</v>
      </c>
      <c r="C8">
        <f>生データ!C10</f>
        <v>26.72</v>
      </c>
      <c r="D8">
        <f>生データ!D10</f>
        <v>7.06</v>
      </c>
      <c r="E8" t="str">
        <f>生データ!E10</f>
        <v>Wr</v>
      </c>
      <c r="F8">
        <f>IF(生データ!E10="Wr",3000+生データ!F10,IF(生データ!E10="Wb",4000+生データ!F10,生データ!F10))</f>
        <v>3584</v>
      </c>
      <c r="G8" t="str">
        <f>生データ!G10</f>
        <v>lc</v>
      </c>
      <c r="H8">
        <f>生データ!H10</f>
        <v>0</v>
      </c>
      <c r="I8">
        <f>生データ!I10</f>
        <v>0</v>
      </c>
      <c r="J8">
        <f>生データ!J10</f>
        <v>0</v>
      </c>
      <c r="K8">
        <f>生データ!K10</f>
        <v>3.84</v>
      </c>
      <c r="L8">
        <f>生データ!L10</f>
        <v>0</v>
      </c>
      <c r="M8">
        <f>生データ!M10</f>
        <v>0</v>
      </c>
      <c r="N8">
        <f>生データ!N10</f>
        <v>1.4</v>
      </c>
      <c r="O8">
        <f>生データ!O10</f>
        <v>0</v>
      </c>
      <c r="P8">
        <f>生データ!P10</f>
        <v>0</v>
      </c>
      <c r="Q8">
        <f>生データ!Q10</f>
        <v>0</v>
      </c>
      <c r="R8">
        <f>生データ!R10</f>
        <v>0</v>
      </c>
      <c r="S8">
        <f>生データ!S10</f>
        <v>0</v>
      </c>
      <c r="T8">
        <f>生データ!T10</f>
        <v>0</v>
      </c>
      <c r="U8">
        <f>生データ!U10</f>
        <v>3.84</v>
      </c>
      <c r="V8">
        <f>COUNTIF(怪しいデータを手直し!F$2:F$701,Sheet5!F8)</f>
        <v>0</v>
      </c>
    </row>
    <row r="9" spans="1:22">
      <c r="A9">
        <f>生データ!A11</f>
        <v>20</v>
      </c>
      <c r="B9">
        <f>生データ!B11</f>
        <v>20</v>
      </c>
      <c r="C9">
        <f>生データ!C11</f>
        <v>25.05</v>
      </c>
      <c r="D9">
        <f>生データ!D11</f>
        <v>28.61</v>
      </c>
      <c r="E9" t="str">
        <f>生データ!E11</f>
        <v>Wr</v>
      </c>
      <c r="F9">
        <f>IF(生データ!E11="Wr",3000+生データ!F11,IF(生データ!E11="Wb",4000+生データ!F11,生データ!F11))</f>
        <v>3586</v>
      </c>
      <c r="G9" t="str">
        <f>生データ!G11</f>
        <v>pt</v>
      </c>
      <c r="H9">
        <f>生データ!H11</f>
        <v>0</v>
      </c>
      <c r="I9">
        <f>生データ!I11</f>
        <v>0</v>
      </c>
      <c r="J9">
        <f>生データ!J11</f>
        <v>0</v>
      </c>
      <c r="K9">
        <f>生データ!K11</f>
        <v>5.8</v>
      </c>
      <c r="L9">
        <f>生データ!L11</f>
        <v>0</v>
      </c>
      <c r="M9">
        <f>生データ!M11</f>
        <v>0</v>
      </c>
      <c r="N9">
        <f>生データ!N11</f>
        <v>1.75</v>
      </c>
      <c r="O9">
        <f>生データ!O11</f>
        <v>0.25</v>
      </c>
      <c r="P9">
        <f>生データ!P11</f>
        <v>0</v>
      </c>
      <c r="Q9">
        <f>生データ!Q11</f>
        <v>0</v>
      </c>
      <c r="R9">
        <f>生データ!R11</f>
        <v>0</v>
      </c>
      <c r="S9">
        <f>生データ!S11</f>
        <v>0</v>
      </c>
      <c r="T9">
        <f>生データ!T11</f>
        <v>0</v>
      </c>
      <c r="U9">
        <f>生データ!U11</f>
        <v>5.8</v>
      </c>
      <c r="V9">
        <f>COUNTIF(怪しいデータを手直し!F$2:F$701,Sheet5!F9)</f>
        <v>0</v>
      </c>
    </row>
    <row r="10" spans="1:22">
      <c r="A10">
        <f>生データ!A12</f>
        <v>20</v>
      </c>
      <c r="B10">
        <f>生データ!B12</f>
        <v>30</v>
      </c>
      <c r="C10">
        <f>生データ!C12</f>
        <v>25.43</v>
      </c>
      <c r="D10">
        <f>生データ!D12</f>
        <v>34.33</v>
      </c>
      <c r="E10" t="str">
        <f>生データ!E12</f>
        <v>Wr</v>
      </c>
      <c r="F10">
        <f>IF(生データ!E12="Wr",3000+生データ!F12,IF(生データ!E12="Wb",4000+生データ!F12,生データ!F12))</f>
        <v>3587</v>
      </c>
      <c r="G10" t="str">
        <f>生データ!G12</f>
        <v>bp</v>
      </c>
      <c r="H10">
        <f>生データ!H12</f>
        <v>0</v>
      </c>
      <c r="I10">
        <f>生データ!I12</f>
        <v>0</v>
      </c>
      <c r="J10">
        <f>生データ!J12</f>
        <v>0</v>
      </c>
      <c r="K10">
        <f>生データ!K12</f>
        <v>4.8</v>
      </c>
      <c r="L10">
        <f>生データ!L12</f>
        <v>0</v>
      </c>
      <c r="M10">
        <f>生データ!M12</f>
        <v>0</v>
      </c>
      <c r="N10">
        <f>生データ!N12</f>
        <v>169</v>
      </c>
      <c r="O10">
        <f>生データ!O12</f>
        <v>0.63</v>
      </c>
      <c r="P10">
        <f>生データ!P12</f>
        <v>0</v>
      </c>
      <c r="Q10">
        <f>生データ!Q12</f>
        <v>0</v>
      </c>
      <c r="R10">
        <f>生データ!R12</f>
        <v>0</v>
      </c>
      <c r="S10">
        <f>生データ!S12</f>
        <v>0</v>
      </c>
      <c r="T10">
        <f>生データ!T12</f>
        <v>0</v>
      </c>
      <c r="U10">
        <f>生データ!U12</f>
        <v>4.8</v>
      </c>
      <c r="V10">
        <f>COUNTIF(怪しいデータを手直し!F$2:F$701,Sheet5!F10)</f>
        <v>0</v>
      </c>
    </row>
    <row r="11" spans="1:22">
      <c r="A11">
        <f>生データ!A13</f>
        <v>20</v>
      </c>
      <c r="B11">
        <f>生データ!B13</f>
        <v>30</v>
      </c>
      <c r="C11">
        <f>生データ!C13</f>
        <v>23.54</v>
      </c>
      <c r="D11">
        <f>生データ!D13</f>
        <v>32.4</v>
      </c>
      <c r="E11" t="str">
        <f>生データ!E13</f>
        <v>Wr</v>
      </c>
      <c r="F11">
        <f>IF(生データ!E13="Wr",3000+生データ!F13,IF(生データ!E13="Wb",4000+生データ!F13,生データ!F13))</f>
        <v>3588</v>
      </c>
      <c r="G11" t="str">
        <f>生データ!G13</f>
        <v>pt</v>
      </c>
      <c r="H11">
        <f>生データ!H13</f>
        <v>0</v>
      </c>
      <c r="I11">
        <f>生データ!I13</f>
        <v>0</v>
      </c>
      <c r="J11">
        <f>生データ!J13</f>
        <v>0</v>
      </c>
      <c r="K11">
        <f>生データ!K13</f>
        <v>7.8</v>
      </c>
      <c r="L11">
        <f>生データ!L13</f>
        <v>0</v>
      </c>
      <c r="M11">
        <f>生データ!M13</f>
        <v>0</v>
      </c>
      <c r="N11">
        <f>生データ!N13</f>
        <v>2.1800000000000002</v>
      </c>
      <c r="O11">
        <f>生データ!O13</f>
        <v>0.39</v>
      </c>
      <c r="P11">
        <f>生データ!P13</f>
        <v>0</v>
      </c>
      <c r="Q11">
        <f>生データ!Q13</f>
        <v>0</v>
      </c>
      <c r="R11">
        <f>生データ!R13</f>
        <v>0</v>
      </c>
      <c r="S11" t="str">
        <f>生データ!S13</f>
        <v>黄色D53</v>
      </c>
      <c r="T11">
        <f>生データ!T13</f>
        <v>0</v>
      </c>
      <c r="U11">
        <f>生データ!U13</f>
        <v>7.8</v>
      </c>
      <c r="V11">
        <f>COUNTIF(怪しいデータを手直し!F$2:F$701,Sheet5!F11)</f>
        <v>0</v>
      </c>
    </row>
    <row r="12" spans="1:22">
      <c r="A12">
        <f>生データ!A14</f>
        <v>20</v>
      </c>
      <c r="B12">
        <f>生データ!B14</f>
        <v>40</v>
      </c>
      <c r="C12">
        <f>生データ!C14</f>
        <v>24.63</v>
      </c>
      <c r="D12">
        <f>生データ!D14</f>
        <v>40.14</v>
      </c>
      <c r="E12" t="str">
        <f>生データ!E14</f>
        <v>Wr</v>
      </c>
      <c r="F12">
        <f>IF(生データ!E14="Wr",3000+生データ!F14,IF(生データ!E14="Wb",4000+生データ!F14,生データ!F14))</f>
        <v>3589</v>
      </c>
      <c r="G12" t="str">
        <f>生データ!G14</f>
        <v>lc</v>
      </c>
      <c r="H12">
        <f>生データ!H14</f>
        <v>0</v>
      </c>
      <c r="I12">
        <f>生データ!I14</f>
        <v>0</v>
      </c>
      <c r="J12">
        <f>生データ!J14</f>
        <v>0</v>
      </c>
      <c r="K12">
        <f>生データ!K14</f>
        <v>2.9</v>
      </c>
      <c r="L12">
        <f>生データ!L14</f>
        <v>0</v>
      </c>
      <c r="M12">
        <f>生データ!M14</f>
        <v>0</v>
      </c>
      <c r="N12">
        <f>生データ!N14</f>
        <v>1.4</v>
      </c>
      <c r="O12">
        <f>生データ!O14</f>
        <v>0</v>
      </c>
      <c r="P12">
        <f>生データ!P14</f>
        <v>0</v>
      </c>
      <c r="Q12">
        <f>生データ!Q14</f>
        <v>0</v>
      </c>
      <c r="R12">
        <f>生データ!R14</f>
        <v>0</v>
      </c>
      <c r="S12">
        <f>生データ!S14</f>
        <v>0</v>
      </c>
      <c r="T12">
        <f>生データ!T14</f>
        <v>0</v>
      </c>
      <c r="U12">
        <f>生データ!U14</f>
        <v>2.9</v>
      </c>
      <c r="V12">
        <f>COUNTIF(怪しいデータを手直し!F$2:F$701,Sheet5!F12)</f>
        <v>0</v>
      </c>
    </row>
    <row r="13" spans="1:22">
      <c r="A13">
        <f>生データ!A15</f>
        <v>30</v>
      </c>
      <c r="B13">
        <f>生データ!B15</f>
        <v>10</v>
      </c>
      <c r="C13">
        <f>生データ!C15</f>
        <v>37.44</v>
      </c>
      <c r="D13">
        <f>生データ!D15</f>
        <v>19.79</v>
      </c>
      <c r="E13" t="str">
        <f>生データ!E15</f>
        <v>Wr</v>
      </c>
      <c r="F13">
        <f>IF(生データ!E15="Wr",3000+生データ!F15,IF(生データ!E15="Wb",4000+生データ!F15,生データ!F15))</f>
        <v>3590</v>
      </c>
      <c r="G13" t="str">
        <f>生データ!G15</f>
        <v>pt</v>
      </c>
      <c r="H13">
        <f>生データ!H15</f>
        <v>0</v>
      </c>
      <c r="I13">
        <f>生データ!I15</f>
        <v>0</v>
      </c>
      <c r="J13">
        <f>生データ!J15</f>
        <v>0</v>
      </c>
      <c r="K13">
        <f>生データ!K15</f>
        <v>3.5</v>
      </c>
      <c r="L13">
        <f>生データ!L15</f>
        <v>0</v>
      </c>
      <c r="M13">
        <f>生データ!M15</f>
        <v>0</v>
      </c>
      <c r="N13">
        <f>生データ!N15</f>
        <v>1.6</v>
      </c>
      <c r="O13">
        <f>生データ!O15</f>
        <v>0.53</v>
      </c>
      <c r="P13">
        <f>生データ!P15</f>
        <v>0</v>
      </c>
      <c r="Q13">
        <f>生データ!Q15</f>
        <v>0</v>
      </c>
      <c r="R13">
        <f>生データ!R15</f>
        <v>0</v>
      </c>
      <c r="S13">
        <f>生データ!S15</f>
        <v>0</v>
      </c>
      <c r="T13">
        <f>生データ!T15</f>
        <v>0</v>
      </c>
      <c r="U13">
        <f>生データ!U15</f>
        <v>3.5</v>
      </c>
      <c r="V13">
        <f>COUNTIF(怪しいデータを手直し!F$2:F$701,Sheet5!F13)</f>
        <v>0</v>
      </c>
    </row>
    <row r="14" spans="1:22">
      <c r="A14">
        <f>生データ!A16</f>
        <v>40</v>
      </c>
      <c r="B14">
        <f>生データ!B16</f>
        <v>0</v>
      </c>
      <c r="C14">
        <f>生データ!C16</f>
        <v>49.19</v>
      </c>
      <c r="D14">
        <f>生データ!D16</f>
        <v>2.8</v>
      </c>
      <c r="E14" t="str">
        <f>生データ!E16</f>
        <v>Wr</v>
      </c>
      <c r="F14">
        <f>IF(生データ!E16="Wr",3000+生データ!F16,IF(生データ!E16="Wb",4000+生データ!F16,生データ!F16))</f>
        <v>3591</v>
      </c>
      <c r="G14" t="str">
        <f>生データ!G16</f>
        <v>pt</v>
      </c>
      <c r="H14">
        <f>生データ!H16</f>
        <v>0</v>
      </c>
      <c r="I14">
        <f>生データ!I16</f>
        <v>0</v>
      </c>
      <c r="J14">
        <f>生データ!J16</f>
        <v>0</v>
      </c>
      <c r="K14">
        <f>生データ!K16</f>
        <v>5.5</v>
      </c>
      <c r="L14">
        <f>生データ!L16</f>
        <v>0</v>
      </c>
      <c r="M14">
        <f>生データ!M16</f>
        <v>0</v>
      </c>
      <c r="N14">
        <f>生データ!N16</f>
        <v>1.7</v>
      </c>
      <c r="O14">
        <f>生データ!O16</f>
        <v>0.56999999999999995</v>
      </c>
      <c r="P14">
        <f>生データ!P16</f>
        <v>0</v>
      </c>
      <c r="Q14">
        <f>生データ!Q16</f>
        <v>0</v>
      </c>
      <c r="R14">
        <f>生データ!R16</f>
        <v>0</v>
      </c>
      <c r="S14">
        <f>生データ!S16</f>
        <v>0</v>
      </c>
      <c r="T14">
        <f>生データ!T16</f>
        <v>0</v>
      </c>
      <c r="U14">
        <f>生データ!U16</f>
        <v>5.5</v>
      </c>
      <c r="V14">
        <f>COUNTIF(怪しいデータを手直し!F$2:F$701,Sheet5!F14)</f>
        <v>0</v>
      </c>
    </row>
    <row r="15" spans="1:22">
      <c r="A15">
        <f>生データ!A17</f>
        <v>40</v>
      </c>
      <c r="B15">
        <f>生データ!B17</f>
        <v>20</v>
      </c>
      <c r="C15">
        <f>生データ!C17</f>
        <v>41.89</v>
      </c>
      <c r="D15">
        <f>生データ!D17</f>
        <v>29.82</v>
      </c>
      <c r="E15" t="str">
        <f>生データ!E17</f>
        <v>Wr</v>
      </c>
      <c r="F15">
        <f>IF(生データ!E17="Wr",3000+生データ!F17,IF(生データ!E17="Wb",4000+生データ!F17,生データ!F17))</f>
        <v>3594</v>
      </c>
      <c r="G15" t="str">
        <f>生データ!G17</f>
        <v>bp</v>
      </c>
      <c r="H15">
        <f>生データ!H17</f>
        <v>0</v>
      </c>
      <c r="I15">
        <f>生データ!I17</f>
        <v>0</v>
      </c>
      <c r="J15">
        <f>生データ!J17</f>
        <v>0</v>
      </c>
      <c r="K15">
        <f>生データ!K17</f>
        <v>7.1</v>
      </c>
      <c r="L15">
        <f>生データ!L17</f>
        <v>0</v>
      </c>
      <c r="M15">
        <f>生データ!M17</f>
        <v>0</v>
      </c>
      <c r="N15">
        <f>生データ!N17</f>
        <v>1.59</v>
      </c>
      <c r="O15">
        <f>生データ!O17</f>
        <v>0.68</v>
      </c>
      <c r="P15">
        <f>生データ!P17</f>
        <v>0</v>
      </c>
      <c r="Q15">
        <f>生データ!Q17</f>
        <v>0</v>
      </c>
      <c r="R15">
        <f>生データ!R17</f>
        <v>0</v>
      </c>
      <c r="S15">
        <f>生データ!S17</f>
        <v>0</v>
      </c>
      <c r="T15">
        <f>生データ!T17</f>
        <v>0</v>
      </c>
      <c r="U15">
        <f>生データ!U17</f>
        <v>7.1</v>
      </c>
      <c r="V15">
        <f>COUNTIF(怪しいデータを手直し!F$2:F$701,Sheet5!F15)</f>
        <v>0</v>
      </c>
    </row>
    <row r="16" spans="1:22">
      <c r="A16">
        <f>生データ!A18</f>
        <v>40</v>
      </c>
      <c r="B16">
        <f>生データ!B18</f>
        <v>30</v>
      </c>
      <c r="C16">
        <f>生データ!C18</f>
        <v>48.92</v>
      </c>
      <c r="D16">
        <f>生データ!D18</f>
        <v>30.4</v>
      </c>
      <c r="E16" t="str">
        <f>生データ!E18</f>
        <v>Wr</v>
      </c>
      <c r="F16">
        <f>IF(生データ!E18="Wr",3000+生データ!F18,IF(生データ!E18="Wb",4000+生データ!F18,生データ!F18))</f>
        <v>3596</v>
      </c>
      <c r="G16" t="str">
        <f>生データ!G18</f>
        <v>af</v>
      </c>
      <c r="H16">
        <f>生データ!H18</f>
        <v>0</v>
      </c>
      <c r="I16">
        <f>生データ!I18</f>
        <v>0</v>
      </c>
      <c r="J16">
        <f>生データ!J18</f>
        <v>0</v>
      </c>
      <c r="K16">
        <f>生データ!K18</f>
        <v>4.9000000000000004</v>
      </c>
      <c r="L16">
        <f>生データ!L18</f>
        <v>0</v>
      </c>
      <c r="M16">
        <f>生データ!M18</f>
        <v>0</v>
      </c>
      <c r="N16">
        <f>生データ!N18</f>
        <v>1.48</v>
      </c>
      <c r="O16">
        <f>生データ!O18</f>
        <v>0.67</v>
      </c>
      <c r="P16">
        <f>生データ!P18</f>
        <v>0</v>
      </c>
      <c r="Q16">
        <f>生データ!Q18</f>
        <v>0</v>
      </c>
      <c r="R16">
        <f>生データ!R18</f>
        <v>0</v>
      </c>
      <c r="S16">
        <f>生データ!S18</f>
        <v>0</v>
      </c>
      <c r="T16">
        <f>生データ!T18</f>
        <v>0</v>
      </c>
      <c r="U16">
        <f>生データ!U18</f>
        <v>4.9000000000000004</v>
      </c>
      <c r="V16">
        <f>COUNTIF(怪しいデータを手直し!F$2:F$701,Sheet5!F16)</f>
        <v>0</v>
      </c>
    </row>
    <row r="17" spans="1:22">
      <c r="A17">
        <f>生データ!A19</f>
        <v>40</v>
      </c>
      <c r="B17">
        <f>生データ!B19</f>
        <v>30</v>
      </c>
      <c r="C17">
        <f>生データ!C19</f>
        <v>48.9</v>
      </c>
      <c r="D17">
        <f>生データ!D19</f>
        <v>30.46</v>
      </c>
      <c r="E17" t="str">
        <f>生データ!E19</f>
        <v>Wr</v>
      </c>
      <c r="F17">
        <f>IF(生データ!E19="Wr",3000+生データ!F19,IF(生データ!E19="Wb",4000+生データ!F19,生データ!F19))</f>
        <v>3595</v>
      </c>
      <c r="G17" t="str">
        <f>生データ!G19</f>
        <v>af</v>
      </c>
      <c r="H17">
        <f>生データ!H19</f>
        <v>0</v>
      </c>
      <c r="I17">
        <f>生データ!I19</f>
        <v>0</v>
      </c>
      <c r="J17">
        <f>生データ!J19</f>
        <v>0</v>
      </c>
      <c r="K17">
        <f>生データ!K19</f>
        <v>9.1999999999999993</v>
      </c>
      <c r="L17">
        <f>生データ!L19</f>
        <v>0</v>
      </c>
      <c r="M17">
        <f>生データ!M19</f>
        <v>0</v>
      </c>
      <c r="N17">
        <f>生データ!N19</f>
        <v>1.51</v>
      </c>
      <c r="O17">
        <f>生データ!O19</f>
        <v>0.69</v>
      </c>
      <c r="P17">
        <f>生データ!P19</f>
        <v>0</v>
      </c>
      <c r="Q17">
        <f>生データ!Q19</f>
        <v>0</v>
      </c>
      <c r="R17">
        <f>生データ!R19</f>
        <v>0</v>
      </c>
      <c r="S17">
        <f>生データ!S19</f>
        <v>0</v>
      </c>
      <c r="T17">
        <f>生データ!T19</f>
        <v>0</v>
      </c>
      <c r="U17">
        <f>生データ!U19</f>
        <v>9.1999999999999993</v>
      </c>
      <c r="V17">
        <f>COUNTIF(怪しいデータを手直し!F$2:F$701,Sheet5!F17)</f>
        <v>0</v>
      </c>
    </row>
    <row r="18" spans="1:22">
      <c r="A18">
        <f>生データ!A20</f>
        <v>0</v>
      </c>
      <c r="B18">
        <f>生データ!B20</f>
        <v>0</v>
      </c>
      <c r="C18">
        <f>生データ!C20</f>
        <v>0</v>
      </c>
      <c r="D18">
        <f>生データ!D20</f>
        <v>0</v>
      </c>
      <c r="E18">
        <f>生データ!E20</f>
        <v>0</v>
      </c>
      <c r="F18">
        <f>IF(生データ!E20="Wr",3000+生データ!F20,IF(生データ!E20="Wb",4000+生データ!F20,生データ!F20))</f>
        <v>0</v>
      </c>
      <c r="G18">
        <f>生データ!G20</f>
        <v>0</v>
      </c>
      <c r="H18">
        <f>生データ!H20</f>
        <v>0</v>
      </c>
      <c r="I18">
        <f>生データ!I20</f>
        <v>0</v>
      </c>
      <c r="J18">
        <f>生データ!J20</f>
        <v>0</v>
      </c>
      <c r="K18">
        <f>生データ!K20</f>
        <v>0</v>
      </c>
      <c r="L18">
        <f>生データ!L20</f>
        <v>0</v>
      </c>
      <c r="M18">
        <f>生データ!M20</f>
        <v>0</v>
      </c>
      <c r="N18">
        <f>生データ!N20</f>
        <v>0</v>
      </c>
      <c r="O18">
        <f>生データ!O20</f>
        <v>0</v>
      </c>
      <c r="P18">
        <f>生データ!P20</f>
        <v>0</v>
      </c>
      <c r="Q18">
        <f>生データ!Q20</f>
        <v>0</v>
      </c>
      <c r="R18">
        <f>生データ!R20</f>
        <v>0</v>
      </c>
      <c r="S18">
        <f>生データ!S20</f>
        <v>0</v>
      </c>
      <c r="T18">
        <f>生データ!T20</f>
        <v>0</v>
      </c>
      <c r="U18">
        <f>生データ!U20</f>
        <v>0</v>
      </c>
      <c r="V18">
        <f>COUNTIF(怪しいデータを手直し!F$2:F$701,Sheet5!F18)</f>
        <v>0</v>
      </c>
    </row>
    <row r="19" spans="1:22">
      <c r="A19">
        <f>生データ!A21</f>
        <v>0</v>
      </c>
      <c r="B19">
        <f>生データ!B21</f>
        <v>-10</v>
      </c>
      <c r="C19">
        <f>生データ!C21</f>
        <v>4.5</v>
      </c>
      <c r="D19">
        <f>生データ!D21</f>
        <v>-6.5</v>
      </c>
      <c r="E19" t="str">
        <f>生データ!E21</f>
        <v>Wb</v>
      </c>
      <c r="F19">
        <f>IF(生データ!E21="Wr",3000+生データ!F21,IF(生データ!E21="Wb",4000+生データ!F21,生データ!F21))</f>
        <v>4742</v>
      </c>
      <c r="G19" t="str">
        <f>生データ!G21</f>
        <v>lc</v>
      </c>
      <c r="H19">
        <f>生データ!H21</f>
        <v>0</v>
      </c>
      <c r="I19">
        <f>生データ!I21</f>
        <v>0</v>
      </c>
      <c r="J19">
        <f>生データ!J21</f>
        <v>0</v>
      </c>
      <c r="K19">
        <f>生データ!K21</f>
        <v>8.3000000000000007</v>
      </c>
      <c r="L19">
        <f>生データ!L21</f>
        <v>0</v>
      </c>
      <c r="M19">
        <f>生データ!M21</f>
        <v>0</v>
      </c>
      <c r="N19">
        <f>生データ!N21</f>
        <v>1.56</v>
      </c>
      <c r="O19">
        <f>生データ!O21</f>
        <v>0</v>
      </c>
      <c r="P19">
        <f>生データ!P21</f>
        <v>0</v>
      </c>
      <c r="Q19">
        <f>生データ!Q21</f>
        <v>0</v>
      </c>
      <c r="R19">
        <f>生データ!R21</f>
        <v>0</v>
      </c>
      <c r="S19">
        <f>生データ!S21</f>
        <v>0</v>
      </c>
      <c r="T19">
        <f>生データ!T21</f>
        <v>0</v>
      </c>
      <c r="U19">
        <f>生データ!U21</f>
        <v>8.3000000000000007</v>
      </c>
      <c r="V19">
        <f>COUNTIF(怪しいデータを手直し!F$2:F$701,Sheet5!F19)</f>
        <v>0</v>
      </c>
    </row>
    <row r="20" spans="1:22">
      <c r="A20">
        <f>生データ!A22</f>
        <v>30</v>
      </c>
      <c r="B20">
        <f>生データ!B22</f>
        <v>-10</v>
      </c>
      <c r="C20">
        <f>生データ!C22</f>
        <v>38.85</v>
      </c>
      <c r="D20">
        <f>生データ!D22</f>
        <v>-3.97</v>
      </c>
      <c r="E20" t="str">
        <f>生データ!E22</f>
        <v>Wb</v>
      </c>
      <c r="F20">
        <f>IF(生データ!E22="Wr",3000+生データ!F22,IF(生データ!E22="Wb",4000+生データ!F22,生データ!F22))</f>
        <v>4743</v>
      </c>
      <c r="G20" t="str">
        <f>生データ!G22</f>
        <v>bp</v>
      </c>
      <c r="H20">
        <f>生データ!H22</f>
        <v>0</v>
      </c>
      <c r="I20">
        <f>生データ!I22</f>
        <v>0</v>
      </c>
      <c r="J20">
        <f>生データ!J22</f>
        <v>0</v>
      </c>
      <c r="K20">
        <f>生データ!K22</f>
        <v>3.5</v>
      </c>
      <c r="L20">
        <f>生データ!L22</f>
        <v>0</v>
      </c>
      <c r="M20">
        <f>生データ!M22</f>
        <v>0</v>
      </c>
      <c r="N20">
        <f>生データ!N22</f>
        <v>1.34</v>
      </c>
      <c r="O20">
        <f>生データ!O22</f>
        <v>0</v>
      </c>
      <c r="P20">
        <f>生データ!P22</f>
        <v>0</v>
      </c>
      <c r="Q20">
        <f>生データ!Q22</f>
        <v>0</v>
      </c>
      <c r="R20">
        <f>生データ!R22</f>
        <v>0</v>
      </c>
      <c r="S20">
        <f>生データ!S22</f>
        <v>0</v>
      </c>
      <c r="T20">
        <f>生データ!T22</f>
        <v>0</v>
      </c>
      <c r="U20">
        <f>生データ!U22</f>
        <v>3.5</v>
      </c>
      <c r="V20">
        <f>COUNTIF(怪しいデータを手直し!F$2:F$701,Sheet5!F20)</f>
        <v>0</v>
      </c>
    </row>
    <row r="21" spans="1:22">
      <c r="A21">
        <f>生データ!A23</f>
        <v>0</v>
      </c>
      <c r="B21">
        <f>生データ!B23</f>
        <v>0</v>
      </c>
      <c r="C21">
        <f>生データ!C23</f>
        <v>0</v>
      </c>
      <c r="D21">
        <f>生データ!D23</f>
        <v>0</v>
      </c>
      <c r="E21">
        <f>生データ!E23</f>
        <v>0</v>
      </c>
      <c r="F21">
        <f>IF(生データ!E23="Wr",3000+生データ!F23,IF(生データ!E23="Wb",4000+生データ!F23,生データ!F23))</f>
        <v>473</v>
      </c>
      <c r="G21">
        <f>生データ!G23</f>
        <v>0</v>
      </c>
      <c r="H21">
        <f>生データ!H23</f>
        <v>0</v>
      </c>
      <c r="I21">
        <f>生データ!I23</f>
        <v>0</v>
      </c>
      <c r="J21">
        <f>生データ!J23</f>
        <v>0</v>
      </c>
      <c r="K21">
        <f>生データ!K23</f>
        <v>0</v>
      </c>
      <c r="L21">
        <f>生データ!L23</f>
        <v>0</v>
      </c>
      <c r="M21">
        <f>生データ!M23</f>
        <v>0</v>
      </c>
      <c r="N21">
        <f>生データ!N23</f>
        <v>0</v>
      </c>
      <c r="O21">
        <f>生データ!O23</f>
        <v>0</v>
      </c>
      <c r="P21" t="str">
        <f>生データ!P23</f>
        <v>L</v>
      </c>
      <c r="Q21">
        <f>生データ!Q23</f>
        <v>0</v>
      </c>
      <c r="R21">
        <f>生データ!R23</f>
        <v>0</v>
      </c>
      <c r="S21">
        <f>生データ!S23</f>
        <v>0</v>
      </c>
      <c r="T21">
        <f>生データ!T23</f>
        <v>0</v>
      </c>
      <c r="U21">
        <f>生データ!U23</f>
        <v>0</v>
      </c>
      <c r="V21">
        <f>COUNTIF(怪しいデータを手直し!F$2:F$701,Sheet5!F21)</f>
        <v>0</v>
      </c>
    </row>
    <row r="22" spans="1:22">
      <c r="A22">
        <f>生データ!A51</f>
        <v>40</v>
      </c>
      <c r="B22">
        <f>生データ!B51</f>
        <v>-20</v>
      </c>
      <c r="C22">
        <f>生データ!C51</f>
        <v>47.84</v>
      </c>
      <c r="D22">
        <f>生データ!D51</f>
        <v>-10.27</v>
      </c>
      <c r="E22" t="str">
        <f>生データ!E51</f>
        <v>Wb</v>
      </c>
      <c r="F22">
        <f>IF(生データ!E51="Wr",3000+生データ!F51,IF(生データ!E51="Wb",4000+生データ!F51,生データ!F51))</f>
        <v>4745</v>
      </c>
      <c r="G22" t="str">
        <f>生データ!G51</f>
        <v>bp</v>
      </c>
      <c r="H22">
        <f>生データ!H51</f>
        <v>0</v>
      </c>
      <c r="I22">
        <f>生データ!I51</f>
        <v>0</v>
      </c>
      <c r="J22">
        <f>生データ!J51</f>
        <v>0</v>
      </c>
      <c r="K22">
        <f>生データ!K51</f>
        <v>1.07</v>
      </c>
      <c r="L22">
        <f>生データ!L51</f>
        <v>0</v>
      </c>
      <c r="M22">
        <f>生データ!M51</f>
        <v>0</v>
      </c>
      <c r="N22">
        <f>生データ!N51</f>
        <v>2.08</v>
      </c>
      <c r="O22">
        <f>生データ!O51</f>
        <v>0</v>
      </c>
      <c r="P22">
        <f>生データ!P51</f>
        <v>0</v>
      </c>
      <c r="Q22">
        <f>生データ!Q51</f>
        <v>0</v>
      </c>
      <c r="R22">
        <f>生データ!R51</f>
        <v>0</v>
      </c>
      <c r="S22">
        <f>生データ!S51</f>
        <v>0</v>
      </c>
      <c r="T22">
        <f>生データ!T51</f>
        <v>0</v>
      </c>
      <c r="U22">
        <f>生データ!U51</f>
        <v>1.07</v>
      </c>
      <c r="V22">
        <f>COUNTIF(怪しいデータを手直し!F$2:F$701,Sheet5!F22)</f>
        <v>0</v>
      </c>
    </row>
    <row r="23" spans="1:22">
      <c r="A23">
        <f>生データ!A52</f>
        <v>30</v>
      </c>
      <c r="B23">
        <f>生データ!B52</f>
        <v>-20</v>
      </c>
      <c r="C23">
        <f>生データ!C52</f>
        <v>39.5</v>
      </c>
      <c r="D23">
        <f>生データ!D52</f>
        <v>-16</v>
      </c>
      <c r="E23" t="str">
        <f>生データ!E52</f>
        <v>Wb</v>
      </c>
      <c r="F23">
        <f>IF(生データ!E52="Wr",3000+生データ!F52,IF(生データ!E52="Wb",4000+生データ!F52,生データ!F52))</f>
        <v>4747</v>
      </c>
      <c r="G23" t="str">
        <f>生データ!G52</f>
        <v>bp</v>
      </c>
      <c r="H23">
        <f>生データ!H52</f>
        <v>0</v>
      </c>
      <c r="I23">
        <f>生データ!I52</f>
        <v>0</v>
      </c>
      <c r="J23">
        <f>生データ!J52</f>
        <v>0</v>
      </c>
      <c r="K23">
        <f>生データ!K52</f>
        <v>4.7</v>
      </c>
      <c r="L23">
        <f>生データ!L52</f>
        <v>0</v>
      </c>
      <c r="M23">
        <f>生データ!M52</f>
        <v>0</v>
      </c>
      <c r="N23">
        <f>生データ!N52</f>
        <v>1.45</v>
      </c>
      <c r="O23">
        <f>生データ!O52</f>
        <v>0</v>
      </c>
      <c r="P23">
        <f>生データ!P52</f>
        <v>0</v>
      </c>
      <c r="Q23">
        <f>生データ!Q52</f>
        <v>0</v>
      </c>
      <c r="R23">
        <f>生データ!R52</f>
        <v>0</v>
      </c>
      <c r="S23">
        <f>生データ!S52</f>
        <v>0</v>
      </c>
      <c r="T23">
        <f>生データ!T52</f>
        <v>0</v>
      </c>
      <c r="U23">
        <f>生データ!U52</f>
        <v>4.7</v>
      </c>
      <c r="V23">
        <f>COUNTIF(怪しいデータを手直し!F$2:F$701,Sheet5!F23)</f>
        <v>0</v>
      </c>
    </row>
    <row r="24" spans="1:22">
      <c r="A24">
        <f>生データ!A53</f>
        <v>30</v>
      </c>
      <c r="B24">
        <f>生データ!B53</f>
        <v>-20</v>
      </c>
      <c r="C24">
        <f>生データ!C53</f>
        <v>39.5</v>
      </c>
      <c r="D24">
        <f>生データ!D53</f>
        <v>-19</v>
      </c>
      <c r="E24" t="str">
        <f>生データ!E53</f>
        <v>Wb</v>
      </c>
      <c r="F24">
        <f>IF(生データ!E53="Wr",3000+生データ!F53,IF(生データ!E53="Wb",4000+生データ!F53,生データ!F53))</f>
        <v>4748</v>
      </c>
      <c r="G24" t="str">
        <f>生データ!G53</f>
        <v>pt</v>
      </c>
      <c r="H24">
        <f>生データ!H53</f>
        <v>0</v>
      </c>
      <c r="I24">
        <f>生データ!I53</f>
        <v>0</v>
      </c>
      <c r="J24">
        <f>生データ!J53</f>
        <v>0</v>
      </c>
      <c r="K24">
        <f>生データ!K53</f>
        <v>3.4</v>
      </c>
      <c r="L24">
        <f>生データ!L53</f>
        <v>0</v>
      </c>
      <c r="M24">
        <f>生データ!M53</f>
        <v>0</v>
      </c>
      <c r="N24">
        <f>生データ!N53</f>
        <v>1.4</v>
      </c>
      <c r="O24">
        <f>生データ!O53</f>
        <v>0</v>
      </c>
      <c r="P24">
        <f>生データ!P53</f>
        <v>0</v>
      </c>
      <c r="Q24">
        <f>生データ!Q53</f>
        <v>0</v>
      </c>
      <c r="R24">
        <f>生データ!R53</f>
        <v>0</v>
      </c>
      <c r="S24">
        <f>生データ!S53</f>
        <v>0</v>
      </c>
      <c r="T24">
        <f>生データ!T53</f>
        <v>0</v>
      </c>
      <c r="U24">
        <f>生データ!U53</f>
        <v>3.4</v>
      </c>
      <c r="V24">
        <f>COUNTIF(怪しいデータを手直し!F$2:F$701,Sheet5!F24)</f>
        <v>0</v>
      </c>
    </row>
    <row r="25" spans="1:22">
      <c r="A25">
        <f>生データ!A54</f>
        <v>30</v>
      </c>
      <c r="B25">
        <f>生データ!B54</f>
        <v>-20</v>
      </c>
      <c r="C25">
        <f>生データ!C54</f>
        <v>38.6</v>
      </c>
      <c r="D25">
        <f>生データ!D54</f>
        <v>-16.7</v>
      </c>
      <c r="E25" t="str">
        <f>生データ!E54</f>
        <v>Wb</v>
      </c>
      <c r="F25">
        <f>IF(生データ!E54="Wr",3000+生データ!F54,IF(生データ!E54="Wb",4000+生データ!F54,生データ!F54))</f>
        <v>4748</v>
      </c>
      <c r="G25" t="str">
        <f>生データ!G54</f>
        <v>lc</v>
      </c>
      <c r="H25">
        <f>生データ!H54</f>
        <v>0</v>
      </c>
      <c r="I25">
        <f>生データ!I54</f>
        <v>0</v>
      </c>
      <c r="J25">
        <f>生データ!J54</f>
        <v>0</v>
      </c>
      <c r="K25">
        <f>生データ!K54</f>
        <v>4.0999999999999996</v>
      </c>
      <c r="L25">
        <f>生データ!L54</f>
        <v>0</v>
      </c>
      <c r="M25">
        <f>生データ!M54</f>
        <v>0</v>
      </c>
      <c r="N25">
        <f>生データ!N54</f>
        <v>1.4</v>
      </c>
      <c r="O25">
        <f>生データ!O54</f>
        <v>0</v>
      </c>
      <c r="P25">
        <f>生データ!P54</f>
        <v>0</v>
      </c>
      <c r="Q25">
        <f>生データ!Q54</f>
        <v>0</v>
      </c>
      <c r="R25">
        <f>生データ!R54</f>
        <v>0</v>
      </c>
      <c r="S25">
        <f>生データ!S54</f>
        <v>0</v>
      </c>
      <c r="T25">
        <f>生データ!T54</f>
        <v>0</v>
      </c>
      <c r="U25">
        <f>生データ!U54</f>
        <v>4.0999999999999996</v>
      </c>
      <c r="V25">
        <f>COUNTIF(怪しいデータを手直し!F$2:F$701,Sheet5!F25)</f>
        <v>0</v>
      </c>
    </row>
    <row r="26" spans="1:22">
      <c r="A26">
        <f>生データ!A65</f>
        <v>0</v>
      </c>
      <c r="B26">
        <f>生データ!B65</f>
        <v>-30</v>
      </c>
      <c r="C26">
        <f>生データ!C65</f>
        <v>5.8</v>
      </c>
      <c r="D26">
        <f>生データ!D65</f>
        <v>-22.2</v>
      </c>
      <c r="E26" t="str">
        <f>生データ!E65</f>
        <v>Wb</v>
      </c>
      <c r="F26">
        <f>IF(生データ!E65="Wr",3000+生データ!F65,IF(生データ!E65="Wb",4000+生データ!F65,生データ!F65))</f>
        <v>4760</v>
      </c>
      <c r="G26" t="str">
        <f>生データ!G65</f>
        <v>lc</v>
      </c>
      <c r="H26">
        <f>生データ!H65</f>
        <v>0</v>
      </c>
      <c r="I26">
        <f>生データ!I65</f>
        <v>0</v>
      </c>
      <c r="J26">
        <f>生データ!J65</f>
        <v>0</v>
      </c>
      <c r="K26">
        <f>生データ!K65</f>
        <v>18.600000000000001</v>
      </c>
      <c r="L26">
        <f>生データ!L65</f>
        <v>0</v>
      </c>
      <c r="M26">
        <f>生データ!M65</f>
        <v>0</v>
      </c>
      <c r="N26">
        <f>生データ!N65</f>
        <v>2.5</v>
      </c>
      <c r="O26">
        <f>生データ!O65</f>
        <v>0</v>
      </c>
      <c r="P26">
        <f>生データ!P65</f>
        <v>0</v>
      </c>
      <c r="Q26">
        <f>生データ!Q65</f>
        <v>0</v>
      </c>
      <c r="R26">
        <f>生データ!R65</f>
        <v>0</v>
      </c>
      <c r="S26" t="str">
        <f>生データ!S65</f>
        <v>前回忘れ</v>
      </c>
      <c r="T26">
        <f>生データ!T65</f>
        <v>0</v>
      </c>
      <c r="U26">
        <f>生データ!U65</f>
        <v>18.600000000000001</v>
      </c>
      <c r="V26">
        <f>COUNTIF(怪しいデータを手直し!F$2:F$701,Sheet5!F26)</f>
        <v>0</v>
      </c>
    </row>
    <row r="27" spans="1:22">
      <c r="A27">
        <f>生データ!A66</f>
        <v>30</v>
      </c>
      <c r="B27">
        <f>生データ!B66</f>
        <v>-30</v>
      </c>
      <c r="C27">
        <f>生データ!C66</f>
        <v>34.520000000000003</v>
      </c>
      <c r="D27">
        <f>生データ!D66</f>
        <v>-22.2</v>
      </c>
      <c r="E27" t="str">
        <f>生データ!E66</f>
        <v>Wb</v>
      </c>
      <c r="F27">
        <f>IF(生データ!E66="Wr",3000+生データ!F66,IF(生データ!E66="Wb",4000+生データ!F66,生データ!F66))</f>
        <v>4777</v>
      </c>
      <c r="G27" t="str">
        <f>生データ!G66</f>
        <v>pt</v>
      </c>
      <c r="H27">
        <f>生データ!H66</f>
        <v>0</v>
      </c>
      <c r="I27">
        <f>生データ!I66</f>
        <v>0</v>
      </c>
      <c r="J27">
        <f>生データ!J66</f>
        <v>0</v>
      </c>
      <c r="K27">
        <f>生データ!K66</f>
        <v>1.5</v>
      </c>
      <c r="L27">
        <f>生データ!L66</f>
        <v>0</v>
      </c>
      <c r="M27">
        <f>生データ!M66</f>
        <v>0</v>
      </c>
      <c r="N27">
        <f>生データ!N66</f>
        <v>1.3</v>
      </c>
      <c r="O27">
        <f>生データ!O66</f>
        <v>0</v>
      </c>
      <c r="P27">
        <f>生データ!P66</f>
        <v>0</v>
      </c>
      <c r="Q27">
        <f>生データ!Q66</f>
        <v>0</v>
      </c>
      <c r="R27">
        <f>生データ!R66</f>
        <v>0</v>
      </c>
      <c r="S27">
        <f>生データ!S66</f>
        <v>0</v>
      </c>
      <c r="T27">
        <f>生データ!T66</f>
        <v>0</v>
      </c>
      <c r="U27">
        <f>生データ!U66</f>
        <v>1.5</v>
      </c>
      <c r="V27">
        <f>COUNTIF(怪しいデータを手直し!F$2:F$701,Sheet5!F27)</f>
        <v>0</v>
      </c>
    </row>
    <row r="28" spans="1:22">
      <c r="A28">
        <f>生データ!A67</f>
        <v>40</v>
      </c>
      <c r="B28">
        <f>生データ!B67</f>
        <v>-30</v>
      </c>
      <c r="C28">
        <f>生データ!C67</f>
        <v>42.09</v>
      </c>
      <c r="D28">
        <f>生データ!D67</f>
        <v>-25.31</v>
      </c>
      <c r="E28" t="str">
        <f>生データ!E67</f>
        <v>Wb</v>
      </c>
      <c r="F28">
        <f>IF(生データ!E67="Wr",3000+生データ!F67,IF(生データ!E67="Wb",4000+生データ!F67,生データ!F67))</f>
        <v>4782</v>
      </c>
      <c r="G28" t="str">
        <f>生データ!G67</f>
        <v>bp</v>
      </c>
      <c r="H28">
        <f>生データ!H67</f>
        <v>0</v>
      </c>
      <c r="I28">
        <f>生データ!I67</f>
        <v>0</v>
      </c>
      <c r="J28">
        <f>生データ!J67</f>
        <v>0</v>
      </c>
      <c r="K28">
        <f>生データ!K67</f>
        <v>19.7</v>
      </c>
      <c r="L28">
        <f>生データ!L67</f>
        <v>0</v>
      </c>
      <c r="M28">
        <f>生データ!M67</f>
        <v>0</v>
      </c>
      <c r="N28">
        <f>生データ!N67</f>
        <v>2.7</v>
      </c>
      <c r="O28">
        <f>生データ!O67</f>
        <v>0</v>
      </c>
      <c r="P28">
        <f>生データ!P67</f>
        <v>0</v>
      </c>
      <c r="Q28">
        <f>生データ!Q67</f>
        <v>0</v>
      </c>
      <c r="R28">
        <f>生データ!R67</f>
        <v>0</v>
      </c>
      <c r="S28" t="str">
        <f>生データ!S67</f>
        <v>前回忘れ</v>
      </c>
      <c r="T28">
        <f>生データ!T67</f>
        <v>0</v>
      </c>
      <c r="U28">
        <f>生データ!U67</f>
        <v>19.7</v>
      </c>
      <c r="V28">
        <f>COUNTIF(怪しいデータを手直し!F$2:F$701,Sheet5!F28)</f>
        <v>0</v>
      </c>
    </row>
    <row r="29" spans="1:22">
      <c r="A29">
        <f>生データ!A68</f>
        <v>40</v>
      </c>
      <c r="B29">
        <f>生データ!B68</f>
        <v>-30</v>
      </c>
      <c r="C29">
        <f>生データ!C68</f>
        <v>42.24</v>
      </c>
      <c r="D29">
        <f>生データ!D68</f>
        <v>-25.94</v>
      </c>
      <c r="E29" t="str">
        <f>生データ!E68</f>
        <v>Wb</v>
      </c>
      <c r="F29">
        <f>IF(生データ!E68="Wr",3000+生データ!F68,IF(生データ!E68="Wb",4000+生データ!F68,生データ!F68))</f>
        <v>4781</v>
      </c>
      <c r="G29" t="str">
        <f>生データ!G68</f>
        <v>bp</v>
      </c>
      <c r="H29">
        <f>生データ!H68</f>
        <v>0</v>
      </c>
      <c r="I29">
        <f>生データ!I68</f>
        <v>0</v>
      </c>
      <c r="J29">
        <f>生データ!J68</f>
        <v>0</v>
      </c>
      <c r="K29">
        <f>生データ!K68</f>
        <v>3</v>
      </c>
      <c r="L29">
        <f>生データ!L68</f>
        <v>0</v>
      </c>
      <c r="M29">
        <f>生データ!M68</f>
        <v>0</v>
      </c>
      <c r="N29">
        <f>生データ!N68</f>
        <v>1.3</v>
      </c>
      <c r="O29">
        <f>生データ!O68</f>
        <v>0</v>
      </c>
      <c r="P29">
        <f>生データ!P68</f>
        <v>0</v>
      </c>
      <c r="Q29">
        <f>生データ!Q68</f>
        <v>0</v>
      </c>
      <c r="R29">
        <f>生データ!R68</f>
        <v>0</v>
      </c>
      <c r="S29" t="str">
        <f>生データ!S68</f>
        <v>前回忘れ</v>
      </c>
      <c r="T29">
        <f>生データ!T68</f>
        <v>0</v>
      </c>
      <c r="U29">
        <f>生データ!U68</f>
        <v>3</v>
      </c>
      <c r="V29">
        <f>COUNTIF(怪しいデータを手直し!F$2:F$701,Sheet5!F29)</f>
        <v>0</v>
      </c>
    </row>
    <row r="30" spans="1:22">
      <c r="A30">
        <f>生データ!A69</f>
        <v>40</v>
      </c>
      <c r="B30">
        <f>生データ!B69</f>
        <v>-30</v>
      </c>
      <c r="C30">
        <f>生データ!C69</f>
        <v>40.799999999999997</v>
      </c>
      <c r="D30">
        <f>生データ!D69</f>
        <v>-21</v>
      </c>
      <c r="E30" t="str">
        <f>生データ!E69</f>
        <v>Wb</v>
      </c>
      <c r="F30">
        <f>IF(生データ!E69="Wr",3000+生データ!F69,IF(生データ!E69="Wb",4000+生データ!F69,生データ!F69))</f>
        <v>4778</v>
      </c>
      <c r="G30" t="str">
        <f>生データ!G69</f>
        <v>bp</v>
      </c>
      <c r="H30">
        <f>生データ!H69</f>
        <v>0</v>
      </c>
      <c r="I30">
        <f>生データ!I69</f>
        <v>0</v>
      </c>
      <c r="J30">
        <f>生データ!J69</f>
        <v>0</v>
      </c>
      <c r="K30">
        <f>生データ!K69</f>
        <v>4</v>
      </c>
      <c r="L30">
        <f>生データ!L69</f>
        <v>0</v>
      </c>
      <c r="M30">
        <f>生データ!M69</f>
        <v>0</v>
      </c>
      <c r="N30">
        <f>生データ!N69</f>
        <v>1.3</v>
      </c>
      <c r="O30">
        <f>生データ!O69</f>
        <v>0</v>
      </c>
      <c r="P30">
        <f>生データ!P69</f>
        <v>0</v>
      </c>
      <c r="Q30">
        <f>生データ!Q69</f>
        <v>0</v>
      </c>
      <c r="R30">
        <f>生データ!R69</f>
        <v>0</v>
      </c>
      <c r="S30">
        <f>生データ!S69</f>
        <v>0</v>
      </c>
      <c r="T30">
        <f>生データ!T69</f>
        <v>0</v>
      </c>
      <c r="U30">
        <f>生データ!U69</f>
        <v>4</v>
      </c>
      <c r="V30">
        <f>COUNTIF(怪しいデータを手直し!F$2:F$701,Sheet5!F30)</f>
        <v>0</v>
      </c>
    </row>
    <row r="31" spans="1:22">
      <c r="A31">
        <f>生データ!A70</f>
        <v>40</v>
      </c>
      <c r="B31">
        <f>生データ!B70</f>
        <v>-30</v>
      </c>
      <c r="C31">
        <f>生データ!C70</f>
        <v>40.5</v>
      </c>
      <c r="D31">
        <f>生データ!D70</f>
        <v>-21</v>
      </c>
      <c r="E31" t="str">
        <f>生データ!E70</f>
        <v>Wb</v>
      </c>
      <c r="F31">
        <f>IF(生データ!E70="Wr",3000+生データ!F70,IF(生データ!E70="Wb",4000+生データ!F70,生データ!F70))</f>
        <v>4779</v>
      </c>
      <c r="G31" t="str">
        <f>生データ!G70</f>
        <v>bp</v>
      </c>
      <c r="H31">
        <f>生データ!H70</f>
        <v>0</v>
      </c>
      <c r="I31">
        <f>生データ!I70</f>
        <v>0</v>
      </c>
      <c r="J31">
        <f>生データ!J70</f>
        <v>0</v>
      </c>
      <c r="K31">
        <f>生データ!K70</f>
        <v>2.7</v>
      </c>
      <c r="L31">
        <f>生データ!L70</f>
        <v>0</v>
      </c>
      <c r="M31">
        <f>生データ!M70</f>
        <v>0</v>
      </c>
      <c r="N31">
        <f>生データ!N70</f>
        <v>1.5</v>
      </c>
      <c r="O31">
        <f>生データ!O70</f>
        <v>0</v>
      </c>
      <c r="P31">
        <f>生データ!P70</f>
        <v>0</v>
      </c>
      <c r="Q31">
        <f>生データ!Q70</f>
        <v>0</v>
      </c>
      <c r="R31">
        <f>生データ!R70</f>
        <v>0</v>
      </c>
      <c r="S31">
        <f>生データ!S70</f>
        <v>0</v>
      </c>
      <c r="T31">
        <f>生データ!T70</f>
        <v>0</v>
      </c>
      <c r="U31">
        <f>生データ!U70</f>
        <v>2.7</v>
      </c>
      <c r="V31">
        <f>COUNTIF(怪しいデータを手直し!F$2:F$701,Sheet5!F31)</f>
        <v>0</v>
      </c>
    </row>
    <row r="32" spans="1:22">
      <c r="A32">
        <f>生データ!A71</f>
        <v>40</v>
      </c>
      <c r="B32">
        <f>生データ!B71</f>
        <v>-30</v>
      </c>
      <c r="C32">
        <f>生データ!C71</f>
        <v>45.6</v>
      </c>
      <c r="D32">
        <f>生データ!D71</f>
        <v>-28.6</v>
      </c>
      <c r="E32" t="str">
        <f>生データ!E71</f>
        <v>Wr</v>
      </c>
      <c r="F32">
        <f>IF(生データ!E71="Wr",3000+生データ!F71,IF(生データ!E71="Wb",4000+生データ!F71,生データ!F71))</f>
        <v>3602</v>
      </c>
      <c r="G32" t="str">
        <f>生データ!G71</f>
        <v>pt</v>
      </c>
      <c r="H32">
        <f>生データ!H71</f>
        <v>0</v>
      </c>
      <c r="I32">
        <f>生データ!I71</f>
        <v>0</v>
      </c>
      <c r="J32">
        <f>生データ!J71</f>
        <v>0</v>
      </c>
      <c r="K32">
        <f>生データ!K71</f>
        <v>5.0999999999999996</v>
      </c>
      <c r="L32">
        <f>生データ!L71</f>
        <v>0</v>
      </c>
      <c r="M32">
        <f>生データ!M71</f>
        <v>0</v>
      </c>
      <c r="N32">
        <f>生データ!N71</f>
        <v>1.9</v>
      </c>
      <c r="O32">
        <f>生データ!O71</f>
        <v>0</v>
      </c>
      <c r="P32">
        <f>生データ!P71</f>
        <v>0</v>
      </c>
      <c r="Q32">
        <f>生データ!Q71</f>
        <v>0</v>
      </c>
      <c r="R32">
        <f>生データ!R71</f>
        <v>0</v>
      </c>
      <c r="S32">
        <f>生データ!S71</f>
        <v>0</v>
      </c>
      <c r="T32">
        <f>生データ!T71</f>
        <v>0</v>
      </c>
      <c r="U32">
        <f>生データ!U71</f>
        <v>5.0999999999999996</v>
      </c>
      <c r="V32">
        <f>COUNTIF(怪しいデータを手直し!F$2:F$701,Sheet5!F32)</f>
        <v>0</v>
      </c>
    </row>
    <row r="33" spans="1:22">
      <c r="A33">
        <f>生データ!A72</f>
        <v>20</v>
      </c>
      <c r="B33">
        <f>生データ!B72</f>
        <v>-40</v>
      </c>
      <c r="C33">
        <f>生データ!C72</f>
        <v>24.12</v>
      </c>
      <c r="D33">
        <f>生データ!D72</f>
        <v>-32.29</v>
      </c>
      <c r="E33" t="str">
        <f>生データ!E72</f>
        <v>Wb</v>
      </c>
      <c r="F33">
        <f>IF(生データ!E72="Wr",3000+生データ!F72,IF(生データ!E72="Wb",4000+生データ!F72,生データ!F72))</f>
        <v>4787</v>
      </c>
      <c r="G33" t="str">
        <f>生データ!G72</f>
        <v>lc</v>
      </c>
      <c r="H33">
        <f>生データ!H72</f>
        <v>0</v>
      </c>
      <c r="I33">
        <f>生データ!I72</f>
        <v>0</v>
      </c>
      <c r="J33">
        <f>生データ!J72</f>
        <v>0</v>
      </c>
      <c r="K33">
        <f>生データ!K72</f>
        <v>7</v>
      </c>
      <c r="L33">
        <f>生データ!L72</f>
        <v>0</v>
      </c>
      <c r="M33">
        <f>生データ!M72</f>
        <v>0</v>
      </c>
      <c r="N33">
        <f>生データ!N72</f>
        <v>1.73</v>
      </c>
      <c r="O33">
        <f>生データ!O72</f>
        <v>0</v>
      </c>
      <c r="P33">
        <f>生データ!P72</f>
        <v>0</v>
      </c>
      <c r="Q33">
        <f>生データ!Q72</f>
        <v>0</v>
      </c>
      <c r="R33">
        <f>生データ!R72</f>
        <v>0</v>
      </c>
      <c r="S33">
        <f>生データ!S72</f>
        <v>0</v>
      </c>
      <c r="T33">
        <f>生データ!T72</f>
        <v>0</v>
      </c>
      <c r="U33">
        <f>生データ!U72</f>
        <v>7</v>
      </c>
      <c r="V33">
        <f>COUNTIF(怪しいデータを手直し!F$2:F$701,Sheet5!F33)</f>
        <v>0</v>
      </c>
    </row>
    <row r="34" spans="1:22">
      <c r="A34">
        <f>生データ!A142</f>
        <v>10</v>
      </c>
      <c r="B34">
        <f>生データ!B142</f>
        <v>-30</v>
      </c>
      <c r="C34">
        <f>生データ!C142</f>
        <v>16.756079684882891</v>
      </c>
      <c r="D34">
        <f>生データ!D142</f>
        <v>-23.565021877796898</v>
      </c>
      <c r="E34">
        <f>生データ!E142</f>
        <v>0</v>
      </c>
      <c r="F34">
        <f>IF(生データ!E142="Wr",3000+生データ!F142,IF(生データ!E142="Wb",4000+生データ!F142,生データ!F142))</f>
        <v>624</v>
      </c>
      <c r="G34" t="str">
        <f>生データ!G142</f>
        <v>lc</v>
      </c>
      <c r="H34">
        <f>生データ!H142</f>
        <v>0</v>
      </c>
      <c r="I34">
        <f>生データ!I142</f>
        <v>0.1</v>
      </c>
      <c r="J34">
        <f>生データ!J142</f>
        <v>0</v>
      </c>
      <c r="K34">
        <f>生データ!K142</f>
        <v>6.9</v>
      </c>
      <c r="L34">
        <f>生データ!L142</f>
        <v>1.4</v>
      </c>
      <c r="M34">
        <f>生データ!M142</f>
        <v>0</v>
      </c>
      <c r="N34">
        <f>生データ!N142</f>
        <v>0</v>
      </c>
      <c r="O34">
        <f>生データ!O142</f>
        <v>0</v>
      </c>
      <c r="P34" t="str">
        <f>生データ!P142</f>
        <v>L</v>
      </c>
      <c r="Q34">
        <f>生データ!Q142</f>
        <v>0</v>
      </c>
      <c r="R34">
        <f>生データ!R142</f>
        <v>0</v>
      </c>
      <c r="S34">
        <f>生データ!S142</f>
        <v>0</v>
      </c>
      <c r="T34">
        <f>生データ!T142</f>
        <v>0.1</v>
      </c>
      <c r="U34">
        <f>生データ!U142</f>
        <v>6.9</v>
      </c>
      <c r="V34">
        <f>COUNTIF(怪しいデータを手直し!F$2:F$701,Sheet5!F34)</f>
        <v>1</v>
      </c>
    </row>
    <row r="35" spans="1:22">
      <c r="A35">
        <f>生データ!A143</f>
        <v>20</v>
      </c>
      <c r="B35">
        <f>生データ!B143</f>
        <v>-30</v>
      </c>
      <c r="C35">
        <f>生データ!C143</f>
        <v>28.040213204678953</v>
      </c>
      <c r="D35">
        <f>生データ!D143</f>
        <v>-29.632659846422754</v>
      </c>
      <c r="E35">
        <f>生データ!E143</f>
        <v>0</v>
      </c>
      <c r="F35">
        <f>IF(生データ!E143="Wr",3000+生データ!F143,IF(生データ!E143="Wb",4000+生データ!F143,生データ!F143))</f>
        <v>655</v>
      </c>
      <c r="G35" t="str">
        <f>生データ!G143</f>
        <v>pt</v>
      </c>
      <c r="H35">
        <f>生データ!H143</f>
        <v>0</v>
      </c>
      <c r="I35">
        <f>生データ!I143</f>
        <v>0.12</v>
      </c>
      <c r="J35">
        <f>生データ!J143</f>
        <v>0</v>
      </c>
      <c r="K35">
        <f>生データ!K143</f>
        <v>3.3</v>
      </c>
      <c r="L35">
        <f>生データ!L143</f>
        <v>1.4</v>
      </c>
      <c r="M35">
        <f>生データ!M143</f>
        <v>0.7</v>
      </c>
      <c r="N35">
        <f>生データ!N143</f>
        <v>0</v>
      </c>
      <c r="O35">
        <f>生データ!O143</f>
        <v>0</v>
      </c>
      <c r="P35" t="str">
        <f>生データ!P143</f>
        <v>L</v>
      </c>
      <c r="Q35">
        <f>生データ!Q143</f>
        <v>0</v>
      </c>
      <c r="R35">
        <f>生データ!R143</f>
        <v>0</v>
      </c>
      <c r="S35">
        <f>生データ!S143</f>
        <v>0</v>
      </c>
      <c r="T35">
        <f>生データ!T143</f>
        <v>0.12</v>
      </c>
      <c r="U35">
        <f>生データ!U143</f>
        <v>3.3</v>
      </c>
      <c r="V35">
        <f>COUNTIF(怪しいデータを手直し!F$2:F$701,Sheet5!F35)</f>
        <v>1</v>
      </c>
    </row>
    <row r="36" spans="1:22">
      <c r="A36">
        <f>生データ!A144</f>
        <v>10</v>
      </c>
      <c r="B36">
        <f>生データ!B144</f>
        <v>0</v>
      </c>
      <c r="C36">
        <f>生データ!C144</f>
        <v>14.368205115985283</v>
      </c>
      <c r="D36">
        <f>生データ!D144</f>
        <v>6.4331474710584446</v>
      </c>
      <c r="E36">
        <f>生データ!E144</f>
        <v>0</v>
      </c>
      <c r="F36">
        <f>IF(生データ!E144="Wr",3000+生データ!F144,IF(生データ!E144="Wb",4000+生データ!F144,生データ!F144))</f>
        <v>114</v>
      </c>
      <c r="G36" t="str">
        <f>生データ!G144</f>
        <v>lc</v>
      </c>
      <c r="H36">
        <f>生データ!H144</f>
        <v>0</v>
      </c>
      <c r="I36">
        <f>生データ!I144</f>
        <v>0.14000000000000001</v>
      </c>
      <c r="J36">
        <f>生データ!J144</f>
        <v>0</v>
      </c>
      <c r="K36">
        <f>生データ!K144</f>
        <v>10.199999999999999</v>
      </c>
      <c r="L36">
        <f>生データ!L144</f>
        <v>1.4</v>
      </c>
      <c r="M36">
        <f>生データ!M144</f>
        <v>0.3</v>
      </c>
      <c r="N36">
        <f>生データ!N144</f>
        <v>0</v>
      </c>
      <c r="O36">
        <f>生データ!O144</f>
        <v>0</v>
      </c>
      <c r="P36" t="str">
        <f>生データ!P144</f>
        <v>L</v>
      </c>
      <c r="Q36">
        <f>生データ!Q144</f>
        <v>0</v>
      </c>
      <c r="R36">
        <f>生データ!R144</f>
        <v>0</v>
      </c>
      <c r="S36">
        <f>生データ!S144</f>
        <v>0</v>
      </c>
      <c r="T36">
        <f>生データ!T144</f>
        <v>0.14000000000000001</v>
      </c>
      <c r="U36">
        <f>生データ!U144</f>
        <v>10.199999999999999</v>
      </c>
      <c r="V36">
        <f>COUNTIF(怪しいデータを手直し!F$2:F$701,Sheet5!F36)</f>
        <v>1</v>
      </c>
    </row>
    <row r="37" spans="1:22">
      <c r="A37">
        <f>生データ!A145</f>
        <v>0</v>
      </c>
      <c r="B37">
        <f>生データ!B145</f>
        <v>-30</v>
      </c>
      <c r="C37">
        <f>生データ!C145</f>
        <v>9.7795352861637976</v>
      </c>
      <c r="D37">
        <f>生データ!D145</f>
        <v>-21.779507187767965</v>
      </c>
      <c r="E37">
        <f>生データ!E145</f>
        <v>0</v>
      </c>
      <c r="F37">
        <f>IF(生データ!E145="Wr",3000+生データ!F145,IF(生データ!E145="Wb",4000+生データ!F145,生データ!F145))</f>
        <v>613</v>
      </c>
      <c r="G37" t="str">
        <f>生データ!G145</f>
        <v>lc</v>
      </c>
      <c r="H37">
        <f>生データ!H145</f>
        <v>0</v>
      </c>
      <c r="I37">
        <f>生データ!I145</f>
        <v>0.15</v>
      </c>
      <c r="J37">
        <f>生データ!J145</f>
        <v>0</v>
      </c>
      <c r="K37">
        <f>生データ!K145</f>
        <v>5.3</v>
      </c>
      <c r="L37">
        <f>生データ!L145</f>
        <v>1.4</v>
      </c>
      <c r="M37">
        <f>生データ!M145</f>
        <v>0.4</v>
      </c>
      <c r="N37">
        <f>生データ!N145</f>
        <v>0</v>
      </c>
      <c r="O37">
        <f>生データ!O145</f>
        <v>0</v>
      </c>
      <c r="P37" t="str">
        <f>生データ!P145</f>
        <v>L</v>
      </c>
      <c r="Q37">
        <f>生データ!Q145</f>
        <v>0</v>
      </c>
      <c r="R37">
        <f>生データ!R145</f>
        <v>0</v>
      </c>
      <c r="S37" t="str">
        <f>生データ!S145</f>
        <v>先枯</v>
      </c>
      <c r="T37">
        <f>生データ!T145</f>
        <v>0.15</v>
      </c>
      <c r="U37">
        <f>生データ!U145</f>
        <v>5.3</v>
      </c>
      <c r="V37">
        <f>COUNTIF(怪しいデータを手直し!F$2:F$701,Sheet5!F37)</f>
        <v>1</v>
      </c>
    </row>
    <row r="38" spans="1:22">
      <c r="A38">
        <f>生データ!A146</f>
        <v>0</v>
      </c>
      <c r="B38">
        <f>生データ!B146</f>
        <v>-20</v>
      </c>
      <c r="C38">
        <f>生データ!C146</f>
        <v>3.7860272796370453</v>
      </c>
      <c r="D38">
        <f>生データ!D146</f>
        <v>-19.006602991019648</v>
      </c>
      <c r="E38">
        <f>生データ!E146</f>
        <v>0</v>
      </c>
      <c r="F38">
        <f>IF(生データ!E146="Wr",3000+生データ!F146,IF(生データ!E146="Wb",4000+生データ!F146,生データ!F146))</f>
        <v>585</v>
      </c>
      <c r="G38" t="str">
        <f>生データ!G146</f>
        <v>lc</v>
      </c>
      <c r="H38">
        <f>生データ!H146</f>
        <v>0</v>
      </c>
      <c r="I38">
        <f>生データ!I146</f>
        <v>0.17</v>
      </c>
      <c r="J38">
        <f>生データ!J146</f>
        <v>0</v>
      </c>
      <c r="K38">
        <f>生データ!K146</f>
        <v>7.8</v>
      </c>
      <c r="L38">
        <f>生データ!L146</f>
        <v>1.4</v>
      </c>
      <c r="M38">
        <f>生データ!M146</f>
        <v>0.3</v>
      </c>
      <c r="N38">
        <f>生データ!N146</f>
        <v>0</v>
      </c>
      <c r="O38">
        <f>生データ!O146</f>
        <v>0</v>
      </c>
      <c r="P38" t="str">
        <f>生データ!P146</f>
        <v>L</v>
      </c>
      <c r="Q38">
        <f>生データ!Q146</f>
        <v>0</v>
      </c>
      <c r="R38">
        <f>生データ!R146</f>
        <v>0</v>
      </c>
      <c r="S38">
        <f>生データ!S146</f>
        <v>0</v>
      </c>
      <c r="T38">
        <f>生データ!T146</f>
        <v>0.17</v>
      </c>
      <c r="U38">
        <f>生データ!U146</f>
        <v>7.8</v>
      </c>
      <c r="V38">
        <f>COUNTIF(怪しいデータを手直し!F$2:F$701,Sheet5!F38)</f>
        <v>1</v>
      </c>
    </row>
    <row r="39" spans="1:22">
      <c r="A39">
        <f>生データ!A147</f>
        <v>10</v>
      </c>
      <c r="B39">
        <f>生データ!B147</f>
        <v>10</v>
      </c>
      <c r="C39">
        <f>生データ!C147</f>
        <v>19.512906347855239</v>
      </c>
      <c r="D39">
        <f>生データ!D147</f>
        <v>13.843463648447257</v>
      </c>
      <c r="E39">
        <f>生データ!E147</f>
        <v>0</v>
      </c>
      <c r="F39">
        <f>IF(生データ!E147="Wr",3000+生データ!F147,IF(生データ!E147="Wb",4000+生データ!F147,生データ!F147))</f>
        <v>109</v>
      </c>
      <c r="G39" t="str">
        <f>生データ!G147</f>
        <v>bp</v>
      </c>
      <c r="H39">
        <f>生データ!H147</f>
        <v>0</v>
      </c>
      <c r="I39">
        <f>生データ!I147</f>
        <v>0.19</v>
      </c>
      <c r="J39">
        <f>生データ!J147</f>
        <v>0</v>
      </c>
      <c r="K39">
        <f>生データ!K147</f>
        <v>3.8</v>
      </c>
      <c r="L39">
        <f>生データ!L147</f>
        <v>1.4</v>
      </c>
      <c r="M39">
        <f>生データ!M147</f>
        <v>0.4</v>
      </c>
      <c r="N39">
        <f>生データ!N147</f>
        <v>0</v>
      </c>
      <c r="O39">
        <f>生データ!O147</f>
        <v>0</v>
      </c>
      <c r="P39" t="str">
        <f>生データ!P147</f>
        <v>L</v>
      </c>
      <c r="Q39">
        <f>生データ!Q147</f>
        <v>0</v>
      </c>
      <c r="R39">
        <f>生データ!R147</f>
        <v>0</v>
      </c>
      <c r="S39">
        <f>生データ!S147</f>
        <v>0</v>
      </c>
      <c r="T39">
        <f>生データ!T147</f>
        <v>0.19</v>
      </c>
      <c r="U39">
        <f>生データ!U147</f>
        <v>3.8</v>
      </c>
      <c r="V39">
        <f>COUNTIF(怪しいデータを手直し!F$2:F$701,Sheet5!F39)</f>
        <v>1</v>
      </c>
    </row>
    <row r="40" spans="1:22">
      <c r="A40">
        <f>生データ!A148</f>
        <v>0</v>
      </c>
      <c r="B40">
        <f>生データ!B148</f>
        <v>-10</v>
      </c>
      <c r="C40">
        <f>生データ!C148</f>
        <v>0.99993594683058107</v>
      </c>
      <c r="D40">
        <f>生データ!D148</f>
        <v>-1.9720346225063956</v>
      </c>
      <c r="E40">
        <f>生データ!E148</f>
        <v>0</v>
      </c>
      <c r="F40">
        <f>IF(生データ!E148="Wr",3000+生データ!F148,IF(生データ!E148="Wb",4000+生データ!F148,生データ!F148))</f>
        <v>402</v>
      </c>
      <c r="G40" t="str">
        <f>生データ!G148</f>
        <v>lc</v>
      </c>
      <c r="H40">
        <f>生データ!H148</f>
        <v>0</v>
      </c>
      <c r="I40">
        <f>生データ!I148</f>
        <v>0.19</v>
      </c>
      <c r="J40">
        <f>生データ!J148</f>
        <v>0</v>
      </c>
      <c r="K40">
        <f>生データ!K148</f>
        <v>8.1</v>
      </c>
      <c r="L40">
        <f>生データ!L148</f>
        <v>1.5</v>
      </c>
      <c r="M40">
        <f>生データ!M148</f>
        <v>0</v>
      </c>
      <c r="N40">
        <f>生データ!N148</f>
        <v>0</v>
      </c>
      <c r="O40">
        <f>生データ!O148</f>
        <v>0</v>
      </c>
      <c r="P40" t="str">
        <f>生データ!P148</f>
        <v>L</v>
      </c>
      <c r="Q40">
        <f>生データ!Q148</f>
        <v>0</v>
      </c>
      <c r="R40">
        <f>生データ!R148</f>
        <v>0</v>
      </c>
      <c r="S40">
        <f>生データ!S148</f>
        <v>0</v>
      </c>
      <c r="T40">
        <f>生データ!T148</f>
        <v>0.19</v>
      </c>
      <c r="U40">
        <f>生データ!U148</f>
        <v>8.1</v>
      </c>
      <c r="V40">
        <f>COUNTIF(怪しいデータを手直し!F$2:F$701,Sheet5!F40)</f>
        <v>1</v>
      </c>
    </row>
    <row r="41" spans="1:22">
      <c r="A41">
        <f>生データ!A149</f>
        <v>20</v>
      </c>
      <c r="B41">
        <f>生データ!B149</f>
        <v>-20</v>
      </c>
      <c r="C41">
        <f>生データ!C149</f>
        <v>26.14893076961571</v>
      </c>
      <c r="D41">
        <f>生データ!D149</f>
        <v>-15.041376912620358</v>
      </c>
      <c r="E41">
        <f>生データ!E149</f>
        <v>0</v>
      </c>
      <c r="F41">
        <f>IF(生データ!E149="Wr",3000+生データ!F149,IF(生データ!E149="Wb",4000+生データ!F149,生データ!F149))</f>
        <v>558</v>
      </c>
      <c r="G41" t="str">
        <f>生データ!G149</f>
        <v>pt</v>
      </c>
      <c r="H41">
        <f>生データ!H149</f>
        <v>0</v>
      </c>
      <c r="I41">
        <f>生データ!I149</f>
        <v>0.21</v>
      </c>
      <c r="J41">
        <f>生データ!J149</f>
        <v>0</v>
      </c>
      <c r="K41">
        <f>生データ!K149</f>
        <v>6.2</v>
      </c>
      <c r="L41">
        <f>生データ!L149</f>
        <v>1.6</v>
      </c>
      <c r="M41">
        <f>生データ!M149</f>
        <v>0.3</v>
      </c>
      <c r="N41">
        <f>生データ!N149</f>
        <v>0</v>
      </c>
      <c r="O41">
        <f>生データ!O149</f>
        <v>0</v>
      </c>
      <c r="P41" t="str">
        <f>生データ!P149</f>
        <v>L</v>
      </c>
      <c r="Q41">
        <f>生データ!Q149</f>
        <v>0</v>
      </c>
      <c r="R41">
        <f>生データ!R149</f>
        <v>0</v>
      </c>
      <c r="S41">
        <f>生データ!S149</f>
        <v>0</v>
      </c>
      <c r="T41">
        <f>生データ!T149</f>
        <v>0.21</v>
      </c>
      <c r="U41">
        <f>生データ!U149</f>
        <v>6.2</v>
      </c>
      <c r="V41">
        <f>COUNTIF(怪しいデータを手直し!F$2:F$701,Sheet5!F41)</f>
        <v>1</v>
      </c>
    </row>
    <row r="42" spans="1:22">
      <c r="A42">
        <f>生データ!A150</f>
        <v>40</v>
      </c>
      <c r="B42">
        <f>生データ!B150</f>
        <v>-10</v>
      </c>
      <c r="C42">
        <f>生データ!C150</f>
        <v>47.838459784886211</v>
      </c>
      <c r="D42">
        <f>生データ!D150</f>
        <v>-2.6503101513682941</v>
      </c>
      <c r="E42">
        <f>生データ!E150</f>
        <v>0</v>
      </c>
      <c r="F42">
        <f>IF(生データ!E150="Wr",3000+生データ!F150,IF(生データ!E150="Wb",4000+生データ!F150,生データ!F150))</f>
        <v>462</v>
      </c>
      <c r="G42" t="str">
        <f>生データ!G150</f>
        <v>bp</v>
      </c>
      <c r="H42">
        <f>生データ!H150</f>
        <v>0</v>
      </c>
      <c r="I42">
        <f>生データ!I150</f>
        <v>0.22</v>
      </c>
      <c r="J42">
        <f>生データ!J150</f>
        <v>0</v>
      </c>
      <c r="K42">
        <f>生データ!K150</f>
        <v>7.2</v>
      </c>
      <c r="L42">
        <f>生データ!L150</f>
        <v>1.4</v>
      </c>
      <c r="M42">
        <f>生データ!M150</f>
        <v>0.4</v>
      </c>
      <c r="N42">
        <f>生データ!N150</f>
        <v>0</v>
      </c>
      <c r="O42">
        <f>生データ!O150</f>
        <v>0</v>
      </c>
      <c r="P42" t="str">
        <f>生データ!P150</f>
        <v>L</v>
      </c>
      <c r="Q42">
        <f>生データ!Q150</f>
        <v>0</v>
      </c>
      <c r="R42">
        <f>生データ!R150</f>
        <v>0</v>
      </c>
      <c r="S42">
        <f>生データ!S150</f>
        <v>0</v>
      </c>
      <c r="T42">
        <f>生データ!T150</f>
        <v>0.22</v>
      </c>
      <c r="U42">
        <f>生データ!U150</f>
        <v>7.2</v>
      </c>
      <c r="V42">
        <f>COUNTIF(怪しいデータを手直し!F$2:F$701,Sheet5!F42)</f>
        <v>1</v>
      </c>
    </row>
    <row r="43" spans="1:22">
      <c r="A43">
        <f>生データ!A151</f>
        <v>0</v>
      </c>
      <c r="B43">
        <f>生データ!B151</f>
        <v>-10</v>
      </c>
      <c r="C43">
        <f>生データ!C151</f>
        <v>0.35800174195920847</v>
      </c>
      <c r="D43">
        <f>生データ!D151</f>
        <v>-3.3896872424404778</v>
      </c>
      <c r="E43">
        <f>生データ!E151</f>
        <v>0</v>
      </c>
      <c r="F43">
        <f>IF(生データ!E151="Wr",3000+生データ!F151,IF(生データ!E151="Wb",4000+生データ!F151,生データ!F151))</f>
        <v>401</v>
      </c>
      <c r="G43" t="str">
        <f>生データ!G151</f>
        <v>lc</v>
      </c>
      <c r="H43">
        <f>生データ!H151</f>
        <v>0</v>
      </c>
      <c r="I43">
        <f>生データ!I151</f>
        <v>0.24</v>
      </c>
      <c r="J43">
        <f>生データ!J151</f>
        <v>0</v>
      </c>
      <c r="K43">
        <f>生データ!K151</f>
        <v>9.9</v>
      </c>
      <c r="L43">
        <f>生データ!L151</f>
        <v>1.6</v>
      </c>
      <c r="M43">
        <f>生データ!M151</f>
        <v>0</v>
      </c>
      <c r="N43">
        <f>生データ!N151</f>
        <v>0</v>
      </c>
      <c r="O43">
        <f>生データ!O151</f>
        <v>0</v>
      </c>
      <c r="P43" t="str">
        <f>生データ!P151</f>
        <v>L</v>
      </c>
      <c r="Q43">
        <f>生データ!Q151</f>
        <v>0</v>
      </c>
      <c r="R43">
        <f>生データ!R151</f>
        <v>0</v>
      </c>
      <c r="S43">
        <f>生データ!S151</f>
        <v>0</v>
      </c>
      <c r="T43">
        <f>生データ!T151</f>
        <v>0.24</v>
      </c>
      <c r="U43">
        <f>生データ!U151</f>
        <v>9.9</v>
      </c>
      <c r="V43">
        <f>COUNTIF(怪しいデータを手直し!F$2:F$701,Sheet5!F43)</f>
        <v>1</v>
      </c>
    </row>
    <row r="44" spans="1:22">
      <c r="A44">
        <f>生データ!A152</f>
        <v>30</v>
      </c>
      <c r="B44">
        <f>生データ!B152</f>
        <v>-10</v>
      </c>
      <c r="C44">
        <f>生データ!C152</f>
        <v>38.977269466040433</v>
      </c>
      <c r="D44">
        <f>生データ!D152</f>
        <v>-4.0167799426306585</v>
      </c>
      <c r="E44">
        <f>生データ!E152</f>
        <v>0</v>
      </c>
      <c r="F44">
        <f>IF(生データ!E152="Wr",3000+生データ!F152,IF(生データ!E152="Wb",4000+生データ!F152,生データ!F152))</f>
        <v>444</v>
      </c>
      <c r="G44" t="str">
        <f>生データ!G152</f>
        <v>bp</v>
      </c>
      <c r="H44">
        <f>生データ!H152</f>
        <v>0</v>
      </c>
      <c r="I44">
        <f>生データ!I152</f>
        <v>0.26</v>
      </c>
      <c r="J44" t="str">
        <f>生データ!J152</f>
        <v>dead</v>
      </c>
      <c r="K44">
        <f>生データ!K152</f>
        <v>0</v>
      </c>
      <c r="L44">
        <f>生データ!L152</f>
        <v>1</v>
      </c>
      <c r="M44">
        <f>生データ!M152</f>
        <v>0</v>
      </c>
      <c r="N44">
        <f>生データ!N152</f>
        <v>0</v>
      </c>
      <c r="O44">
        <f>生データ!O152</f>
        <v>0</v>
      </c>
      <c r="P44" t="str">
        <f>生データ!P152</f>
        <v>D</v>
      </c>
      <c r="Q44">
        <f>生データ!Q152</f>
        <v>0</v>
      </c>
      <c r="R44">
        <f>生データ!R152</f>
        <v>0</v>
      </c>
      <c r="S44">
        <f>生データ!S152</f>
        <v>0</v>
      </c>
      <c r="T44">
        <f>生データ!T152</f>
        <v>0.26</v>
      </c>
      <c r="U44" t="str">
        <f>生データ!U152</f>
        <v>dead</v>
      </c>
      <c r="V44">
        <f>COUNTIF(怪しいデータを手直し!F$2:F$701,Sheet5!F44)</f>
        <v>1</v>
      </c>
    </row>
    <row r="45" spans="1:22">
      <c r="A45">
        <f>生データ!A153</f>
        <v>30</v>
      </c>
      <c r="B45">
        <f>生データ!B153</f>
        <v>-20</v>
      </c>
      <c r="C45">
        <f>生データ!C153</f>
        <v>38.237587459751978</v>
      </c>
      <c r="D45">
        <f>生データ!D153</f>
        <v>-18.662534388848133</v>
      </c>
      <c r="E45">
        <f>生データ!E153</f>
        <v>0</v>
      </c>
      <c r="F45">
        <f>IF(生データ!E153="Wr",3000+生データ!F153,IF(生データ!E153="Wb",4000+生データ!F153,生データ!F153))</f>
        <v>515</v>
      </c>
      <c r="G45" t="str">
        <f>生データ!G153</f>
        <v>pt</v>
      </c>
      <c r="H45">
        <f>生データ!H153</f>
        <v>0</v>
      </c>
      <c r="I45">
        <f>生データ!I153</f>
        <v>0.28000000000000003</v>
      </c>
      <c r="J45">
        <f>生データ!J153</f>
        <v>0</v>
      </c>
      <c r="K45">
        <f>生データ!K153</f>
        <v>4.5</v>
      </c>
      <c r="L45">
        <f>生データ!L153</f>
        <v>1.4</v>
      </c>
      <c r="M45">
        <f>生データ!M153</f>
        <v>0.2</v>
      </c>
      <c r="N45">
        <f>生データ!N153</f>
        <v>0</v>
      </c>
      <c r="O45">
        <f>生データ!O153</f>
        <v>0</v>
      </c>
      <c r="P45" t="str">
        <f>生データ!P153</f>
        <v>L</v>
      </c>
      <c r="Q45">
        <f>生データ!Q153</f>
        <v>0</v>
      </c>
      <c r="R45">
        <f>生データ!R153</f>
        <v>0</v>
      </c>
      <c r="S45">
        <f>生データ!S153</f>
        <v>0</v>
      </c>
      <c r="T45">
        <f>生データ!T153</f>
        <v>0.28000000000000003</v>
      </c>
      <c r="U45">
        <f>生データ!U153</f>
        <v>4.5</v>
      </c>
      <c r="V45">
        <f>COUNTIF(怪しいデータを手直し!F$2:F$701,Sheet5!F45)</f>
        <v>1</v>
      </c>
    </row>
    <row r="46" spans="1:22">
      <c r="A46">
        <f>生データ!A154</f>
        <v>30</v>
      </c>
      <c r="B46">
        <f>生データ!B154</f>
        <v>-20</v>
      </c>
      <c r="C46">
        <f>生データ!C154</f>
        <v>30.072596810592465</v>
      </c>
      <c r="D46">
        <f>生データ!D154</f>
        <v>-12.997259734314172</v>
      </c>
      <c r="E46">
        <f>生データ!E154</f>
        <v>0</v>
      </c>
      <c r="F46">
        <f>IF(生データ!E154="Wr",3000+生データ!F154,IF(生データ!E154="Wb",4000+生データ!F154,生データ!F154))</f>
        <v>530</v>
      </c>
      <c r="G46" t="str">
        <f>生データ!G154</f>
        <v>bp</v>
      </c>
      <c r="H46">
        <f>生データ!H154</f>
        <v>0</v>
      </c>
      <c r="I46">
        <f>生データ!I154</f>
        <v>0.28000000000000003</v>
      </c>
      <c r="J46">
        <f>生データ!J154</f>
        <v>0</v>
      </c>
      <c r="K46">
        <f>生データ!K154</f>
        <v>7</v>
      </c>
      <c r="L46">
        <f>生データ!L154</f>
        <v>1.4</v>
      </c>
      <c r="M46">
        <f>生データ!M154</f>
        <v>0.3</v>
      </c>
      <c r="N46">
        <f>生データ!N154</f>
        <v>0</v>
      </c>
      <c r="O46">
        <f>生データ!O154</f>
        <v>0</v>
      </c>
      <c r="P46" t="str">
        <f>生データ!P154</f>
        <v>L</v>
      </c>
      <c r="Q46">
        <f>生データ!Q154</f>
        <v>0</v>
      </c>
      <c r="R46">
        <f>生データ!R154</f>
        <v>0</v>
      </c>
      <c r="S46">
        <f>生データ!S154</f>
        <v>0</v>
      </c>
      <c r="T46">
        <f>生データ!T154</f>
        <v>0.28000000000000003</v>
      </c>
      <c r="U46">
        <f>生データ!U154</f>
        <v>7</v>
      </c>
      <c r="V46">
        <f>COUNTIF(怪しいデータを手直し!F$2:F$701,Sheet5!F46)</f>
        <v>1</v>
      </c>
    </row>
    <row r="47" spans="1:22">
      <c r="A47">
        <f>生データ!A155</f>
        <v>40</v>
      </c>
      <c r="B47">
        <f>生データ!B155</f>
        <v>30</v>
      </c>
      <c r="C47">
        <f>生データ!C155</f>
        <v>48.896603355268482</v>
      </c>
      <c r="D47">
        <f>生データ!D155</f>
        <v>30.463621450236197</v>
      </c>
      <c r="E47">
        <f>生データ!E155</f>
        <v>0</v>
      </c>
      <c r="F47">
        <f>IF(生データ!E155="Wr",3000+生データ!F155,IF(生データ!E155="Wb",4000+生データ!F155,生データ!F155))</f>
        <v>326</v>
      </c>
      <c r="G47" t="str">
        <f>生データ!G155</f>
        <v>af</v>
      </c>
      <c r="H47">
        <f>生データ!H155</f>
        <v>0</v>
      </c>
      <c r="I47">
        <f>生データ!I155</f>
        <v>0.3</v>
      </c>
      <c r="J47" t="str">
        <f>生データ!J155</f>
        <v>不明</v>
      </c>
      <c r="K47">
        <f>生データ!K155</f>
        <v>0</v>
      </c>
      <c r="L47">
        <f>生データ!L155</f>
        <v>1.3</v>
      </c>
      <c r="M47">
        <f>生データ!M155</f>
        <v>0.7</v>
      </c>
      <c r="N47">
        <f>生データ!N155</f>
        <v>0</v>
      </c>
      <c r="O47">
        <f>生データ!O155</f>
        <v>0</v>
      </c>
      <c r="P47" t="str">
        <f>生データ!P155</f>
        <v>L</v>
      </c>
      <c r="Q47">
        <f>生データ!Q155</f>
        <v>0</v>
      </c>
      <c r="R47">
        <f>生データ!R155</f>
        <v>0</v>
      </c>
      <c r="S47" t="str">
        <f>生データ!S155</f>
        <v>New 595かも</v>
      </c>
      <c r="T47">
        <f>生データ!T155</f>
        <v>0.3</v>
      </c>
      <c r="U47" t="e">
        <f>生データ!U155</f>
        <v>#VALUE!</v>
      </c>
      <c r="V47">
        <f>COUNTIF(怪しいデータを手直し!F$2:F$701,Sheet5!F47)</f>
        <v>1</v>
      </c>
    </row>
    <row r="48" spans="1:22">
      <c r="A48">
        <f>生データ!A156</f>
        <v>30</v>
      </c>
      <c r="B48">
        <f>生データ!B156</f>
        <v>10</v>
      </c>
      <c r="C48">
        <f>生データ!C156</f>
        <v>39.475523248039664</v>
      </c>
      <c r="D48">
        <f>生データ!D156</f>
        <v>13.752043600035297</v>
      </c>
      <c r="E48">
        <f>生データ!E156</f>
        <v>0</v>
      </c>
      <c r="F48">
        <f>IF(生データ!E156="Wr",3000+生データ!F156,IF(生データ!E156="Wb",4000+生データ!F156,生データ!F156))</f>
        <v>239</v>
      </c>
      <c r="G48" t="str">
        <f>生データ!G156</f>
        <v>pt</v>
      </c>
      <c r="H48">
        <f>生データ!H156</f>
        <v>0</v>
      </c>
      <c r="I48">
        <f>生データ!I156</f>
        <v>0.34</v>
      </c>
      <c r="J48">
        <f>生データ!J156</f>
        <v>0</v>
      </c>
      <c r="K48">
        <f>生データ!K156</f>
        <v>7</v>
      </c>
      <c r="L48">
        <f>生データ!L156</f>
        <v>1.8</v>
      </c>
      <c r="M48">
        <f>生データ!M156</f>
        <v>0.7</v>
      </c>
      <c r="N48">
        <f>生データ!N156</f>
        <v>0</v>
      </c>
      <c r="O48">
        <f>生データ!O156</f>
        <v>0</v>
      </c>
      <c r="P48" t="str">
        <f>生データ!P156</f>
        <v>L</v>
      </c>
      <c r="Q48">
        <f>生データ!Q156</f>
        <v>0</v>
      </c>
      <c r="R48">
        <f>生データ!R156</f>
        <v>0</v>
      </c>
      <c r="S48">
        <f>生データ!S156</f>
        <v>0</v>
      </c>
      <c r="T48">
        <f>生データ!T156</f>
        <v>0.34</v>
      </c>
      <c r="U48">
        <f>生データ!U156</f>
        <v>7</v>
      </c>
      <c r="V48">
        <f>COUNTIF(怪しいデータを手直し!F$2:F$701,Sheet5!F48)</f>
        <v>1</v>
      </c>
    </row>
    <row r="49" spans="1:22">
      <c r="A49">
        <f>生データ!A157</f>
        <v>30</v>
      </c>
      <c r="B49">
        <f>生データ!B157</f>
        <v>10</v>
      </c>
      <c r="C49">
        <f>生データ!C157</f>
        <v>33.495831695602774</v>
      </c>
      <c r="D49">
        <f>生データ!D157</f>
        <v>12.926722064274653</v>
      </c>
      <c r="E49">
        <f>生データ!E157</f>
        <v>0</v>
      </c>
      <c r="F49">
        <f>IF(生データ!E157="Wr",3000+生データ!F157,IF(生データ!E157="Wb",4000+生データ!F157,生データ!F157))</f>
        <v>234</v>
      </c>
      <c r="G49" t="str">
        <f>生データ!G157</f>
        <v>lc</v>
      </c>
      <c r="H49">
        <f>生データ!H157</f>
        <v>0</v>
      </c>
      <c r="I49">
        <f>生データ!I157</f>
        <v>0.36</v>
      </c>
      <c r="J49">
        <f>生データ!J157</f>
        <v>0</v>
      </c>
      <c r="K49">
        <f>生データ!K157</f>
        <v>10.5</v>
      </c>
      <c r="L49">
        <f>生データ!L157</f>
        <v>1.5</v>
      </c>
      <c r="M49">
        <f>生データ!M157</f>
        <v>0.1</v>
      </c>
      <c r="N49">
        <f>生データ!N157</f>
        <v>0</v>
      </c>
      <c r="O49">
        <f>生データ!O157</f>
        <v>0</v>
      </c>
      <c r="P49" t="str">
        <f>生データ!P157</f>
        <v>L</v>
      </c>
      <c r="Q49">
        <f>生データ!Q157</f>
        <v>0</v>
      </c>
      <c r="R49">
        <f>生データ!R157</f>
        <v>0</v>
      </c>
      <c r="S49">
        <f>生データ!S157</f>
        <v>0</v>
      </c>
      <c r="T49">
        <f>生データ!T157</f>
        <v>0.36</v>
      </c>
      <c r="U49">
        <f>生データ!U157</f>
        <v>10.5</v>
      </c>
      <c r="V49">
        <f>COUNTIF(怪しいデータを手直し!F$2:F$701,Sheet5!F49)</f>
        <v>1</v>
      </c>
    </row>
    <row r="50" spans="1:22">
      <c r="A50">
        <f>生データ!A158</f>
        <v>30</v>
      </c>
      <c r="B50">
        <f>生データ!B158</f>
        <v>0</v>
      </c>
      <c r="C50">
        <f>生データ!C158</f>
        <v>34.050937810882921</v>
      </c>
      <c r="D50">
        <f>生データ!D158</f>
        <v>9.6930927280564454</v>
      </c>
      <c r="E50">
        <f>生データ!E158</f>
        <v>0</v>
      </c>
      <c r="F50">
        <f>IF(生データ!E158="Wr",3000+生データ!F158,IF(生データ!E158="Wb",4000+生データ!F158,生データ!F158))</f>
        <v>246</v>
      </c>
      <c r="G50" t="str">
        <f>生データ!G158</f>
        <v>bp</v>
      </c>
      <c r="H50">
        <f>生データ!H158</f>
        <v>0</v>
      </c>
      <c r="I50">
        <f>生データ!I158</f>
        <v>0.36</v>
      </c>
      <c r="J50">
        <f>生データ!J158</f>
        <v>0</v>
      </c>
      <c r="K50">
        <f>生データ!K158</f>
        <v>10.3</v>
      </c>
      <c r="L50">
        <f>生データ!L158</f>
        <v>1.6</v>
      </c>
      <c r="M50">
        <f>生データ!M158</f>
        <v>0.4</v>
      </c>
      <c r="N50">
        <f>生データ!N158</f>
        <v>0</v>
      </c>
      <c r="O50">
        <f>生データ!O158</f>
        <v>0</v>
      </c>
      <c r="P50" t="str">
        <f>生データ!P158</f>
        <v>L</v>
      </c>
      <c r="Q50">
        <f>生データ!Q158</f>
        <v>0</v>
      </c>
      <c r="R50">
        <f>生データ!R158</f>
        <v>0</v>
      </c>
      <c r="S50">
        <f>生データ!S158</f>
        <v>0</v>
      </c>
      <c r="T50">
        <f>生データ!T158</f>
        <v>0.36</v>
      </c>
      <c r="U50">
        <f>生データ!U158</f>
        <v>10.3</v>
      </c>
      <c r="V50">
        <f>COUNTIF(怪しいデータを手直し!F$2:F$701,Sheet5!F50)</f>
        <v>1</v>
      </c>
    </row>
    <row r="51" spans="1:22">
      <c r="A51">
        <f>生データ!A159</f>
        <v>40</v>
      </c>
      <c r="B51">
        <f>生データ!B159</f>
        <v>30</v>
      </c>
      <c r="C51">
        <f>生データ!C159</f>
        <v>48.673566100653304</v>
      </c>
      <c r="D51">
        <f>生データ!D159</f>
        <v>31.017407216696064</v>
      </c>
      <c r="E51">
        <f>生データ!E159</f>
        <v>0</v>
      </c>
      <c r="F51">
        <f>IF(生データ!E159="Wr",3000+生データ!F159,IF(生データ!E159="Wb",4000+生データ!F159,生データ!F159))</f>
        <v>337</v>
      </c>
      <c r="G51" t="str">
        <f>生データ!G159</f>
        <v>af</v>
      </c>
      <c r="H51">
        <f>生データ!H159</f>
        <v>0</v>
      </c>
      <c r="I51">
        <f>生データ!I159</f>
        <v>0.37</v>
      </c>
      <c r="J51" t="str">
        <f>生データ!J159</f>
        <v>dead</v>
      </c>
      <c r="K51">
        <f>生データ!K159</f>
        <v>0</v>
      </c>
      <c r="L51">
        <f>生データ!L159</f>
        <v>1.3</v>
      </c>
      <c r="M51">
        <f>生データ!M159</f>
        <v>0.6</v>
      </c>
      <c r="N51">
        <f>生データ!N159</f>
        <v>0</v>
      </c>
      <c r="O51">
        <f>生データ!O159</f>
        <v>0</v>
      </c>
      <c r="P51" t="str">
        <f>生データ!P159</f>
        <v>L</v>
      </c>
      <c r="Q51">
        <f>生データ!Q159</f>
        <v>0</v>
      </c>
      <c r="R51">
        <f>生データ!R159</f>
        <v>0</v>
      </c>
      <c r="S51">
        <f>生データ!S159</f>
        <v>0</v>
      </c>
      <c r="T51">
        <f>生データ!T159</f>
        <v>0.37</v>
      </c>
      <c r="U51" t="str">
        <f>生データ!U159</f>
        <v>dead</v>
      </c>
      <c r="V51">
        <f>COUNTIF(怪しいデータを手直し!F$2:F$701,Sheet5!F51)</f>
        <v>1</v>
      </c>
    </row>
    <row r="52" spans="1:22">
      <c r="A52">
        <f>生データ!A160</f>
        <v>0</v>
      </c>
      <c r="B52">
        <f>生データ!B160</f>
        <v>0</v>
      </c>
      <c r="C52">
        <f>生データ!C160</f>
        <v>4.9136324761842101</v>
      </c>
      <c r="D52">
        <f>生データ!D160</f>
        <v>8.9188592077476532</v>
      </c>
      <c r="E52">
        <f>生データ!E160</f>
        <v>0</v>
      </c>
      <c r="F52">
        <f>IF(生データ!E160="Wr",3000+生データ!F160,IF(生データ!E160="Wb",4000+生データ!F160,生データ!F160))</f>
        <v>15</v>
      </c>
      <c r="G52" t="str">
        <f>生データ!G160</f>
        <v>bp</v>
      </c>
      <c r="H52">
        <f>生データ!H160</f>
        <v>0</v>
      </c>
      <c r="I52">
        <f>生データ!I160</f>
        <v>0.39</v>
      </c>
      <c r="J52">
        <f>生データ!J160</f>
        <v>0</v>
      </c>
      <c r="K52">
        <f>生データ!K160</f>
        <v>8.5</v>
      </c>
      <c r="L52">
        <f>生データ!L160</f>
        <v>1.5</v>
      </c>
      <c r="M52">
        <f>生データ!M160</f>
        <v>0.4</v>
      </c>
      <c r="N52">
        <f>生データ!N160</f>
        <v>0</v>
      </c>
      <c r="O52">
        <f>生データ!O160</f>
        <v>0</v>
      </c>
      <c r="P52" t="str">
        <f>生データ!P160</f>
        <v>L</v>
      </c>
      <c r="Q52">
        <f>生データ!Q160</f>
        <v>0</v>
      </c>
      <c r="R52">
        <f>生データ!R160</f>
        <v>0</v>
      </c>
      <c r="S52">
        <f>生データ!S160</f>
        <v>0</v>
      </c>
      <c r="T52">
        <f>生データ!T160</f>
        <v>0.39</v>
      </c>
      <c r="U52">
        <f>生データ!U160</f>
        <v>8.5</v>
      </c>
      <c r="V52">
        <f>COUNTIF(怪しいデータを手直し!F$2:F$701,Sheet5!F52)</f>
        <v>1</v>
      </c>
    </row>
    <row r="53" spans="1:22">
      <c r="A53">
        <f>生データ!A161</f>
        <v>30</v>
      </c>
      <c r="B53">
        <f>生データ!B161</f>
        <v>-20</v>
      </c>
      <c r="C53">
        <f>生データ!C161</f>
        <v>38.593859788306851</v>
      </c>
      <c r="D53">
        <f>生データ!D161</f>
        <v>-14.808624512795685</v>
      </c>
      <c r="E53">
        <f>生データ!E161</f>
        <v>0</v>
      </c>
      <c r="F53">
        <f>IF(生データ!E161="Wr",3000+生データ!F161,IF(生データ!E161="Wb",4000+生データ!F161,生データ!F161))</f>
        <v>518</v>
      </c>
      <c r="G53" t="str">
        <f>生データ!G161</f>
        <v>lc</v>
      </c>
      <c r="H53">
        <f>生データ!H161</f>
        <v>0</v>
      </c>
      <c r="I53">
        <f>生データ!I161</f>
        <v>0.39</v>
      </c>
      <c r="J53">
        <f>生データ!J161</f>
        <v>0</v>
      </c>
      <c r="K53">
        <f>生データ!K161</f>
        <v>9.3000000000000007</v>
      </c>
      <c r="L53">
        <f>生データ!L161</f>
        <v>1.5</v>
      </c>
      <c r="M53">
        <f>生データ!M161</f>
        <v>0</v>
      </c>
      <c r="N53">
        <f>生データ!N161</f>
        <v>0</v>
      </c>
      <c r="O53">
        <f>生データ!O161</f>
        <v>0</v>
      </c>
      <c r="P53" t="str">
        <f>生データ!P161</f>
        <v>L</v>
      </c>
      <c r="Q53">
        <f>生データ!Q161</f>
        <v>0</v>
      </c>
      <c r="R53">
        <f>生データ!R161</f>
        <v>0</v>
      </c>
      <c r="S53">
        <f>生データ!S161</f>
        <v>0</v>
      </c>
      <c r="T53">
        <f>生データ!T161</f>
        <v>0.39</v>
      </c>
      <c r="U53">
        <f>生データ!U161</f>
        <v>9.3000000000000007</v>
      </c>
      <c r="V53">
        <f>COUNTIF(怪しいデータを手直し!F$2:F$701,Sheet5!F53)</f>
        <v>1</v>
      </c>
    </row>
    <row r="54" spans="1:22">
      <c r="A54">
        <f>生データ!A162</f>
        <v>20</v>
      </c>
      <c r="B54">
        <f>生データ!B162</f>
        <v>20</v>
      </c>
      <c r="C54">
        <f>生データ!C162</f>
        <v>24.174543443410826</v>
      </c>
      <c r="D54">
        <f>生データ!D162</f>
        <v>27.529531811649555</v>
      </c>
      <c r="E54">
        <f>生データ!E162</f>
        <v>0</v>
      </c>
      <c r="F54">
        <f>IF(生データ!E162="Wr",3000+生データ!F162,IF(生データ!E162="Wb",4000+生データ!F162,生データ!F162))</f>
        <v>167</v>
      </c>
      <c r="G54" t="str">
        <f>生データ!G162</f>
        <v>pt</v>
      </c>
      <c r="H54">
        <f>生データ!H162</f>
        <v>0</v>
      </c>
      <c r="I54">
        <f>生データ!I162</f>
        <v>0.4</v>
      </c>
      <c r="J54">
        <f>生データ!J162</f>
        <v>0</v>
      </c>
      <c r="K54">
        <f>生データ!K162</f>
        <v>5.4</v>
      </c>
      <c r="L54">
        <f>生データ!L162</f>
        <v>1.8</v>
      </c>
      <c r="M54">
        <f>生データ!M162</f>
        <v>0.5</v>
      </c>
      <c r="N54">
        <f>生データ!N162</f>
        <v>0</v>
      </c>
      <c r="O54">
        <f>生データ!O162</f>
        <v>0</v>
      </c>
      <c r="P54" t="str">
        <f>生データ!P162</f>
        <v>L</v>
      </c>
      <c r="Q54">
        <f>生データ!Q162</f>
        <v>0</v>
      </c>
      <c r="R54">
        <f>生データ!R162</f>
        <v>0</v>
      </c>
      <c r="S54">
        <f>生データ!S162</f>
        <v>0</v>
      </c>
      <c r="T54">
        <f>生データ!T162</f>
        <v>0.4</v>
      </c>
      <c r="U54">
        <f>生データ!U162</f>
        <v>5.4</v>
      </c>
      <c r="V54">
        <f>COUNTIF(怪しいデータを手直し!F$2:F$701,Sheet5!F54)</f>
        <v>1</v>
      </c>
    </row>
    <row r="55" spans="1:22">
      <c r="A55">
        <f>生データ!A163</f>
        <v>0</v>
      </c>
      <c r="B55">
        <f>生データ!B163</f>
        <v>-20</v>
      </c>
      <c r="C55">
        <f>生データ!C163</f>
        <v>8.3512926746389606</v>
      </c>
      <c r="D55">
        <f>生データ!D163</f>
        <v>-18.76972124200773</v>
      </c>
      <c r="E55">
        <f>生データ!E163</f>
        <v>0</v>
      </c>
      <c r="F55">
        <f>IF(生データ!E163="Wr",3000+生データ!F163,IF(生データ!E163="Wb",4000+生データ!F163,生データ!F163))</f>
        <v>580</v>
      </c>
      <c r="G55" t="str">
        <f>生データ!G163</f>
        <v>lc</v>
      </c>
      <c r="H55">
        <f>生データ!H163</f>
        <v>0</v>
      </c>
      <c r="I55">
        <f>生データ!I163</f>
        <v>0.4</v>
      </c>
      <c r="J55">
        <f>生データ!J163</f>
        <v>0</v>
      </c>
      <c r="K55">
        <f>生データ!K163</f>
        <v>6.3</v>
      </c>
      <c r="L55">
        <f>生データ!L163</f>
        <v>1.4</v>
      </c>
      <c r="M55">
        <f>生データ!M163</f>
        <v>0</v>
      </c>
      <c r="N55">
        <f>生データ!N163</f>
        <v>0</v>
      </c>
      <c r="O55">
        <f>生データ!O163</f>
        <v>0</v>
      </c>
      <c r="P55" t="str">
        <f>生データ!P163</f>
        <v>L</v>
      </c>
      <c r="Q55">
        <f>生データ!Q163</f>
        <v>0</v>
      </c>
      <c r="R55">
        <f>生データ!R163</f>
        <v>0</v>
      </c>
      <c r="S55">
        <f>生データ!S163</f>
        <v>0</v>
      </c>
      <c r="T55">
        <f>生データ!T163</f>
        <v>0.4</v>
      </c>
      <c r="U55">
        <f>生データ!U163</f>
        <v>6.3</v>
      </c>
      <c r="V55">
        <f>COUNTIF(怪しいデータを手直し!F$2:F$701,Sheet5!F55)</f>
        <v>1</v>
      </c>
    </row>
    <row r="56" spans="1:22">
      <c r="A56">
        <f>生データ!A164</f>
        <v>20</v>
      </c>
      <c r="B56">
        <f>生データ!B164</f>
        <v>-20</v>
      </c>
      <c r="C56">
        <f>生データ!C164</f>
        <v>23.673803585367654</v>
      </c>
      <c r="D56">
        <f>生データ!D164</f>
        <v>-16.862901036066745</v>
      </c>
      <c r="E56">
        <f>生データ!E164</f>
        <v>0</v>
      </c>
      <c r="F56">
        <f>IF(生データ!E164="Wr",3000+生データ!F164,IF(生データ!E164="Wb",4000+生データ!F164,生データ!F164))</f>
        <v>568</v>
      </c>
      <c r="G56" t="str">
        <f>生データ!G164</f>
        <v>pt</v>
      </c>
      <c r="H56">
        <f>生データ!H164</f>
        <v>0</v>
      </c>
      <c r="I56">
        <f>生データ!I164</f>
        <v>0.41</v>
      </c>
      <c r="J56">
        <f>生データ!J164</f>
        <v>0</v>
      </c>
      <c r="K56">
        <f>生データ!K164</f>
        <v>8.3000000000000007</v>
      </c>
      <c r="L56">
        <f>生データ!L164</f>
        <v>1.7</v>
      </c>
      <c r="M56">
        <f>生データ!M164</f>
        <v>0.3</v>
      </c>
      <c r="N56">
        <f>生データ!N164</f>
        <v>0</v>
      </c>
      <c r="O56">
        <f>生データ!O164</f>
        <v>0</v>
      </c>
      <c r="P56" t="str">
        <f>生データ!P164</f>
        <v>L</v>
      </c>
      <c r="Q56">
        <f>生データ!Q164</f>
        <v>0</v>
      </c>
      <c r="R56">
        <f>生データ!R164</f>
        <v>0</v>
      </c>
      <c r="S56">
        <f>生データ!S164</f>
        <v>0</v>
      </c>
      <c r="T56">
        <f>生データ!T164</f>
        <v>0.41</v>
      </c>
      <c r="U56">
        <f>生データ!U164</f>
        <v>8.3000000000000007</v>
      </c>
      <c r="V56">
        <f>COUNTIF(怪しいデータを手直し!F$2:F$701,Sheet5!F56)</f>
        <v>1</v>
      </c>
    </row>
    <row r="57" spans="1:22">
      <c r="A57">
        <f>生データ!A165</f>
        <v>20</v>
      </c>
      <c r="B57">
        <f>生データ!B165</f>
        <v>-10</v>
      </c>
      <c r="C57">
        <f>生データ!C165</f>
        <v>21.464943970627026</v>
      </c>
      <c r="D57">
        <f>生データ!D165</f>
        <v>-9.2555552485210217</v>
      </c>
      <c r="E57">
        <f>生データ!E165</f>
        <v>0</v>
      </c>
      <c r="F57">
        <f>IF(生データ!E165="Wr",3000+生データ!F165,IF(生データ!E165="Wb",4000+生データ!F165,生データ!F165))</f>
        <v>416</v>
      </c>
      <c r="G57" t="str">
        <f>生データ!G165</f>
        <v>bp</v>
      </c>
      <c r="H57">
        <f>生データ!H165</f>
        <v>0</v>
      </c>
      <c r="I57">
        <f>生データ!I165</f>
        <v>0.43</v>
      </c>
      <c r="J57">
        <f>生データ!J165</f>
        <v>0</v>
      </c>
      <c r="K57">
        <f>生データ!K165</f>
        <v>5</v>
      </c>
      <c r="L57">
        <f>生データ!L165</f>
        <v>1.4</v>
      </c>
      <c r="M57">
        <f>生データ!M165</f>
        <v>0.9</v>
      </c>
      <c r="N57">
        <f>生データ!N165</f>
        <v>0</v>
      </c>
      <c r="O57">
        <f>生データ!O165</f>
        <v>0</v>
      </c>
      <c r="P57" t="str">
        <f>生データ!P165</f>
        <v>L</v>
      </c>
      <c r="Q57">
        <f>生データ!Q165</f>
        <v>0</v>
      </c>
      <c r="R57">
        <f>生データ!R165</f>
        <v>0</v>
      </c>
      <c r="S57">
        <f>生データ!S165</f>
        <v>0</v>
      </c>
      <c r="T57">
        <f>生データ!T165</f>
        <v>0.43</v>
      </c>
      <c r="U57">
        <f>生データ!U165</f>
        <v>5</v>
      </c>
      <c r="V57">
        <f>COUNTIF(怪しいデータを手直し!F$2:F$701,Sheet5!F57)</f>
        <v>1</v>
      </c>
    </row>
    <row r="58" spans="1:22">
      <c r="A58">
        <f>生データ!A166</f>
        <v>10</v>
      </c>
      <c r="B58">
        <f>生データ!B166</f>
        <v>-40</v>
      </c>
      <c r="C58">
        <f>生データ!C166</f>
        <v>19.350085857963784</v>
      </c>
      <c r="D58">
        <f>生データ!D166</f>
        <v>-30.682495267041411</v>
      </c>
      <c r="E58">
        <f>生データ!E166</f>
        <v>0</v>
      </c>
      <c r="F58">
        <f>IF(生データ!E166="Wr",3000+生データ!F166,IF(生データ!E166="Wb",4000+生データ!F166,生データ!F166))</f>
        <v>721</v>
      </c>
      <c r="G58" t="str">
        <f>生データ!G166</f>
        <v>lc</v>
      </c>
      <c r="H58">
        <f>生データ!H166</f>
        <v>0</v>
      </c>
      <c r="I58">
        <f>生データ!I166</f>
        <v>0.43</v>
      </c>
      <c r="J58">
        <f>生データ!J166</f>
        <v>0</v>
      </c>
      <c r="K58">
        <f>生データ!K166</f>
        <v>11.2</v>
      </c>
      <c r="L58">
        <f>生データ!L166</f>
        <v>1.6</v>
      </c>
      <c r="M58">
        <f>生データ!M166</f>
        <v>0</v>
      </c>
      <c r="N58">
        <f>生データ!N166</f>
        <v>0</v>
      </c>
      <c r="O58">
        <f>生データ!O166</f>
        <v>0</v>
      </c>
      <c r="P58" t="str">
        <f>生データ!P166</f>
        <v>L</v>
      </c>
      <c r="Q58">
        <f>生データ!Q166</f>
        <v>0</v>
      </c>
      <c r="R58">
        <f>生データ!R166</f>
        <v>0</v>
      </c>
      <c r="S58" t="str">
        <f>生データ!S166</f>
        <v>New　No788　whiteBlue</v>
      </c>
      <c r="T58">
        <f>生データ!T166</f>
        <v>0.43</v>
      </c>
      <c r="U58">
        <f>生データ!U166</f>
        <v>11.2</v>
      </c>
      <c r="V58">
        <f>COUNTIF(怪しいデータを手直し!F$2:F$701,Sheet5!F58)</f>
        <v>1</v>
      </c>
    </row>
    <row r="59" spans="1:22">
      <c r="A59">
        <f>生データ!A167</f>
        <v>10</v>
      </c>
      <c r="B59">
        <f>生データ!B167</f>
        <v>10</v>
      </c>
      <c r="C59">
        <f>生データ!C167</f>
        <v>19.674728156140318</v>
      </c>
      <c r="D59">
        <f>生データ!D167</f>
        <v>13.733166900204932</v>
      </c>
      <c r="E59">
        <f>生データ!E167</f>
        <v>0</v>
      </c>
      <c r="F59">
        <f>IF(生データ!E167="Wr",3000+生データ!F167,IF(生データ!E167="Wb",4000+生データ!F167,生データ!F167))</f>
        <v>108</v>
      </c>
      <c r="G59" t="str">
        <f>生データ!G167</f>
        <v>bp</v>
      </c>
      <c r="H59">
        <f>生データ!H167</f>
        <v>0</v>
      </c>
      <c r="I59">
        <f>生データ!I167</f>
        <v>0.44</v>
      </c>
      <c r="J59">
        <f>生データ!J167</f>
        <v>0</v>
      </c>
      <c r="K59">
        <f>生データ!K167</f>
        <v>8</v>
      </c>
      <c r="L59">
        <f>生データ!L167</f>
        <v>1.6</v>
      </c>
      <c r="M59">
        <f>生データ!M167</f>
        <v>0.6</v>
      </c>
      <c r="N59">
        <f>生データ!N167</f>
        <v>0</v>
      </c>
      <c r="O59">
        <f>生データ!O167</f>
        <v>0</v>
      </c>
      <c r="P59" t="str">
        <f>生データ!P167</f>
        <v>L</v>
      </c>
      <c r="Q59">
        <f>生データ!Q167</f>
        <v>0</v>
      </c>
      <c r="R59">
        <f>生データ!R167</f>
        <v>0</v>
      </c>
      <c r="S59">
        <f>生データ!S167</f>
        <v>0</v>
      </c>
      <c r="T59">
        <f>生データ!T167</f>
        <v>0.44</v>
      </c>
      <c r="U59">
        <f>生データ!U167</f>
        <v>8</v>
      </c>
      <c r="V59">
        <f>COUNTIF(怪しいデータを手直し!F$2:F$701,Sheet5!F59)</f>
        <v>1</v>
      </c>
    </row>
    <row r="60" spans="1:22">
      <c r="A60">
        <f>生データ!A168</f>
        <v>30</v>
      </c>
      <c r="B60">
        <f>生データ!B168</f>
        <v>-20</v>
      </c>
      <c r="C60">
        <f>生データ!C168</f>
        <v>38.533061832444758</v>
      </c>
      <c r="D60">
        <f>生データ!D168</f>
        <v>-15.79728319237293</v>
      </c>
      <c r="E60">
        <f>生データ!E168</f>
        <v>0</v>
      </c>
      <c r="F60">
        <f>IF(生データ!E168="Wr",3000+生データ!F168,IF(生データ!E168="Wb",4000+生データ!F168,生データ!F168))</f>
        <v>517</v>
      </c>
      <c r="G60" t="str">
        <f>生データ!G168</f>
        <v>pt</v>
      </c>
      <c r="H60">
        <f>生データ!H168</f>
        <v>0</v>
      </c>
      <c r="I60">
        <f>生データ!I168</f>
        <v>0.45</v>
      </c>
      <c r="J60">
        <f>生データ!J168</f>
        <v>0</v>
      </c>
      <c r="K60">
        <f>生データ!K168</f>
        <v>6.9</v>
      </c>
      <c r="L60">
        <f>生データ!L168</f>
        <v>1.6</v>
      </c>
      <c r="M60">
        <f>生データ!M168</f>
        <v>0.4</v>
      </c>
      <c r="N60">
        <f>生データ!N168</f>
        <v>0</v>
      </c>
      <c r="O60">
        <f>生データ!O168</f>
        <v>0</v>
      </c>
      <c r="P60" t="str">
        <f>生データ!P168</f>
        <v>L</v>
      </c>
      <c r="Q60">
        <f>生データ!Q168</f>
        <v>0</v>
      </c>
      <c r="R60">
        <f>生データ!R168</f>
        <v>0</v>
      </c>
      <c r="S60">
        <f>生データ!S168</f>
        <v>0</v>
      </c>
      <c r="T60">
        <f>生データ!T168</f>
        <v>0.45</v>
      </c>
      <c r="U60">
        <f>生データ!U168</f>
        <v>6.9</v>
      </c>
      <c r="V60">
        <f>COUNTIF(怪しいデータを手直し!F$2:F$701,Sheet5!F60)</f>
        <v>1</v>
      </c>
    </row>
    <row r="61" spans="1:22">
      <c r="A61">
        <f>生データ!A169</f>
        <v>10</v>
      </c>
      <c r="B61">
        <f>生データ!B169</f>
        <v>-20</v>
      </c>
      <c r="C61">
        <f>生データ!C169</f>
        <v>12.642308249250132</v>
      </c>
      <c r="D61">
        <f>生データ!D169</f>
        <v>-18.965943859866712</v>
      </c>
      <c r="E61">
        <f>生データ!E169</f>
        <v>0</v>
      </c>
      <c r="F61">
        <f>IF(生データ!E169="Wr",3000+生データ!F169,IF(生データ!E169="Wb",4000+生データ!F169,生データ!F169))</f>
        <v>577</v>
      </c>
      <c r="G61" t="str">
        <f>生データ!G169</f>
        <v>lc</v>
      </c>
      <c r="H61">
        <f>生データ!H169</f>
        <v>0</v>
      </c>
      <c r="I61">
        <f>生データ!I169</f>
        <v>0.45</v>
      </c>
      <c r="J61">
        <f>生データ!J169</f>
        <v>0</v>
      </c>
      <c r="K61">
        <f>生データ!K169</f>
        <v>0</v>
      </c>
      <c r="L61">
        <f>生データ!L169</f>
        <v>1.6</v>
      </c>
      <c r="M61">
        <f>生データ!M169</f>
        <v>0</v>
      </c>
      <c r="N61">
        <f>生データ!N169</f>
        <v>0</v>
      </c>
      <c r="O61">
        <f>生データ!O169</f>
        <v>0</v>
      </c>
      <c r="P61" t="str">
        <f>生データ!P169</f>
        <v>L</v>
      </c>
      <c r="Q61">
        <f>生データ!Q169</f>
        <v>0</v>
      </c>
      <c r="R61">
        <f>生データ!R169</f>
        <v>0</v>
      </c>
      <c r="S61">
        <f>生データ!S169</f>
        <v>0</v>
      </c>
      <c r="T61">
        <f>生データ!T169</f>
        <v>0.45</v>
      </c>
      <c r="U61">
        <f>生データ!U169</f>
        <v>0</v>
      </c>
      <c r="V61">
        <f>COUNTIF(怪しいデータを手直し!F$2:F$701,Sheet5!F61)</f>
        <v>1</v>
      </c>
    </row>
    <row r="62" spans="1:22">
      <c r="A62">
        <f>生データ!A170</f>
        <v>30</v>
      </c>
      <c r="B62">
        <f>生データ!B170</f>
        <v>20</v>
      </c>
      <c r="C62">
        <f>生データ!C170</f>
        <v>34.094149764448233</v>
      </c>
      <c r="D62">
        <f>生データ!D170</f>
        <v>24.037380054722185</v>
      </c>
      <c r="E62">
        <f>生データ!E170</f>
        <v>0</v>
      </c>
      <c r="F62">
        <f>IF(生データ!E170="Wr",3000+生データ!F170,IF(生データ!E170="Wb",4000+生データ!F170,生データ!F170))</f>
        <v>210</v>
      </c>
      <c r="G62" t="str">
        <f>生データ!G170</f>
        <v>pt</v>
      </c>
      <c r="H62">
        <f>生データ!H170</f>
        <v>0</v>
      </c>
      <c r="I62">
        <f>生データ!I170</f>
        <v>0.46</v>
      </c>
      <c r="J62" t="str">
        <f>生データ!J170</f>
        <v>dead</v>
      </c>
      <c r="K62">
        <f>生データ!K170</f>
        <v>0</v>
      </c>
      <c r="L62">
        <f>生データ!L170</f>
        <v>1.8</v>
      </c>
      <c r="M62">
        <f>生データ!M170</f>
        <v>0.6</v>
      </c>
      <c r="N62">
        <f>生データ!N170</f>
        <v>0</v>
      </c>
      <c r="O62">
        <f>生データ!O170</f>
        <v>0</v>
      </c>
      <c r="P62" t="str">
        <f>生データ!P170</f>
        <v>L</v>
      </c>
      <c r="Q62">
        <f>生データ!Q170</f>
        <v>0</v>
      </c>
      <c r="R62">
        <f>生データ!R170</f>
        <v>0</v>
      </c>
      <c r="S62">
        <f>生データ!S170</f>
        <v>0</v>
      </c>
      <c r="T62">
        <f>生データ!T170</f>
        <v>0.46</v>
      </c>
      <c r="U62" t="str">
        <f>生データ!U170</f>
        <v>dead</v>
      </c>
      <c r="V62">
        <f>COUNTIF(怪しいデータを手直し!F$2:F$701,Sheet5!F62)</f>
        <v>1</v>
      </c>
    </row>
    <row r="63" spans="1:22">
      <c r="A63">
        <f>生データ!A171</f>
        <v>40</v>
      </c>
      <c r="B63">
        <f>生データ!B171</f>
        <v>40</v>
      </c>
      <c r="C63">
        <f>生データ!C171</f>
        <v>41.896156810321528</v>
      </c>
      <c r="D63">
        <f>生データ!D171</f>
        <v>49.159728465249501</v>
      </c>
      <c r="E63">
        <f>生データ!E171</f>
        <v>0</v>
      </c>
      <c r="F63">
        <f>IF(生データ!E171="Wr",3000+生データ!F171,IF(生データ!E171="Wb",4000+生データ!F171,生データ!F171))</f>
        <v>368</v>
      </c>
      <c r="G63" t="str">
        <f>生データ!G171</f>
        <v>bp</v>
      </c>
      <c r="H63">
        <f>生データ!H171</f>
        <v>0</v>
      </c>
      <c r="I63">
        <f>生データ!I171</f>
        <v>0.49</v>
      </c>
      <c r="J63">
        <f>生データ!J171</f>
        <v>0</v>
      </c>
      <c r="K63">
        <f>生データ!K171</f>
        <v>6.4</v>
      </c>
      <c r="L63">
        <f>生データ!L171</f>
        <v>2.1</v>
      </c>
      <c r="M63">
        <f>生データ!M171</f>
        <v>0.7</v>
      </c>
      <c r="N63">
        <f>生データ!N171</f>
        <v>0</v>
      </c>
      <c r="O63">
        <f>生データ!O171</f>
        <v>0</v>
      </c>
      <c r="P63" t="str">
        <f>生データ!P171</f>
        <v>L</v>
      </c>
      <c r="Q63">
        <f>生データ!Q171</f>
        <v>0</v>
      </c>
      <c r="R63">
        <f>生データ!R171</f>
        <v>0</v>
      </c>
      <c r="S63">
        <f>生データ!S171</f>
        <v>0</v>
      </c>
      <c r="T63">
        <f>生データ!T171</f>
        <v>0.49</v>
      </c>
      <c r="U63">
        <f>生データ!U171</f>
        <v>6.4</v>
      </c>
      <c r="V63">
        <f>COUNTIF(怪しいデータを手直し!F$2:F$701,Sheet5!F63)</f>
        <v>1</v>
      </c>
    </row>
    <row r="64" spans="1:22">
      <c r="A64">
        <f>生データ!A172</f>
        <v>30</v>
      </c>
      <c r="B64">
        <f>生データ!B172</f>
        <v>-20</v>
      </c>
      <c r="C64">
        <f>生データ!C172</f>
        <v>34.564016467039586</v>
      </c>
      <c r="D64">
        <f>生データ!D172</f>
        <v>-16.165912992362379</v>
      </c>
      <c r="E64">
        <f>生データ!E172</f>
        <v>0</v>
      </c>
      <c r="F64">
        <f>IF(生データ!E172="Wr",3000+生データ!F172,IF(生データ!E172="Wb",4000+生データ!F172,生データ!F172))</f>
        <v>524</v>
      </c>
      <c r="G64" t="str">
        <f>生データ!G172</f>
        <v>lc</v>
      </c>
      <c r="H64">
        <f>生データ!H172</f>
        <v>0</v>
      </c>
      <c r="I64">
        <f>生データ!I172</f>
        <v>0.49</v>
      </c>
      <c r="J64">
        <f>生データ!J172</f>
        <v>0</v>
      </c>
      <c r="K64">
        <f>生データ!K172</f>
        <v>1.33</v>
      </c>
      <c r="L64">
        <f>生データ!L172</f>
        <v>1.7</v>
      </c>
      <c r="M64">
        <f>生データ!M172</f>
        <v>0</v>
      </c>
      <c r="N64">
        <f>生データ!N172</f>
        <v>0</v>
      </c>
      <c r="O64">
        <f>生データ!O172</f>
        <v>0</v>
      </c>
      <c r="P64" t="str">
        <f>生データ!P172</f>
        <v>L</v>
      </c>
      <c r="Q64">
        <f>生データ!Q172</f>
        <v>0</v>
      </c>
      <c r="R64">
        <f>生データ!R172</f>
        <v>0</v>
      </c>
      <c r="S64" t="str">
        <f>生データ!S172</f>
        <v>New No750</v>
      </c>
      <c r="T64">
        <f>生データ!T172</f>
        <v>0.49</v>
      </c>
      <c r="U64">
        <f>生データ!U172</f>
        <v>1.33</v>
      </c>
      <c r="V64">
        <f>COUNTIF(怪しいデータを手直し!F$2:F$701,Sheet5!F64)</f>
        <v>1</v>
      </c>
    </row>
    <row r="65" spans="1:22">
      <c r="A65">
        <f>生データ!A173</f>
        <v>40</v>
      </c>
      <c r="B65">
        <f>生データ!B173</f>
        <v>-40</v>
      </c>
      <c r="C65">
        <f>生データ!C173</f>
        <v>42.934938877920068</v>
      </c>
      <c r="D65">
        <f>生データ!D173</f>
        <v>-35.514943279859963</v>
      </c>
      <c r="E65">
        <f>生データ!E173</f>
        <v>0</v>
      </c>
      <c r="F65">
        <f>IF(生データ!E173="Wr",3000+生データ!F173,IF(生データ!E173="Wb",4000+生データ!F173,生データ!F173))</f>
        <v>711</v>
      </c>
      <c r="G65" t="str">
        <f>生データ!G173</f>
        <v>ss</v>
      </c>
      <c r="H65">
        <f>生データ!H173</f>
        <v>0</v>
      </c>
      <c r="I65">
        <f>生データ!I173</f>
        <v>0.49</v>
      </c>
      <c r="J65">
        <f>生データ!J173</f>
        <v>0</v>
      </c>
      <c r="K65">
        <f>生データ!K173</f>
        <v>5.8</v>
      </c>
      <c r="L65">
        <f>生データ!L173</f>
        <v>1.7</v>
      </c>
      <c r="M65">
        <f>生データ!M173</f>
        <v>0.8</v>
      </c>
      <c r="N65">
        <f>生データ!N173</f>
        <v>0</v>
      </c>
      <c r="O65">
        <f>生データ!O173</f>
        <v>0</v>
      </c>
      <c r="P65" t="str">
        <f>生データ!P173</f>
        <v>L</v>
      </c>
      <c r="Q65">
        <f>生データ!Q173</f>
        <v>0</v>
      </c>
      <c r="R65" t="str">
        <f>生データ!R173</f>
        <v>broken</v>
      </c>
      <c r="S65">
        <f>生データ!S173</f>
        <v>0</v>
      </c>
      <c r="T65">
        <f>生データ!T173</f>
        <v>0.49</v>
      </c>
      <c r="U65">
        <f>生データ!U173</f>
        <v>5.8</v>
      </c>
      <c r="V65">
        <f>COUNTIF(怪しいデータを手直し!F$2:F$701,Sheet5!F65)</f>
        <v>1</v>
      </c>
    </row>
    <row r="66" spans="1:22">
      <c r="A66">
        <f>生データ!A174</f>
        <v>0</v>
      </c>
      <c r="B66">
        <f>生データ!B174</f>
        <v>20</v>
      </c>
      <c r="C66">
        <f>生データ!C174</f>
        <v>6.3672798251672251</v>
      </c>
      <c r="D66">
        <f>生データ!D174</f>
        <v>26.70971293186366</v>
      </c>
      <c r="E66">
        <f>生データ!E174</f>
        <v>0</v>
      </c>
      <c r="F66">
        <f>IF(生データ!E174="Wr",3000+生データ!F174,IF(生データ!E174="Wb",4000+生データ!F174,生データ!F174))</f>
        <v>42</v>
      </c>
      <c r="G66" t="str">
        <f>生データ!G174</f>
        <v>lc</v>
      </c>
      <c r="H66">
        <f>生データ!H174</f>
        <v>0</v>
      </c>
      <c r="I66">
        <f>生データ!I174</f>
        <v>0.5</v>
      </c>
      <c r="J66">
        <f>生データ!J174</f>
        <v>0</v>
      </c>
      <c r="K66">
        <f>生データ!K174</f>
        <v>11.6</v>
      </c>
      <c r="L66">
        <f>生データ!L174</f>
        <v>1.7</v>
      </c>
      <c r="M66">
        <f>生データ!M174</f>
        <v>0.1</v>
      </c>
      <c r="N66">
        <f>生データ!N174</f>
        <v>0</v>
      </c>
      <c r="O66">
        <f>生データ!O174</f>
        <v>0</v>
      </c>
      <c r="P66" t="str">
        <f>生データ!P174</f>
        <v>L</v>
      </c>
      <c r="Q66">
        <f>生データ!Q174</f>
        <v>0</v>
      </c>
      <c r="R66">
        <f>生データ!R174</f>
        <v>0</v>
      </c>
      <c r="S66">
        <f>生データ!S174</f>
        <v>0</v>
      </c>
      <c r="T66">
        <f>生データ!T174</f>
        <v>0.5</v>
      </c>
      <c r="U66">
        <f>生データ!U174</f>
        <v>11.6</v>
      </c>
      <c r="V66">
        <f>COUNTIF(怪しいデータを手直し!F$2:F$701,Sheet5!F66)</f>
        <v>1</v>
      </c>
    </row>
    <row r="67" spans="1:22">
      <c r="A67">
        <f>生データ!A175</f>
        <v>30</v>
      </c>
      <c r="B67">
        <f>生データ!B175</f>
        <v>10</v>
      </c>
      <c r="C67">
        <f>生データ!C175</f>
        <v>33.598797543972296</v>
      </c>
      <c r="D67">
        <f>生データ!D175</f>
        <v>14.841244700753974</v>
      </c>
      <c r="E67">
        <f>生データ!E175</f>
        <v>0</v>
      </c>
      <c r="F67">
        <f>IF(生データ!E175="Wr",3000+生データ!F175,IF(生データ!E175="Wb",4000+生データ!F175,生データ!F175))</f>
        <v>231</v>
      </c>
      <c r="G67" t="str">
        <f>生データ!G175</f>
        <v>pt</v>
      </c>
      <c r="H67">
        <f>生データ!H175</f>
        <v>0</v>
      </c>
      <c r="I67">
        <f>生データ!I175</f>
        <v>0.5</v>
      </c>
      <c r="J67">
        <f>生データ!J175</f>
        <v>0</v>
      </c>
      <c r="K67">
        <f>生データ!K175</f>
        <v>11.9</v>
      </c>
      <c r="L67">
        <f>生データ!L175</f>
        <v>1.8</v>
      </c>
      <c r="M67">
        <f>生データ!M175</f>
        <v>0.4</v>
      </c>
      <c r="N67">
        <f>生データ!N175</f>
        <v>0</v>
      </c>
      <c r="O67">
        <f>生データ!O175</f>
        <v>0</v>
      </c>
      <c r="P67" t="str">
        <f>生データ!P175</f>
        <v>L</v>
      </c>
      <c r="Q67">
        <f>生データ!Q175</f>
        <v>0</v>
      </c>
      <c r="R67">
        <f>生データ!R175</f>
        <v>0</v>
      </c>
      <c r="S67">
        <f>生データ!S175</f>
        <v>0</v>
      </c>
      <c r="T67">
        <f>生データ!T175</f>
        <v>0.5</v>
      </c>
      <c r="U67">
        <f>生データ!U175</f>
        <v>11.9</v>
      </c>
      <c r="V67">
        <f>COUNTIF(怪しいデータを手直し!F$2:F$701,Sheet5!F67)</f>
        <v>1</v>
      </c>
    </row>
    <row r="68" spans="1:22">
      <c r="A68">
        <f>生データ!A176</f>
        <v>20</v>
      </c>
      <c r="B68">
        <f>生データ!B176</f>
        <v>-10</v>
      </c>
      <c r="C68">
        <f>生データ!C176</f>
        <v>21.487636454088175</v>
      </c>
      <c r="D68">
        <f>生データ!D176</f>
        <v>-9.1917327521203234</v>
      </c>
      <c r="E68">
        <f>生データ!E176</f>
        <v>0</v>
      </c>
      <c r="F68">
        <f>IF(生データ!E176="Wr",3000+生データ!F176,IF(生データ!E176="Wb",4000+生データ!F176,生データ!F176))</f>
        <v>417</v>
      </c>
      <c r="G68" t="str">
        <f>生データ!G176</f>
        <v>bp</v>
      </c>
      <c r="H68">
        <f>生データ!H176</f>
        <v>0</v>
      </c>
      <c r="I68">
        <f>生データ!I176</f>
        <v>0.5</v>
      </c>
      <c r="J68">
        <f>生データ!J176</f>
        <v>0</v>
      </c>
      <c r="K68">
        <f>生データ!K176</f>
        <v>6.4</v>
      </c>
      <c r="L68">
        <f>生データ!L176</f>
        <v>1.7</v>
      </c>
      <c r="M68">
        <f>生データ!M176</f>
        <v>1.2</v>
      </c>
      <c r="N68">
        <f>生データ!N176</f>
        <v>0</v>
      </c>
      <c r="O68">
        <f>生データ!O176</f>
        <v>0</v>
      </c>
      <c r="P68" t="str">
        <f>生データ!P176</f>
        <v>L</v>
      </c>
      <c r="Q68">
        <f>生データ!Q176</f>
        <v>0</v>
      </c>
      <c r="R68">
        <f>生データ!R176</f>
        <v>0</v>
      </c>
      <c r="S68">
        <f>生データ!S176</f>
        <v>0</v>
      </c>
      <c r="T68">
        <f>生データ!T176</f>
        <v>0.5</v>
      </c>
      <c r="U68">
        <f>生データ!U176</f>
        <v>6.4</v>
      </c>
      <c r="V68">
        <f>COUNTIF(怪しいデータを手直し!F$2:F$701,Sheet5!F68)</f>
        <v>1</v>
      </c>
    </row>
    <row r="69" spans="1:22">
      <c r="A69">
        <f>生データ!A177</f>
        <v>20</v>
      </c>
      <c r="B69">
        <f>生データ!B177</f>
        <v>-40</v>
      </c>
      <c r="C69">
        <f>生データ!C177</f>
        <v>29.127893214767482</v>
      </c>
      <c r="D69">
        <f>生データ!D177</f>
        <v>-30.172685474109159</v>
      </c>
      <c r="E69">
        <f>生データ!E177</f>
        <v>0</v>
      </c>
      <c r="F69">
        <f>IF(生データ!E177="Wr",3000+生データ!F177,IF(生データ!E177="Wb",4000+生データ!F177,生データ!F177))</f>
        <v>472</v>
      </c>
      <c r="G69" t="str">
        <f>生データ!G177</f>
        <v>pt</v>
      </c>
      <c r="H69">
        <f>生データ!H177</f>
        <v>0</v>
      </c>
      <c r="I69">
        <f>生データ!I177</f>
        <v>0.5</v>
      </c>
      <c r="J69">
        <f>生データ!J177</f>
        <v>0</v>
      </c>
      <c r="K69">
        <f>生データ!K177</f>
        <v>8.9</v>
      </c>
      <c r="L69">
        <f>生データ!L177</f>
        <v>2</v>
      </c>
      <c r="M69">
        <f>生データ!M177</f>
        <v>0.6</v>
      </c>
      <c r="N69">
        <f>生データ!N177</f>
        <v>0</v>
      </c>
      <c r="O69">
        <f>生データ!O177</f>
        <v>0</v>
      </c>
      <c r="P69" t="str">
        <f>生データ!P177</f>
        <v>L</v>
      </c>
      <c r="Q69">
        <f>生データ!Q177</f>
        <v>0</v>
      </c>
      <c r="R69">
        <f>生データ!R177</f>
        <v>0</v>
      </c>
      <c r="S69">
        <f>生データ!S177</f>
        <v>0</v>
      </c>
      <c r="T69">
        <f>生データ!T177</f>
        <v>0.5</v>
      </c>
      <c r="U69">
        <f>生データ!U177</f>
        <v>8.9</v>
      </c>
      <c r="V69">
        <f>COUNTIF(怪しいデータを手直し!F$2:F$701,Sheet5!F69)</f>
        <v>1</v>
      </c>
    </row>
    <row r="70" spans="1:22">
      <c r="A70">
        <f>生データ!A178</f>
        <v>40</v>
      </c>
      <c r="B70">
        <f>生データ!B178</f>
        <v>-40</v>
      </c>
      <c r="C70">
        <f>生データ!C178</f>
        <v>43.030489044404334</v>
      </c>
      <c r="D70">
        <f>生データ!D178</f>
        <v>-35.639697699500033</v>
      </c>
      <c r="E70">
        <f>生データ!E178</f>
        <v>0</v>
      </c>
      <c r="F70">
        <f>IF(生データ!E178="Wr",3000+生データ!F178,IF(生データ!E178="Wb",4000+生データ!F178,生データ!F178))</f>
        <v>710</v>
      </c>
      <c r="G70" t="str">
        <f>生データ!G178</f>
        <v>ss</v>
      </c>
      <c r="H70">
        <f>生データ!H178</f>
        <v>0</v>
      </c>
      <c r="I70">
        <f>生データ!I178</f>
        <v>0.5</v>
      </c>
      <c r="J70">
        <f>生データ!J178</f>
        <v>0</v>
      </c>
      <c r="K70">
        <f>生データ!K178</f>
        <v>5.6</v>
      </c>
      <c r="L70">
        <f>生データ!L178</f>
        <v>1.2</v>
      </c>
      <c r="M70">
        <f>生データ!M178</f>
        <v>0.9</v>
      </c>
      <c r="N70">
        <f>生データ!N178</f>
        <v>0</v>
      </c>
      <c r="O70">
        <f>生データ!O178</f>
        <v>0</v>
      </c>
      <c r="P70" t="str">
        <f>生データ!P178</f>
        <v>L</v>
      </c>
      <c r="Q70">
        <f>生データ!Q178</f>
        <v>0</v>
      </c>
      <c r="R70" t="str">
        <f>生データ!R178</f>
        <v>Dead H=2.0</v>
      </c>
      <c r="S70" t="str">
        <f>生データ!S178</f>
        <v>先枯</v>
      </c>
      <c r="T70">
        <f>生データ!T178</f>
        <v>0.5</v>
      </c>
      <c r="U70">
        <f>生データ!U178</f>
        <v>5.6</v>
      </c>
      <c r="V70">
        <f>COUNTIF(怪しいデータを手直し!F$2:F$701,Sheet5!F70)</f>
        <v>1</v>
      </c>
    </row>
    <row r="71" spans="1:22">
      <c r="A71">
        <f>生データ!A179</f>
        <v>30</v>
      </c>
      <c r="B71">
        <f>生データ!B179</f>
        <v>0</v>
      </c>
      <c r="C71">
        <f>生データ!C179</f>
        <v>38.619257460528999</v>
      </c>
      <c r="D71">
        <f>生データ!D179</f>
        <v>7.5983782229193677</v>
      </c>
      <c r="E71">
        <f>生データ!E179</f>
        <v>0</v>
      </c>
      <c r="F71">
        <f>IF(生データ!E179="Wr",3000+生データ!F179,IF(生データ!E179="Wb",4000+生データ!F179,生データ!F179))</f>
        <v>259</v>
      </c>
      <c r="G71" t="str">
        <f>生データ!G179</f>
        <v>lc</v>
      </c>
      <c r="H71">
        <f>生データ!H179</f>
        <v>0</v>
      </c>
      <c r="I71">
        <f>生データ!I179</f>
        <v>0.51</v>
      </c>
      <c r="J71">
        <f>生データ!J179</f>
        <v>0</v>
      </c>
      <c r="K71">
        <f>生データ!K179</f>
        <v>13.5</v>
      </c>
      <c r="L71">
        <f>生データ!L179</f>
        <v>1.8</v>
      </c>
      <c r="M71">
        <f>生データ!M179</f>
        <v>0.2</v>
      </c>
      <c r="N71">
        <f>生データ!N179</f>
        <v>0</v>
      </c>
      <c r="O71">
        <f>生データ!O179</f>
        <v>0</v>
      </c>
      <c r="P71" t="str">
        <f>生データ!P179</f>
        <v>L</v>
      </c>
      <c r="Q71">
        <f>生データ!Q179</f>
        <v>0</v>
      </c>
      <c r="R71">
        <f>生データ!R179</f>
        <v>0</v>
      </c>
      <c r="S71">
        <f>生データ!S179</f>
        <v>0</v>
      </c>
      <c r="T71">
        <f>生データ!T179</f>
        <v>0.51</v>
      </c>
      <c r="U71">
        <f>生データ!U179</f>
        <v>13.5</v>
      </c>
      <c r="V71">
        <f>COUNTIF(怪しいデータを手直し!F$2:F$701,Sheet5!F71)</f>
        <v>1</v>
      </c>
    </row>
    <row r="72" spans="1:22">
      <c r="A72">
        <f>生データ!A180</f>
        <v>40</v>
      </c>
      <c r="B72">
        <f>生データ!B180</f>
        <v>-40</v>
      </c>
      <c r="C72">
        <f>生データ!C180</f>
        <v>43.057162405751079</v>
      </c>
      <c r="D72">
        <f>生データ!D180</f>
        <v>-35.633919603939674</v>
      </c>
      <c r="E72">
        <f>生データ!E180</f>
        <v>0</v>
      </c>
      <c r="F72">
        <f>IF(生データ!E180="Wr",3000+生データ!F180,IF(生データ!E180="Wb",4000+生データ!F180,生データ!F180))</f>
        <v>709</v>
      </c>
      <c r="G72" t="str">
        <f>生データ!G180</f>
        <v>ss</v>
      </c>
      <c r="H72">
        <f>生データ!H180</f>
        <v>0</v>
      </c>
      <c r="I72">
        <f>生データ!I180</f>
        <v>0.51</v>
      </c>
      <c r="J72">
        <f>生データ!J180</f>
        <v>0</v>
      </c>
      <c r="K72">
        <f>生データ!K180</f>
        <v>7.1</v>
      </c>
      <c r="L72">
        <f>生データ!L180</f>
        <v>1.9</v>
      </c>
      <c r="M72">
        <f>生データ!M180</f>
        <v>1.6</v>
      </c>
      <c r="N72">
        <f>生データ!N180</f>
        <v>0</v>
      </c>
      <c r="O72">
        <f>生データ!O180</f>
        <v>0</v>
      </c>
      <c r="P72" t="str">
        <f>生データ!P180</f>
        <v>L</v>
      </c>
      <c r="Q72">
        <f>生データ!Q180</f>
        <v>0</v>
      </c>
      <c r="R72">
        <f>生データ!R180</f>
        <v>0</v>
      </c>
      <c r="S72">
        <f>生データ!S180</f>
        <v>0</v>
      </c>
      <c r="T72">
        <f>生データ!T180</f>
        <v>0.51</v>
      </c>
      <c r="U72">
        <f>生データ!U180</f>
        <v>7.1</v>
      </c>
      <c r="V72">
        <f>COUNTIF(怪しいデータを手直し!F$2:F$701,Sheet5!F72)</f>
        <v>1</v>
      </c>
    </row>
    <row r="73" spans="1:22">
      <c r="A73">
        <f>生データ!A181</f>
        <v>0</v>
      </c>
      <c r="B73">
        <f>生データ!B181</f>
        <v>0</v>
      </c>
      <c r="C73">
        <f>生データ!C181</f>
        <v>4.9059474370510188</v>
      </c>
      <c r="D73">
        <f>生データ!D181</f>
        <v>8.7299100481017451</v>
      </c>
      <c r="E73">
        <f>生データ!E181</f>
        <v>0</v>
      </c>
      <c r="F73">
        <f>IF(生データ!E181="Wr",3000+生データ!F181,IF(生データ!E181="Wb",4000+生データ!F181,生データ!F181))</f>
        <v>13</v>
      </c>
      <c r="G73" t="str">
        <f>生データ!G181</f>
        <v>bp</v>
      </c>
      <c r="H73">
        <f>生データ!H181</f>
        <v>0</v>
      </c>
      <c r="I73">
        <f>生データ!I181</f>
        <v>0.54</v>
      </c>
      <c r="J73">
        <f>生データ!J181</f>
        <v>0</v>
      </c>
      <c r="K73">
        <f>生データ!K181</f>
        <v>5.9</v>
      </c>
      <c r="L73">
        <f>生データ!L181</f>
        <v>1.7</v>
      </c>
      <c r="M73">
        <f>生データ!M181</f>
        <v>0.6</v>
      </c>
      <c r="N73">
        <f>生データ!N181</f>
        <v>0</v>
      </c>
      <c r="O73">
        <f>生データ!O181</f>
        <v>0</v>
      </c>
      <c r="P73" t="str">
        <f>生データ!P181</f>
        <v>L</v>
      </c>
      <c r="Q73">
        <f>生データ!Q181</f>
        <v>0</v>
      </c>
      <c r="R73">
        <f>生データ!R181</f>
        <v>0</v>
      </c>
      <c r="S73">
        <f>生データ!S181</f>
        <v>0</v>
      </c>
      <c r="T73">
        <f>生データ!T181</f>
        <v>0.54</v>
      </c>
      <c r="U73">
        <f>生データ!U181</f>
        <v>5.9</v>
      </c>
      <c r="V73">
        <f>COUNTIF(怪しいデータを手直し!F$2:F$701,Sheet5!F73)</f>
        <v>1</v>
      </c>
    </row>
    <row r="74" spans="1:22">
      <c r="A74">
        <f>生データ!A182</f>
        <v>20</v>
      </c>
      <c r="B74">
        <f>生データ!B182</f>
        <v>10</v>
      </c>
      <c r="C74">
        <f>生データ!C182</f>
        <v>23.803244960068398</v>
      </c>
      <c r="D74">
        <f>生データ!D182</f>
        <v>10.799899433500032</v>
      </c>
      <c r="E74">
        <f>生データ!E182</f>
        <v>0</v>
      </c>
      <c r="F74">
        <f>IF(生データ!E182="Wr",3000+生データ!F182,IF(生データ!E182="Wb",4000+生データ!F182,生データ!F182))</f>
        <v>141</v>
      </c>
      <c r="G74" t="str">
        <f>生データ!G182</f>
        <v>bp</v>
      </c>
      <c r="H74">
        <f>生データ!H182</f>
        <v>0</v>
      </c>
      <c r="I74">
        <f>生データ!I182</f>
        <v>0.55000000000000004</v>
      </c>
      <c r="J74">
        <f>生データ!J182</f>
        <v>0</v>
      </c>
      <c r="K74">
        <f>生データ!K182</f>
        <v>5.8</v>
      </c>
      <c r="L74">
        <f>生データ!L182</f>
        <v>1.5</v>
      </c>
      <c r="M74">
        <f>生データ!M182</f>
        <v>0.4</v>
      </c>
      <c r="N74">
        <f>生データ!N182</f>
        <v>0</v>
      </c>
      <c r="O74">
        <f>生データ!O182</f>
        <v>0</v>
      </c>
      <c r="P74" t="str">
        <f>生データ!P182</f>
        <v>L</v>
      </c>
      <c r="Q74">
        <f>生データ!Q182</f>
        <v>0</v>
      </c>
      <c r="R74">
        <f>生データ!R182</f>
        <v>0</v>
      </c>
      <c r="S74">
        <f>生データ!S182</f>
        <v>0</v>
      </c>
      <c r="T74">
        <f>生データ!T182</f>
        <v>0.55000000000000004</v>
      </c>
      <c r="U74">
        <f>生データ!U182</f>
        <v>5.8</v>
      </c>
      <c r="V74">
        <f>COUNTIF(怪しいデータを手直し!F$2:F$701,Sheet5!F74)</f>
        <v>1</v>
      </c>
    </row>
    <row r="75" spans="1:22">
      <c r="A75">
        <f>生データ!A183</f>
        <v>30</v>
      </c>
      <c r="B75">
        <f>生データ!B183</f>
        <v>0</v>
      </c>
      <c r="C75">
        <f>生データ!C183</f>
        <v>37.787935082170875</v>
      </c>
      <c r="D75">
        <f>生データ!D183</f>
        <v>9.6982970418767067</v>
      </c>
      <c r="E75">
        <f>生データ!E183</f>
        <v>0</v>
      </c>
      <c r="F75">
        <f>IF(生データ!E183="Wr",3000+生データ!F183,IF(生データ!E183="Wb",4000+生データ!F183,生データ!F183))</f>
        <v>242</v>
      </c>
      <c r="G75" t="str">
        <f>生データ!G183</f>
        <v>lc</v>
      </c>
      <c r="H75">
        <f>生データ!H183</f>
        <v>0</v>
      </c>
      <c r="I75">
        <f>生データ!I183</f>
        <v>0.55000000000000004</v>
      </c>
      <c r="J75">
        <f>生データ!J183</f>
        <v>0</v>
      </c>
      <c r="K75">
        <f>生データ!K183</f>
        <v>11.6</v>
      </c>
      <c r="L75">
        <f>生データ!L183</f>
        <v>1.6</v>
      </c>
      <c r="M75">
        <f>生データ!M183</f>
        <v>0.1</v>
      </c>
      <c r="N75">
        <f>生データ!N183</f>
        <v>0</v>
      </c>
      <c r="O75">
        <f>生データ!O183</f>
        <v>0</v>
      </c>
      <c r="P75" t="str">
        <f>生データ!P183</f>
        <v>L</v>
      </c>
      <c r="Q75">
        <f>生データ!Q183</f>
        <v>0</v>
      </c>
      <c r="R75">
        <f>生データ!R183</f>
        <v>0</v>
      </c>
      <c r="S75">
        <f>生データ!S183</f>
        <v>0</v>
      </c>
      <c r="T75">
        <f>生データ!T183</f>
        <v>0.55000000000000004</v>
      </c>
      <c r="U75">
        <f>生データ!U183</f>
        <v>11.6</v>
      </c>
      <c r="V75">
        <f>COUNTIF(怪しいデータを手直し!F$2:F$701,Sheet5!F75)</f>
        <v>1</v>
      </c>
    </row>
    <row r="76" spans="1:22">
      <c r="A76">
        <f>生データ!A184</f>
        <v>40</v>
      </c>
      <c r="B76">
        <f>生データ!B184</f>
        <v>30</v>
      </c>
      <c r="C76">
        <f>生データ!C184</f>
        <v>48.923210114886899</v>
      </c>
      <c r="D76">
        <f>生データ!D184</f>
        <v>30.400201900908641</v>
      </c>
      <c r="E76">
        <f>生データ!E184</f>
        <v>0</v>
      </c>
      <c r="F76">
        <f>IF(生データ!E184="Wr",3000+生データ!F184,IF(生データ!E184="Wb",4000+生データ!F184,生データ!F184))</f>
        <v>327</v>
      </c>
      <c r="G76" t="str">
        <f>生データ!G184</f>
        <v>af</v>
      </c>
      <c r="H76">
        <f>生データ!H184</f>
        <v>0</v>
      </c>
      <c r="I76">
        <f>生データ!I184</f>
        <v>0.56000000000000005</v>
      </c>
      <c r="J76">
        <f>生データ!J184</f>
        <v>0</v>
      </c>
      <c r="K76">
        <f>生データ!K184</f>
        <v>9.1</v>
      </c>
      <c r="L76">
        <f>生データ!L184</f>
        <v>1.7</v>
      </c>
      <c r="M76">
        <f>生データ!M184</f>
        <v>0.7</v>
      </c>
      <c r="N76">
        <f>生データ!N184</f>
        <v>0</v>
      </c>
      <c r="O76">
        <f>生データ!O184</f>
        <v>0</v>
      </c>
      <c r="P76" t="str">
        <f>生データ!P184</f>
        <v>L</v>
      </c>
      <c r="Q76">
        <f>生データ!Q184</f>
        <v>0</v>
      </c>
      <c r="R76">
        <f>生データ!R184</f>
        <v>0</v>
      </c>
      <c r="S76">
        <f>生データ!S184</f>
        <v>0</v>
      </c>
      <c r="T76">
        <f>生データ!T184</f>
        <v>0.56000000000000005</v>
      </c>
      <c r="U76">
        <f>生データ!U184</f>
        <v>9.1</v>
      </c>
      <c r="V76">
        <f>COUNTIF(怪しいデータを手直し!F$2:F$701,Sheet5!F76)</f>
        <v>1</v>
      </c>
    </row>
    <row r="77" spans="1:22">
      <c r="A77">
        <f>生データ!A185</f>
        <v>40</v>
      </c>
      <c r="B77">
        <f>生データ!B185</f>
        <v>-50</v>
      </c>
      <c r="C77">
        <f>生データ!C185</f>
        <v>45.530277221602518</v>
      </c>
      <c r="D77">
        <f>生データ!D185</f>
        <v>-41.054956801117626</v>
      </c>
      <c r="E77">
        <f>生データ!E185</f>
        <v>0</v>
      </c>
      <c r="F77">
        <f>IF(生データ!E185="Wr",3000+生データ!F185,IF(生データ!E185="Wb",4000+生データ!F185,生データ!F185))</f>
        <v>829</v>
      </c>
      <c r="G77" t="str">
        <f>生データ!G185</f>
        <v>lc</v>
      </c>
      <c r="H77">
        <f>生データ!H185</f>
        <v>0</v>
      </c>
      <c r="I77">
        <f>生データ!I185</f>
        <v>0.56000000000000005</v>
      </c>
      <c r="J77">
        <f>生データ!J185</f>
        <v>0</v>
      </c>
      <c r="K77">
        <f>生データ!K185</f>
        <v>10</v>
      </c>
      <c r="L77">
        <f>生データ!L185</f>
        <v>1.4</v>
      </c>
      <c r="M77">
        <f>生データ!M185</f>
        <v>0.2</v>
      </c>
      <c r="N77">
        <f>生データ!N185</f>
        <v>0</v>
      </c>
      <c r="O77">
        <f>生データ!O185</f>
        <v>0</v>
      </c>
      <c r="P77" t="str">
        <f>生データ!P185</f>
        <v>L</v>
      </c>
      <c r="Q77">
        <f>生データ!Q185</f>
        <v>0</v>
      </c>
      <c r="R77">
        <f>生データ!R185</f>
        <v>0</v>
      </c>
      <c r="S77">
        <f>生データ!S185</f>
        <v>0</v>
      </c>
      <c r="T77">
        <f>生データ!T185</f>
        <v>0.56000000000000005</v>
      </c>
      <c r="U77">
        <f>生データ!U185</f>
        <v>10</v>
      </c>
      <c r="V77">
        <f>COUNTIF(怪しいデータを手直し!F$2:F$701,Sheet5!F77)</f>
        <v>1</v>
      </c>
    </row>
    <row r="78" spans="1:22">
      <c r="A78">
        <f>生データ!A186</f>
        <v>0</v>
      </c>
      <c r="B78">
        <f>生データ!B186</f>
        <v>30</v>
      </c>
      <c r="C78">
        <f>生データ!C186</f>
        <v>1.087553511959648</v>
      </c>
      <c r="D78">
        <f>生データ!D186</f>
        <v>30.011100207201217</v>
      </c>
      <c r="E78">
        <f>生データ!E186</f>
        <v>0</v>
      </c>
      <c r="F78">
        <f>IF(生データ!E186="Wr",3000+生データ!F186,IF(生データ!E186="Wb",4000+生データ!F186,生データ!F186))</f>
        <v>51</v>
      </c>
      <c r="G78" t="str">
        <f>生データ!G186</f>
        <v>bp</v>
      </c>
      <c r="H78">
        <f>生データ!H186</f>
        <v>0</v>
      </c>
      <c r="I78">
        <f>生データ!I186</f>
        <v>0.56999999999999995</v>
      </c>
      <c r="J78">
        <f>生データ!J186</f>
        <v>0</v>
      </c>
      <c r="K78">
        <f>生データ!K186</f>
        <v>11.5</v>
      </c>
      <c r="L78">
        <f>生データ!L186</f>
        <v>2</v>
      </c>
      <c r="M78">
        <f>生データ!M186</f>
        <v>0.5</v>
      </c>
      <c r="N78">
        <f>生データ!N186</f>
        <v>0</v>
      </c>
      <c r="O78">
        <f>生データ!O186</f>
        <v>0</v>
      </c>
      <c r="P78" t="str">
        <f>生データ!P186</f>
        <v>L</v>
      </c>
      <c r="Q78">
        <f>生データ!Q186</f>
        <v>0</v>
      </c>
      <c r="R78">
        <f>生データ!R186</f>
        <v>0</v>
      </c>
      <c r="S78">
        <f>生データ!S186</f>
        <v>0</v>
      </c>
      <c r="T78">
        <f>生データ!T186</f>
        <v>0.56999999999999995</v>
      </c>
      <c r="U78">
        <f>生データ!U186</f>
        <v>11.5</v>
      </c>
      <c r="V78">
        <f>COUNTIF(怪しいデータを手直し!F$2:F$701,Sheet5!F78)</f>
        <v>1</v>
      </c>
    </row>
    <row r="79" spans="1:22">
      <c r="A79">
        <f>生データ!A187</f>
        <v>20</v>
      </c>
      <c r="B79">
        <f>生データ!B187</f>
        <v>-30</v>
      </c>
      <c r="C79">
        <f>生データ!C187</f>
        <v>27.649205185971031</v>
      </c>
      <c r="D79">
        <f>生データ!D187</f>
        <v>-29.791765098404603</v>
      </c>
      <c r="E79">
        <f>生データ!E187</f>
        <v>0</v>
      </c>
      <c r="F79">
        <f>IF(生データ!E187="Wr",3000+生データ!F187,IF(生データ!E187="Wb",4000+生データ!F187,生データ!F187))</f>
        <v>653</v>
      </c>
      <c r="G79" t="str">
        <f>生データ!G187</f>
        <v>lc</v>
      </c>
      <c r="H79">
        <f>生データ!H187</f>
        <v>0</v>
      </c>
      <c r="I79">
        <f>生データ!I187</f>
        <v>0.56999999999999995</v>
      </c>
      <c r="J79">
        <f>生データ!J187</f>
        <v>0</v>
      </c>
      <c r="K79">
        <f>生データ!K187</f>
        <v>13.7</v>
      </c>
      <c r="L79">
        <f>生データ!L187</f>
        <v>1.8</v>
      </c>
      <c r="M79">
        <f>生データ!M187</f>
        <v>0.4</v>
      </c>
      <c r="N79">
        <f>生データ!N187</f>
        <v>0</v>
      </c>
      <c r="O79">
        <f>生データ!O187</f>
        <v>0</v>
      </c>
      <c r="P79" t="str">
        <f>生データ!P187</f>
        <v>L</v>
      </c>
      <c r="Q79">
        <f>生データ!Q187</f>
        <v>0</v>
      </c>
      <c r="R79">
        <f>生データ!R187</f>
        <v>0</v>
      </c>
      <c r="S79">
        <f>生データ!S187</f>
        <v>0</v>
      </c>
      <c r="T79">
        <f>生データ!T187</f>
        <v>0.56999999999999995</v>
      </c>
      <c r="U79">
        <f>生データ!U187</f>
        <v>13.7</v>
      </c>
      <c r="V79">
        <f>COUNTIF(怪しいデータを手直し!F$2:F$701,Sheet5!F79)</f>
        <v>1</v>
      </c>
    </row>
    <row r="80" spans="1:22">
      <c r="A80">
        <f>生データ!A188</f>
        <v>20</v>
      </c>
      <c r="B80">
        <f>生データ!B188</f>
        <v>-30</v>
      </c>
      <c r="C80">
        <f>生データ!C188</f>
        <v>27.530935199189845</v>
      </c>
      <c r="D80">
        <f>生データ!D188</f>
        <v>-29.411515234509281</v>
      </c>
      <c r="E80">
        <f>生データ!E188</f>
        <v>0</v>
      </c>
      <c r="F80">
        <f>IF(生データ!E188="Wr",3000+生データ!F188,IF(生データ!E188="Wb",4000+生データ!F188,生データ!F188))</f>
        <v>654</v>
      </c>
      <c r="G80" t="str">
        <f>生データ!G188</f>
        <v>pt</v>
      </c>
      <c r="H80">
        <f>生データ!H188</f>
        <v>0</v>
      </c>
      <c r="I80">
        <f>生データ!I188</f>
        <v>0.56999999999999995</v>
      </c>
      <c r="J80">
        <f>生データ!J188</f>
        <v>0</v>
      </c>
      <c r="K80">
        <f>生データ!K188</f>
        <v>7.8</v>
      </c>
      <c r="L80">
        <f>生データ!L188</f>
        <v>1.9</v>
      </c>
      <c r="M80">
        <f>生データ!M188</f>
        <v>0.9</v>
      </c>
      <c r="N80">
        <f>生データ!N188</f>
        <v>0</v>
      </c>
      <c r="O80">
        <f>生データ!O188</f>
        <v>0</v>
      </c>
      <c r="P80" t="str">
        <f>生データ!P188</f>
        <v>L</v>
      </c>
      <c r="Q80">
        <f>生データ!Q188</f>
        <v>0</v>
      </c>
      <c r="R80">
        <f>生データ!R188</f>
        <v>0</v>
      </c>
      <c r="S80">
        <f>生データ!S188</f>
        <v>0</v>
      </c>
      <c r="T80">
        <f>生データ!T188</f>
        <v>0.56999999999999995</v>
      </c>
      <c r="U80">
        <f>生データ!U188</f>
        <v>7.8</v>
      </c>
      <c r="V80">
        <f>COUNTIF(怪しいデータを手直し!F$2:F$701,Sheet5!F80)</f>
        <v>1</v>
      </c>
    </row>
    <row r="81" spans="1:22">
      <c r="A81">
        <f>生データ!A189</f>
        <v>0</v>
      </c>
      <c r="B81">
        <f>生データ!B189</f>
        <v>40</v>
      </c>
      <c r="C81">
        <f>生データ!C189</f>
        <v>9.9747237977389585</v>
      </c>
      <c r="D81">
        <f>生データ!D189</f>
        <v>48.323144662228238</v>
      </c>
      <c r="E81">
        <f>生データ!E189</f>
        <v>0</v>
      </c>
      <c r="F81">
        <f>IF(生データ!E189="Wr",3000+生データ!F189,IF(生データ!E189="Wb",4000+生データ!F189,生データ!F189))</f>
        <v>71</v>
      </c>
      <c r="G81" t="str">
        <f>生データ!G189</f>
        <v>lc</v>
      </c>
      <c r="H81">
        <f>生データ!H189</f>
        <v>0</v>
      </c>
      <c r="I81">
        <f>生データ!I189</f>
        <v>0.6</v>
      </c>
      <c r="J81">
        <f>生データ!J189</f>
        <v>0</v>
      </c>
      <c r="K81">
        <f>生データ!K189</f>
        <v>8.1999999999999993</v>
      </c>
      <c r="L81">
        <f>生データ!L189</f>
        <v>1.7</v>
      </c>
      <c r="M81">
        <f>生データ!M189</f>
        <v>0.2</v>
      </c>
      <c r="N81">
        <f>生データ!N189</f>
        <v>0</v>
      </c>
      <c r="O81">
        <f>生データ!O189</f>
        <v>0</v>
      </c>
      <c r="P81" t="str">
        <f>生データ!P189</f>
        <v>L</v>
      </c>
      <c r="Q81">
        <f>生データ!Q189</f>
        <v>0</v>
      </c>
      <c r="R81">
        <f>生データ!R189</f>
        <v>0</v>
      </c>
      <c r="S81">
        <f>生データ!S189</f>
        <v>0</v>
      </c>
      <c r="T81">
        <f>生データ!T189</f>
        <v>0.6</v>
      </c>
      <c r="U81">
        <f>生データ!U189</f>
        <v>8.1999999999999993</v>
      </c>
      <c r="V81">
        <f>COUNTIF(怪しいデータを手直し!F$2:F$701,Sheet5!F81)</f>
        <v>1</v>
      </c>
    </row>
    <row r="82" spans="1:22">
      <c r="A82">
        <f>生データ!A190</f>
        <v>40</v>
      </c>
      <c r="B82">
        <f>生データ!B190</f>
        <v>40</v>
      </c>
      <c r="C82">
        <f>生データ!C190</f>
        <v>48.783013822605028</v>
      </c>
      <c r="D82">
        <f>生データ!D190</f>
        <v>29.943368126254718</v>
      </c>
      <c r="E82">
        <f>生データ!E190</f>
        <v>0</v>
      </c>
      <c r="F82">
        <f>IF(生データ!E190="Wr",3000+生データ!F190,IF(生データ!E190="Wb",4000+生データ!F190,生データ!F190))</f>
        <v>318</v>
      </c>
      <c r="G82" t="str">
        <f>生データ!G190</f>
        <v>af</v>
      </c>
      <c r="H82">
        <f>生データ!H190</f>
        <v>0</v>
      </c>
      <c r="I82">
        <f>生データ!I190</f>
        <v>0.6</v>
      </c>
      <c r="J82">
        <f>生データ!J190</f>
        <v>0</v>
      </c>
      <c r="K82">
        <f>生データ!K190</f>
        <v>6.9</v>
      </c>
      <c r="L82">
        <f>生データ!L190</f>
        <v>1.1000000000000001</v>
      </c>
      <c r="M82">
        <f>生データ!M190</f>
        <v>0.3</v>
      </c>
      <c r="N82">
        <f>生データ!N190</f>
        <v>0</v>
      </c>
      <c r="O82">
        <f>生データ!O190</f>
        <v>0</v>
      </c>
      <c r="P82" t="str">
        <f>生データ!P190</f>
        <v>L</v>
      </c>
      <c r="Q82">
        <f>生データ!Q190</f>
        <v>0</v>
      </c>
      <c r="R82">
        <f>生データ!R190</f>
        <v>0</v>
      </c>
      <c r="S82">
        <f>生データ!S190</f>
        <v>0</v>
      </c>
      <c r="T82">
        <f>生データ!T190</f>
        <v>0.6</v>
      </c>
      <c r="U82">
        <f>生データ!U190</f>
        <v>6.9</v>
      </c>
      <c r="V82">
        <f>COUNTIF(怪しいデータを手直し!F$2:F$701,Sheet5!F82)</f>
        <v>1</v>
      </c>
    </row>
    <row r="83" spans="1:22">
      <c r="A83">
        <f>生データ!A191</f>
        <v>10</v>
      </c>
      <c r="B83">
        <f>生データ!B191</f>
        <v>10</v>
      </c>
      <c r="C83">
        <f>生データ!C191</f>
        <v>18.06974470609142</v>
      </c>
      <c r="D83">
        <f>生データ!D191</f>
        <v>14.418056176477329</v>
      </c>
      <c r="E83">
        <f>生データ!E191</f>
        <v>0</v>
      </c>
      <c r="F83">
        <f>IF(生データ!E191="Wr",3000+生データ!F191,IF(生データ!E191="Wb",4000+生データ!F191,生データ!F191))</f>
        <v>107</v>
      </c>
      <c r="G83" t="str">
        <f>生データ!G191</f>
        <v>pt</v>
      </c>
      <c r="H83">
        <f>生データ!H191</f>
        <v>0</v>
      </c>
      <c r="I83">
        <f>生データ!I191</f>
        <v>0.61</v>
      </c>
      <c r="J83">
        <f>生データ!J191</f>
        <v>0</v>
      </c>
      <c r="K83">
        <f>生データ!K191</f>
        <v>8.5</v>
      </c>
      <c r="L83">
        <f>生データ!L191</f>
        <v>2</v>
      </c>
      <c r="M83">
        <f>生データ!M191</f>
        <v>0.9</v>
      </c>
      <c r="N83">
        <f>生データ!N191</f>
        <v>0</v>
      </c>
      <c r="O83">
        <f>生データ!O191</f>
        <v>0</v>
      </c>
      <c r="P83" t="str">
        <f>生データ!P191</f>
        <v>L</v>
      </c>
      <c r="Q83">
        <f>生データ!Q191</f>
        <v>0</v>
      </c>
      <c r="R83">
        <f>生データ!R191</f>
        <v>0</v>
      </c>
      <c r="S83">
        <f>生データ!S191</f>
        <v>0</v>
      </c>
      <c r="T83">
        <f>生データ!T191</f>
        <v>0.61</v>
      </c>
      <c r="U83">
        <f>生データ!U191</f>
        <v>8.5</v>
      </c>
      <c r="V83">
        <f>COUNTIF(怪しいデータを手直し!F$2:F$701,Sheet5!F83)</f>
        <v>1</v>
      </c>
    </row>
    <row r="84" spans="1:22">
      <c r="A84">
        <f>生データ!A192</f>
        <v>30</v>
      </c>
      <c r="B84">
        <f>生データ!B192</f>
        <v>-20</v>
      </c>
      <c r="C84">
        <f>生データ!C192</f>
        <v>30.241353318909049</v>
      </c>
      <c r="D84">
        <f>生データ!D192</f>
        <v>-13.002151720621825</v>
      </c>
      <c r="E84">
        <f>生データ!E192</f>
        <v>0</v>
      </c>
      <c r="F84">
        <f>IF(生データ!E192="Wr",3000+生データ!F192,IF(生データ!E192="Wb",4000+生データ!F192,生データ!F192))</f>
        <v>528</v>
      </c>
      <c r="G84" t="str">
        <f>生データ!G192</f>
        <v>bp</v>
      </c>
      <c r="H84">
        <f>生データ!H192</f>
        <v>0</v>
      </c>
      <c r="I84">
        <f>生データ!I192</f>
        <v>0.61</v>
      </c>
      <c r="J84">
        <f>生データ!J192</f>
        <v>0</v>
      </c>
      <c r="K84">
        <f>生データ!K192</f>
        <v>7.2</v>
      </c>
      <c r="L84">
        <f>生データ!L192</f>
        <v>1.3</v>
      </c>
      <c r="M84">
        <f>生データ!M192</f>
        <v>1</v>
      </c>
      <c r="N84">
        <f>生データ!N192</f>
        <v>0</v>
      </c>
      <c r="O84">
        <f>生データ!O192</f>
        <v>0</v>
      </c>
      <c r="P84" t="str">
        <f>生データ!P192</f>
        <v>L</v>
      </c>
      <c r="Q84">
        <f>生データ!Q192</f>
        <v>0</v>
      </c>
      <c r="R84">
        <f>生データ!R192</f>
        <v>0</v>
      </c>
      <c r="S84">
        <f>生データ!S192</f>
        <v>0</v>
      </c>
      <c r="T84">
        <f>生データ!T192</f>
        <v>0.61</v>
      </c>
      <c r="U84">
        <f>生データ!U192</f>
        <v>7.2</v>
      </c>
      <c r="V84">
        <f>COUNTIF(怪しいデータを手直し!F$2:F$701,Sheet5!F84)</f>
        <v>1</v>
      </c>
    </row>
    <row r="85" spans="1:22">
      <c r="A85">
        <f>生データ!A193</f>
        <v>0</v>
      </c>
      <c r="B85">
        <f>生データ!B193</f>
        <v>20</v>
      </c>
      <c r="C85">
        <f>生データ!C193</f>
        <v>8.9461265962646888</v>
      </c>
      <c r="D85">
        <f>生データ!D193</f>
        <v>22.230519877428932</v>
      </c>
      <c r="E85">
        <f>生データ!E193</f>
        <v>0</v>
      </c>
      <c r="F85">
        <f>IF(生データ!E193="Wr",3000+生データ!F193,IF(生データ!E193="Wb",4000+生データ!F193,生データ!F193))</f>
        <v>35</v>
      </c>
      <c r="G85" t="str">
        <f>生データ!G193</f>
        <v>bp</v>
      </c>
      <c r="H85">
        <f>生データ!H193</f>
        <v>0</v>
      </c>
      <c r="I85">
        <f>生データ!I193</f>
        <v>0.62</v>
      </c>
      <c r="J85">
        <f>生データ!J193</f>
        <v>0</v>
      </c>
      <c r="K85">
        <f>生データ!K193</f>
        <v>10.6</v>
      </c>
      <c r="L85">
        <f>生データ!L193</f>
        <v>2.1</v>
      </c>
      <c r="M85">
        <f>生データ!M193</f>
        <v>0.5</v>
      </c>
      <c r="N85">
        <f>生データ!N193</f>
        <v>0</v>
      </c>
      <c r="O85">
        <f>生データ!O193</f>
        <v>0</v>
      </c>
      <c r="P85" t="str">
        <f>生データ!P193</f>
        <v>L</v>
      </c>
      <c r="Q85">
        <f>生データ!Q193</f>
        <v>0</v>
      </c>
      <c r="R85">
        <f>生データ!R193</f>
        <v>0</v>
      </c>
      <c r="S85">
        <f>生データ!S193</f>
        <v>0</v>
      </c>
      <c r="T85">
        <f>生データ!T193</f>
        <v>0.62</v>
      </c>
      <c r="U85">
        <f>生データ!U193</f>
        <v>10.6</v>
      </c>
      <c r="V85">
        <f>COUNTIF(怪しいデータを手直し!F$2:F$701,Sheet5!F85)</f>
        <v>1</v>
      </c>
    </row>
    <row r="86" spans="1:22">
      <c r="A86">
        <f>生データ!A194</f>
        <v>0</v>
      </c>
      <c r="B86">
        <f>生データ!B194</f>
        <v>30</v>
      </c>
      <c r="C86">
        <f>生データ!C194</f>
        <v>5.6418608251179263</v>
      </c>
      <c r="D86">
        <f>生データ!D194</f>
        <v>31.120715194177023</v>
      </c>
      <c r="E86">
        <f>生データ!E194</f>
        <v>0</v>
      </c>
      <c r="F86">
        <f>IF(生データ!E194="Wr",3000+生データ!F194,IF(生データ!E194="Wb",4000+生データ!F194,生データ!F194))</f>
        <v>58</v>
      </c>
      <c r="G86" t="str">
        <f>生データ!G194</f>
        <v>lc</v>
      </c>
      <c r="H86">
        <f>生データ!H194</f>
        <v>0</v>
      </c>
      <c r="I86">
        <f>生データ!I194</f>
        <v>0.62</v>
      </c>
      <c r="J86">
        <f>生データ!J194</f>
        <v>0</v>
      </c>
      <c r="K86">
        <f>生データ!K194</f>
        <v>13</v>
      </c>
      <c r="L86">
        <f>生データ!L194</f>
        <v>1.8</v>
      </c>
      <c r="M86">
        <f>生データ!M194</f>
        <v>0.1</v>
      </c>
      <c r="N86">
        <f>生データ!N194</f>
        <v>0</v>
      </c>
      <c r="O86">
        <f>生データ!O194</f>
        <v>0</v>
      </c>
      <c r="P86" t="str">
        <f>生データ!P194</f>
        <v>L</v>
      </c>
      <c r="Q86">
        <f>生データ!Q194</f>
        <v>0</v>
      </c>
      <c r="R86">
        <f>生データ!R194</f>
        <v>0</v>
      </c>
      <c r="S86">
        <f>生データ!S194</f>
        <v>0</v>
      </c>
      <c r="T86">
        <f>生データ!T194</f>
        <v>0.62</v>
      </c>
      <c r="U86">
        <f>生データ!U194</f>
        <v>13</v>
      </c>
      <c r="V86">
        <f>COUNTIF(怪しいデータを手直し!F$2:F$701,Sheet5!F86)</f>
        <v>1</v>
      </c>
    </row>
    <row r="87" spans="1:22">
      <c r="A87">
        <f>生データ!A195</f>
        <v>20</v>
      </c>
      <c r="B87">
        <f>生データ!B195</f>
        <v>10</v>
      </c>
      <c r="C87">
        <f>生データ!C195</f>
        <v>24.042660540170019</v>
      </c>
      <c r="D87">
        <f>生データ!D195</f>
        <v>10.755324065640806</v>
      </c>
      <c r="E87">
        <f>生データ!E195</f>
        <v>0</v>
      </c>
      <c r="F87">
        <f>IF(生データ!E195="Wr",3000+生データ!F195,IF(生データ!E195="Wb",4000+生データ!F195,生データ!F195))</f>
        <v>137</v>
      </c>
      <c r="G87" t="str">
        <f>生データ!G195</f>
        <v>bp</v>
      </c>
      <c r="H87">
        <f>生データ!H195</f>
        <v>0</v>
      </c>
      <c r="I87">
        <f>生データ!I195</f>
        <v>0.63</v>
      </c>
      <c r="J87">
        <f>生データ!J195</f>
        <v>0</v>
      </c>
      <c r="K87">
        <f>生データ!K195</f>
        <v>12.7</v>
      </c>
      <c r="L87">
        <f>生データ!L195</f>
        <v>2.2999999999999998</v>
      </c>
      <c r="M87">
        <f>生データ!M195</f>
        <v>0.6</v>
      </c>
      <c r="N87">
        <f>生データ!N195</f>
        <v>0</v>
      </c>
      <c r="O87">
        <f>生データ!O195</f>
        <v>0</v>
      </c>
      <c r="P87" t="str">
        <f>生データ!P195</f>
        <v>L</v>
      </c>
      <c r="Q87">
        <f>生データ!Q195</f>
        <v>0</v>
      </c>
      <c r="R87">
        <f>生データ!R195</f>
        <v>0</v>
      </c>
      <c r="S87">
        <f>生データ!S195</f>
        <v>0</v>
      </c>
      <c r="T87">
        <f>生データ!T195</f>
        <v>0.63</v>
      </c>
      <c r="U87">
        <f>生データ!U195</f>
        <v>12.7</v>
      </c>
      <c r="V87">
        <f>COUNTIF(怪しいデータを手直し!F$2:F$701,Sheet5!F87)</f>
        <v>1</v>
      </c>
    </row>
    <row r="88" spans="1:22">
      <c r="A88">
        <f>生データ!A196</f>
        <v>20</v>
      </c>
      <c r="B88">
        <f>生データ!B196</f>
        <v>20</v>
      </c>
      <c r="C88">
        <f>生データ!C196</f>
        <v>26.373923925033939</v>
      </c>
      <c r="D88">
        <f>生データ!D196</f>
        <v>20.920997717978985</v>
      </c>
      <c r="E88">
        <f>生データ!E196</f>
        <v>0</v>
      </c>
      <c r="F88">
        <f>IF(生データ!E196="Wr",3000+生データ!F196,IF(生データ!E196="Wb",4000+生データ!F196,生データ!F196))</f>
        <v>163</v>
      </c>
      <c r="G88" t="str">
        <f>生データ!G196</f>
        <v>pt</v>
      </c>
      <c r="H88">
        <f>生データ!H196</f>
        <v>0</v>
      </c>
      <c r="I88">
        <f>生データ!I196</f>
        <v>0.63</v>
      </c>
      <c r="J88">
        <f>生データ!J196</f>
        <v>0</v>
      </c>
      <c r="K88">
        <f>生データ!K196</f>
        <v>9.5</v>
      </c>
      <c r="L88">
        <f>生データ!L196</f>
        <v>2</v>
      </c>
      <c r="M88">
        <f>生データ!M196</f>
        <v>0.6</v>
      </c>
      <c r="N88">
        <f>生データ!N196</f>
        <v>0</v>
      </c>
      <c r="O88">
        <f>生データ!O196</f>
        <v>0</v>
      </c>
      <c r="P88" t="str">
        <f>生データ!P196</f>
        <v>L</v>
      </c>
      <c r="Q88">
        <f>生データ!Q196</f>
        <v>0</v>
      </c>
      <c r="R88">
        <f>生データ!R196</f>
        <v>0</v>
      </c>
      <c r="S88">
        <f>生データ!S196</f>
        <v>0</v>
      </c>
      <c r="T88">
        <f>生データ!T196</f>
        <v>0.63</v>
      </c>
      <c r="U88">
        <f>生データ!U196</f>
        <v>9.5</v>
      </c>
      <c r="V88">
        <f>COUNTIF(怪しいデータを手直し!F$2:F$701,Sheet5!F88)</f>
        <v>1</v>
      </c>
    </row>
    <row r="89" spans="1:22">
      <c r="A89">
        <f>生データ!A197</f>
        <v>40</v>
      </c>
      <c r="B89">
        <f>生データ!B197</f>
        <v>30</v>
      </c>
      <c r="C89">
        <f>生データ!C197</f>
        <v>44.901832820608057</v>
      </c>
      <c r="D89">
        <f>生データ!D197</f>
        <v>34.030813170039757</v>
      </c>
      <c r="E89">
        <f>生データ!E197</f>
        <v>0</v>
      </c>
      <c r="F89">
        <f>IF(生データ!E197="Wr",3000+生データ!F197,IF(生データ!E197="Wb",4000+生データ!F197,生データ!F197))</f>
        <v>341</v>
      </c>
      <c r="G89" t="str">
        <f>生データ!G197</f>
        <v>lc</v>
      </c>
      <c r="H89">
        <f>生データ!H197</f>
        <v>0</v>
      </c>
      <c r="I89">
        <f>生データ!I197</f>
        <v>0.63</v>
      </c>
      <c r="J89">
        <f>生データ!J197</f>
        <v>0</v>
      </c>
      <c r="K89">
        <f>生データ!K197</f>
        <v>13.9</v>
      </c>
      <c r="L89">
        <f>生データ!L197</f>
        <v>1.4</v>
      </c>
      <c r="M89">
        <f>生データ!M197</f>
        <v>0.2</v>
      </c>
      <c r="N89">
        <f>生データ!N197</f>
        <v>0</v>
      </c>
      <c r="O89">
        <f>生データ!O197</f>
        <v>0</v>
      </c>
      <c r="P89" t="str">
        <f>生データ!P197</f>
        <v>L</v>
      </c>
      <c r="Q89">
        <f>生データ!Q197</f>
        <v>0</v>
      </c>
      <c r="R89">
        <f>生データ!R197</f>
        <v>0</v>
      </c>
      <c r="S89">
        <f>生データ!S197</f>
        <v>0</v>
      </c>
      <c r="T89">
        <f>生データ!T197</f>
        <v>0.63</v>
      </c>
      <c r="U89">
        <f>生データ!U197</f>
        <v>13.9</v>
      </c>
      <c r="V89">
        <f>COUNTIF(怪しいデータを手直し!F$2:F$701,Sheet5!F89)</f>
        <v>1</v>
      </c>
    </row>
    <row r="90" spans="1:22">
      <c r="A90">
        <f>生データ!A198</f>
        <v>20</v>
      </c>
      <c r="B90">
        <f>生データ!B198</f>
        <v>-20</v>
      </c>
      <c r="C90">
        <f>生データ!C198</f>
        <v>27.136801048343358</v>
      </c>
      <c r="D90">
        <f>生データ!D198</f>
        <v>-19.380006009065209</v>
      </c>
      <c r="E90">
        <f>生データ!E198</f>
        <v>0</v>
      </c>
      <c r="F90">
        <f>IF(生データ!E198="Wr",3000+生データ!F198,IF(生データ!E198="Wb",4000+生データ!F198,生データ!F198))</f>
        <v>566</v>
      </c>
      <c r="G90" t="str">
        <f>生データ!G198</f>
        <v>sb</v>
      </c>
      <c r="H90">
        <f>生データ!H198</f>
        <v>0</v>
      </c>
      <c r="I90">
        <f>生データ!I198</f>
        <v>0.63</v>
      </c>
      <c r="J90">
        <f>生データ!J198</f>
        <v>0</v>
      </c>
      <c r="K90">
        <f>生データ!K198</f>
        <v>7.8</v>
      </c>
      <c r="L90">
        <f>生データ!L198</f>
        <v>1.8</v>
      </c>
      <c r="M90">
        <f>生データ!M198</f>
        <v>0.9</v>
      </c>
      <c r="N90">
        <f>生データ!N198</f>
        <v>0</v>
      </c>
      <c r="O90">
        <f>生データ!O198</f>
        <v>0</v>
      </c>
      <c r="P90" t="str">
        <f>生データ!P198</f>
        <v>L</v>
      </c>
      <c r="Q90">
        <f>生データ!Q198</f>
        <v>0</v>
      </c>
      <c r="R90">
        <f>生データ!R198</f>
        <v>0</v>
      </c>
      <c r="S90">
        <f>生データ!S198</f>
        <v>0</v>
      </c>
      <c r="T90">
        <f>生データ!T198</f>
        <v>0.63</v>
      </c>
      <c r="U90">
        <f>生データ!U198</f>
        <v>7.8</v>
      </c>
      <c r="V90">
        <f>COUNTIF(怪しいデータを手直し!F$2:F$701,Sheet5!F90)</f>
        <v>1</v>
      </c>
    </row>
    <row r="91" spans="1:22">
      <c r="A91">
        <f>生データ!A199</f>
        <v>0</v>
      </c>
      <c r="B91">
        <f>生データ!B199</f>
        <v>20</v>
      </c>
      <c r="C91">
        <f>生データ!C199</f>
        <v>1.2251623958207458</v>
      </c>
      <c r="D91">
        <f>生データ!D199</f>
        <v>21.399491730546046</v>
      </c>
      <c r="E91">
        <f>生データ!E199</f>
        <v>0</v>
      </c>
      <c r="F91">
        <f>IF(生データ!E199="Wr",3000+生データ!F199,IF(生データ!E199="Wb",4000+生データ!F199,生データ!F199))</f>
        <v>27</v>
      </c>
      <c r="G91" t="str">
        <f>生データ!G199</f>
        <v>lc</v>
      </c>
      <c r="H91">
        <f>生データ!H199</f>
        <v>0</v>
      </c>
      <c r="I91">
        <f>生データ!I199</f>
        <v>0.64</v>
      </c>
      <c r="J91" t="str">
        <f>生データ!J199</f>
        <v>dead</v>
      </c>
      <c r="K91">
        <f>生データ!K199</f>
        <v>0</v>
      </c>
      <c r="L91">
        <f>生データ!L199</f>
        <v>1.7</v>
      </c>
      <c r="M91">
        <f>生データ!M199</f>
        <v>0</v>
      </c>
      <c r="N91">
        <f>生データ!N199</f>
        <v>0</v>
      </c>
      <c r="O91">
        <f>生データ!O199</f>
        <v>0</v>
      </c>
      <c r="P91" t="str">
        <f>生データ!P199</f>
        <v>D</v>
      </c>
      <c r="Q91">
        <f>生データ!Q199</f>
        <v>0</v>
      </c>
      <c r="R91">
        <f>生データ!R199</f>
        <v>0</v>
      </c>
      <c r="S91">
        <f>生データ!S199</f>
        <v>0</v>
      </c>
      <c r="T91">
        <f>生データ!T199</f>
        <v>0.64</v>
      </c>
      <c r="U91" t="str">
        <f>生データ!U199</f>
        <v>dead</v>
      </c>
      <c r="V91">
        <f>COUNTIF(怪しいデータを手直し!F$2:F$701,Sheet5!F91)</f>
        <v>1</v>
      </c>
    </row>
    <row r="92" spans="1:22">
      <c r="A92">
        <f>生データ!A200</f>
        <v>40</v>
      </c>
      <c r="B92">
        <f>生データ!B200</f>
        <v>-20</v>
      </c>
      <c r="C92">
        <f>生データ!C200</f>
        <v>42.104570371554374</v>
      </c>
      <c r="D92">
        <f>生データ!D200</f>
        <v>-19.816943697056402</v>
      </c>
      <c r="E92">
        <f>生データ!E200</f>
        <v>0</v>
      </c>
      <c r="F92">
        <f>IF(生データ!E200="Wr",3000+生データ!F200,IF(生データ!E200="Wb",4000+生データ!F200,生データ!F200))</f>
        <v>511</v>
      </c>
      <c r="G92" t="str">
        <f>生データ!G200</f>
        <v>lc</v>
      </c>
      <c r="H92">
        <f>生データ!H200</f>
        <v>0</v>
      </c>
      <c r="I92">
        <f>生データ!I200</f>
        <v>0.64</v>
      </c>
      <c r="J92" t="str">
        <f>生データ!J200</f>
        <v>dead</v>
      </c>
      <c r="K92">
        <f>生データ!K200</f>
        <v>0</v>
      </c>
      <c r="L92">
        <f>生データ!L200</f>
        <v>1.9</v>
      </c>
      <c r="M92">
        <f>生データ!M200</f>
        <v>0</v>
      </c>
      <c r="N92">
        <f>生データ!N200</f>
        <v>0</v>
      </c>
      <c r="O92">
        <f>生データ!O200</f>
        <v>0</v>
      </c>
      <c r="P92" t="str">
        <f>生データ!P200</f>
        <v>L</v>
      </c>
      <c r="Q92">
        <f>生データ!Q200</f>
        <v>0</v>
      </c>
      <c r="R92">
        <f>生データ!R200</f>
        <v>0</v>
      </c>
      <c r="S92">
        <f>生データ!S200</f>
        <v>0</v>
      </c>
      <c r="T92">
        <f>生データ!T200</f>
        <v>0.64</v>
      </c>
      <c r="U92" t="str">
        <f>生データ!U200</f>
        <v>dead</v>
      </c>
      <c r="V92">
        <f>COUNTIF(怪しいデータを手直し!F$2:F$701,Sheet5!F92)</f>
        <v>1</v>
      </c>
    </row>
    <row r="93" spans="1:22">
      <c r="A93">
        <f>生データ!A201</f>
        <v>0</v>
      </c>
      <c r="B93">
        <f>生データ!B201</f>
        <v>-30</v>
      </c>
      <c r="C93">
        <f>生データ!C201</f>
        <v>4.6665728265819304</v>
      </c>
      <c r="D93">
        <f>生データ!D201</f>
        <v>-20.335313157045952</v>
      </c>
      <c r="E93">
        <f>生データ!E201</f>
        <v>0</v>
      </c>
      <c r="F93">
        <f>IF(生データ!E201="Wr",3000+生データ!F201,IF(生データ!E201="Wb",4000+生データ!F201,生データ!F201))</f>
        <v>602</v>
      </c>
      <c r="G93" t="str">
        <f>生データ!G201</f>
        <v>lc</v>
      </c>
      <c r="H93">
        <f>生データ!H201</f>
        <v>0</v>
      </c>
      <c r="I93">
        <f>生データ!I201</f>
        <v>0.64</v>
      </c>
      <c r="J93">
        <f>生データ!J201</f>
        <v>0</v>
      </c>
      <c r="K93">
        <f>生データ!K201</f>
        <v>10</v>
      </c>
      <c r="L93">
        <f>生データ!L201</f>
        <v>1.7</v>
      </c>
      <c r="M93">
        <f>生データ!M201</f>
        <v>0.5</v>
      </c>
      <c r="N93">
        <f>生データ!N201</f>
        <v>0</v>
      </c>
      <c r="O93">
        <f>生データ!O201</f>
        <v>0</v>
      </c>
      <c r="P93" t="str">
        <f>生データ!P201</f>
        <v>L</v>
      </c>
      <c r="Q93">
        <f>生データ!Q201</f>
        <v>0</v>
      </c>
      <c r="R93">
        <f>生データ!R201</f>
        <v>0</v>
      </c>
      <c r="S93">
        <f>生データ!S201</f>
        <v>0</v>
      </c>
      <c r="T93">
        <f>生データ!T201</f>
        <v>0.64</v>
      </c>
      <c r="U93">
        <f>生データ!U201</f>
        <v>10</v>
      </c>
      <c r="V93">
        <f>COUNTIF(怪しいデータを手直し!F$2:F$701,Sheet5!F93)</f>
        <v>1</v>
      </c>
    </row>
    <row r="94" spans="1:22">
      <c r="A94">
        <f>生データ!A202</f>
        <v>10</v>
      </c>
      <c r="B94">
        <f>生データ!B202</f>
        <v>0</v>
      </c>
      <c r="C94">
        <f>生データ!C202</f>
        <v>16.93600320004315</v>
      </c>
      <c r="D94">
        <f>生データ!D202</f>
        <v>5.5275965491209815</v>
      </c>
      <c r="E94">
        <f>生データ!E202</f>
        <v>0</v>
      </c>
      <c r="F94">
        <f>IF(生データ!E202="Wr",3000+生データ!F202,IF(生データ!E202="Wb",4000+生データ!F202,生データ!F202))</f>
        <v>115</v>
      </c>
      <c r="G94" t="str">
        <f>生データ!G202</f>
        <v>lc</v>
      </c>
      <c r="H94">
        <f>生データ!H202</f>
        <v>0</v>
      </c>
      <c r="I94">
        <f>生データ!I202</f>
        <v>0.65</v>
      </c>
      <c r="J94">
        <f>生データ!J202</f>
        <v>0</v>
      </c>
      <c r="K94">
        <f>生データ!K202</f>
        <v>12.5</v>
      </c>
      <c r="L94">
        <f>生データ!L202</f>
        <v>1.8</v>
      </c>
      <c r="M94">
        <f>生データ!M202</f>
        <v>0.2</v>
      </c>
      <c r="N94">
        <f>生データ!N202</f>
        <v>0</v>
      </c>
      <c r="O94">
        <f>生データ!O202</f>
        <v>0</v>
      </c>
      <c r="P94" t="str">
        <f>生データ!P202</f>
        <v>L</v>
      </c>
      <c r="Q94">
        <f>生データ!Q202</f>
        <v>0</v>
      </c>
      <c r="R94">
        <f>生データ!R202</f>
        <v>0</v>
      </c>
      <c r="S94">
        <f>生データ!S202</f>
        <v>0</v>
      </c>
      <c r="T94">
        <f>生データ!T202</f>
        <v>0.65</v>
      </c>
      <c r="U94">
        <f>生データ!U202</f>
        <v>12.5</v>
      </c>
      <c r="V94">
        <f>COUNTIF(怪しいデータを手直し!F$2:F$701,Sheet5!F94)</f>
        <v>1</v>
      </c>
    </row>
    <row r="95" spans="1:22">
      <c r="A95">
        <f>生データ!A203</f>
        <v>20</v>
      </c>
      <c r="B95">
        <f>生データ!B203</f>
        <v>10</v>
      </c>
      <c r="C95">
        <f>生データ!C203</f>
        <v>22.275538913106644</v>
      </c>
      <c r="D95">
        <f>生データ!D203</f>
        <v>12.646913562404759</v>
      </c>
      <c r="E95">
        <f>生データ!E203</f>
        <v>0</v>
      </c>
      <c r="F95">
        <f>IF(生データ!E203="Wr",3000+生データ!F203,IF(生データ!E203="Wb",4000+生データ!F203,生データ!F203))</f>
        <v>153</v>
      </c>
      <c r="G95" t="str">
        <f>生データ!G203</f>
        <v>bp</v>
      </c>
      <c r="H95">
        <f>生データ!H203</f>
        <v>0</v>
      </c>
      <c r="I95">
        <f>生データ!I203</f>
        <v>0.65</v>
      </c>
      <c r="J95" t="str">
        <f>生データ!J203</f>
        <v>dead</v>
      </c>
      <c r="K95">
        <f>生データ!K203</f>
        <v>0</v>
      </c>
      <c r="L95">
        <f>生データ!L203</f>
        <v>1.3</v>
      </c>
      <c r="M95">
        <f>生データ!M203</f>
        <v>0.7</v>
      </c>
      <c r="N95">
        <f>生データ!N203</f>
        <v>0</v>
      </c>
      <c r="O95">
        <f>生データ!O203</f>
        <v>0</v>
      </c>
      <c r="P95" t="str">
        <f>生データ!P203</f>
        <v>L</v>
      </c>
      <c r="Q95">
        <f>生データ!Q203</f>
        <v>0</v>
      </c>
      <c r="R95" t="str">
        <f>生データ!R203</f>
        <v>dead Ht=1.6</v>
      </c>
      <c r="S95">
        <f>生データ!S203</f>
        <v>0</v>
      </c>
      <c r="T95">
        <f>生データ!T203</f>
        <v>0.65</v>
      </c>
      <c r="U95" t="str">
        <f>生データ!U203</f>
        <v>dead</v>
      </c>
      <c r="V95">
        <f>COUNTIF(怪しいデータを手直し!F$2:F$701,Sheet5!F95)</f>
        <v>1</v>
      </c>
    </row>
    <row r="96" spans="1:22">
      <c r="A96">
        <f>生データ!A204</f>
        <v>20</v>
      </c>
      <c r="B96">
        <f>生データ!B204</f>
        <v>-20</v>
      </c>
      <c r="C96">
        <f>生データ!C204</f>
        <v>27.340618084048792</v>
      </c>
      <c r="D96">
        <f>生データ!D204</f>
        <v>-13.250376825244652</v>
      </c>
      <c r="E96">
        <f>生データ!E204</f>
        <v>0</v>
      </c>
      <c r="F96">
        <f>IF(生データ!E204="Wr",3000+生データ!F204,IF(生データ!E204="Wb",4000+生データ!F204,生データ!F204))</f>
        <v>545</v>
      </c>
      <c r="G96" t="str">
        <f>生データ!G204</f>
        <v>bp</v>
      </c>
      <c r="H96">
        <f>生データ!H204</f>
        <v>0</v>
      </c>
      <c r="I96">
        <f>生データ!I204</f>
        <v>0.65</v>
      </c>
      <c r="J96">
        <f>生データ!J204</f>
        <v>0</v>
      </c>
      <c r="K96">
        <f>生データ!K204</f>
        <v>11.8</v>
      </c>
      <c r="L96">
        <f>生データ!L204</f>
        <v>2.1</v>
      </c>
      <c r="M96">
        <f>生データ!M204</f>
        <v>1.1000000000000001</v>
      </c>
      <c r="N96">
        <f>生データ!N204</f>
        <v>0</v>
      </c>
      <c r="O96">
        <f>生データ!O204</f>
        <v>0</v>
      </c>
      <c r="P96" t="str">
        <f>生データ!P204</f>
        <v>L</v>
      </c>
      <c r="Q96">
        <f>生データ!Q204</f>
        <v>0</v>
      </c>
      <c r="R96">
        <f>生データ!R204</f>
        <v>0</v>
      </c>
      <c r="S96">
        <f>生データ!S204</f>
        <v>0</v>
      </c>
      <c r="T96">
        <f>生データ!T204</f>
        <v>0.65</v>
      </c>
      <c r="U96">
        <f>生データ!U204</f>
        <v>11.8</v>
      </c>
      <c r="V96">
        <f>COUNTIF(怪しいデータを手直し!F$2:F$701,Sheet5!F96)</f>
        <v>1</v>
      </c>
    </row>
    <row r="97" spans="1:22">
      <c r="A97">
        <f>生データ!A205</f>
        <v>30</v>
      </c>
      <c r="B97">
        <f>生データ!B205</f>
        <v>-20</v>
      </c>
      <c r="C97">
        <f>生データ!C205</f>
        <v>36.71062998926508</v>
      </c>
      <c r="D97">
        <f>生データ!D205</f>
        <v>-14.445328439213212</v>
      </c>
      <c r="E97">
        <f>生データ!E205</f>
        <v>0</v>
      </c>
      <c r="F97">
        <f>IF(生データ!E205="Wr",3000+生データ!F205,IF(生データ!E205="Wb",4000+生データ!F205,生データ!F205))</f>
        <v>519</v>
      </c>
      <c r="G97" t="str">
        <f>生データ!G205</f>
        <v>lc</v>
      </c>
      <c r="H97">
        <f>生データ!H205</f>
        <v>0</v>
      </c>
      <c r="I97">
        <f>生データ!I205</f>
        <v>0.67</v>
      </c>
      <c r="J97">
        <f>生データ!J205</f>
        <v>0</v>
      </c>
      <c r="K97">
        <f>生データ!K205</f>
        <v>11.3</v>
      </c>
      <c r="L97">
        <f>生データ!L205</f>
        <v>1.7</v>
      </c>
      <c r="M97">
        <f>生データ!M205</f>
        <v>0.1</v>
      </c>
      <c r="N97">
        <f>生データ!N205</f>
        <v>0</v>
      </c>
      <c r="O97">
        <f>生データ!O205</f>
        <v>0</v>
      </c>
      <c r="P97" t="str">
        <f>生データ!P205</f>
        <v>L</v>
      </c>
      <c r="Q97">
        <f>生データ!Q205</f>
        <v>0</v>
      </c>
      <c r="R97">
        <f>生データ!R205</f>
        <v>0</v>
      </c>
      <c r="S97">
        <f>生データ!S205</f>
        <v>0</v>
      </c>
      <c r="T97">
        <f>生データ!T205</f>
        <v>0.67</v>
      </c>
      <c r="U97">
        <f>生データ!U205</f>
        <v>11.3</v>
      </c>
      <c r="V97">
        <f>COUNTIF(怪しいデータを手直し!F$2:F$701,Sheet5!F97)</f>
        <v>1</v>
      </c>
    </row>
    <row r="98" spans="1:22">
      <c r="A98">
        <f>生データ!A206</f>
        <v>10</v>
      </c>
      <c r="B98">
        <f>生データ!B206</f>
        <v>20</v>
      </c>
      <c r="C98">
        <f>生データ!C206</f>
        <v>19.555892102460898</v>
      </c>
      <c r="D98">
        <f>生データ!D206</f>
        <v>28.665978541221271</v>
      </c>
      <c r="E98">
        <f>生データ!E206</f>
        <v>0</v>
      </c>
      <c r="F98">
        <f>IF(生データ!E206="Wr",3000+生データ!F206,IF(生データ!E206="Wb",4000+生データ!F206,生データ!F206))</f>
        <v>93</v>
      </c>
      <c r="G98" t="str">
        <f>生データ!G206</f>
        <v>bp</v>
      </c>
      <c r="H98">
        <f>生データ!H206</f>
        <v>0</v>
      </c>
      <c r="I98">
        <f>生データ!I206</f>
        <v>0.69</v>
      </c>
      <c r="J98">
        <f>生データ!J206</f>
        <v>0</v>
      </c>
      <c r="K98">
        <f>生データ!K206</f>
        <v>7.2</v>
      </c>
      <c r="L98">
        <f>生データ!L206</f>
        <v>1.6</v>
      </c>
      <c r="M98">
        <f>生データ!M206</f>
        <v>0.7</v>
      </c>
      <c r="N98">
        <f>生データ!N206</f>
        <v>0</v>
      </c>
      <c r="O98">
        <f>生データ!O206</f>
        <v>0</v>
      </c>
      <c r="P98" t="str">
        <f>生データ!P206</f>
        <v>L</v>
      </c>
      <c r="Q98">
        <f>生データ!Q206</f>
        <v>0</v>
      </c>
      <c r="R98">
        <f>生データ!R206</f>
        <v>0</v>
      </c>
      <c r="S98">
        <f>生データ!S206</f>
        <v>0</v>
      </c>
      <c r="T98">
        <f>生データ!T206</f>
        <v>0.69</v>
      </c>
      <c r="U98">
        <f>生データ!U206</f>
        <v>7.2</v>
      </c>
      <c r="V98">
        <f>COUNTIF(怪しいデータを手直し!F$2:F$701,Sheet5!F98)</f>
        <v>1</v>
      </c>
    </row>
    <row r="99" spans="1:22">
      <c r="A99">
        <f>生データ!A207</f>
        <v>20</v>
      </c>
      <c r="B99">
        <f>生データ!B207</f>
        <v>20</v>
      </c>
      <c r="C99">
        <f>生データ!C207</f>
        <v>25.099509798458744</v>
      </c>
      <c r="D99">
        <f>生データ!D207</f>
        <v>23.482844796581301</v>
      </c>
      <c r="E99">
        <f>生データ!E207</f>
        <v>0</v>
      </c>
      <c r="F99">
        <f>IF(生データ!E207="Wr",3000+生データ!F207,IF(生データ!E207="Wb",4000+生データ!F207,生データ!F207))</f>
        <v>166</v>
      </c>
      <c r="G99" t="str">
        <f>生データ!G207</f>
        <v>lc</v>
      </c>
      <c r="H99">
        <f>生データ!H207</f>
        <v>0</v>
      </c>
      <c r="I99">
        <f>生データ!I207</f>
        <v>0.69</v>
      </c>
      <c r="J99" t="str">
        <f>生データ!J207</f>
        <v>dead</v>
      </c>
      <c r="K99">
        <f>生データ!K207</f>
        <v>0</v>
      </c>
      <c r="L99">
        <f>生データ!L207</f>
        <v>1.8</v>
      </c>
      <c r="M99">
        <f>生データ!M207</f>
        <v>0</v>
      </c>
      <c r="N99">
        <f>生データ!N207</f>
        <v>0</v>
      </c>
      <c r="O99">
        <f>生データ!O207</f>
        <v>0</v>
      </c>
      <c r="P99" t="str">
        <f>生データ!P207</f>
        <v>D</v>
      </c>
      <c r="Q99">
        <f>生データ!Q207</f>
        <v>0</v>
      </c>
      <c r="R99">
        <f>生データ!R207</f>
        <v>0</v>
      </c>
      <c r="S99" t="str">
        <f>生データ!S207</f>
        <v>倒れ</v>
      </c>
      <c r="T99">
        <f>生データ!T207</f>
        <v>0.69</v>
      </c>
      <c r="U99" t="str">
        <f>生データ!U207</f>
        <v>dead</v>
      </c>
      <c r="V99">
        <f>COUNTIF(怪しいデータを手直し!F$2:F$701,Sheet5!F99)</f>
        <v>1</v>
      </c>
    </row>
    <row r="100" spans="1:22">
      <c r="A100">
        <f>生データ!A208</f>
        <v>30</v>
      </c>
      <c r="B100">
        <f>生データ!B208</f>
        <v>-10</v>
      </c>
      <c r="C100">
        <f>生データ!C208</f>
        <v>38.88133355192322</v>
      </c>
      <c r="D100">
        <f>生データ!D208</f>
        <v>-4.1357451131497296</v>
      </c>
      <c r="E100">
        <f>生データ!E208</f>
        <v>0</v>
      </c>
      <c r="F100">
        <f>IF(生データ!E208="Wr",3000+生データ!F208,IF(生データ!E208="Wb",4000+生データ!F208,生データ!F208))</f>
        <v>442</v>
      </c>
      <c r="G100" t="str">
        <f>生データ!G208</f>
        <v>bp</v>
      </c>
      <c r="H100">
        <f>生データ!H208</f>
        <v>0</v>
      </c>
      <c r="I100">
        <f>生データ!I208</f>
        <v>0.69</v>
      </c>
      <c r="J100" t="str">
        <f>生データ!J208</f>
        <v>dead</v>
      </c>
      <c r="K100">
        <f>生データ!K208</f>
        <v>0</v>
      </c>
      <c r="L100">
        <f>生データ!L208</f>
        <v>1.4</v>
      </c>
      <c r="M100">
        <f>生データ!M208</f>
        <v>1</v>
      </c>
      <c r="N100">
        <f>生データ!N208</f>
        <v>0</v>
      </c>
      <c r="O100">
        <f>生データ!O208</f>
        <v>0</v>
      </c>
      <c r="P100" t="str">
        <f>生データ!P208</f>
        <v>L</v>
      </c>
      <c r="Q100">
        <f>生データ!Q208</f>
        <v>0</v>
      </c>
      <c r="R100">
        <f>生データ!R208</f>
        <v>0</v>
      </c>
      <c r="S100">
        <f>生データ!S208</f>
        <v>0</v>
      </c>
      <c r="T100">
        <f>生データ!T208</f>
        <v>0.69</v>
      </c>
      <c r="U100" t="str">
        <f>生データ!U208</f>
        <v>dead</v>
      </c>
      <c r="V100">
        <f>COUNTIF(怪しいデータを手直し!F$2:F$701,Sheet5!F100)</f>
        <v>1</v>
      </c>
    </row>
    <row r="101" spans="1:22">
      <c r="A101">
        <f>生データ!A209</f>
        <v>40</v>
      </c>
      <c r="B101">
        <f>生データ!B209</f>
        <v>-30</v>
      </c>
      <c r="C101">
        <f>生データ!C209</f>
        <v>42.444352749424425</v>
      </c>
      <c r="D101">
        <f>生データ!D209</f>
        <v>-21.066857369985712</v>
      </c>
      <c r="E101">
        <f>生データ!E209</f>
        <v>0</v>
      </c>
      <c r="F101">
        <f>IF(生データ!E209="Wr",3000+生データ!F209,IF(生データ!E209="Wb",4000+生データ!F209,生データ!F209))</f>
        <v>694</v>
      </c>
      <c r="G101" t="str">
        <f>生データ!G209</f>
        <v>lc</v>
      </c>
      <c r="H101">
        <f>生データ!H209</f>
        <v>0</v>
      </c>
      <c r="I101">
        <f>生データ!I209</f>
        <v>0.69</v>
      </c>
      <c r="J101">
        <f>生データ!J209</f>
        <v>0</v>
      </c>
      <c r="K101">
        <f>生データ!K209</f>
        <v>14.2</v>
      </c>
      <c r="L101">
        <f>生データ!L209</f>
        <v>2</v>
      </c>
      <c r="M101">
        <f>生データ!M209</f>
        <v>0</v>
      </c>
      <c r="N101">
        <f>生データ!N209</f>
        <v>0</v>
      </c>
      <c r="O101">
        <f>生データ!O209</f>
        <v>0</v>
      </c>
      <c r="P101" t="str">
        <f>生データ!P209</f>
        <v>L</v>
      </c>
      <c r="Q101">
        <f>生データ!Q209</f>
        <v>0</v>
      </c>
      <c r="R101">
        <f>生データ!R209</f>
        <v>0</v>
      </c>
      <c r="S101" t="str">
        <f>生データ!S209</f>
        <v>NewNo 601 white red</v>
      </c>
      <c r="T101">
        <f>生データ!T209</f>
        <v>0.69</v>
      </c>
      <c r="U101">
        <f>生データ!U209</f>
        <v>14.2</v>
      </c>
      <c r="V101">
        <f>COUNTIF(怪しいデータを手直し!F$2:F$701,Sheet5!F101)</f>
        <v>1</v>
      </c>
    </row>
    <row r="102" spans="1:22">
      <c r="A102">
        <f>生データ!A210</f>
        <v>20</v>
      </c>
      <c r="B102">
        <f>生データ!B210</f>
        <v>10</v>
      </c>
      <c r="C102">
        <f>生データ!C210</f>
        <v>22.0218331717933</v>
      </c>
      <c r="D102">
        <f>生データ!D210</f>
        <v>12.081998618831085</v>
      </c>
      <c r="E102">
        <f>生データ!E210</f>
        <v>0</v>
      </c>
      <c r="F102">
        <f>IF(生データ!E210="Wr",3000+生データ!F210,IF(生データ!E210="Wb",4000+生データ!F210,生データ!F210))</f>
        <v>150</v>
      </c>
      <c r="G102" t="str">
        <f>生データ!G210</f>
        <v>bp</v>
      </c>
      <c r="H102">
        <f>生データ!H210</f>
        <v>0</v>
      </c>
      <c r="I102">
        <f>生データ!I210</f>
        <v>0.7</v>
      </c>
      <c r="J102">
        <f>生データ!J210</f>
        <v>0</v>
      </c>
      <c r="K102">
        <f>生データ!K210</f>
        <v>11.1</v>
      </c>
      <c r="L102">
        <f>生データ!L210</f>
        <v>2</v>
      </c>
      <c r="M102">
        <f>生データ!M210</f>
        <v>0.6</v>
      </c>
      <c r="N102">
        <f>生データ!N210</f>
        <v>0</v>
      </c>
      <c r="O102">
        <f>生データ!O210</f>
        <v>0</v>
      </c>
      <c r="P102" t="str">
        <f>生データ!P210</f>
        <v>L</v>
      </c>
      <c r="Q102">
        <f>生データ!Q210</f>
        <v>0</v>
      </c>
      <c r="R102">
        <f>生データ!R210</f>
        <v>0</v>
      </c>
      <c r="S102">
        <f>生データ!S210</f>
        <v>0</v>
      </c>
      <c r="T102">
        <f>生データ!T210</f>
        <v>0.7</v>
      </c>
      <c r="U102">
        <f>生データ!U210</f>
        <v>11.1</v>
      </c>
      <c r="V102">
        <f>COUNTIF(怪しいデータを手直し!F$2:F$701,Sheet5!F102)</f>
        <v>1</v>
      </c>
    </row>
    <row r="103" spans="1:22">
      <c r="A103">
        <f>生データ!A211</f>
        <v>30</v>
      </c>
      <c r="B103">
        <f>生データ!B211</f>
        <v>-30</v>
      </c>
      <c r="C103">
        <f>生データ!C211</f>
        <v>30.913785784552751</v>
      </c>
      <c r="D103">
        <f>生データ!D211</f>
        <v>-26.758505422055183</v>
      </c>
      <c r="E103">
        <f>生データ!E211</f>
        <v>0</v>
      </c>
      <c r="F103">
        <f>IF(生データ!E211="Wr",3000+生データ!F211,IF(生データ!E211="Wb",4000+生データ!F211,生データ!F211))</f>
        <v>667</v>
      </c>
      <c r="G103" t="str">
        <f>生データ!G211</f>
        <v>lc</v>
      </c>
      <c r="H103">
        <f>生データ!H211</f>
        <v>0</v>
      </c>
      <c r="I103">
        <f>生データ!I211</f>
        <v>0.7</v>
      </c>
      <c r="J103" t="str">
        <f>生データ!J211</f>
        <v>dead</v>
      </c>
      <c r="K103">
        <f>生データ!K211</f>
        <v>0</v>
      </c>
      <c r="L103">
        <f>生データ!L211</f>
        <v>2</v>
      </c>
      <c r="M103">
        <f>生データ!M211</f>
        <v>0</v>
      </c>
      <c r="N103">
        <f>生データ!N211</f>
        <v>0</v>
      </c>
      <c r="O103">
        <f>生データ!O211</f>
        <v>0</v>
      </c>
      <c r="P103" t="str">
        <f>生データ!P211</f>
        <v>D</v>
      </c>
      <c r="Q103">
        <f>生データ!Q211</f>
        <v>0</v>
      </c>
      <c r="R103">
        <f>生データ!R211</f>
        <v>0</v>
      </c>
      <c r="S103">
        <f>生データ!S211</f>
        <v>0</v>
      </c>
      <c r="T103">
        <f>生データ!T211</f>
        <v>0.7</v>
      </c>
      <c r="U103" t="str">
        <f>生データ!U211</f>
        <v>dead</v>
      </c>
      <c r="V103">
        <f>COUNTIF(怪しいデータを手直し!F$2:F$701,Sheet5!F103)</f>
        <v>1</v>
      </c>
    </row>
    <row r="104" spans="1:22">
      <c r="A104">
        <f>生データ!A212</f>
        <v>30</v>
      </c>
      <c r="B104">
        <f>生データ!B212</f>
        <v>0</v>
      </c>
      <c r="C104">
        <f>生データ!C212</f>
        <v>33.817488071652981</v>
      </c>
      <c r="D104">
        <f>生データ!D212</f>
        <v>9.145595846620802</v>
      </c>
      <c r="E104">
        <f>生データ!E212</f>
        <v>0</v>
      </c>
      <c r="F104">
        <f>IF(生データ!E212="Wr",3000+生データ!F212,IF(生データ!E212="Wb",4000+生データ!F212,生データ!F212))</f>
        <v>252</v>
      </c>
      <c r="G104" t="str">
        <f>生データ!G212</f>
        <v>bp</v>
      </c>
      <c r="H104">
        <f>生データ!H212</f>
        <v>0</v>
      </c>
      <c r="I104">
        <f>生データ!I212</f>
        <v>0.73</v>
      </c>
      <c r="J104">
        <f>生データ!J212</f>
        <v>0</v>
      </c>
      <c r="K104">
        <f>生データ!K212</f>
        <v>10.8</v>
      </c>
      <c r="L104">
        <f>生データ!L212</f>
        <v>2.5</v>
      </c>
      <c r="M104">
        <f>生データ!M212</f>
        <v>0.7</v>
      </c>
      <c r="N104">
        <f>生データ!N212</f>
        <v>0</v>
      </c>
      <c r="O104">
        <f>生データ!O212</f>
        <v>0</v>
      </c>
      <c r="P104" t="str">
        <f>生データ!P212</f>
        <v>L</v>
      </c>
      <c r="Q104">
        <f>生データ!Q212</f>
        <v>0</v>
      </c>
      <c r="R104">
        <f>生データ!R212</f>
        <v>0</v>
      </c>
      <c r="S104">
        <f>生データ!S212</f>
        <v>0</v>
      </c>
      <c r="T104">
        <f>生データ!T212</f>
        <v>0.73</v>
      </c>
      <c r="U104">
        <f>生データ!U212</f>
        <v>10.8</v>
      </c>
      <c r="V104">
        <f>COUNTIF(怪しいデータを手直し!F$2:F$701,Sheet5!F104)</f>
        <v>1</v>
      </c>
    </row>
    <row r="105" spans="1:22">
      <c r="A105">
        <f>生データ!A213</f>
        <v>0</v>
      </c>
      <c r="B105">
        <f>生データ!B213</f>
        <v>-20</v>
      </c>
      <c r="C105">
        <f>生データ!C213</f>
        <v>3.4091697728968855</v>
      </c>
      <c r="D105">
        <f>生データ!D213</f>
        <v>-18.835069974797381</v>
      </c>
      <c r="E105">
        <f>生データ!E213</f>
        <v>0</v>
      </c>
      <c r="F105">
        <f>IF(生データ!E213="Wr",3000+生データ!F213,IF(生データ!E213="Wb",4000+生データ!F213,生データ!F213))</f>
        <v>586</v>
      </c>
      <c r="G105" t="str">
        <f>生データ!G213</f>
        <v>lc</v>
      </c>
      <c r="H105">
        <f>生データ!H213</f>
        <v>0</v>
      </c>
      <c r="I105">
        <f>生データ!I213</f>
        <v>0.73</v>
      </c>
      <c r="J105">
        <f>生データ!J213</f>
        <v>0</v>
      </c>
      <c r="K105">
        <f>生データ!K213</f>
        <v>13.1</v>
      </c>
      <c r="L105">
        <f>生データ!L213</f>
        <v>1.6</v>
      </c>
      <c r="M105">
        <f>生データ!M213</f>
        <v>0.1</v>
      </c>
      <c r="N105">
        <f>生データ!N213</f>
        <v>0</v>
      </c>
      <c r="O105">
        <f>生データ!O213</f>
        <v>0</v>
      </c>
      <c r="P105" t="str">
        <f>生データ!P213</f>
        <v>L</v>
      </c>
      <c r="Q105">
        <f>生データ!Q213</f>
        <v>0</v>
      </c>
      <c r="R105">
        <f>生データ!R213</f>
        <v>0</v>
      </c>
      <c r="S105">
        <f>生データ!S213</f>
        <v>0</v>
      </c>
      <c r="T105">
        <f>生データ!T213</f>
        <v>0.73</v>
      </c>
      <c r="U105">
        <f>生データ!U213</f>
        <v>13.1</v>
      </c>
      <c r="V105">
        <f>COUNTIF(怪しいデータを手直し!F$2:F$701,Sheet5!F105)</f>
        <v>1</v>
      </c>
    </row>
    <row r="106" spans="1:22">
      <c r="A106">
        <f>生データ!A214</f>
        <v>10</v>
      </c>
      <c r="B106">
        <f>生データ!B214</f>
        <v>-30</v>
      </c>
      <c r="C106">
        <f>生データ!C214</f>
        <v>11.494315595062826</v>
      </c>
      <c r="D106">
        <f>生データ!D214</f>
        <v>-22.19747141833485</v>
      </c>
      <c r="E106">
        <f>生データ!E214</f>
        <v>0</v>
      </c>
      <c r="F106">
        <f>IF(生データ!E214="Wr",3000+生データ!F214,IF(生データ!E214="Wb",4000+生データ!F214,生データ!F214))</f>
        <v>616</v>
      </c>
      <c r="G106" t="str">
        <f>生データ!G214</f>
        <v>lc</v>
      </c>
      <c r="H106">
        <f>生データ!H214</f>
        <v>0</v>
      </c>
      <c r="I106">
        <f>生データ!I214</f>
        <v>0.74</v>
      </c>
      <c r="J106">
        <f>生データ!J214</f>
        <v>0</v>
      </c>
      <c r="K106">
        <f>生データ!K214</f>
        <v>11.4</v>
      </c>
      <c r="L106">
        <f>生データ!L214</f>
        <v>1.8</v>
      </c>
      <c r="M106">
        <f>生データ!M214</f>
        <v>0</v>
      </c>
      <c r="N106">
        <f>生データ!N214</f>
        <v>0</v>
      </c>
      <c r="O106">
        <f>生データ!O214</f>
        <v>0</v>
      </c>
      <c r="P106" t="str">
        <f>生データ!P214</f>
        <v>L</v>
      </c>
      <c r="Q106">
        <f>生データ!Q214</f>
        <v>0</v>
      </c>
      <c r="R106">
        <f>生データ!R214</f>
        <v>0</v>
      </c>
      <c r="S106">
        <f>生データ!S214</f>
        <v>0</v>
      </c>
      <c r="T106">
        <f>生データ!T214</f>
        <v>0.74</v>
      </c>
      <c r="U106">
        <f>生データ!U214</f>
        <v>11.4</v>
      </c>
      <c r="V106">
        <f>COUNTIF(怪しいデータを手直し!F$2:F$701,Sheet5!F106)</f>
        <v>1</v>
      </c>
    </row>
    <row r="107" spans="1:22">
      <c r="A107">
        <f>生データ!A215</f>
        <v>30</v>
      </c>
      <c r="B107">
        <f>生データ!B215</f>
        <v>0</v>
      </c>
      <c r="C107">
        <f>生データ!C215</f>
        <v>32.51296487374573</v>
      </c>
      <c r="D107">
        <f>生データ!D215</f>
        <v>8.1260144024241967</v>
      </c>
      <c r="E107">
        <f>生データ!E215</f>
        <v>0</v>
      </c>
      <c r="F107">
        <f>IF(生データ!E215="Wr",3000+生データ!F215,IF(生データ!E215="Wb",4000+生データ!F215,生データ!F215))</f>
        <v>254</v>
      </c>
      <c r="G107" t="str">
        <f>生データ!G215</f>
        <v>pt</v>
      </c>
      <c r="H107">
        <f>生データ!H215</f>
        <v>0</v>
      </c>
      <c r="I107">
        <f>生データ!I215</f>
        <v>0.75</v>
      </c>
      <c r="J107">
        <f>生データ!J215</f>
        <v>0</v>
      </c>
      <c r="K107">
        <f>生データ!K215</f>
        <v>13.1</v>
      </c>
      <c r="L107">
        <f>生データ!L215</f>
        <v>2</v>
      </c>
      <c r="M107">
        <f>生データ!M215</f>
        <v>0.7</v>
      </c>
      <c r="N107">
        <f>生データ!N215</f>
        <v>0</v>
      </c>
      <c r="O107">
        <f>生データ!O215</f>
        <v>0</v>
      </c>
      <c r="P107" t="str">
        <f>生データ!P215</f>
        <v>L</v>
      </c>
      <c r="Q107">
        <f>生データ!Q215</f>
        <v>0</v>
      </c>
      <c r="R107">
        <f>生データ!R215</f>
        <v>0</v>
      </c>
      <c r="S107">
        <f>生データ!S215</f>
        <v>0</v>
      </c>
      <c r="T107">
        <f>生データ!T215</f>
        <v>0.75</v>
      </c>
      <c r="U107">
        <f>生データ!U215</f>
        <v>13.1</v>
      </c>
      <c r="V107">
        <f>COUNTIF(怪しいデータを手直し!F$2:F$701,Sheet5!F107)</f>
        <v>1</v>
      </c>
    </row>
    <row r="108" spans="1:22">
      <c r="A108">
        <f>生データ!A216</f>
        <v>40</v>
      </c>
      <c r="B108">
        <f>生データ!B216</f>
        <v>40</v>
      </c>
      <c r="C108">
        <f>生データ!C216</f>
        <v>41.788521062382372</v>
      </c>
      <c r="D108">
        <f>生データ!D216</f>
        <v>44.856255106258537</v>
      </c>
      <c r="E108">
        <f>生データ!E216</f>
        <v>0</v>
      </c>
      <c r="F108">
        <f>IF(生データ!E216="Wr",3000+生データ!F216,IF(生データ!E216="Wb",4000+生データ!F216,生データ!F216))</f>
        <v>355</v>
      </c>
      <c r="G108" t="str">
        <f>生データ!G216</f>
        <v>lc</v>
      </c>
      <c r="H108">
        <f>生データ!H216</f>
        <v>0</v>
      </c>
      <c r="I108">
        <f>生データ!I216</f>
        <v>0.75</v>
      </c>
      <c r="J108" t="str">
        <f>生データ!J216</f>
        <v>dead</v>
      </c>
      <c r="K108">
        <f>生データ!K216</f>
        <v>0</v>
      </c>
      <c r="L108">
        <f>生データ!L216</f>
        <v>1.8</v>
      </c>
      <c r="M108">
        <f>生データ!M216</f>
        <v>0.2</v>
      </c>
      <c r="N108">
        <f>生データ!N216</f>
        <v>0</v>
      </c>
      <c r="O108">
        <f>生データ!O216</f>
        <v>0</v>
      </c>
      <c r="P108" t="str">
        <f>生データ!P216</f>
        <v>L</v>
      </c>
      <c r="Q108">
        <f>生データ!Q216</f>
        <v>0</v>
      </c>
      <c r="R108">
        <f>生データ!R216</f>
        <v>0</v>
      </c>
      <c r="S108">
        <f>生データ!S216</f>
        <v>0</v>
      </c>
      <c r="T108">
        <f>生データ!T216</f>
        <v>0.75</v>
      </c>
      <c r="U108" t="str">
        <f>生データ!U216</f>
        <v>dead</v>
      </c>
      <c r="V108">
        <f>COUNTIF(怪しいデータを手直し!F$2:F$701,Sheet5!F108)</f>
        <v>1</v>
      </c>
    </row>
    <row r="109" spans="1:22">
      <c r="A109">
        <f>生データ!A217</f>
        <v>0</v>
      </c>
      <c r="B109">
        <f>生データ!B217</f>
        <v>-10</v>
      </c>
      <c r="C109">
        <f>生データ!C217</f>
        <v>1.7255461288273115</v>
      </c>
      <c r="D109">
        <f>生データ!D217</f>
        <v>-2.0859308470743647</v>
      </c>
      <c r="E109">
        <f>生データ!E217</f>
        <v>0</v>
      </c>
      <c r="F109">
        <f>IF(生データ!E217="Wr",3000+生データ!F217,IF(生データ!E217="Wb",4000+生データ!F217,生データ!F217))</f>
        <v>403</v>
      </c>
      <c r="G109" t="str">
        <f>生データ!G217</f>
        <v>lc</v>
      </c>
      <c r="H109">
        <f>生データ!H217</f>
        <v>0</v>
      </c>
      <c r="I109">
        <f>生データ!I217</f>
        <v>0.75</v>
      </c>
      <c r="J109">
        <f>生データ!J217</f>
        <v>0</v>
      </c>
      <c r="K109">
        <f>生データ!K217</f>
        <v>11.5</v>
      </c>
      <c r="L109">
        <f>生データ!L217</f>
        <v>1.8</v>
      </c>
      <c r="M109">
        <f>生データ!M217</f>
        <v>0</v>
      </c>
      <c r="N109">
        <f>生データ!N217</f>
        <v>0</v>
      </c>
      <c r="O109">
        <f>生データ!O217</f>
        <v>0</v>
      </c>
      <c r="P109" t="str">
        <f>生データ!P217</f>
        <v>L</v>
      </c>
      <c r="Q109">
        <f>生データ!Q217</f>
        <v>0</v>
      </c>
      <c r="R109">
        <f>生データ!R217</f>
        <v>0</v>
      </c>
      <c r="S109">
        <f>生データ!S217</f>
        <v>0</v>
      </c>
      <c r="T109">
        <f>生データ!T217</f>
        <v>0.75</v>
      </c>
      <c r="U109">
        <f>生データ!U217</f>
        <v>11.5</v>
      </c>
      <c r="V109">
        <f>COUNTIF(怪しいデータを手直し!F$2:F$701,Sheet5!F109)</f>
        <v>1</v>
      </c>
    </row>
    <row r="110" spans="1:22">
      <c r="A110">
        <f>生データ!A218</f>
        <v>0</v>
      </c>
      <c r="B110">
        <f>生データ!B218</f>
        <v>0</v>
      </c>
      <c r="C110">
        <f>生データ!C218</f>
        <v>4.3575671820445905</v>
      </c>
      <c r="D110">
        <f>生データ!D218</f>
        <v>8.8929986924760307</v>
      </c>
      <c r="E110">
        <f>生データ!E218</f>
        <v>0</v>
      </c>
      <c r="F110">
        <f>IF(生データ!E218="Wr",3000+生データ!F218,IF(生データ!E218="Wb",4000+生データ!F218,生データ!F218))</f>
        <v>12</v>
      </c>
      <c r="G110" t="str">
        <f>生データ!G218</f>
        <v>bp</v>
      </c>
      <c r="H110">
        <f>生データ!H218</f>
        <v>0</v>
      </c>
      <c r="I110">
        <f>生データ!I218</f>
        <v>0.76</v>
      </c>
      <c r="J110">
        <f>生データ!J218</f>
        <v>0</v>
      </c>
      <c r="K110">
        <f>生データ!K218</f>
        <v>7.1</v>
      </c>
      <c r="L110">
        <f>生データ!L218</f>
        <v>2.1</v>
      </c>
      <c r="M110">
        <f>生データ!M218</f>
        <v>0.7</v>
      </c>
      <c r="N110">
        <f>生データ!N218</f>
        <v>0</v>
      </c>
      <c r="O110">
        <f>生データ!O218</f>
        <v>0</v>
      </c>
      <c r="P110" t="str">
        <f>生データ!P218</f>
        <v>L</v>
      </c>
      <c r="Q110">
        <f>生データ!Q218</f>
        <v>0</v>
      </c>
      <c r="R110">
        <f>生データ!R218</f>
        <v>0</v>
      </c>
      <c r="S110" t="str">
        <f>生データ!S218</f>
        <v>top broken</v>
      </c>
      <c r="T110">
        <f>生データ!T218</f>
        <v>0.76</v>
      </c>
      <c r="U110">
        <f>生データ!U218</f>
        <v>7.1</v>
      </c>
      <c r="V110">
        <f>COUNTIF(怪しいデータを手直し!F$2:F$701,Sheet5!F110)</f>
        <v>1</v>
      </c>
    </row>
    <row r="111" spans="1:22">
      <c r="A111">
        <f>生データ!A219</f>
        <v>30</v>
      </c>
      <c r="B111">
        <f>生データ!B219</f>
        <v>10</v>
      </c>
      <c r="C111">
        <f>生データ!C219</f>
        <v>31.992592005271483</v>
      </c>
      <c r="D111">
        <f>生データ!D219</f>
        <v>17.257432389068928</v>
      </c>
      <c r="E111">
        <f>生データ!E219</f>
        <v>0</v>
      </c>
      <c r="F111">
        <f>IF(生データ!E219="Wr",3000+生データ!F219,IF(生データ!E219="Wb",4000+生データ!F219,生データ!F219))</f>
        <v>230</v>
      </c>
      <c r="G111" t="str">
        <f>生データ!G219</f>
        <v>bp</v>
      </c>
      <c r="H111">
        <f>生データ!H219</f>
        <v>0</v>
      </c>
      <c r="I111">
        <f>生データ!I219</f>
        <v>0.76</v>
      </c>
      <c r="J111">
        <f>生データ!J219</f>
        <v>0</v>
      </c>
      <c r="K111">
        <f>生データ!K219</f>
        <v>12.3</v>
      </c>
      <c r="L111">
        <f>生データ!L219</f>
        <v>2.1</v>
      </c>
      <c r="M111">
        <f>生データ!M219</f>
        <v>0.7</v>
      </c>
      <c r="N111">
        <f>生データ!N219</f>
        <v>0</v>
      </c>
      <c r="O111">
        <f>生データ!O219</f>
        <v>0</v>
      </c>
      <c r="P111" t="str">
        <f>生データ!P219</f>
        <v>L</v>
      </c>
      <c r="Q111">
        <f>生データ!Q219</f>
        <v>0</v>
      </c>
      <c r="R111">
        <f>生データ!R219</f>
        <v>0</v>
      </c>
      <c r="S111">
        <f>生データ!S219</f>
        <v>0</v>
      </c>
      <c r="T111">
        <f>生データ!T219</f>
        <v>0.76</v>
      </c>
      <c r="U111">
        <f>生データ!U219</f>
        <v>12.3</v>
      </c>
      <c r="V111">
        <f>COUNTIF(怪しいデータを手直し!F$2:F$701,Sheet5!F111)</f>
        <v>1</v>
      </c>
    </row>
    <row r="112" spans="1:22">
      <c r="A112">
        <f>生データ!A220</f>
        <v>40</v>
      </c>
      <c r="B112">
        <f>生データ!B220</f>
        <v>30</v>
      </c>
      <c r="C112">
        <f>生データ!C220</f>
        <v>49.026122660403686</v>
      </c>
      <c r="D112">
        <f>生データ!D220</f>
        <v>30.067630548181324</v>
      </c>
      <c r="E112">
        <f>生データ!E220</f>
        <v>0</v>
      </c>
      <c r="F112">
        <f>IF(生データ!E220="Wr",3000+生データ!F220,IF(生データ!E220="Wb",4000+生データ!F220,生データ!F220))</f>
        <v>319</v>
      </c>
      <c r="G112" t="str">
        <f>生データ!G220</f>
        <v>af</v>
      </c>
      <c r="H112">
        <f>生データ!H220</f>
        <v>0</v>
      </c>
      <c r="I112">
        <f>生データ!I220</f>
        <v>0.78</v>
      </c>
      <c r="J112">
        <f>生データ!J220</f>
        <v>0</v>
      </c>
      <c r="K112">
        <f>生データ!K220</f>
        <v>9</v>
      </c>
      <c r="L112">
        <f>生データ!L220</f>
        <v>1.6</v>
      </c>
      <c r="M112">
        <f>生データ!M220</f>
        <v>0.2</v>
      </c>
      <c r="N112">
        <f>生データ!N220</f>
        <v>0</v>
      </c>
      <c r="O112">
        <f>生データ!O220</f>
        <v>0</v>
      </c>
      <c r="P112" t="str">
        <f>生データ!P220</f>
        <v>L</v>
      </c>
      <c r="Q112">
        <f>生データ!Q220</f>
        <v>0</v>
      </c>
      <c r="R112">
        <f>生データ!R220</f>
        <v>0</v>
      </c>
      <c r="S112">
        <f>生データ!S220</f>
        <v>0</v>
      </c>
      <c r="T112">
        <f>生データ!T220</f>
        <v>0.78</v>
      </c>
      <c r="U112">
        <f>生データ!U220</f>
        <v>9</v>
      </c>
      <c r="V112">
        <f>COUNTIF(怪しいデータを手直し!F$2:F$701,Sheet5!F112)</f>
        <v>1</v>
      </c>
    </row>
    <row r="113" spans="1:22">
      <c r="A113">
        <f>生データ!A221</f>
        <v>40</v>
      </c>
      <c r="B113">
        <f>生データ!B221</f>
        <v>-30</v>
      </c>
      <c r="C113">
        <f>生データ!C221</f>
        <v>48.268851088723402</v>
      </c>
      <c r="D113">
        <f>生データ!D221</f>
        <v>-23.650476667238095</v>
      </c>
      <c r="E113">
        <f>生データ!E221</f>
        <v>0</v>
      </c>
      <c r="F113">
        <f>IF(生データ!E221="Wr",3000+生データ!F221,IF(生データ!E221="Wb",4000+生データ!F221,生データ!F221))</f>
        <v>700</v>
      </c>
      <c r="G113" t="str">
        <f>生データ!G221</f>
        <v>bp</v>
      </c>
      <c r="H113">
        <f>生データ!H221</f>
        <v>0</v>
      </c>
      <c r="I113">
        <f>生データ!I221</f>
        <v>0.79</v>
      </c>
      <c r="J113">
        <f>生データ!J221</f>
        <v>0</v>
      </c>
      <c r="K113">
        <f>生データ!K221</f>
        <v>11</v>
      </c>
      <c r="L113">
        <f>生データ!L221</f>
        <v>2.4</v>
      </c>
      <c r="M113">
        <f>生データ!M221</f>
        <v>1.3</v>
      </c>
      <c r="N113">
        <f>生データ!N221</f>
        <v>0</v>
      </c>
      <c r="O113">
        <f>生データ!O221</f>
        <v>0</v>
      </c>
      <c r="P113" t="str">
        <f>生データ!P221</f>
        <v>L</v>
      </c>
      <c r="Q113">
        <f>生データ!Q221</f>
        <v>0</v>
      </c>
      <c r="R113">
        <f>生データ!R221</f>
        <v>0</v>
      </c>
      <c r="S113">
        <f>生データ!S221</f>
        <v>0</v>
      </c>
      <c r="T113">
        <f>生データ!T221</f>
        <v>0.79</v>
      </c>
      <c r="U113">
        <f>生データ!U221</f>
        <v>11</v>
      </c>
      <c r="V113">
        <f>COUNTIF(怪しいデータを手直し!F$2:F$701,Sheet5!F113)</f>
        <v>1</v>
      </c>
    </row>
    <row r="114" spans="1:22">
      <c r="A114">
        <f>生データ!A222</f>
        <v>10</v>
      </c>
      <c r="B114">
        <f>生データ!B222</f>
        <v>40</v>
      </c>
      <c r="C114">
        <f>生データ!C222</f>
        <v>10.977000017227384</v>
      </c>
      <c r="D114">
        <f>生データ!D222</f>
        <v>48.181556777954015</v>
      </c>
      <c r="E114">
        <f>生データ!E222</f>
        <v>0</v>
      </c>
      <c r="F114">
        <f>IF(生データ!E222="Wr",3000+生データ!F222,IF(生データ!E222="Wb",4000+生データ!F222,生データ!F222))</f>
        <v>72</v>
      </c>
      <c r="G114" t="str">
        <f>生データ!G222</f>
        <v>lc</v>
      </c>
      <c r="H114">
        <f>生データ!H222</f>
        <v>0</v>
      </c>
      <c r="I114">
        <f>生データ!I222</f>
        <v>0.8</v>
      </c>
      <c r="J114">
        <f>生データ!J222</f>
        <v>0</v>
      </c>
      <c r="K114">
        <f>生データ!K222</f>
        <v>12.3</v>
      </c>
      <c r="L114">
        <f>生データ!L222</f>
        <v>1.8</v>
      </c>
      <c r="M114">
        <f>生データ!M222</f>
        <v>0.2</v>
      </c>
      <c r="N114">
        <f>生データ!N222</f>
        <v>0</v>
      </c>
      <c r="O114">
        <f>生データ!O222</f>
        <v>0</v>
      </c>
      <c r="P114" t="str">
        <f>生データ!P222</f>
        <v>L</v>
      </c>
      <c r="Q114">
        <f>生データ!Q222</f>
        <v>0</v>
      </c>
      <c r="R114">
        <f>生データ!R222</f>
        <v>0</v>
      </c>
      <c r="S114">
        <f>生データ!S222</f>
        <v>0</v>
      </c>
      <c r="T114">
        <f>生データ!T222</f>
        <v>0.8</v>
      </c>
      <c r="U114">
        <f>生データ!U222</f>
        <v>12.3</v>
      </c>
      <c r="V114">
        <f>COUNTIF(怪しいデータを手直し!F$2:F$701,Sheet5!F114)</f>
        <v>1</v>
      </c>
    </row>
    <row r="115" spans="1:22">
      <c r="A115">
        <f>生データ!A223</f>
        <v>30</v>
      </c>
      <c r="B115">
        <f>生データ!B223</f>
        <v>0</v>
      </c>
      <c r="C115">
        <f>生データ!C223</f>
        <v>39.175844745901799</v>
      </c>
      <c r="D115">
        <f>生データ!D223</f>
        <v>9.4772927717291982</v>
      </c>
      <c r="E115">
        <f>生データ!E223</f>
        <v>0</v>
      </c>
      <c r="F115">
        <f>IF(生データ!E223="Wr",3000+生データ!F223,IF(生データ!E223="Wb",4000+生データ!F223,生データ!F223))</f>
        <v>241</v>
      </c>
      <c r="G115" t="str">
        <f>生データ!G223</f>
        <v>lc</v>
      </c>
      <c r="H115">
        <f>生データ!H223</f>
        <v>0</v>
      </c>
      <c r="I115">
        <f>生データ!I223</f>
        <v>0.8</v>
      </c>
      <c r="J115">
        <f>生データ!J223</f>
        <v>0</v>
      </c>
      <c r="K115">
        <f>生データ!K223</f>
        <v>14.3</v>
      </c>
      <c r="L115">
        <f>生データ!L223</f>
        <v>1.8</v>
      </c>
      <c r="M115">
        <f>生データ!M223</f>
        <v>0.3</v>
      </c>
      <c r="N115">
        <f>生データ!N223</f>
        <v>0</v>
      </c>
      <c r="O115">
        <f>生データ!O223</f>
        <v>0</v>
      </c>
      <c r="P115" t="str">
        <f>生データ!P223</f>
        <v>L</v>
      </c>
      <c r="Q115">
        <f>生データ!Q223</f>
        <v>0</v>
      </c>
      <c r="R115">
        <f>生データ!R223</f>
        <v>0</v>
      </c>
      <c r="S115">
        <f>生データ!S223</f>
        <v>0</v>
      </c>
      <c r="T115">
        <f>生データ!T223</f>
        <v>0.8</v>
      </c>
      <c r="U115">
        <f>生データ!U223</f>
        <v>14.3</v>
      </c>
      <c r="V115">
        <f>COUNTIF(怪しいデータを手直し!F$2:F$701,Sheet5!F115)</f>
        <v>1</v>
      </c>
    </row>
    <row r="116" spans="1:22">
      <c r="A116">
        <f>生データ!A224</f>
        <v>0</v>
      </c>
      <c r="B116">
        <f>生データ!B224</f>
        <v>0</v>
      </c>
      <c r="C116">
        <f>生データ!C224</f>
        <v>4.9059474370510188</v>
      </c>
      <c r="D116">
        <f>生データ!D224</f>
        <v>8.7299100481017451</v>
      </c>
      <c r="E116">
        <f>生データ!E224</f>
        <v>0</v>
      </c>
      <c r="F116">
        <f>IF(生データ!E224="Wr",3000+生データ!F224,IF(生データ!E224="Wb",4000+生データ!F224,生データ!F224))</f>
        <v>14</v>
      </c>
      <c r="G116" t="str">
        <f>生データ!G224</f>
        <v>bp</v>
      </c>
      <c r="H116">
        <f>生データ!H224</f>
        <v>0</v>
      </c>
      <c r="I116">
        <f>生データ!I224</f>
        <v>0.81</v>
      </c>
      <c r="J116">
        <f>生データ!J224</f>
        <v>0</v>
      </c>
      <c r="K116">
        <f>生データ!K224</f>
        <v>13.3</v>
      </c>
      <c r="L116">
        <f>生データ!L224</f>
        <v>2.1</v>
      </c>
      <c r="M116">
        <f>生データ!M224</f>
        <v>0.6</v>
      </c>
      <c r="N116">
        <f>生データ!N224</f>
        <v>0</v>
      </c>
      <c r="O116">
        <f>生データ!O224</f>
        <v>0</v>
      </c>
      <c r="P116" t="str">
        <f>生データ!P224</f>
        <v>L</v>
      </c>
      <c r="Q116">
        <f>生データ!Q224</f>
        <v>0</v>
      </c>
      <c r="R116">
        <f>生データ!R224</f>
        <v>0</v>
      </c>
      <c r="S116">
        <f>生データ!S224</f>
        <v>0</v>
      </c>
      <c r="T116">
        <f>生データ!T224</f>
        <v>0.81</v>
      </c>
      <c r="U116">
        <f>生データ!U224</f>
        <v>13.3</v>
      </c>
      <c r="V116">
        <f>COUNTIF(怪しいデータを手直し!F$2:F$701,Sheet5!F116)</f>
        <v>1</v>
      </c>
    </row>
    <row r="117" spans="1:22">
      <c r="A117">
        <f>生データ!A225</f>
        <v>20</v>
      </c>
      <c r="B117">
        <f>生データ!B225</f>
        <v>-20</v>
      </c>
      <c r="C117">
        <f>生データ!C225</f>
        <v>21.722359954660718</v>
      </c>
      <c r="D117">
        <f>生データ!D225</f>
        <v>-34.630679248749715</v>
      </c>
      <c r="E117">
        <f>生データ!E225</f>
        <v>0</v>
      </c>
      <c r="F117">
        <f>IF(生データ!E225="Wr",3000+生データ!F225,IF(生データ!E225="Wb",4000+生データ!F225,生データ!F225))</f>
        <v>720</v>
      </c>
      <c r="G117" t="str">
        <f>生データ!G225</f>
        <v>pt</v>
      </c>
      <c r="H117">
        <f>生データ!H225</f>
        <v>0</v>
      </c>
      <c r="I117">
        <f>生データ!I225</f>
        <v>0.81</v>
      </c>
      <c r="J117">
        <f>生データ!J225</f>
        <v>0</v>
      </c>
      <c r="K117">
        <f>生データ!K225</f>
        <v>12</v>
      </c>
      <c r="L117">
        <f>生データ!L225</f>
        <v>2.2999999999999998</v>
      </c>
      <c r="M117">
        <f>生データ!M225</f>
        <v>0.1</v>
      </c>
      <c r="N117">
        <f>生データ!N225</f>
        <v>0</v>
      </c>
      <c r="O117">
        <f>生データ!O225</f>
        <v>0</v>
      </c>
      <c r="P117" t="str">
        <f>生データ!P225</f>
        <v>L</v>
      </c>
      <c r="Q117">
        <f>生データ!Q225</f>
        <v>0</v>
      </c>
      <c r="R117">
        <f>生データ!R225</f>
        <v>0</v>
      </c>
      <c r="S117" t="str">
        <f>生データ!S225</f>
        <v>New　No785　whiteBlue</v>
      </c>
      <c r="T117">
        <f>生データ!T225</f>
        <v>0.81</v>
      </c>
      <c r="U117">
        <f>生データ!U225</f>
        <v>12</v>
      </c>
      <c r="V117">
        <f>COUNTIF(怪しいデータを手直し!F$2:F$701,Sheet5!F117)</f>
        <v>1</v>
      </c>
    </row>
    <row r="118" spans="1:22">
      <c r="A118">
        <f>生データ!A226</f>
        <v>10</v>
      </c>
      <c r="B118">
        <f>生データ!B226</f>
        <v>30</v>
      </c>
      <c r="C118">
        <f>生データ!C226</f>
        <v>17.134050908049542</v>
      </c>
      <c r="D118">
        <f>生データ!D226</f>
        <v>31.254967768961702</v>
      </c>
      <c r="E118">
        <f>生データ!E226</f>
        <v>0</v>
      </c>
      <c r="F118">
        <f>IF(生データ!E226="Wr",3000+生データ!F226,IF(生データ!E226="Wb",4000+生データ!F226,生データ!F226))</f>
        <v>86</v>
      </c>
      <c r="G118" t="str">
        <f>生データ!G226</f>
        <v>lc</v>
      </c>
      <c r="H118">
        <f>生データ!H226</f>
        <v>0</v>
      </c>
      <c r="I118">
        <f>生データ!I226</f>
        <v>0.82</v>
      </c>
      <c r="J118">
        <f>生データ!J226</f>
        <v>0</v>
      </c>
      <c r="K118">
        <f>生データ!K226</f>
        <v>15.8</v>
      </c>
      <c r="L118">
        <f>生データ!L226</f>
        <v>1.8</v>
      </c>
      <c r="M118">
        <f>生データ!M226</f>
        <v>0.1</v>
      </c>
      <c r="N118">
        <f>生データ!N226</f>
        <v>0</v>
      </c>
      <c r="O118">
        <f>生データ!O226</f>
        <v>0</v>
      </c>
      <c r="P118" t="str">
        <f>生データ!P226</f>
        <v>L</v>
      </c>
      <c r="Q118">
        <f>生データ!Q226</f>
        <v>0</v>
      </c>
      <c r="R118">
        <f>生データ!R226</f>
        <v>0</v>
      </c>
      <c r="S118">
        <f>生データ!S226</f>
        <v>0</v>
      </c>
      <c r="T118">
        <f>生データ!T226</f>
        <v>0.82</v>
      </c>
      <c r="U118">
        <f>生データ!U226</f>
        <v>15.8</v>
      </c>
      <c r="V118">
        <f>COUNTIF(怪しいデータを手直し!F$2:F$701,Sheet5!F118)</f>
        <v>1</v>
      </c>
    </row>
    <row r="119" spans="1:22">
      <c r="A119">
        <f>生データ!A227</f>
        <v>40</v>
      </c>
      <c r="B119">
        <f>生データ!B227</f>
        <v>30</v>
      </c>
      <c r="C119">
        <f>生データ!C227</f>
        <v>49.93570259265578</v>
      </c>
      <c r="D119">
        <f>生データ!D227</f>
        <v>30.790224441203314</v>
      </c>
      <c r="E119">
        <f>生データ!E227</f>
        <v>0</v>
      </c>
      <c r="F119">
        <f>IF(生データ!E227="Wr",3000+生データ!F227,IF(生データ!E227="Wb",4000+生データ!F227,生データ!F227))</f>
        <v>339</v>
      </c>
      <c r="G119" t="str">
        <f>生データ!G227</f>
        <v>af</v>
      </c>
      <c r="H119">
        <f>生データ!H227</f>
        <v>0</v>
      </c>
      <c r="I119">
        <f>生データ!I227</f>
        <v>0.83</v>
      </c>
      <c r="J119" t="str">
        <f>生データ!J227</f>
        <v>dead</v>
      </c>
      <c r="K119">
        <f>生データ!K227</f>
        <v>0</v>
      </c>
      <c r="L119">
        <f>生データ!L227</f>
        <v>1.5</v>
      </c>
      <c r="M119">
        <f>生データ!M227</f>
        <v>1</v>
      </c>
      <c r="N119">
        <f>生データ!N227</f>
        <v>0</v>
      </c>
      <c r="O119">
        <f>生データ!O227</f>
        <v>0</v>
      </c>
      <c r="P119" t="str">
        <f>生データ!P227</f>
        <v>L</v>
      </c>
      <c r="Q119">
        <f>生データ!Q227</f>
        <v>0</v>
      </c>
      <c r="R119">
        <f>生データ!R227</f>
        <v>0</v>
      </c>
      <c r="S119">
        <f>生データ!S227</f>
        <v>0</v>
      </c>
      <c r="T119">
        <f>生データ!T227</f>
        <v>0.83</v>
      </c>
      <c r="U119" t="str">
        <f>生データ!U227</f>
        <v>dead</v>
      </c>
      <c r="V119">
        <f>COUNTIF(怪しいデータを手直し!F$2:F$701,Sheet5!F119)</f>
        <v>1</v>
      </c>
    </row>
    <row r="120" spans="1:22">
      <c r="A120">
        <f>生データ!A228</f>
        <v>40</v>
      </c>
      <c r="B120">
        <f>生データ!B228</f>
        <v>20</v>
      </c>
      <c r="C120">
        <f>生データ!C228</f>
        <v>41.818732140228228</v>
      </c>
      <c r="D120">
        <f>生データ!D228</f>
        <v>29.333872218834813</v>
      </c>
      <c r="E120">
        <f>生データ!E228</f>
        <v>0</v>
      </c>
      <c r="F120">
        <f>IF(生データ!E228="Wr",3000+生データ!F228,IF(生データ!E228="Wb",4000+生データ!F228,生データ!F228))</f>
        <v>308</v>
      </c>
      <c r="G120" t="str">
        <f>生データ!G228</f>
        <v>bp</v>
      </c>
      <c r="H120">
        <f>生データ!H228</f>
        <v>0</v>
      </c>
      <c r="I120">
        <f>生データ!I228</f>
        <v>0.84</v>
      </c>
      <c r="J120">
        <f>生データ!J228</f>
        <v>0</v>
      </c>
      <c r="K120">
        <f>生データ!K228</f>
        <v>11.3</v>
      </c>
      <c r="L120">
        <f>生データ!L228</f>
        <v>1.6</v>
      </c>
      <c r="M120">
        <f>生データ!M228</f>
        <v>1</v>
      </c>
      <c r="N120">
        <f>生データ!N228</f>
        <v>0</v>
      </c>
      <c r="O120">
        <f>生データ!O228</f>
        <v>0</v>
      </c>
      <c r="P120" t="str">
        <f>生データ!P228</f>
        <v>L</v>
      </c>
      <c r="Q120">
        <f>生データ!Q228</f>
        <v>0</v>
      </c>
      <c r="R120">
        <f>生データ!R228</f>
        <v>0</v>
      </c>
      <c r="S120">
        <f>生データ!S228</f>
        <v>0</v>
      </c>
      <c r="T120">
        <f>生データ!T228</f>
        <v>0.84</v>
      </c>
      <c r="U120">
        <f>生データ!U228</f>
        <v>11.3</v>
      </c>
      <c r="V120">
        <f>COUNTIF(怪しいデータを手直し!F$2:F$701,Sheet5!F120)</f>
        <v>1</v>
      </c>
    </row>
    <row r="121" spans="1:22">
      <c r="A121">
        <f>生データ!A229</f>
        <v>20</v>
      </c>
      <c r="B121">
        <f>生データ!B229</f>
        <v>-20</v>
      </c>
      <c r="C121">
        <f>生データ!C229</f>
        <v>27.200450190790999</v>
      </c>
      <c r="D121">
        <f>生データ!D229</f>
        <v>-13.143870970885699</v>
      </c>
      <c r="E121">
        <f>生データ!E229</f>
        <v>0</v>
      </c>
      <c r="F121">
        <f>IF(生データ!E229="Wr",3000+生データ!F229,IF(生データ!E229="Wb",4000+生データ!F229,生データ!F229))</f>
        <v>544</v>
      </c>
      <c r="G121" t="str">
        <f>生データ!G229</f>
        <v>bp</v>
      </c>
      <c r="H121">
        <f>生データ!H229</f>
        <v>0</v>
      </c>
      <c r="I121">
        <f>生データ!I229</f>
        <v>0.84</v>
      </c>
      <c r="J121">
        <f>生データ!J229</f>
        <v>0</v>
      </c>
      <c r="K121">
        <f>生データ!K229</f>
        <v>9.5</v>
      </c>
      <c r="L121">
        <f>生データ!L229</f>
        <v>2.6</v>
      </c>
      <c r="M121">
        <f>生データ!M229</f>
        <v>1.5</v>
      </c>
      <c r="N121">
        <f>生データ!N229</f>
        <v>0</v>
      </c>
      <c r="O121">
        <f>生データ!O229</f>
        <v>0</v>
      </c>
      <c r="P121" t="str">
        <f>生データ!P229</f>
        <v>L</v>
      </c>
      <c r="Q121">
        <f>生データ!Q229</f>
        <v>0</v>
      </c>
      <c r="R121">
        <f>生データ!R229</f>
        <v>0</v>
      </c>
      <c r="S121">
        <f>生データ!S229</f>
        <v>0</v>
      </c>
      <c r="T121">
        <f>生データ!T229</f>
        <v>0.84</v>
      </c>
      <c r="U121">
        <f>生データ!U229</f>
        <v>9.5</v>
      </c>
      <c r="V121">
        <f>COUNTIF(怪しいデータを手直し!F$2:F$701,Sheet5!F121)</f>
        <v>1</v>
      </c>
    </row>
    <row r="122" spans="1:22">
      <c r="A122">
        <f>生データ!A230</f>
        <v>20</v>
      </c>
      <c r="B122">
        <f>生データ!B230</f>
        <v>-20</v>
      </c>
      <c r="C122">
        <f>生データ!C230</f>
        <v>27.711031855444549</v>
      </c>
      <c r="D122">
        <f>生データ!D230</f>
        <v>-18.928457982322666</v>
      </c>
      <c r="E122">
        <f>生データ!E230</f>
        <v>0</v>
      </c>
      <c r="F122">
        <f>IF(生データ!E230="Wr",3000+生データ!F230,IF(生データ!E230="Wb",4000+生データ!F230,生データ!F230))</f>
        <v>564</v>
      </c>
      <c r="G122" t="str">
        <f>生データ!G230</f>
        <v>bp</v>
      </c>
      <c r="H122">
        <f>生データ!H230</f>
        <v>0</v>
      </c>
      <c r="I122">
        <f>生データ!I230</f>
        <v>0.84</v>
      </c>
      <c r="J122">
        <f>生データ!J230</f>
        <v>0</v>
      </c>
      <c r="K122">
        <f>生データ!K230</f>
        <v>12.5</v>
      </c>
      <c r="L122">
        <f>生データ!L230</f>
        <v>2.2000000000000002</v>
      </c>
      <c r="M122">
        <f>生データ!M230</f>
        <v>0.6</v>
      </c>
      <c r="N122">
        <f>生データ!N230</f>
        <v>0</v>
      </c>
      <c r="O122">
        <f>生データ!O230</f>
        <v>0</v>
      </c>
      <c r="P122" t="str">
        <f>生データ!P230</f>
        <v>L</v>
      </c>
      <c r="Q122">
        <f>生データ!Q230</f>
        <v>0</v>
      </c>
      <c r="R122">
        <f>生データ!R230</f>
        <v>0</v>
      </c>
      <c r="S122" t="str">
        <f>生データ!S230</f>
        <v>New No754</v>
      </c>
      <c r="T122">
        <f>生データ!T230</f>
        <v>0.84</v>
      </c>
      <c r="U122">
        <f>生データ!U230</f>
        <v>12.5</v>
      </c>
      <c r="V122">
        <f>COUNTIF(怪しいデータを手直し!F$2:F$701,Sheet5!F122)</f>
        <v>1</v>
      </c>
    </row>
    <row r="123" spans="1:22">
      <c r="A123">
        <f>生データ!A231</f>
        <v>20</v>
      </c>
      <c r="B123">
        <f>生データ!B231</f>
        <v>0</v>
      </c>
      <c r="C123">
        <f>生データ!C231</f>
        <v>26.528558261896087</v>
      </c>
      <c r="D123">
        <f>生データ!D231</f>
        <v>4.760706567415002</v>
      </c>
      <c r="E123">
        <f>生データ!E231</f>
        <v>0</v>
      </c>
      <c r="F123">
        <f>IF(生データ!E231="Wr",3000+生データ!F231,IF(生データ!E231="Wb",4000+生データ!F231,生データ!F231))</f>
        <v>120</v>
      </c>
      <c r="G123" t="str">
        <f>生データ!G231</f>
        <v>pt</v>
      </c>
      <c r="H123">
        <f>生データ!H231</f>
        <v>0</v>
      </c>
      <c r="I123">
        <f>生データ!I231</f>
        <v>0.85</v>
      </c>
      <c r="J123">
        <f>生データ!J231</f>
        <v>0</v>
      </c>
      <c r="K123">
        <f>生データ!K231</f>
        <v>12.7</v>
      </c>
      <c r="L123">
        <f>生データ!L231</f>
        <v>2.2000000000000002</v>
      </c>
      <c r="M123">
        <f>生データ!M231</f>
        <v>0.6</v>
      </c>
      <c r="N123">
        <f>生データ!N231</f>
        <v>0</v>
      </c>
      <c r="O123">
        <f>生データ!O231</f>
        <v>0</v>
      </c>
      <c r="P123" t="str">
        <f>生データ!P231</f>
        <v>L</v>
      </c>
      <c r="Q123">
        <f>生データ!Q231</f>
        <v>0</v>
      </c>
      <c r="R123">
        <f>生データ!R231</f>
        <v>0</v>
      </c>
      <c r="S123">
        <f>生データ!S231</f>
        <v>0</v>
      </c>
      <c r="T123">
        <f>生データ!T231</f>
        <v>0.85</v>
      </c>
      <c r="U123">
        <f>生データ!U231</f>
        <v>12.7</v>
      </c>
      <c r="V123">
        <f>COUNTIF(怪しいデータを手直し!F$2:F$701,Sheet5!F123)</f>
        <v>1</v>
      </c>
    </row>
    <row r="124" spans="1:22">
      <c r="A124">
        <f>生データ!A232</f>
        <v>0</v>
      </c>
      <c r="B124">
        <f>生データ!B232</f>
        <v>20</v>
      </c>
      <c r="C124">
        <f>生データ!C232</f>
        <v>6.0533561384906731</v>
      </c>
      <c r="D124">
        <f>生データ!D232</f>
        <v>26.914693012751709</v>
      </c>
      <c r="E124">
        <f>生データ!E232</f>
        <v>0</v>
      </c>
      <c r="F124">
        <f>IF(生データ!E232="Wr",3000+生データ!F232,IF(生データ!E232="Wb",4000+生データ!F232,生データ!F232))</f>
        <v>43</v>
      </c>
      <c r="G124" t="str">
        <f>生データ!G232</f>
        <v>lc</v>
      </c>
      <c r="H124">
        <f>生データ!H232</f>
        <v>0</v>
      </c>
      <c r="I124">
        <f>生データ!I232</f>
        <v>0.86</v>
      </c>
      <c r="J124">
        <f>生データ!J232</f>
        <v>0</v>
      </c>
      <c r="K124">
        <f>生データ!K232</f>
        <v>17.399999999999999</v>
      </c>
      <c r="L124">
        <f>生データ!L232</f>
        <v>1.9</v>
      </c>
      <c r="M124">
        <f>生データ!M232</f>
        <v>0.2</v>
      </c>
      <c r="N124">
        <f>生データ!N232</f>
        <v>0</v>
      </c>
      <c r="O124">
        <f>生データ!O232</f>
        <v>0</v>
      </c>
      <c r="P124" t="str">
        <f>生データ!P232</f>
        <v>L</v>
      </c>
      <c r="Q124">
        <f>生データ!Q232</f>
        <v>0</v>
      </c>
      <c r="R124">
        <f>生データ!R232</f>
        <v>0</v>
      </c>
      <c r="S124">
        <f>生データ!S232</f>
        <v>0</v>
      </c>
      <c r="T124">
        <f>生データ!T232</f>
        <v>0.86</v>
      </c>
      <c r="U124">
        <f>生データ!U232</f>
        <v>17.399999999999999</v>
      </c>
      <c r="V124">
        <f>COUNTIF(怪しいデータを手直し!F$2:F$701,Sheet5!F124)</f>
        <v>1</v>
      </c>
    </row>
    <row r="125" spans="1:22">
      <c r="A125">
        <f>生データ!A233</f>
        <v>40</v>
      </c>
      <c r="B125">
        <f>生データ!B233</f>
        <v>20</v>
      </c>
      <c r="C125">
        <f>生データ!C233</f>
        <v>42.095122478025289</v>
      </c>
      <c r="D125">
        <f>生データ!D233</f>
        <v>29.899743039168619</v>
      </c>
      <c r="E125">
        <f>生データ!E233</f>
        <v>0</v>
      </c>
      <c r="F125">
        <f>IF(生データ!E233="Wr",3000+生データ!F233,IF(生データ!E233="Wb",4000+生データ!F233,生データ!F233))</f>
        <v>314</v>
      </c>
      <c r="G125" t="str">
        <f>生データ!G233</f>
        <v>bp</v>
      </c>
      <c r="H125">
        <f>生データ!H233</f>
        <v>0</v>
      </c>
      <c r="I125">
        <f>生データ!I233</f>
        <v>0.86</v>
      </c>
      <c r="J125">
        <f>生データ!J233</f>
        <v>0</v>
      </c>
      <c r="K125">
        <f>生データ!K233</f>
        <v>10.5</v>
      </c>
      <c r="L125">
        <f>生データ!L233</f>
        <v>2.5</v>
      </c>
      <c r="M125">
        <f>生データ!M233</f>
        <v>0.7</v>
      </c>
      <c r="N125">
        <f>生データ!N233</f>
        <v>0</v>
      </c>
      <c r="O125">
        <f>生データ!O233</f>
        <v>0</v>
      </c>
      <c r="P125" t="str">
        <f>生データ!P233</f>
        <v>L</v>
      </c>
      <c r="Q125">
        <f>生データ!Q233</f>
        <v>0</v>
      </c>
      <c r="R125">
        <f>生データ!R233</f>
        <v>0</v>
      </c>
      <c r="S125">
        <f>生データ!S233</f>
        <v>0</v>
      </c>
      <c r="T125">
        <f>生データ!T233</f>
        <v>0.86</v>
      </c>
      <c r="U125">
        <f>生データ!U233</f>
        <v>10.5</v>
      </c>
      <c r="V125">
        <f>COUNTIF(怪しいデータを手直し!F$2:F$701,Sheet5!F125)</f>
        <v>1</v>
      </c>
    </row>
    <row r="126" spans="1:22">
      <c r="A126">
        <f>生データ!A234</f>
        <v>20</v>
      </c>
      <c r="B126">
        <f>生データ!B234</f>
        <v>-20</v>
      </c>
      <c r="C126">
        <f>生データ!C234</f>
        <v>29.893250275501281</v>
      </c>
      <c r="D126">
        <f>生データ!D234</f>
        <v>-12.955420444935895</v>
      </c>
      <c r="E126">
        <f>生データ!E234</f>
        <v>0</v>
      </c>
      <c r="F126">
        <f>IF(生データ!E234="Wr",3000+生データ!F234,IF(生データ!E234="Wb",4000+生データ!F234,生データ!F234))</f>
        <v>538</v>
      </c>
      <c r="G126" t="str">
        <f>生データ!G234</f>
        <v>bp</v>
      </c>
      <c r="H126">
        <f>生データ!H234</f>
        <v>0</v>
      </c>
      <c r="I126">
        <f>生データ!I234</f>
        <v>0.86</v>
      </c>
      <c r="J126">
        <f>生データ!J234</f>
        <v>0</v>
      </c>
      <c r="K126">
        <f>生データ!K234</f>
        <v>8.8000000000000007</v>
      </c>
      <c r="L126">
        <f>生データ!L234</f>
        <v>1.7</v>
      </c>
      <c r="M126">
        <f>生データ!M234</f>
        <v>0.9</v>
      </c>
      <c r="N126">
        <f>生データ!N234</f>
        <v>0</v>
      </c>
      <c r="O126">
        <f>生データ!O234</f>
        <v>0</v>
      </c>
      <c r="P126" t="str">
        <f>生データ!P234</f>
        <v>L</v>
      </c>
      <c r="Q126">
        <f>生データ!Q234</f>
        <v>0</v>
      </c>
      <c r="R126">
        <f>生データ!R234</f>
        <v>0</v>
      </c>
      <c r="S126">
        <f>生データ!S234</f>
        <v>0</v>
      </c>
      <c r="T126">
        <f>生データ!T234</f>
        <v>0.86</v>
      </c>
      <c r="U126">
        <f>生データ!U234</f>
        <v>8.8000000000000007</v>
      </c>
      <c r="V126">
        <f>COUNTIF(怪しいデータを手直し!F$2:F$701,Sheet5!F126)</f>
        <v>1</v>
      </c>
    </row>
    <row r="127" spans="1:22">
      <c r="A127">
        <f>生データ!A235</f>
        <v>40</v>
      </c>
      <c r="B127">
        <f>生データ!B235</f>
        <v>20</v>
      </c>
      <c r="C127">
        <f>生データ!C235</f>
        <v>42.255591812176434</v>
      </c>
      <c r="D127">
        <f>生データ!D235</f>
        <v>29.924382566855925</v>
      </c>
      <c r="E127">
        <f>生データ!E235</f>
        <v>0</v>
      </c>
      <c r="F127">
        <f>IF(生データ!E235="Wr",3000+生データ!F235,IF(生データ!E235="Wb",4000+生データ!F235,生データ!F235))</f>
        <v>317</v>
      </c>
      <c r="G127" t="str">
        <f>生データ!G235</f>
        <v>bp</v>
      </c>
      <c r="H127">
        <f>生データ!H235</f>
        <v>0</v>
      </c>
      <c r="I127">
        <f>生データ!I235</f>
        <v>0.87</v>
      </c>
      <c r="J127">
        <f>生データ!J235</f>
        <v>0</v>
      </c>
      <c r="K127">
        <f>生データ!K235</f>
        <v>9.9</v>
      </c>
      <c r="L127">
        <f>生データ!L235</f>
        <v>2</v>
      </c>
      <c r="M127">
        <f>生データ!M235</f>
        <v>0.7</v>
      </c>
      <c r="N127">
        <f>生データ!N235</f>
        <v>0</v>
      </c>
      <c r="O127">
        <f>生データ!O235</f>
        <v>0</v>
      </c>
      <c r="P127" t="str">
        <f>生データ!P235</f>
        <v>L</v>
      </c>
      <c r="Q127">
        <f>生データ!Q235</f>
        <v>0</v>
      </c>
      <c r="R127">
        <f>生データ!R235</f>
        <v>0</v>
      </c>
      <c r="S127">
        <f>生データ!S235</f>
        <v>0</v>
      </c>
      <c r="T127">
        <f>生データ!T235</f>
        <v>0.87</v>
      </c>
      <c r="U127">
        <f>生データ!U235</f>
        <v>9.9</v>
      </c>
      <c r="V127">
        <f>COUNTIF(怪しいデータを手直し!F$2:F$701,Sheet5!F127)</f>
        <v>1</v>
      </c>
    </row>
    <row r="128" spans="1:22">
      <c r="A128">
        <f>生データ!A236</f>
        <v>20</v>
      </c>
      <c r="B128">
        <f>生データ!B236</f>
        <v>-20</v>
      </c>
      <c r="C128">
        <f>生データ!C236</f>
        <v>26.855187291478849</v>
      </c>
      <c r="D128">
        <f>生データ!D236</f>
        <v>-19.034179478951081</v>
      </c>
      <c r="E128">
        <f>生データ!E236</f>
        <v>0</v>
      </c>
      <c r="F128">
        <f>IF(生データ!E236="Wr",3000+生データ!F236,IF(生データ!E236="Wb",4000+生データ!F236,生データ!F236))</f>
        <v>567</v>
      </c>
      <c r="G128" t="str">
        <f>生データ!G236</f>
        <v>sb</v>
      </c>
      <c r="H128">
        <f>生データ!H236</f>
        <v>0</v>
      </c>
      <c r="I128">
        <f>生データ!I236</f>
        <v>0.89</v>
      </c>
      <c r="J128" t="str">
        <f>生データ!J236</f>
        <v>dead</v>
      </c>
      <c r="K128">
        <f>生データ!K236</f>
        <v>0</v>
      </c>
      <c r="L128">
        <f>生データ!L236</f>
        <v>1.8</v>
      </c>
      <c r="M128">
        <f>生データ!M236</f>
        <v>0</v>
      </c>
      <c r="N128">
        <f>生データ!N236</f>
        <v>0</v>
      </c>
      <c r="O128">
        <f>生データ!O236</f>
        <v>0</v>
      </c>
      <c r="P128" t="str">
        <f>生データ!P236</f>
        <v>D</v>
      </c>
      <c r="Q128">
        <f>生データ!Q236</f>
        <v>0</v>
      </c>
      <c r="R128">
        <f>生データ!R236</f>
        <v>0</v>
      </c>
      <c r="S128">
        <f>生データ!S236</f>
        <v>0</v>
      </c>
      <c r="T128">
        <f>生データ!T236</f>
        <v>0.89</v>
      </c>
      <c r="U128" t="str">
        <f>生データ!U236</f>
        <v>dead</v>
      </c>
      <c r="V128">
        <f>COUNTIF(怪しいデータを手直し!F$2:F$701,Sheet5!F128)</f>
        <v>1</v>
      </c>
    </row>
    <row r="129" spans="1:22">
      <c r="A129">
        <f>生データ!A237</f>
        <v>20</v>
      </c>
      <c r="B129">
        <f>生データ!B237</f>
        <v>10</v>
      </c>
      <c r="C129">
        <f>生データ!C237</f>
        <v>23.975810626973125</v>
      </c>
      <c r="D129">
        <f>生データ!D237</f>
        <v>10.577472753850401</v>
      </c>
      <c r="E129">
        <f>生データ!E237</f>
        <v>0</v>
      </c>
      <c r="F129">
        <f>IF(生データ!E237="Wr",3000+生データ!F237,IF(生データ!E237="Wb",4000+生データ!F237,生データ!F237))</f>
        <v>138</v>
      </c>
      <c r="G129" t="str">
        <f>生データ!G237</f>
        <v>bp</v>
      </c>
      <c r="H129">
        <f>生データ!H237</f>
        <v>0</v>
      </c>
      <c r="I129">
        <f>生データ!I237</f>
        <v>0.9</v>
      </c>
      <c r="J129">
        <f>生データ!J237</f>
        <v>0</v>
      </c>
      <c r="K129">
        <f>生データ!K237</f>
        <v>14.7</v>
      </c>
      <c r="L129">
        <f>生データ!L237</f>
        <v>1.9</v>
      </c>
      <c r="M129">
        <f>生データ!M237</f>
        <v>0.7</v>
      </c>
      <c r="N129">
        <f>生データ!N237</f>
        <v>0</v>
      </c>
      <c r="O129">
        <f>生データ!O237</f>
        <v>0</v>
      </c>
      <c r="P129" t="str">
        <f>生データ!P237</f>
        <v>L</v>
      </c>
      <c r="Q129">
        <f>生データ!Q237</f>
        <v>0</v>
      </c>
      <c r="R129">
        <f>生データ!R237</f>
        <v>0</v>
      </c>
      <c r="S129">
        <f>生データ!S237</f>
        <v>0</v>
      </c>
      <c r="T129">
        <f>生データ!T237</f>
        <v>0.9</v>
      </c>
      <c r="U129">
        <f>生データ!U237</f>
        <v>14.7</v>
      </c>
      <c r="V129">
        <f>COUNTIF(怪しいデータを手直し!F$2:F$701,Sheet5!F129)</f>
        <v>1</v>
      </c>
    </row>
    <row r="130" spans="1:22">
      <c r="A130">
        <f>生データ!A238</f>
        <v>20</v>
      </c>
      <c r="B130">
        <f>生データ!B238</f>
        <v>-20</v>
      </c>
      <c r="C130">
        <f>生データ!C238</f>
        <v>28.085472499046794</v>
      </c>
      <c r="D130">
        <f>生データ!D238</f>
        <v>-18.593028245562195</v>
      </c>
      <c r="E130">
        <f>生データ!E238</f>
        <v>0</v>
      </c>
      <c r="F130">
        <f>IF(生データ!E238="Wr",3000+生データ!F238,IF(生データ!E238="Wb",4000+生データ!F238,生データ!F238))</f>
        <v>565</v>
      </c>
      <c r="G130" t="str">
        <f>生データ!G238</f>
        <v>bp</v>
      </c>
      <c r="H130">
        <f>生データ!H238</f>
        <v>0</v>
      </c>
      <c r="I130">
        <f>生データ!I238</f>
        <v>0.9</v>
      </c>
      <c r="J130">
        <f>生データ!J238</f>
        <v>0</v>
      </c>
      <c r="K130">
        <f>生データ!K238</f>
        <v>16.5</v>
      </c>
      <c r="L130">
        <f>生データ!L238</f>
        <v>1.8</v>
      </c>
      <c r="M130">
        <f>生データ!M238</f>
        <v>0.5</v>
      </c>
      <c r="N130">
        <f>生データ!N238</f>
        <v>0</v>
      </c>
      <c r="O130">
        <f>生データ!O238</f>
        <v>0</v>
      </c>
      <c r="P130" t="str">
        <f>生データ!P238</f>
        <v>L</v>
      </c>
      <c r="Q130">
        <f>生データ!Q238</f>
        <v>0</v>
      </c>
      <c r="R130">
        <f>生データ!R238</f>
        <v>0</v>
      </c>
      <c r="S130">
        <f>生データ!S238</f>
        <v>0</v>
      </c>
      <c r="T130">
        <f>生データ!T238</f>
        <v>0.9</v>
      </c>
      <c r="U130">
        <f>生データ!U238</f>
        <v>16.5</v>
      </c>
      <c r="V130">
        <f>COUNTIF(怪しいデータを手直し!F$2:F$701,Sheet5!F130)</f>
        <v>1</v>
      </c>
    </row>
    <row r="131" spans="1:22">
      <c r="A131">
        <f>生データ!A239</f>
        <v>40</v>
      </c>
      <c r="B131">
        <f>生データ!B239</f>
        <v>-30</v>
      </c>
      <c r="C131">
        <f>生データ!C239</f>
        <v>44.623379133287443</v>
      </c>
      <c r="D131">
        <f>生データ!D239</f>
        <v>-27.132298558258295</v>
      </c>
      <c r="E131">
        <f>生データ!E239</f>
        <v>0</v>
      </c>
      <c r="F131">
        <f>IF(生データ!E239="Wr",3000+生データ!F239,IF(生データ!E239="Wb",4000+生データ!F239,生データ!F239))</f>
        <v>695</v>
      </c>
      <c r="G131" t="str">
        <f>生データ!G239</f>
        <v>pt</v>
      </c>
      <c r="H131">
        <f>生データ!H239</f>
        <v>0</v>
      </c>
      <c r="I131">
        <f>生データ!I239</f>
        <v>0.9</v>
      </c>
      <c r="J131">
        <f>生データ!J239</f>
        <v>0</v>
      </c>
      <c r="K131">
        <f>生データ!K239</f>
        <v>14.2</v>
      </c>
      <c r="L131">
        <f>生データ!L239</f>
        <v>2.4</v>
      </c>
      <c r="M131">
        <f>生データ!M239</f>
        <v>0.7</v>
      </c>
      <c r="N131">
        <f>生データ!N239</f>
        <v>0</v>
      </c>
      <c r="O131">
        <f>生データ!O239</f>
        <v>0</v>
      </c>
      <c r="P131" t="str">
        <f>生データ!P239</f>
        <v>L</v>
      </c>
      <c r="Q131">
        <f>生データ!Q239</f>
        <v>0</v>
      </c>
      <c r="R131">
        <f>生データ!R239</f>
        <v>0</v>
      </c>
      <c r="S131" t="str">
        <f>生データ!S239</f>
        <v>NewNo 600 white red</v>
      </c>
      <c r="T131">
        <f>生データ!T239</f>
        <v>0.9</v>
      </c>
      <c r="U131">
        <f>生データ!U239</f>
        <v>14.2</v>
      </c>
      <c r="V131">
        <f>COUNTIF(怪しいデータを手直し!F$2:F$701,Sheet5!F131)</f>
        <v>1</v>
      </c>
    </row>
    <row r="132" spans="1:22">
      <c r="A132">
        <f>生データ!A240</f>
        <v>40</v>
      </c>
      <c r="B132">
        <f>生データ!B240</f>
        <v>30</v>
      </c>
      <c r="C132">
        <f>生データ!C240</f>
        <v>41.809840918419845</v>
      </c>
      <c r="D132">
        <f>生データ!D240</f>
        <v>38.003454428666828</v>
      </c>
      <c r="E132">
        <f>生データ!E240</f>
        <v>0</v>
      </c>
      <c r="F132">
        <f>IF(生データ!E240="Wr",3000+生データ!F240,IF(生データ!E240="Wb",4000+生データ!F240,生データ!F240))</f>
        <v>345</v>
      </c>
      <c r="G132" t="str">
        <f>生データ!G240</f>
        <v>lc</v>
      </c>
      <c r="H132">
        <f>生データ!H240</f>
        <v>0</v>
      </c>
      <c r="I132">
        <f>生データ!I240</f>
        <v>0.91</v>
      </c>
      <c r="J132">
        <f>生データ!J240</f>
        <v>0</v>
      </c>
      <c r="K132">
        <f>生データ!K240</f>
        <v>19.899999999999999</v>
      </c>
      <c r="L132">
        <f>生データ!L240</f>
        <v>2.4</v>
      </c>
      <c r="M132">
        <f>生データ!M240</f>
        <v>0.2</v>
      </c>
      <c r="N132">
        <f>生データ!N240</f>
        <v>0</v>
      </c>
      <c r="O132">
        <f>生データ!O240</f>
        <v>0</v>
      </c>
      <c r="P132" t="str">
        <f>生データ!P240</f>
        <v>L</v>
      </c>
      <c r="Q132">
        <f>生データ!Q240</f>
        <v>0</v>
      </c>
      <c r="R132">
        <f>生データ!R240</f>
        <v>0</v>
      </c>
      <c r="S132">
        <f>生データ!S240</f>
        <v>0</v>
      </c>
      <c r="T132">
        <f>生データ!T240</f>
        <v>0.91</v>
      </c>
      <c r="U132">
        <f>生データ!U240</f>
        <v>19.899999999999999</v>
      </c>
      <c r="V132">
        <f>COUNTIF(怪しいデータを手直し!F$2:F$701,Sheet5!F132)</f>
        <v>1</v>
      </c>
    </row>
    <row r="133" spans="1:22">
      <c r="A133">
        <f>生データ!A241</f>
        <v>20</v>
      </c>
      <c r="B133">
        <f>生データ!B241</f>
        <v>-20</v>
      </c>
      <c r="C133">
        <f>生データ!C241</f>
        <v>22.699862220695191</v>
      </c>
      <c r="D133">
        <f>生データ!D241</f>
        <v>-35.871637861391832</v>
      </c>
      <c r="E133">
        <f>生データ!E241</f>
        <v>0</v>
      </c>
      <c r="F133">
        <f>IF(生データ!E241="Wr",3000+生データ!F241,IF(生データ!E241="Wb",4000+生データ!F241,生データ!F241))</f>
        <v>719</v>
      </c>
      <c r="G133" t="str">
        <f>生データ!G241</f>
        <v>lc</v>
      </c>
      <c r="H133">
        <f>生データ!H241</f>
        <v>0</v>
      </c>
      <c r="I133">
        <f>生データ!I241</f>
        <v>0.91</v>
      </c>
      <c r="J133">
        <f>生データ!J241</f>
        <v>0</v>
      </c>
      <c r="K133">
        <f>生データ!K241</f>
        <v>15.8</v>
      </c>
      <c r="L133">
        <f>生データ!L241</f>
        <v>2</v>
      </c>
      <c r="M133">
        <f>生データ!M241</f>
        <v>0.1</v>
      </c>
      <c r="N133">
        <f>生データ!N241</f>
        <v>0</v>
      </c>
      <c r="O133">
        <f>生データ!O241</f>
        <v>0</v>
      </c>
      <c r="P133" t="str">
        <f>生データ!P241</f>
        <v>L</v>
      </c>
      <c r="Q133">
        <f>生データ!Q241</f>
        <v>0</v>
      </c>
      <c r="R133">
        <f>生データ!R241</f>
        <v>0</v>
      </c>
      <c r="S133">
        <f>生データ!S241</f>
        <v>0</v>
      </c>
      <c r="T133">
        <f>生データ!T241</f>
        <v>0.91</v>
      </c>
      <c r="U133">
        <f>生データ!U241</f>
        <v>15.8</v>
      </c>
      <c r="V133">
        <f>COUNTIF(怪しいデータを手直し!F$2:F$701,Sheet5!F133)</f>
        <v>1</v>
      </c>
    </row>
    <row r="134" spans="1:22">
      <c r="A134">
        <f>生データ!A242</f>
        <v>10</v>
      </c>
      <c r="B134">
        <f>生データ!B242</f>
        <v>-30</v>
      </c>
      <c r="C134">
        <f>生データ!C242</f>
        <v>13.891661250622271</v>
      </c>
      <c r="D134">
        <f>生データ!D242</f>
        <v>-21.129319282775551</v>
      </c>
      <c r="E134">
        <f>生データ!E242</f>
        <v>0</v>
      </c>
      <c r="F134">
        <f>IF(生データ!E242="Wr",3000+生データ!F242,IF(生データ!E242="Wb",4000+生データ!F242,生データ!F242))</f>
        <v>620</v>
      </c>
      <c r="G134" t="str">
        <f>生データ!G242</f>
        <v>lc</v>
      </c>
      <c r="H134">
        <f>生データ!H242</f>
        <v>0</v>
      </c>
      <c r="I134">
        <f>生データ!I242</f>
        <v>0.92</v>
      </c>
      <c r="J134">
        <f>生データ!J242</f>
        <v>0</v>
      </c>
      <c r="K134">
        <f>生データ!K242</f>
        <v>12.7</v>
      </c>
      <c r="L134">
        <f>生データ!L242</f>
        <v>1.7</v>
      </c>
      <c r="M134">
        <f>生データ!M242</f>
        <v>0</v>
      </c>
      <c r="N134">
        <f>生データ!N242</f>
        <v>0</v>
      </c>
      <c r="O134">
        <f>生データ!O242</f>
        <v>0</v>
      </c>
      <c r="P134" t="str">
        <f>生データ!P242</f>
        <v>L</v>
      </c>
      <c r="Q134">
        <f>生データ!Q242</f>
        <v>0</v>
      </c>
      <c r="R134">
        <f>生データ!R242</f>
        <v>0</v>
      </c>
      <c r="S134">
        <f>生データ!S242</f>
        <v>0</v>
      </c>
      <c r="T134">
        <f>生データ!T242</f>
        <v>0.92</v>
      </c>
      <c r="U134">
        <f>生データ!U242</f>
        <v>12.7</v>
      </c>
      <c r="V134">
        <f>COUNTIF(怪しいデータを手直し!F$2:F$701,Sheet5!F134)</f>
        <v>1</v>
      </c>
    </row>
    <row r="135" spans="1:22">
      <c r="A135">
        <f>生データ!A243</f>
        <v>40</v>
      </c>
      <c r="B135">
        <f>生データ!B243</f>
        <v>30</v>
      </c>
      <c r="C135">
        <f>生データ!C243</f>
        <v>48.923878928480136</v>
      </c>
      <c r="D135">
        <f>生データ!D243</f>
        <v>30.406164508423601</v>
      </c>
      <c r="E135">
        <f>生データ!E243</f>
        <v>0</v>
      </c>
      <c r="F135">
        <f>IF(生データ!E243="Wr",3000+生データ!F243,IF(生データ!E243="Wb",4000+生データ!F243,生データ!F243))</f>
        <v>323</v>
      </c>
      <c r="G135" t="str">
        <f>生データ!G243</f>
        <v>af</v>
      </c>
      <c r="H135">
        <f>生データ!H243</f>
        <v>0</v>
      </c>
      <c r="I135">
        <f>生データ!I243</f>
        <v>0.94</v>
      </c>
      <c r="J135">
        <f>生データ!J243</f>
        <v>0</v>
      </c>
      <c r="K135">
        <f>生データ!K243</f>
        <v>12.2</v>
      </c>
      <c r="L135">
        <f>生データ!L243</f>
        <v>2.1</v>
      </c>
      <c r="M135">
        <f>生データ!M243</f>
        <v>1.1000000000000001</v>
      </c>
      <c r="N135">
        <f>生データ!N243</f>
        <v>0</v>
      </c>
      <c r="O135">
        <f>生データ!O243</f>
        <v>0</v>
      </c>
      <c r="P135" t="str">
        <f>生データ!P243</f>
        <v>L</v>
      </c>
      <c r="Q135">
        <f>生データ!Q243</f>
        <v>0</v>
      </c>
      <c r="R135">
        <f>生データ!R243</f>
        <v>0</v>
      </c>
      <c r="S135">
        <f>生データ!S243</f>
        <v>0</v>
      </c>
      <c r="T135">
        <f>生データ!T243</f>
        <v>0.94</v>
      </c>
      <c r="U135">
        <f>生データ!U243</f>
        <v>12.2</v>
      </c>
      <c r="V135">
        <f>COUNTIF(怪しいデータを手直し!F$2:F$701,Sheet5!F135)</f>
        <v>1</v>
      </c>
    </row>
    <row r="136" spans="1:22">
      <c r="A136">
        <f>生データ!A244</f>
        <v>40</v>
      </c>
      <c r="B136">
        <f>生データ!B244</f>
        <v>-10</v>
      </c>
      <c r="C136">
        <f>生データ!C244</f>
        <v>43.598885535307346</v>
      </c>
      <c r="D136">
        <f>生データ!D244</f>
        <v>-9.3912940744862272</v>
      </c>
      <c r="E136">
        <f>生データ!E244</f>
        <v>0</v>
      </c>
      <c r="F136">
        <f>IF(生データ!E244="Wr",3000+生データ!F244,IF(生データ!E244="Wb",4000+生データ!F244,生データ!F244))</f>
        <v>448</v>
      </c>
      <c r="G136" t="str">
        <f>生データ!G244</f>
        <v>bp</v>
      </c>
      <c r="H136">
        <f>生データ!H244</f>
        <v>0</v>
      </c>
      <c r="I136">
        <f>生データ!I244</f>
        <v>0.95</v>
      </c>
      <c r="J136">
        <f>生データ!J244</f>
        <v>0</v>
      </c>
      <c r="K136">
        <f>生データ!K244</f>
        <v>10.4</v>
      </c>
      <c r="L136">
        <f>生データ!L244</f>
        <v>2</v>
      </c>
      <c r="M136">
        <f>生データ!M244</f>
        <v>1.2</v>
      </c>
      <c r="N136">
        <f>生データ!N244</f>
        <v>0</v>
      </c>
      <c r="O136">
        <f>生データ!O244</f>
        <v>0</v>
      </c>
      <c r="P136" t="str">
        <f>生データ!P244</f>
        <v>L</v>
      </c>
      <c r="Q136">
        <f>生データ!Q244</f>
        <v>0</v>
      </c>
      <c r="R136">
        <f>生データ!R244</f>
        <v>0</v>
      </c>
      <c r="S136">
        <f>生データ!S244</f>
        <v>0</v>
      </c>
      <c r="T136">
        <f>生データ!T244</f>
        <v>0.95</v>
      </c>
      <c r="U136">
        <f>生データ!U244</f>
        <v>10.4</v>
      </c>
      <c r="V136">
        <f>COUNTIF(怪しいデータを手直し!F$2:F$701,Sheet5!F136)</f>
        <v>1</v>
      </c>
    </row>
    <row r="137" spans="1:22">
      <c r="A137">
        <f>生データ!A245</f>
        <v>30</v>
      </c>
      <c r="B137">
        <f>生データ!B245</f>
        <v>0</v>
      </c>
      <c r="C137">
        <f>生データ!C245</f>
        <v>34.068567064814381</v>
      </c>
      <c r="D137">
        <f>生データ!D245</f>
        <v>9.4180847704201529</v>
      </c>
      <c r="E137">
        <f>生データ!E245</f>
        <v>0</v>
      </c>
      <c r="F137">
        <f>IF(生データ!E245="Wr",3000+生データ!F245,IF(生データ!E245="Wb",4000+生データ!F245,生データ!F245))</f>
        <v>248</v>
      </c>
      <c r="G137" t="str">
        <f>生データ!G245</f>
        <v>bp</v>
      </c>
      <c r="H137">
        <f>生データ!H245</f>
        <v>0</v>
      </c>
      <c r="I137">
        <f>生データ!I245</f>
        <v>0.96</v>
      </c>
      <c r="J137">
        <f>生データ!J245</f>
        <v>0</v>
      </c>
      <c r="K137">
        <f>生データ!K245</f>
        <v>10.3</v>
      </c>
      <c r="L137">
        <f>生データ!L245</f>
        <v>1.5</v>
      </c>
      <c r="M137">
        <f>生データ!M245</f>
        <v>0.7</v>
      </c>
      <c r="N137">
        <f>生データ!N245</f>
        <v>0</v>
      </c>
      <c r="O137">
        <f>生データ!O245</f>
        <v>0</v>
      </c>
      <c r="P137" t="str">
        <f>生データ!P245</f>
        <v>L</v>
      </c>
      <c r="Q137">
        <f>生データ!Q245</f>
        <v>0</v>
      </c>
      <c r="R137">
        <f>生データ!R245</f>
        <v>0</v>
      </c>
      <c r="S137">
        <f>生データ!S245</f>
        <v>0</v>
      </c>
      <c r="T137">
        <f>生データ!T245</f>
        <v>0.96</v>
      </c>
      <c r="U137">
        <f>生データ!U245</f>
        <v>10.3</v>
      </c>
      <c r="V137">
        <f>COUNTIF(怪しいデータを手直し!F$2:F$701,Sheet5!F137)</f>
        <v>1</v>
      </c>
    </row>
    <row r="138" spans="1:22">
      <c r="A138">
        <f>生データ!A246</f>
        <v>10</v>
      </c>
      <c r="B138">
        <f>生データ!B246</f>
        <v>-20</v>
      </c>
      <c r="C138">
        <f>生データ!C246</f>
        <v>16.17530308633452</v>
      </c>
      <c r="D138">
        <f>生データ!D246</f>
        <v>-17.610064118308244</v>
      </c>
      <c r="E138">
        <f>生データ!E246</f>
        <v>0</v>
      </c>
      <c r="F138">
        <f>IF(生データ!E246="Wr",3000+生データ!F246,IF(生データ!E246="Wb",4000+生データ!F246,生データ!F246))</f>
        <v>572</v>
      </c>
      <c r="G138" t="str">
        <f>生データ!G246</f>
        <v>pt</v>
      </c>
      <c r="H138">
        <f>生データ!H246</f>
        <v>0</v>
      </c>
      <c r="I138">
        <f>生データ!I246</f>
        <v>0.96</v>
      </c>
      <c r="J138">
        <f>生データ!J246</f>
        <v>0</v>
      </c>
      <c r="K138">
        <f>生データ!K246</f>
        <v>13.5</v>
      </c>
      <c r="L138">
        <f>生データ!L246</f>
        <v>2.5</v>
      </c>
      <c r="M138">
        <f>生データ!M246</f>
        <v>0.6</v>
      </c>
      <c r="N138">
        <f>生データ!N246</f>
        <v>0</v>
      </c>
      <c r="O138">
        <f>生データ!O246</f>
        <v>0</v>
      </c>
      <c r="P138" t="str">
        <f>生データ!P246</f>
        <v>L</v>
      </c>
      <c r="Q138">
        <f>生データ!Q246</f>
        <v>0</v>
      </c>
      <c r="R138">
        <f>生データ!R246</f>
        <v>0</v>
      </c>
      <c r="S138" t="str">
        <f>生データ!S246</f>
        <v>New No755</v>
      </c>
      <c r="T138">
        <f>生データ!T246</f>
        <v>0.96</v>
      </c>
      <c r="U138">
        <f>生データ!U246</f>
        <v>13.5</v>
      </c>
      <c r="V138">
        <f>COUNTIF(怪しいデータを手直し!F$2:F$701,Sheet5!F138)</f>
        <v>1</v>
      </c>
    </row>
    <row r="139" spans="1:22">
      <c r="A139">
        <f>生データ!A247</f>
        <v>40</v>
      </c>
      <c r="B139">
        <f>生データ!B247</f>
        <v>0</v>
      </c>
      <c r="C139">
        <f>生データ!C247</f>
        <v>40.675863550722838</v>
      </c>
      <c r="D139">
        <f>生データ!D247</f>
        <v>5.0660757544522106</v>
      </c>
      <c r="E139">
        <f>生データ!E247</f>
        <v>0</v>
      </c>
      <c r="F139">
        <f>IF(生データ!E247="Wr",3000+生データ!F247,IF(生データ!E247="Wb",4000+生データ!F247,生データ!F247))</f>
        <v>262</v>
      </c>
      <c r="G139" t="str">
        <f>生データ!G247</f>
        <v>bp</v>
      </c>
      <c r="H139">
        <f>生データ!H247</f>
        <v>0</v>
      </c>
      <c r="I139">
        <f>生データ!I247</f>
        <v>0.97</v>
      </c>
      <c r="J139">
        <f>生データ!J247</f>
        <v>0</v>
      </c>
      <c r="K139">
        <f>生データ!K247</f>
        <v>23.1</v>
      </c>
      <c r="L139">
        <f>生データ!L247</f>
        <v>2.1</v>
      </c>
      <c r="M139">
        <f>生データ!M247</f>
        <v>1.4</v>
      </c>
      <c r="N139">
        <f>生データ!N247</f>
        <v>0</v>
      </c>
      <c r="O139">
        <f>生データ!O247</f>
        <v>0</v>
      </c>
      <c r="P139" t="str">
        <f>生データ!P247</f>
        <v>L</v>
      </c>
      <c r="Q139">
        <f>生データ!Q247</f>
        <v>0</v>
      </c>
      <c r="R139">
        <f>生データ!R247</f>
        <v>0</v>
      </c>
      <c r="S139">
        <f>生データ!S247</f>
        <v>0</v>
      </c>
      <c r="T139">
        <f>生データ!T247</f>
        <v>0.97</v>
      </c>
      <c r="U139">
        <f>生データ!U247</f>
        <v>23.1</v>
      </c>
      <c r="V139">
        <f>COUNTIF(怪しいデータを手直し!F$2:F$701,Sheet5!F139)</f>
        <v>1</v>
      </c>
    </row>
    <row r="140" spans="1:22">
      <c r="A140">
        <f>生データ!A248</f>
        <v>40</v>
      </c>
      <c r="B140">
        <f>生データ!B248</f>
        <v>0</v>
      </c>
      <c r="C140">
        <f>生データ!C248</f>
        <v>40.628453171262755</v>
      </c>
      <c r="D140">
        <f>生データ!D248</f>
        <v>7.808323333260633</v>
      </c>
      <c r="E140">
        <f>生データ!E248</f>
        <v>0</v>
      </c>
      <c r="F140">
        <f>IF(生データ!E248="Wr",3000+生データ!F248,IF(生データ!E248="Wb",4000+生データ!F248,生データ!F248))</f>
        <v>273</v>
      </c>
      <c r="G140" t="str">
        <f>生データ!G248</f>
        <v>lc</v>
      </c>
      <c r="H140">
        <f>生データ!H248</f>
        <v>0</v>
      </c>
      <c r="I140">
        <f>生データ!I248</f>
        <v>0.97</v>
      </c>
      <c r="J140" t="str">
        <f>生データ!J248</f>
        <v>dead</v>
      </c>
      <c r="K140">
        <f>生データ!K248</f>
        <v>0</v>
      </c>
      <c r="L140">
        <f>生データ!L248</f>
        <v>2</v>
      </c>
      <c r="M140">
        <f>生データ!M248</f>
        <v>0</v>
      </c>
      <c r="N140">
        <f>生データ!N248</f>
        <v>0</v>
      </c>
      <c r="O140">
        <f>生データ!O248</f>
        <v>0</v>
      </c>
      <c r="P140" t="str">
        <f>生データ!P248</f>
        <v>D</v>
      </c>
      <c r="Q140">
        <f>生データ!Q248</f>
        <v>0</v>
      </c>
      <c r="R140">
        <f>生データ!R248</f>
        <v>0</v>
      </c>
      <c r="S140">
        <f>生データ!S248</f>
        <v>0</v>
      </c>
      <c r="T140">
        <f>生データ!T248</f>
        <v>0.97</v>
      </c>
      <c r="U140" t="str">
        <f>生データ!U248</f>
        <v>dead</v>
      </c>
      <c r="V140">
        <f>COUNTIF(怪しいデータを手直し!F$2:F$701,Sheet5!F140)</f>
        <v>1</v>
      </c>
    </row>
    <row r="141" spans="1:22">
      <c r="A141">
        <f>生データ!A249</f>
        <v>20</v>
      </c>
      <c r="B141">
        <f>生データ!B249</f>
        <v>-20</v>
      </c>
      <c r="C141">
        <f>生データ!C249</f>
        <v>26.875698166707046</v>
      </c>
      <c r="D141">
        <f>生データ!D249</f>
        <v>-13.369747971083783</v>
      </c>
      <c r="E141">
        <f>生データ!E249</f>
        <v>0</v>
      </c>
      <c r="F141">
        <f>IF(生データ!E249="Wr",3000+生データ!F249,IF(生データ!E249="Wb",4000+生データ!F249,生データ!F249))</f>
        <v>553</v>
      </c>
      <c r="G141" t="str">
        <f>生データ!G249</f>
        <v>bp</v>
      </c>
      <c r="H141">
        <f>生データ!H249</f>
        <v>0</v>
      </c>
      <c r="I141">
        <f>生データ!I249</f>
        <v>0.99</v>
      </c>
      <c r="J141">
        <f>生データ!J249</f>
        <v>0</v>
      </c>
      <c r="K141">
        <f>生データ!K249</f>
        <v>11.4</v>
      </c>
      <c r="L141">
        <f>生データ!L249</f>
        <v>3.4</v>
      </c>
      <c r="M141">
        <f>生データ!M249</f>
        <v>1.3</v>
      </c>
      <c r="N141">
        <f>生データ!N249</f>
        <v>0</v>
      </c>
      <c r="O141">
        <f>生データ!O249</f>
        <v>0</v>
      </c>
      <c r="P141" t="str">
        <f>生データ!P249</f>
        <v>L</v>
      </c>
      <c r="Q141">
        <f>生データ!Q249</f>
        <v>0</v>
      </c>
      <c r="R141">
        <f>生データ!R249</f>
        <v>0</v>
      </c>
      <c r="S141">
        <f>生データ!S249</f>
        <v>0</v>
      </c>
      <c r="T141">
        <f>生データ!T249</f>
        <v>0.99</v>
      </c>
      <c r="U141">
        <f>生データ!U249</f>
        <v>11.4</v>
      </c>
      <c r="V141">
        <f>COUNTIF(怪しいデータを手直し!F$2:F$701,Sheet5!F141)</f>
        <v>1</v>
      </c>
    </row>
    <row r="142" spans="1:22">
      <c r="A142">
        <f>生データ!A250</f>
        <v>10</v>
      </c>
      <c r="B142">
        <f>生データ!B250</f>
        <v>10</v>
      </c>
      <c r="C142">
        <f>生データ!C250</f>
        <v>19.669675453237815</v>
      </c>
      <c r="D142">
        <f>生データ!D250</f>
        <v>13.828495347920654</v>
      </c>
      <c r="E142">
        <f>生データ!E250</f>
        <v>0</v>
      </c>
      <c r="F142">
        <f>IF(生データ!E250="Wr",3000+生データ!F250,IF(生データ!E250="Wb",4000+生データ!F250,生データ!F250))</f>
        <v>110</v>
      </c>
      <c r="G142" t="str">
        <f>生データ!G250</f>
        <v>bp</v>
      </c>
      <c r="H142">
        <f>生データ!H250</f>
        <v>0</v>
      </c>
      <c r="I142">
        <f>生データ!I250</f>
        <v>1</v>
      </c>
      <c r="J142">
        <f>生データ!J250</f>
        <v>0</v>
      </c>
      <c r="K142">
        <f>生データ!K250</f>
        <v>12.8</v>
      </c>
      <c r="L142">
        <f>生データ!L250</f>
        <v>2.4</v>
      </c>
      <c r="M142">
        <f>生データ!M250</f>
        <v>0.9</v>
      </c>
      <c r="N142">
        <f>生データ!N250</f>
        <v>0</v>
      </c>
      <c r="O142">
        <f>生データ!O250</f>
        <v>0</v>
      </c>
      <c r="P142" t="str">
        <f>生データ!P250</f>
        <v>L</v>
      </c>
      <c r="Q142">
        <f>生データ!Q250</f>
        <v>0</v>
      </c>
      <c r="R142">
        <f>生データ!R250</f>
        <v>0</v>
      </c>
      <c r="S142">
        <f>生データ!S250</f>
        <v>0</v>
      </c>
      <c r="T142">
        <f>生データ!T250</f>
        <v>1</v>
      </c>
      <c r="U142">
        <f>生データ!U250</f>
        <v>12.8</v>
      </c>
      <c r="V142">
        <f>COUNTIF(怪しいデータを手直し!F$2:F$701,Sheet5!F142)</f>
        <v>1</v>
      </c>
    </row>
    <row r="143" spans="1:22">
      <c r="A143">
        <f>生データ!A251</f>
        <v>40</v>
      </c>
      <c r="B143">
        <f>生データ!B251</f>
        <v>20</v>
      </c>
      <c r="C143">
        <f>生データ!C251</f>
        <v>42.470638986410691</v>
      </c>
      <c r="D143">
        <f>生データ!D251</f>
        <v>29.603684879805961</v>
      </c>
      <c r="E143">
        <f>生データ!E251</f>
        <v>0</v>
      </c>
      <c r="F143">
        <f>IF(生データ!E251="Wr",3000+生データ!F251,IF(生データ!E251="Wb",4000+生データ!F251,生データ!F251))</f>
        <v>297</v>
      </c>
      <c r="G143" t="str">
        <f>生データ!G251</f>
        <v>bp</v>
      </c>
      <c r="H143">
        <f>生データ!H251</f>
        <v>0</v>
      </c>
      <c r="I143">
        <f>生データ!I251</f>
        <v>1</v>
      </c>
      <c r="J143">
        <f>生データ!J251</f>
        <v>0</v>
      </c>
      <c r="K143">
        <f>生データ!K251</f>
        <v>12.1</v>
      </c>
      <c r="L143">
        <f>生データ!L251</f>
        <v>2.7</v>
      </c>
      <c r="M143">
        <f>生データ!M251</f>
        <v>1.4</v>
      </c>
      <c r="N143">
        <f>生データ!N251</f>
        <v>0</v>
      </c>
      <c r="O143">
        <f>生データ!O251</f>
        <v>0</v>
      </c>
      <c r="P143" t="str">
        <f>生データ!P251</f>
        <v>L</v>
      </c>
      <c r="Q143">
        <f>生データ!Q251</f>
        <v>0</v>
      </c>
      <c r="R143">
        <f>生データ!R251</f>
        <v>0</v>
      </c>
      <c r="S143">
        <f>生データ!S251</f>
        <v>0</v>
      </c>
      <c r="T143">
        <f>生データ!T251</f>
        <v>1</v>
      </c>
      <c r="U143">
        <f>生データ!U251</f>
        <v>12.1</v>
      </c>
      <c r="V143">
        <f>COUNTIF(怪しいデータを手直し!F$2:F$701,Sheet5!F143)</f>
        <v>1</v>
      </c>
    </row>
    <row r="144" spans="1:22">
      <c r="A144">
        <f>生データ!A252</f>
        <v>40</v>
      </c>
      <c r="B144">
        <f>生データ!B252</f>
        <v>30</v>
      </c>
      <c r="C144">
        <f>生データ!C252</f>
        <v>49.098880675068742</v>
      </c>
      <c r="D144">
        <f>生データ!D252</f>
        <v>31.568014233750425</v>
      </c>
      <c r="E144">
        <f>生データ!E252</f>
        <v>0</v>
      </c>
      <c r="F144">
        <f>IF(生データ!E252="Wr",3000+生データ!F252,IF(生データ!E252="Wb",4000+生データ!F252,生データ!F252))</f>
        <v>335</v>
      </c>
      <c r="G144" t="str">
        <f>生データ!G252</f>
        <v>af</v>
      </c>
      <c r="H144">
        <f>生データ!H252</f>
        <v>0</v>
      </c>
      <c r="I144">
        <f>生データ!I252</f>
        <v>1</v>
      </c>
      <c r="J144">
        <f>生データ!J252</f>
        <v>0</v>
      </c>
      <c r="K144">
        <f>生データ!K252</f>
        <v>12.1</v>
      </c>
      <c r="L144">
        <f>生データ!L252</f>
        <v>1.7</v>
      </c>
      <c r="M144">
        <f>生データ!M252</f>
        <v>0.7</v>
      </c>
      <c r="N144">
        <f>生データ!N252</f>
        <v>0</v>
      </c>
      <c r="O144">
        <f>生データ!O252</f>
        <v>0</v>
      </c>
      <c r="P144" t="str">
        <f>生データ!P252</f>
        <v>L</v>
      </c>
      <c r="Q144">
        <f>生データ!Q252</f>
        <v>0</v>
      </c>
      <c r="R144">
        <f>生データ!R252</f>
        <v>0</v>
      </c>
      <c r="S144">
        <f>生データ!S252</f>
        <v>0</v>
      </c>
      <c r="T144">
        <f>生データ!T252</f>
        <v>1</v>
      </c>
      <c r="U144">
        <f>生データ!U252</f>
        <v>12.1</v>
      </c>
      <c r="V144">
        <f>COUNTIF(怪しいデータを手直し!F$2:F$701,Sheet5!F144)</f>
        <v>1</v>
      </c>
    </row>
    <row r="145" spans="1:22">
      <c r="A145">
        <f>生データ!A253</f>
        <v>40</v>
      </c>
      <c r="B145">
        <f>生データ!B253</f>
        <v>-20</v>
      </c>
      <c r="C145">
        <f>生データ!C253</f>
        <v>44.622154275334118</v>
      </c>
      <c r="D145">
        <f>生データ!D253</f>
        <v>-19.561385352291296</v>
      </c>
      <c r="E145">
        <f>生データ!E253</f>
        <v>0</v>
      </c>
      <c r="F145">
        <f>IF(生データ!E253="Wr",3000+生データ!F253,IF(生データ!E253="Wb",4000+生データ!F253,生データ!F253))</f>
        <v>510</v>
      </c>
      <c r="G145" t="str">
        <f>生データ!G253</f>
        <v>pt</v>
      </c>
      <c r="H145">
        <f>生データ!H253</f>
        <v>0</v>
      </c>
      <c r="I145">
        <f>生データ!I253</f>
        <v>1</v>
      </c>
      <c r="J145">
        <f>生データ!J253</f>
        <v>0</v>
      </c>
      <c r="K145">
        <f>生データ!K253</f>
        <v>15.3</v>
      </c>
      <c r="L145">
        <f>生データ!L253</f>
        <v>2.5</v>
      </c>
      <c r="M145">
        <f>生データ!M253</f>
        <v>0.4</v>
      </c>
      <c r="N145">
        <f>生データ!N253</f>
        <v>0</v>
      </c>
      <c r="O145">
        <f>生データ!O253</f>
        <v>0</v>
      </c>
      <c r="P145" t="str">
        <f>生データ!P253</f>
        <v>L</v>
      </c>
      <c r="Q145">
        <f>生データ!Q253</f>
        <v>0</v>
      </c>
      <c r="R145">
        <f>生データ!R253</f>
        <v>0</v>
      </c>
      <c r="S145">
        <f>生データ!S253</f>
        <v>0</v>
      </c>
      <c r="T145">
        <f>生データ!T253</f>
        <v>1</v>
      </c>
      <c r="U145">
        <f>生データ!U253</f>
        <v>15.3</v>
      </c>
      <c r="V145">
        <f>COUNTIF(怪しいデータを手直し!F$2:F$701,Sheet5!F145)</f>
        <v>1</v>
      </c>
    </row>
    <row r="146" spans="1:22">
      <c r="A146">
        <f>生データ!A254</f>
        <v>20</v>
      </c>
      <c r="B146">
        <f>生データ!B254</f>
        <v>10</v>
      </c>
      <c r="C146">
        <f>生データ!C254</f>
        <v>21.836540619572311</v>
      </c>
      <c r="D146">
        <f>生データ!D254</f>
        <v>11.595461118586918</v>
      </c>
      <c r="E146">
        <f>生データ!E254</f>
        <v>0</v>
      </c>
      <c r="F146">
        <f>IF(生データ!E254="Wr",3000+生データ!F254,IF(生データ!E254="Wb",4000+生データ!F254,生データ!F254))</f>
        <v>126</v>
      </c>
      <c r="G146" t="str">
        <f>生データ!G254</f>
        <v>bp</v>
      </c>
      <c r="H146">
        <f>生データ!H254</f>
        <v>0</v>
      </c>
      <c r="I146">
        <f>生データ!I254</f>
        <v>1.01</v>
      </c>
      <c r="J146">
        <f>生データ!J254</f>
        <v>0</v>
      </c>
      <c r="K146">
        <f>生データ!K254</f>
        <v>10.9</v>
      </c>
      <c r="L146">
        <f>生データ!L254</f>
        <v>0</v>
      </c>
      <c r="M146">
        <f>生データ!M254</f>
        <v>0</v>
      </c>
      <c r="N146">
        <f>生データ!N254</f>
        <v>0</v>
      </c>
      <c r="O146">
        <f>生データ!O254</f>
        <v>0</v>
      </c>
      <c r="P146" t="str">
        <f>生データ!P254</f>
        <v>L</v>
      </c>
      <c r="Q146">
        <f>生データ!Q254</f>
        <v>0</v>
      </c>
      <c r="R146">
        <f>生データ!R254</f>
        <v>0</v>
      </c>
      <c r="S146">
        <f>生データ!S254</f>
        <v>0</v>
      </c>
      <c r="T146">
        <f>生データ!T254</f>
        <v>1.01</v>
      </c>
      <c r="U146">
        <f>生データ!U254</f>
        <v>10.9</v>
      </c>
      <c r="V146">
        <f>COUNTIF(怪しいデータを手直し!F$2:F$701,Sheet5!F146)</f>
        <v>1</v>
      </c>
    </row>
    <row r="147" spans="1:22">
      <c r="A147">
        <f>生データ!A255</f>
        <v>20</v>
      </c>
      <c r="B147">
        <f>生データ!B255</f>
        <v>-20</v>
      </c>
      <c r="C147">
        <f>生データ!C255</f>
        <v>27.258718247585577</v>
      </c>
      <c r="D147">
        <f>生データ!D255</f>
        <v>-13.129558963430984</v>
      </c>
      <c r="E147">
        <f>生データ!E255</f>
        <v>0</v>
      </c>
      <c r="F147">
        <f>IF(生データ!E255="Wr",3000+生データ!F255,IF(生データ!E255="Wb",4000+生データ!F255,生データ!F255))</f>
        <v>543</v>
      </c>
      <c r="G147" t="str">
        <f>生データ!G255</f>
        <v>bp</v>
      </c>
      <c r="H147">
        <f>生データ!H255</f>
        <v>0</v>
      </c>
      <c r="I147">
        <f>生データ!I255</f>
        <v>1.02</v>
      </c>
      <c r="J147" t="str">
        <f>生データ!J255</f>
        <v>dead</v>
      </c>
      <c r="K147">
        <f>生データ!K255</f>
        <v>0</v>
      </c>
      <c r="L147">
        <f>生データ!L255</f>
        <v>2.1</v>
      </c>
      <c r="M147">
        <f>生データ!M255</f>
        <v>0</v>
      </c>
      <c r="N147">
        <f>生データ!N255</f>
        <v>0</v>
      </c>
      <c r="O147">
        <f>生データ!O255</f>
        <v>0</v>
      </c>
      <c r="P147" t="str">
        <f>生データ!P255</f>
        <v>D</v>
      </c>
      <c r="Q147">
        <f>生データ!Q255</f>
        <v>0</v>
      </c>
      <c r="R147">
        <f>生データ!R255</f>
        <v>0</v>
      </c>
      <c r="S147">
        <f>生データ!S255</f>
        <v>0</v>
      </c>
      <c r="T147">
        <f>生データ!T255</f>
        <v>1.02</v>
      </c>
      <c r="U147" t="str">
        <f>生データ!U255</f>
        <v>dead</v>
      </c>
      <c r="V147">
        <f>COUNTIF(怪しいデータを手直し!F$2:F$701,Sheet5!F147)</f>
        <v>1</v>
      </c>
    </row>
    <row r="148" spans="1:22">
      <c r="A148">
        <f>生データ!A256</f>
        <v>40</v>
      </c>
      <c r="B148">
        <f>生データ!B256</f>
        <v>-40</v>
      </c>
      <c r="C148">
        <f>生データ!C256</f>
        <v>43.072423340402423</v>
      </c>
      <c r="D148">
        <f>生データ!D256</f>
        <v>-35.595784426557842</v>
      </c>
      <c r="E148">
        <f>生データ!E256</f>
        <v>0</v>
      </c>
      <c r="F148">
        <f>IF(生データ!E256="Wr",3000+生データ!F256,IF(生データ!E256="Wb",4000+生データ!F256,生データ!F256))</f>
        <v>708</v>
      </c>
      <c r="G148" t="str">
        <f>生データ!G256</f>
        <v>ss</v>
      </c>
      <c r="H148">
        <f>生データ!H256</f>
        <v>0</v>
      </c>
      <c r="I148">
        <f>生データ!I256</f>
        <v>1.02</v>
      </c>
      <c r="J148" t="str">
        <f>生データ!J256</f>
        <v>dead</v>
      </c>
      <c r="K148">
        <f>生データ!K256</f>
        <v>0</v>
      </c>
      <c r="L148">
        <f>生データ!L256</f>
        <v>2.2000000000000002</v>
      </c>
      <c r="M148">
        <f>生データ!M256</f>
        <v>1.7</v>
      </c>
      <c r="N148">
        <f>生データ!N256</f>
        <v>0</v>
      </c>
      <c r="O148">
        <f>生データ!O256</f>
        <v>0</v>
      </c>
      <c r="P148" t="str">
        <f>生データ!P256</f>
        <v>L</v>
      </c>
      <c r="Q148">
        <f>生データ!Q256</f>
        <v>0</v>
      </c>
      <c r="R148">
        <f>生データ!R256</f>
        <v>0</v>
      </c>
      <c r="S148">
        <f>生データ!S256</f>
        <v>0</v>
      </c>
      <c r="T148">
        <f>生データ!T256</f>
        <v>1.02</v>
      </c>
      <c r="U148" t="str">
        <f>生データ!U256</f>
        <v>dead</v>
      </c>
      <c r="V148">
        <f>COUNTIF(怪しいデータを手直し!F$2:F$701,Sheet5!F148)</f>
        <v>1</v>
      </c>
    </row>
    <row r="149" spans="1:22">
      <c r="A149">
        <f>生データ!A257</f>
        <v>10</v>
      </c>
      <c r="B149">
        <f>生データ!B257</f>
        <v>-30</v>
      </c>
      <c r="C149">
        <f>生データ!C257</f>
        <v>11.346698213507807</v>
      </c>
      <c r="D149">
        <f>生データ!D257</f>
        <v>-20.397333295205016</v>
      </c>
      <c r="E149">
        <f>生データ!E257</f>
        <v>0</v>
      </c>
      <c r="F149">
        <f>IF(生データ!E257="Wr",3000+生データ!F257,IF(生データ!E257="Wb",4000+生データ!F257,生データ!F257))</f>
        <v>618</v>
      </c>
      <c r="G149" t="str">
        <f>生データ!G257</f>
        <v>lc</v>
      </c>
      <c r="H149">
        <f>生データ!H257</f>
        <v>0</v>
      </c>
      <c r="I149">
        <f>生データ!I257</f>
        <v>1.03</v>
      </c>
      <c r="J149">
        <f>生データ!J257</f>
        <v>0</v>
      </c>
      <c r="K149">
        <f>生データ!K257</f>
        <v>15.8</v>
      </c>
      <c r="L149">
        <f>生データ!L257</f>
        <v>2.1</v>
      </c>
      <c r="M149">
        <f>生データ!M257</f>
        <v>0.1</v>
      </c>
      <c r="N149">
        <f>生データ!N257</f>
        <v>0</v>
      </c>
      <c r="O149">
        <f>生データ!O257</f>
        <v>0</v>
      </c>
      <c r="P149" t="str">
        <f>生データ!P257</f>
        <v>L</v>
      </c>
      <c r="Q149">
        <f>生データ!Q257</f>
        <v>0</v>
      </c>
      <c r="R149">
        <f>生データ!R257</f>
        <v>0</v>
      </c>
      <c r="S149">
        <f>生データ!S257</f>
        <v>0</v>
      </c>
      <c r="T149">
        <f>生データ!T257</f>
        <v>1.03</v>
      </c>
      <c r="U149">
        <f>生データ!U257</f>
        <v>15.8</v>
      </c>
      <c r="V149">
        <f>COUNTIF(怪しいデータを手直し!F$2:F$701,Sheet5!F149)</f>
        <v>1</v>
      </c>
    </row>
    <row r="150" spans="1:22">
      <c r="A150">
        <f>生データ!A258</f>
        <v>10</v>
      </c>
      <c r="B150">
        <f>生データ!B258</f>
        <v>-30</v>
      </c>
      <c r="C150">
        <f>生データ!C258</f>
        <v>19.847311696024597</v>
      </c>
      <c r="D150">
        <f>生データ!D258</f>
        <v>-22.474958626385718</v>
      </c>
      <c r="E150">
        <f>生データ!E258</f>
        <v>0</v>
      </c>
      <c r="F150">
        <f>IF(生データ!E258="Wr",3000+生データ!F258,IF(生データ!E258="Wb",4000+生データ!F258,生データ!F258))</f>
        <v>629</v>
      </c>
      <c r="G150" t="str">
        <f>生データ!G258</f>
        <v>lc</v>
      </c>
      <c r="H150">
        <f>生データ!H258</f>
        <v>0</v>
      </c>
      <c r="I150">
        <f>生データ!I258</f>
        <v>1.04</v>
      </c>
      <c r="J150">
        <f>生データ!J258</f>
        <v>0</v>
      </c>
      <c r="K150">
        <f>生データ!K258</f>
        <v>13.4</v>
      </c>
      <c r="L150">
        <f>生データ!L258</f>
        <v>2.4</v>
      </c>
      <c r="M150">
        <f>生データ!M258</f>
        <v>0.4</v>
      </c>
      <c r="N150">
        <f>生データ!N258</f>
        <v>0</v>
      </c>
      <c r="O150">
        <f>生データ!O258</f>
        <v>0</v>
      </c>
      <c r="P150" t="str">
        <f>生データ!P258</f>
        <v>L</v>
      </c>
      <c r="Q150">
        <f>生データ!Q258</f>
        <v>0</v>
      </c>
      <c r="R150">
        <f>生データ!R258</f>
        <v>0</v>
      </c>
      <c r="S150">
        <f>生データ!S258</f>
        <v>0</v>
      </c>
      <c r="T150">
        <f>生データ!T258</f>
        <v>1.04</v>
      </c>
      <c r="U150">
        <f>生データ!U258</f>
        <v>13.4</v>
      </c>
      <c r="V150">
        <f>COUNTIF(怪しいデータを手直し!F$2:F$701,Sheet5!F150)</f>
        <v>1</v>
      </c>
    </row>
    <row r="151" spans="1:22">
      <c r="A151">
        <f>生データ!A259</f>
        <v>40</v>
      </c>
      <c r="B151">
        <f>生データ!B259</f>
        <v>40</v>
      </c>
      <c r="C151">
        <f>生データ!C259</f>
        <v>49.237615308286394</v>
      </c>
      <c r="D151">
        <f>生データ!D259</f>
        <v>42.694210381882002</v>
      </c>
      <c r="E151">
        <f>生データ!E259</f>
        <v>0</v>
      </c>
      <c r="F151">
        <f>IF(生データ!E259="Wr",3000+生データ!F259,IF(生データ!E259="Wb",4000+生データ!F259,生データ!F259))</f>
        <v>351</v>
      </c>
      <c r="G151" t="str">
        <f>生データ!G259</f>
        <v>bp</v>
      </c>
      <c r="H151">
        <f>生データ!H259</f>
        <v>0</v>
      </c>
      <c r="I151">
        <f>生データ!I259</f>
        <v>1.05</v>
      </c>
      <c r="J151">
        <f>生データ!J259</f>
        <v>0</v>
      </c>
      <c r="K151">
        <f>生データ!K259</f>
        <v>11.3</v>
      </c>
      <c r="L151">
        <f>生データ!L259</f>
        <v>2.2000000000000002</v>
      </c>
      <c r="M151">
        <f>生データ!M259</f>
        <v>1.3</v>
      </c>
      <c r="N151">
        <f>生データ!N259</f>
        <v>0</v>
      </c>
      <c r="O151">
        <f>生データ!O259</f>
        <v>0</v>
      </c>
      <c r="P151" t="str">
        <f>生データ!P259</f>
        <v>L</v>
      </c>
      <c r="Q151">
        <f>生データ!Q259</f>
        <v>0</v>
      </c>
      <c r="R151">
        <f>生データ!R259</f>
        <v>0</v>
      </c>
      <c r="S151">
        <f>生データ!S259</f>
        <v>0</v>
      </c>
      <c r="T151">
        <f>生データ!T259</f>
        <v>1.05</v>
      </c>
      <c r="U151">
        <f>生データ!U259</f>
        <v>11.3</v>
      </c>
      <c r="V151">
        <f>COUNTIF(怪しいデータを手直し!F$2:F$701,Sheet5!F151)</f>
        <v>1</v>
      </c>
    </row>
    <row r="152" spans="1:22">
      <c r="A152">
        <f>生データ!A260</f>
        <v>20</v>
      </c>
      <c r="B152">
        <f>生データ!B260</f>
        <v>-20</v>
      </c>
      <c r="C152">
        <f>生データ!C260</f>
        <v>27.354652244018268</v>
      </c>
      <c r="D152">
        <f>生データ!D260</f>
        <v>-13.459375685046041</v>
      </c>
      <c r="E152">
        <f>生データ!E260</f>
        <v>0</v>
      </c>
      <c r="F152">
        <f>IF(生データ!E260="Wr",3000+生データ!F260,IF(生データ!E260="Wb",4000+生データ!F260,生データ!F260))</f>
        <v>556</v>
      </c>
      <c r="G152" t="str">
        <f>生データ!G260</f>
        <v>bp</v>
      </c>
      <c r="H152">
        <f>生データ!H260</f>
        <v>0</v>
      </c>
      <c r="I152">
        <f>生データ!I260</f>
        <v>1.05</v>
      </c>
      <c r="J152" t="str">
        <f>生データ!J260</f>
        <v>dead</v>
      </c>
      <c r="K152">
        <f>生データ!K260</f>
        <v>0</v>
      </c>
      <c r="L152">
        <f>生データ!L260</f>
        <v>1</v>
      </c>
      <c r="M152">
        <f>生データ!M260</f>
        <v>0</v>
      </c>
      <c r="N152">
        <f>生データ!N260</f>
        <v>0</v>
      </c>
      <c r="O152">
        <f>生データ!O260</f>
        <v>0</v>
      </c>
      <c r="P152" t="str">
        <f>生データ!P260</f>
        <v>D</v>
      </c>
      <c r="Q152">
        <f>生データ!Q260</f>
        <v>0</v>
      </c>
      <c r="R152" t="str">
        <f>生データ!R260</f>
        <v>L=3.0</v>
      </c>
      <c r="S152">
        <f>生データ!S260</f>
        <v>0</v>
      </c>
      <c r="T152">
        <f>生データ!T260</f>
        <v>1.05</v>
      </c>
      <c r="U152" t="str">
        <f>生データ!U260</f>
        <v>dead</v>
      </c>
      <c r="V152">
        <f>COUNTIF(怪しいデータを手直し!F$2:F$701,Sheet5!F152)</f>
        <v>1</v>
      </c>
    </row>
    <row r="153" spans="1:22">
      <c r="A153">
        <f>生データ!A261</f>
        <v>20</v>
      </c>
      <c r="B153">
        <f>生データ!B261</f>
        <v>-20</v>
      </c>
      <c r="C153">
        <f>生データ!C261</f>
        <v>27.245017801982723</v>
      </c>
      <c r="D153">
        <f>生データ!D261</f>
        <v>-13.513307434350482</v>
      </c>
      <c r="E153">
        <f>生データ!E261</f>
        <v>0</v>
      </c>
      <c r="F153">
        <f>IF(生データ!E261="Wr",3000+生データ!F261,IF(生データ!E261="Wb",4000+生データ!F261,生データ!F261))</f>
        <v>551</v>
      </c>
      <c r="G153" t="str">
        <f>生データ!G261</f>
        <v>bp</v>
      </c>
      <c r="H153">
        <f>生データ!H261</f>
        <v>0</v>
      </c>
      <c r="I153">
        <f>生データ!I261</f>
        <v>1.06</v>
      </c>
      <c r="J153">
        <f>生データ!J261</f>
        <v>0</v>
      </c>
      <c r="K153">
        <f>生データ!K261</f>
        <v>11</v>
      </c>
      <c r="L153">
        <f>生データ!L261</f>
        <v>2</v>
      </c>
      <c r="M153">
        <f>生データ!M261</f>
        <v>1.7</v>
      </c>
      <c r="N153">
        <f>生データ!N261</f>
        <v>0</v>
      </c>
      <c r="O153">
        <f>生データ!O261</f>
        <v>0</v>
      </c>
      <c r="P153" t="str">
        <f>生データ!P261</f>
        <v>L</v>
      </c>
      <c r="Q153">
        <f>生データ!Q261</f>
        <v>0</v>
      </c>
      <c r="R153">
        <f>生データ!R261</f>
        <v>0</v>
      </c>
      <c r="S153">
        <f>生データ!S261</f>
        <v>0</v>
      </c>
      <c r="T153">
        <f>生データ!T261</f>
        <v>1.06</v>
      </c>
      <c r="U153">
        <f>生データ!U261</f>
        <v>11</v>
      </c>
      <c r="V153">
        <f>COUNTIF(怪しいデータを手直し!F$2:F$701,Sheet5!F153)</f>
        <v>1</v>
      </c>
    </row>
    <row r="154" spans="1:22">
      <c r="A154">
        <f>生データ!A262</f>
        <v>20</v>
      </c>
      <c r="B154">
        <f>生データ!B262</f>
        <v>20</v>
      </c>
      <c r="C154">
        <f>生データ!C262</f>
        <v>25.677496816558932</v>
      </c>
      <c r="D154">
        <f>生データ!D262</f>
        <v>20.358548791109246</v>
      </c>
      <c r="E154">
        <f>生データ!E262</f>
        <v>0</v>
      </c>
      <c r="F154">
        <f>IF(生データ!E262="Wr",3000+生データ!F262,IF(生データ!E262="Wb",4000+生データ!F262,生データ!F262))</f>
        <v>164</v>
      </c>
      <c r="G154" t="str">
        <f>生データ!G262</f>
        <v>pt</v>
      </c>
      <c r="H154">
        <f>生データ!H262</f>
        <v>0</v>
      </c>
      <c r="I154">
        <f>生データ!I262</f>
        <v>1.08</v>
      </c>
      <c r="J154">
        <f>生データ!J262</f>
        <v>0</v>
      </c>
      <c r="K154">
        <f>生データ!K262</f>
        <v>20.2</v>
      </c>
      <c r="L154">
        <f>生データ!L262</f>
        <v>2.5</v>
      </c>
      <c r="M154">
        <f>生データ!M262</f>
        <v>0.6</v>
      </c>
      <c r="N154">
        <f>生データ!N262</f>
        <v>0</v>
      </c>
      <c r="O154">
        <f>生データ!O262</f>
        <v>0</v>
      </c>
      <c r="P154" t="str">
        <f>生データ!P262</f>
        <v>L</v>
      </c>
      <c r="Q154">
        <f>生データ!Q262</f>
        <v>0</v>
      </c>
      <c r="R154">
        <f>生データ!R262</f>
        <v>0</v>
      </c>
      <c r="S154">
        <f>生データ!S262</f>
        <v>0</v>
      </c>
      <c r="T154">
        <f>生データ!T262</f>
        <v>1.08</v>
      </c>
      <c r="U154">
        <f>生データ!U262</f>
        <v>20.2</v>
      </c>
      <c r="V154">
        <f>COUNTIF(怪しいデータを手直し!F$2:F$701,Sheet5!F154)</f>
        <v>1</v>
      </c>
    </row>
    <row r="155" spans="1:22">
      <c r="A155">
        <f>生データ!A263</f>
        <v>40</v>
      </c>
      <c r="B155">
        <f>生データ!B263</f>
        <v>0</v>
      </c>
      <c r="C155">
        <f>生データ!C263</f>
        <v>49.221325124819906</v>
      </c>
      <c r="D155">
        <f>生データ!D263</f>
        <v>2.2897754285387277</v>
      </c>
      <c r="E155">
        <f>生データ!E263</f>
        <v>0</v>
      </c>
      <c r="F155">
        <f>IF(生データ!E263="Wr",3000+生データ!F263,IF(生データ!E263="Wb",4000+生データ!F263,生データ!F263))</f>
        <v>275</v>
      </c>
      <c r="G155" t="str">
        <f>生データ!G263</f>
        <v>pt</v>
      </c>
      <c r="H155">
        <f>生データ!H263</f>
        <v>0</v>
      </c>
      <c r="I155">
        <f>生データ!I263</f>
        <v>1.08</v>
      </c>
      <c r="J155">
        <f>生データ!J263</f>
        <v>6.4</v>
      </c>
      <c r="K155">
        <f>生データ!K263</f>
        <v>0</v>
      </c>
      <c r="L155">
        <f>生データ!L263</f>
        <v>2.8</v>
      </c>
      <c r="M155">
        <f>生データ!M263</f>
        <v>0.7</v>
      </c>
      <c r="N155">
        <f>生データ!N263</f>
        <v>0</v>
      </c>
      <c r="O155">
        <f>生データ!O263</f>
        <v>0</v>
      </c>
      <c r="P155" t="str">
        <f>生データ!P263</f>
        <v>L</v>
      </c>
      <c r="Q155">
        <f>生データ!Q263</f>
        <v>0</v>
      </c>
      <c r="R155">
        <f>生データ!R263</f>
        <v>0</v>
      </c>
      <c r="S155" t="str">
        <f>生データ!S263</f>
        <v>New No 593 white red</v>
      </c>
      <c r="T155">
        <f>生データ!T263</f>
        <v>1.08</v>
      </c>
      <c r="U155">
        <f>生データ!U263</f>
        <v>2.0371832715762603</v>
      </c>
      <c r="V155">
        <f>COUNTIF(怪しいデータを手直し!F$2:F$701,Sheet5!F155)</f>
        <v>1</v>
      </c>
    </row>
    <row r="156" spans="1:22">
      <c r="A156">
        <f>生データ!A264</f>
        <v>40</v>
      </c>
      <c r="B156">
        <f>生データ!B264</f>
        <v>40</v>
      </c>
      <c r="C156">
        <f>生データ!C264</f>
        <v>40.403688025885337</v>
      </c>
      <c r="D156">
        <f>生データ!D264</f>
        <v>48.917443383361821</v>
      </c>
      <c r="E156">
        <f>生データ!E264</f>
        <v>0</v>
      </c>
      <c r="F156">
        <f>IF(生データ!E264="Wr",3000+生データ!F264,IF(生データ!E264="Wb",4000+生データ!F264,生データ!F264))</f>
        <v>361</v>
      </c>
      <c r="G156" t="str">
        <f>生データ!G264</f>
        <v>lc</v>
      </c>
      <c r="H156">
        <f>生データ!H264</f>
        <v>0</v>
      </c>
      <c r="I156">
        <f>生データ!I264</f>
        <v>1.08</v>
      </c>
      <c r="J156">
        <f>生データ!J264</f>
        <v>5.5</v>
      </c>
      <c r="K156">
        <f>生データ!K264</f>
        <v>0</v>
      </c>
      <c r="L156">
        <f>生データ!L264</f>
        <v>2.4</v>
      </c>
      <c r="M156">
        <f>生データ!M264</f>
        <v>0.5</v>
      </c>
      <c r="N156">
        <f>生データ!N264</f>
        <v>0</v>
      </c>
      <c r="O156">
        <f>生データ!O264</f>
        <v>0</v>
      </c>
      <c r="P156" t="str">
        <f>生データ!P264</f>
        <v>L</v>
      </c>
      <c r="Q156">
        <f>生データ!Q264</f>
        <v>0</v>
      </c>
      <c r="R156">
        <f>生データ!R264</f>
        <v>0</v>
      </c>
      <c r="S156">
        <f>生データ!S264</f>
        <v>0</v>
      </c>
      <c r="T156">
        <f>生データ!T264</f>
        <v>1.08</v>
      </c>
      <c r="U156">
        <f>生データ!U264</f>
        <v>1.7507043740108488</v>
      </c>
      <c r="V156">
        <f>COUNTIF(怪しいデータを手直し!F$2:F$701,Sheet5!F156)</f>
        <v>1</v>
      </c>
    </row>
    <row r="157" spans="1:22">
      <c r="A157">
        <f>生データ!A265</f>
        <v>30</v>
      </c>
      <c r="B157">
        <f>生データ!B265</f>
        <v>40</v>
      </c>
      <c r="C157">
        <f>生データ!C265</f>
        <v>37.586645506147292</v>
      </c>
      <c r="D157">
        <f>生データ!D265</f>
        <v>46.055567672903109</v>
      </c>
      <c r="E157">
        <f>生データ!E265</f>
        <v>0</v>
      </c>
      <c r="F157">
        <f>IF(生データ!E265="Wr",3000+生データ!F265,IF(生データ!E265="Wb",4000+生データ!F265,生データ!F265))</f>
        <v>201</v>
      </c>
      <c r="G157" t="str">
        <f>生データ!G265</f>
        <v>bp</v>
      </c>
      <c r="H157">
        <f>生データ!H265</f>
        <v>0</v>
      </c>
      <c r="I157">
        <f>生データ!I265</f>
        <v>1.0900000000000001</v>
      </c>
      <c r="J157">
        <f>生データ!J265</f>
        <v>0</v>
      </c>
      <c r="K157">
        <f>生データ!K265</f>
        <v>11.7</v>
      </c>
      <c r="L157">
        <f>生データ!L265</f>
        <v>1.9</v>
      </c>
      <c r="M157">
        <f>生データ!M265</f>
        <v>1.2</v>
      </c>
      <c r="N157">
        <f>生データ!N265</f>
        <v>0</v>
      </c>
      <c r="O157">
        <f>生データ!O265</f>
        <v>0</v>
      </c>
      <c r="P157" t="str">
        <f>生データ!P265</f>
        <v>L</v>
      </c>
      <c r="Q157">
        <f>生データ!Q265</f>
        <v>0</v>
      </c>
      <c r="R157">
        <f>生データ!R265</f>
        <v>0</v>
      </c>
      <c r="S157">
        <f>生データ!S265</f>
        <v>0</v>
      </c>
      <c r="T157">
        <f>生データ!T265</f>
        <v>1.0900000000000001</v>
      </c>
      <c r="U157">
        <f>生データ!U265</f>
        <v>11.7</v>
      </c>
      <c r="V157">
        <f>COUNTIF(怪しいデータを手直し!F$2:F$701,Sheet5!F157)</f>
        <v>1</v>
      </c>
    </row>
    <row r="158" spans="1:22">
      <c r="A158">
        <f>生データ!A266</f>
        <v>40</v>
      </c>
      <c r="B158">
        <f>生データ!B266</f>
        <v>20</v>
      </c>
      <c r="C158">
        <f>生データ!C266</f>
        <v>41.934145126044378</v>
      </c>
      <c r="D158">
        <f>生データ!D266</f>
        <v>29.733251261038692</v>
      </c>
      <c r="E158">
        <f>生データ!E266</f>
        <v>0</v>
      </c>
      <c r="F158">
        <f>IF(生データ!E266="Wr",3000+生データ!F266,IF(生データ!E266="Wb",4000+生データ!F266,生データ!F266))</f>
        <v>311</v>
      </c>
      <c r="G158" t="str">
        <f>生データ!G266</f>
        <v>bp</v>
      </c>
      <c r="H158">
        <f>生データ!H266</f>
        <v>0</v>
      </c>
      <c r="I158">
        <f>生データ!I266</f>
        <v>1.0900000000000001</v>
      </c>
      <c r="J158">
        <f>生データ!J266</f>
        <v>0</v>
      </c>
      <c r="K158">
        <f>生データ!K266</f>
        <v>11.8</v>
      </c>
      <c r="L158">
        <f>生データ!L266</f>
        <v>2</v>
      </c>
      <c r="M158">
        <f>生データ!M266</f>
        <v>1.4</v>
      </c>
      <c r="N158">
        <f>生データ!N266</f>
        <v>0</v>
      </c>
      <c r="O158">
        <f>生データ!O266</f>
        <v>0</v>
      </c>
      <c r="P158" t="str">
        <f>生データ!P266</f>
        <v>L</v>
      </c>
      <c r="Q158">
        <f>生データ!Q266</f>
        <v>0</v>
      </c>
      <c r="R158">
        <f>生データ!R266</f>
        <v>0</v>
      </c>
      <c r="S158">
        <f>生データ!S266</f>
        <v>0</v>
      </c>
      <c r="T158">
        <f>生データ!T266</f>
        <v>1.0900000000000001</v>
      </c>
      <c r="U158">
        <f>生データ!U266</f>
        <v>11.8</v>
      </c>
      <c r="V158">
        <f>COUNTIF(怪しいデータを手直し!F$2:F$701,Sheet5!F158)</f>
        <v>1</v>
      </c>
    </row>
    <row r="159" spans="1:22">
      <c r="A159">
        <f>生データ!A267</f>
        <v>30</v>
      </c>
      <c r="B159">
        <f>生データ!B267</f>
        <v>-10</v>
      </c>
      <c r="C159">
        <f>生データ!C267</f>
        <v>39.01488078418457</v>
      </c>
      <c r="D159">
        <f>生データ!D267</f>
        <v>-2.2019784476682034</v>
      </c>
      <c r="E159">
        <f>生データ!E267</f>
        <v>0</v>
      </c>
      <c r="F159">
        <f>IF(生データ!E267="Wr",3000+生データ!F267,IF(生データ!E267="Wb",4000+生データ!F267,生データ!F267))</f>
        <v>446</v>
      </c>
      <c r="G159" t="str">
        <f>生データ!G267</f>
        <v>bp</v>
      </c>
      <c r="H159">
        <f>生データ!H267</f>
        <v>0</v>
      </c>
      <c r="I159">
        <f>生データ!I267</f>
        <v>1.0900000000000001</v>
      </c>
      <c r="J159">
        <f>生データ!J267</f>
        <v>0</v>
      </c>
      <c r="K159">
        <f>生データ!K267</f>
        <v>13.3</v>
      </c>
      <c r="L159">
        <f>生データ!L267</f>
        <v>2</v>
      </c>
      <c r="M159">
        <f>生データ!M267</f>
        <v>1.1000000000000001</v>
      </c>
      <c r="N159">
        <f>生データ!N267</f>
        <v>0</v>
      </c>
      <c r="O159">
        <f>生データ!O267</f>
        <v>0</v>
      </c>
      <c r="P159" t="str">
        <f>生データ!P267</f>
        <v>L</v>
      </c>
      <c r="Q159">
        <f>生データ!Q267</f>
        <v>0</v>
      </c>
      <c r="R159">
        <f>生データ!R267</f>
        <v>0</v>
      </c>
      <c r="S159">
        <f>生データ!S267</f>
        <v>0</v>
      </c>
      <c r="T159">
        <f>生データ!T267</f>
        <v>1.0900000000000001</v>
      </c>
      <c r="U159">
        <f>生データ!U267</f>
        <v>13.3</v>
      </c>
      <c r="V159">
        <f>COUNTIF(怪しいデータを手直し!F$2:F$701,Sheet5!F159)</f>
        <v>1</v>
      </c>
    </row>
    <row r="160" spans="1:22">
      <c r="A160">
        <f>生データ!A268</f>
        <v>30</v>
      </c>
      <c r="B160">
        <f>生データ!B268</f>
        <v>0</v>
      </c>
      <c r="C160">
        <f>生データ!C268</f>
        <v>30.958879013021043</v>
      </c>
      <c r="D160">
        <f>生データ!D268</f>
        <v>1.4622266506827504</v>
      </c>
      <c r="E160">
        <f>生データ!E268</f>
        <v>0</v>
      </c>
      <c r="F160">
        <f>IF(生データ!E268="Wr",3000+生データ!F268,IF(生データ!E268="Wb",4000+生データ!F268,生データ!F268))</f>
        <v>260</v>
      </c>
      <c r="G160" t="str">
        <f>生データ!G268</f>
        <v>lc</v>
      </c>
      <c r="H160">
        <f>生データ!H268</f>
        <v>0</v>
      </c>
      <c r="I160">
        <f>生データ!I268</f>
        <v>1.1000000000000001</v>
      </c>
      <c r="J160" t="str">
        <f>生データ!J268</f>
        <v>dead</v>
      </c>
      <c r="K160">
        <f>生データ!K268</f>
        <v>0</v>
      </c>
      <c r="L160">
        <f>生データ!L268</f>
        <v>2.1</v>
      </c>
      <c r="M160">
        <f>生データ!M268</f>
        <v>0</v>
      </c>
      <c r="N160">
        <f>生データ!N268</f>
        <v>0</v>
      </c>
      <c r="O160">
        <f>生データ!O268</f>
        <v>0</v>
      </c>
      <c r="P160" t="str">
        <f>生データ!P268</f>
        <v>D</v>
      </c>
      <c r="Q160">
        <f>生データ!Q268</f>
        <v>0</v>
      </c>
      <c r="R160">
        <f>生データ!R268</f>
        <v>0</v>
      </c>
      <c r="S160">
        <f>生データ!S268</f>
        <v>0</v>
      </c>
      <c r="T160">
        <f>生データ!T268</f>
        <v>1.1000000000000001</v>
      </c>
      <c r="U160" t="str">
        <f>生データ!U268</f>
        <v>dead</v>
      </c>
      <c r="V160">
        <f>COUNTIF(怪しいデータを手直し!F$2:F$701,Sheet5!F160)</f>
        <v>1</v>
      </c>
    </row>
    <row r="161" spans="1:22">
      <c r="A161">
        <f>生データ!A269</f>
        <v>20</v>
      </c>
      <c r="B161">
        <f>生データ!B269</f>
        <v>-30</v>
      </c>
      <c r="C161">
        <f>生データ!C269</f>
        <v>20.689156705470445</v>
      </c>
      <c r="D161">
        <f>生データ!D269</f>
        <v>-23.025276374930733</v>
      </c>
      <c r="E161">
        <f>生データ!E269</f>
        <v>0</v>
      </c>
      <c r="F161">
        <f>IF(生データ!E269="Wr",3000+生データ!F269,IF(生データ!E269="Wb",4000+生データ!F269,生データ!F269))</f>
        <v>632</v>
      </c>
      <c r="G161" t="str">
        <f>生データ!G269</f>
        <v>lc</v>
      </c>
      <c r="H161">
        <f>生データ!H269</f>
        <v>0</v>
      </c>
      <c r="I161">
        <f>生データ!I269</f>
        <v>1.1000000000000001</v>
      </c>
      <c r="J161">
        <f>生データ!J269</f>
        <v>0</v>
      </c>
      <c r="K161">
        <f>生データ!K269</f>
        <v>15.1</v>
      </c>
      <c r="L161">
        <f>生データ!L269</f>
        <v>2.2999999999999998</v>
      </c>
      <c r="M161">
        <f>生データ!M269</f>
        <v>0.3</v>
      </c>
      <c r="N161">
        <f>生データ!N269</f>
        <v>0</v>
      </c>
      <c r="O161">
        <f>生データ!O269</f>
        <v>0</v>
      </c>
      <c r="P161" t="str">
        <f>生データ!P269</f>
        <v>L</v>
      </c>
      <c r="Q161">
        <f>生データ!Q269</f>
        <v>0</v>
      </c>
      <c r="R161">
        <f>生データ!R269</f>
        <v>0</v>
      </c>
      <c r="S161">
        <f>生データ!S269</f>
        <v>0</v>
      </c>
      <c r="T161">
        <f>生データ!T269</f>
        <v>1.1000000000000001</v>
      </c>
      <c r="U161">
        <f>生データ!U269</f>
        <v>15.1</v>
      </c>
      <c r="V161">
        <f>COUNTIF(怪しいデータを手直し!F$2:F$701,Sheet5!F161)</f>
        <v>1</v>
      </c>
    </row>
    <row r="162" spans="1:22">
      <c r="A162">
        <f>生データ!A270</f>
        <v>30</v>
      </c>
      <c r="B162">
        <f>生データ!B270</f>
        <v>-10</v>
      </c>
      <c r="C162">
        <f>生データ!C270</f>
        <v>36.140434147170858</v>
      </c>
      <c r="D162">
        <f>生データ!D270</f>
        <v>-1.9804145102333841</v>
      </c>
      <c r="E162">
        <f>生データ!E270</f>
        <v>0</v>
      </c>
      <c r="F162">
        <f>IF(生データ!E270="Wr",3000+生データ!F270,IF(生データ!E270="Wb",4000+生データ!F270,生データ!F270))</f>
        <v>434</v>
      </c>
      <c r="G162" t="str">
        <f>生データ!G270</f>
        <v>bp</v>
      </c>
      <c r="H162">
        <f>生データ!H270</f>
        <v>0</v>
      </c>
      <c r="I162">
        <f>生データ!I270</f>
        <v>1.1299999999999999</v>
      </c>
      <c r="J162">
        <f>生データ!J270</f>
        <v>0</v>
      </c>
      <c r="K162">
        <f>生データ!K270</f>
        <v>15.5</v>
      </c>
      <c r="L162">
        <f>生データ!L270</f>
        <v>2.7</v>
      </c>
      <c r="M162">
        <f>生データ!M270</f>
        <v>0.6</v>
      </c>
      <c r="N162">
        <f>生データ!N270</f>
        <v>0</v>
      </c>
      <c r="O162">
        <f>生データ!O270</f>
        <v>0</v>
      </c>
      <c r="P162" t="str">
        <f>生データ!P270</f>
        <v>L</v>
      </c>
      <c r="Q162">
        <f>生データ!Q270</f>
        <v>0</v>
      </c>
      <c r="R162">
        <f>生データ!R270</f>
        <v>0</v>
      </c>
      <c r="S162">
        <f>生データ!S270</f>
        <v>0</v>
      </c>
      <c r="T162">
        <f>生データ!T270</f>
        <v>1.1299999999999999</v>
      </c>
      <c r="U162">
        <f>生データ!U270</f>
        <v>15.5</v>
      </c>
      <c r="V162">
        <f>COUNTIF(怪しいデータを手直し!F$2:F$701,Sheet5!F162)</f>
        <v>1</v>
      </c>
    </row>
    <row r="163" spans="1:22">
      <c r="A163">
        <f>生データ!A271</f>
        <v>20</v>
      </c>
      <c r="B163">
        <f>生データ!B271</f>
        <v>10</v>
      </c>
      <c r="C163">
        <f>生データ!C271</f>
        <v>22.650337940557488</v>
      </c>
      <c r="D163">
        <f>生データ!D271</f>
        <v>15.505115568767668</v>
      </c>
      <c r="E163">
        <f>生データ!E271</f>
        <v>0</v>
      </c>
      <c r="F163">
        <f>IF(生データ!E271="Wr",3000+生データ!F271,IF(生データ!E271="Wb",4000+生データ!F271,生データ!F271))</f>
        <v>157</v>
      </c>
      <c r="G163" t="str">
        <f>生データ!G271</f>
        <v>lc</v>
      </c>
      <c r="H163">
        <f>生データ!H271</f>
        <v>0</v>
      </c>
      <c r="I163">
        <f>生データ!I271</f>
        <v>1.1499999999999999</v>
      </c>
      <c r="J163">
        <f>生データ!J271</f>
        <v>0</v>
      </c>
      <c r="K163">
        <f>生データ!K271</f>
        <v>21.8</v>
      </c>
      <c r="L163">
        <f>生データ!L271</f>
        <v>1.4</v>
      </c>
      <c r="M163">
        <f>生データ!M271</f>
        <v>0.1</v>
      </c>
      <c r="N163">
        <f>生データ!N271</f>
        <v>0</v>
      </c>
      <c r="O163">
        <f>生データ!O271</f>
        <v>0</v>
      </c>
      <c r="P163" t="str">
        <f>生データ!P271</f>
        <v>L</v>
      </c>
      <c r="Q163">
        <f>生データ!Q271</f>
        <v>0</v>
      </c>
      <c r="R163">
        <f>生データ!R271</f>
        <v>0</v>
      </c>
      <c r="S163">
        <f>生データ!S271</f>
        <v>0</v>
      </c>
      <c r="T163">
        <f>生データ!T271</f>
        <v>1.1499999999999999</v>
      </c>
      <c r="U163">
        <f>生データ!U271</f>
        <v>21.8</v>
      </c>
      <c r="V163">
        <f>COUNTIF(怪しいデータを手直し!F$2:F$701,Sheet5!F163)</f>
        <v>1</v>
      </c>
    </row>
    <row r="164" spans="1:22">
      <c r="A164">
        <f>生データ!A272</f>
        <v>30</v>
      </c>
      <c r="B164">
        <f>生データ!B272</f>
        <v>-30</v>
      </c>
      <c r="C164">
        <f>生データ!C272</f>
        <v>30.787315303096907</v>
      </c>
      <c r="D164">
        <f>生データ!D272</f>
        <v>-27.247360527358179</v>
      </c>
      <c r="E164">
        <f>生データ!E272</f>
        <v>0</v>
      </c>
      <c r="F164">
        <f>IF(生データ!E272="Wr",3000+生データ!F272,IF(生データ!E272="Wb",4000+生データ!F272,生データ!F272))</f>
        <v>668</v>
      </c>
      <c r="G164" t="str">
        <f>生データ!G272</f>
        <v>pt</v>
      </c>
      <c r="H164">
        <f>生データ!H272</f>
        <v>0</v>
      </c>
      <c r="I164">
        <f>生データ!I272</f>
        <v>1.1499999999999999</v>
      </c>
      <c r="J164">
        <f>生データ!J272</f>
        <v>0</v>
      </c>
      <c r="K164">
        <f>生データ!K272</f>
        <v>13.6</v>
      </c>
      <c r="L164">
        <f>生データ!L272</f>
        <v>2.9</v>
      </c>
      <c r="M164">
        <f>生データ!M272</f>
        <v>0.5</v>
      </c>
      <c r="N164">
        <f>生データ!N272</f>
        <v>0</v>
      </c>
      <c r="O164">
        <f>生データ!O272</f>
        <v>0</v>
      </c>
      <c r="P164" t="str">
        <f>生データ!P272</f>
        <v>L</v>
      </c>
      <c r="Q164">
        <f>生データ!Q272</f>
        <v>0</v>
      </c>
      <c r="R164">
        <f>生データ!R272</f>
        <v>0</v>
      </c>
      <c r="S164">
        <f>生データ!S272</f>
        <v>0</v>
      </c>
      <c r="T164">
        <f>生データ!T272</f>
        <v>1.1499999999999999</v>
      </c>
      <c r="U164">
        <f>生データ!U272</f>
        <v>13.6</v>
      </c>
      <c r="V164">
        <f>COUNTIF(怪しいデータを手直し!F$2:F$701,Sheet5!F164)</f>
        <v>1</v>
      </c>
    </row>
    <row r="165" spans="1:22">
      <c r="A165">
        <f>生データ!A273</f>
        <v>0</v>
      </c>
      <c r="B165">
        <f>生データ!B273</f>
        <v>20</v>
      </c>
      <c r="C165">
        <f>生データ!C273</f>
        <v>0.56912983370203873</v>
      </c>
      <c r="D165">
        <f>生データ!D273</f>
        <v>24.635190528164973</v>
      </c>
      <c r="E165">
        <f>生データ!E273</f>
        <v>0</v>
      </c>
      <c r="F165">
        <f>IF(生データ!E273="Wr",3000+生データ!F273,IF(生データ!E273="Wb",4000+生データ!F273,生データ!F273))</f>
        <v>28</v>
      </c>
      <c r="G165" t="str">
        <f>生データ!G273</f>
        <v>lc</v>
      </c>
      <c r="H165">
        <f>生データ!H273</f>
        <v>0</v>
      </c>
      <c r="I165">
        <f>生データ!I273</f>
        <v>1.18</v>
      </c>
      <c r="J165" t="str">
        <f>生データ!J273</f>
        <v>dead</v>
      </c>
      <c r="K165">
        <f>生データ!K273</f>
        <v>0</v>
      </c>
      <c r="L165">
        <f>生データ!L273</f>
        <v>2.2000000000000002</v>
      </c>
      <c r="M165">
        <f>生データ!M273</f>
        <v>0</v>
      </c>
      <c r="N165">
        <f>生データ!N273</f>
        <v>0</v>
      </c>
      <c r="O165">
        <f>生データ!O273</f>
        <v>0</v>
      </c>
      <c r="P165" t="str">
        <f>生データ!P273</f>
        <v>D</v>
      </c>
      <c r="Q165">
        <f>生データ!Q273</f>
        <v>0</v>
      </c>
      <c r="R165">
        <f>生データ!R273</f>
        <v>0</v>
      </c>
      <c r="S165">
        <f>生データ!S273</f>
        <v>0</v>
      </c>
      <c r="T165">
        <f>生データ!T273</f>
        <v>1.18</v>
      </c>
      <c r="U165" t="str">
        <f>生データ!U273</f>
        <v>dead</v>
      </c>
      <c r="V165">
        <f>COUNTIF(怪しいデータを手直し!F$2:F$701,Sheet5!F165)</f>
        <v>1</v>
      </c>
    </row>
    <row r="166" spans="1:22">
      <c r="A166">
        <f>生データ!A274</f>
        <v>30</v>
      </c>
      <c r="B166">
        <f>生データ!B274</f>
        <v>-10</v>
      </c>
      <c r="C166">
        <f>生データ!C274</f>
        <v>36.376280380840498</v>
      </c>
      <c r="D166">
        <f>生データ!D274</f>
        <v>-1.9368581730371055</v>
      </c>
      <c r="E166">
        <f>生データ!E274</f>
        <v>0</v>
      </c>
      <c r="F166">
        <f>IF(生データ!E274="Wr",3000+生データ!F274,IF(生データ!E274="Wb",4000+生データ!F274,生データ!F274))</f>
        <v>436</v>
      </c>
      <c r="G166" t="str">
        <f>生データ!G274</f>
        <v>bp</v>
      </c>
      <c r="H166">
        <f>生データ!H274</f>
        <v>0</v>
      </c>
      <c r="I166">
        <f>生データ!I274</f>
        <v>1.18</v>
      </c>
      <c r="J166">
        <f>生データ!J274</f>
        <v>0</v>
      </c>
      <c r="K166">
        <f>生データ!K274</f>
        <v>23.1</v>
      </c>
      <c r="L166">
        <f>生データ!L274</f>
        <v>3.2</v>
      </c>
      <c r="M166">
        <f>生データ!M274</f>
        <v>1</v>
      </c>
      <c r="N166">
        <f>生データ!N274</f>
        <v>0</v>
      </c>
      <c r="O166">
        <f>生データ!O274</f>
        <v>0</v>
      </c>
      <c r="P166" t="str">
        <f>生データ!P274</f>
        <v>L</v>
      </c>
      <c r="Q166">
        <f>生データ!Q274</f>
        <v>0</v>
      </c>
      <c r="R166">
        <f>生データ!R274</f>
        <v>0</v>
      </c>
      <c r="S166">
        <f>生データ!S274</f>
        <v>0</v>
      </c>
      <c r="T166">
        <f>生データ!T274</f>
        <v>1.18</v>
      </c>
      <c r="U166">
        <f>生データ!U274</f>
        <v>23.1</v>
      </c>
      <c r="V166">
        <f>COUNTIF(怪しいデータを手直し!F$2:F$701,Sheet5!F166)</f>
        <v>1</v>
      </c>
    </row>
    <row r="167" spans="1:22">
      <c r="A167">
        <f>生データ!A275</f>
        <v>10</v>
      </c>
      <c r="B167">
        <f>生データ!B275</f>
        <v>20</v>
      </c>
      <c r="C167">
        <f>生データ!C275</f>
        <v>18.750671087244616</v>
      </c>
      <c r="D167">
        <f>生データ!D275</f>
        <v>23.475231471135253</v>
      </c>
      <c r="E167">
        <f>生データ!E275</f>
        <v>0</v>
      </c>
      <c r="F167">
        <f>IF(生データ!E275="Wr",3000+生データ!F275,IF(生データ!E275="Wb",4000+生データ!F275,生データ!F275))</f>
        <v>101</v>
      </c>
      <c r="G167" t="str">
        <f>生データ!G275</f>
        <v>lc</v>
      </c>
      <c r="H167">
        <f>生データ!H275</f>
        <v>0</v>
      </c>
      <c r="I167">
        <f>生データ!I275</f>
        <v>1.19</v>
      </c>
      <c r="J167" t="str">
        <f>生データ!J275</f>
        <v>dead</v>
      </c>
      <c r="K167">
        <f>生データ!K275</f>
        <v>0</v>
      </c>
      <c r="L167">
        <f>生データ!L275</f>
        <v>2.1</v>
      </c>
      <c r="M167">
        <f>生データ!M275</f>
        <v>0</v>
      </c>
      <c r="N167">
        <f>生データ!N275</f>
        <v>0</v>
      </c>
      <c r="O167">
        <f>生データ!O275</f>
        <v>0</v>
      </c>
      <c r="P167" t="str">
        <f>生データ!P275</f>
        <v>D</v>
      </c>
      <c r="Q167">
        <f>生データ!Q275</f>
        <v>0</v>
      </c>
      <c r="R167">
        <f>生データ!R275</f>
        <v>0</v>
      </c>
      <c r="S167">
        <f>生データ!S275</f>
        <v>0</v>
      </c>
      <c r="T167">
        <f>生データ!T275</f>
        <v>1.19</v>
      </c>
      <c r="U167" t="str">
        <f>生データ!U275</f>
        <v>dead</v>
      </c>
      <c r="V167">
        <f>COUNTIF(怪しいデータを手直し!F$2:F$701,Sheet5!F167)</f>
        <v>1</v>
      </c>
    </row>
    <row r="168" spans="1:22">
      <c r="A168">
        <f>生データ!A276</f>
        <v>40</v>
      </c>
      <c r="B168">
        <f>生データ!B276</f>
        <v>20</v>
      </c>
      <c r="C168">
        <f>生データ!C276</f>
        <v>42.296976774514143</v>
      </c>
      <c r="D168">
        <f>生データ!D276</f>
        <v>29.435802149635169</v>
      </c>
      <c r="E168">
        <f>生データ!E276</f>
        <v>0</v>
      </c>
      <c r="F168">
        <f>IF(生データ!E276="Wr",3000+生データ!F276,IF(生データ!E276="Wb",4000+生データ!F276,生データ!F276))</f>
        <v>295</v>
      </c>
      <c r="G168" t="str">
        <f>生データ!G276</f>
        <v>bp</v>
      </c>
      <c r="H168">
        <f>生データ!H276</f>
        <v>0</v>
      </c>
      <c r="I168">
        <f>生データ!I276</f>
        <v>1.22</v>
      </c>
      <c r="J168">
        <f>生データ!J276</f>
        <v>0</v>
      </c>
      <c r="K168">
        <f>生データ!K276</f>
        <v>13.6</v>
      </c>
      <c r="L168">
        <f>生データ!L276</f>
        <v>2.1</v>
      </c>
      <c r="M168">
        <f>生データ!M276</f>
        <v>1</v>
      </c>
      <c r="N168">
        <f>生データ!N276</f>
        <v>0</v>
      </c>
      <c r="O168">
        <f>生データ!O276</f>
        <v>0</v>
      </c>
      <c r="P168" t="str">
        <f>生データ!P276</f>
        <v>L</v>
      </c>
      <c r="Q168">
        <f>生データ!Q276</f>
        <v>0</v>
      </c>
      <c r="R168">
        <f>生データ!R276</f>
        <v>0</v>
      </c>
      <c r="S168">
        <f>生データ!S276</f>
        <v>0</v>
      </c>
      <c r="T168">
        <f>生データ!T276</f>
        <v>1.22</v>
      </c>
      <c r="U168">
        <f>生データ!U276</f>
        <v>13.6</v>
      </c>
      <c r="V168">
        <f>COUNTIF(怪しいデータを手直し!F$2:F$701,Sheet5!F168)</f>
        <v>1</v>
      </c>
    </row>
    <row r="169" spans="1:22">
      <c r="A169">
        <f>生データ!A277</f>
        <v>40</v>
      </c>
      <c r="B169">
        <f>生データ!B277</f>
        <v>40</v>
      </c>
      <c r="C169">
        <f>生データ!C277</f>
        <v>41.347856998834331</v>
      </c>
      <c r="D169">
        <f>生データ!D277</f>
        <v>45.661803730912965</v>
      </c>
      <c r="E169">
        <f>生データ!E277</f>
        <v>0</v>
      </c>
      <c r="F169">
        <f>IF(生データ!E277="Wr",3000+生データ!F277,IF(生データ!E277="Wb",4000+生データ!F277,生データ!F277))</f>
        <v>360</v>
      </c>
      <c r="G169" t="str">
        <f>生データ!G277</f>
        <v>bp</v>
      </c>
      <c r="H169">
        <f>生データ!H277</f>
        <v>0</v>
      </c>
      <c r="I169">
        <f>生データ!I277</f>
        <v>1.22</v>
      </c>
      <c r="J169">
        <f>生データ!J277</f>
        <v>5.3</v>
      </c>
      <c r="K169">
        <f>生データ!K277</f>
        <v>0</v>
      </c>
      <c r="L169">
        <f>生データ!L277</f>
        <v>2.8</v>
      </c>
      <c r="M169">
        <f>生データ!M277</f>
        <v>0.4</v>
      </c>
      <c r="N169">
        <f>生データ!N277</f>
        <v>0</v>
      </c>
      <c r="O169">
        <f>生データ!O277</f>
        <v>0</v>
      </c>
      <c r="P169" t="str">
        <f>生データ!P277</f>
        <v>L</v>
      </c>
      <c r="Q169">
        <f>生データ!Q277</f>
        <v>0</v>
      </c>
      <c r="R169">
        <f>生データ!R277</f>
        <v>0</v>
      </c>
      <c r="S169">
        <f>生データ!S277</f>
        <v>0</v>
      </c>
      <c r="T169">
        <f>生データ!T277</f>
        <v>1.22</v>
      </c>
      <c r="U169">
        <f>生データ!U277</f>
        <v>1.6870423967740906</v>
      </c>
      <c r="V169">
        <f>COUNTIF(怪しいデータを手直し!F$2:F$701,Sheet5!F169)</f>
        <v>1</v>
      </c>
    </row>
    <row r="170" spans="1:22">
      <c r="A170">
        <f>生データ!A278</f>
        <v>30</v>
      </c>
      <c r="B170">
        <f>生データ!B278</f>
        <v>-10</v>
      </c>
      <c r="C170">
        <f>生データ!C278</f>
        <v>36.357692293398046</v>
      </c>
      <c r="D170">
        <f>生データ!D278</f>
        <v>-1.8575191390812584</v>
      </c>
      <c r="E170">
        <f>生データ!E278</f>
        <v>0</v>
      </c>
      <c r="F170">
        <f>IF(生データ!E278="Wr",3000+生データ!F278,IF(生データ!E278="Wb",4000+生データ!F278,生データ!F278))</f>
        <v>437</v>
      </c>
      <c r="G170" t="str">
        <f>生データ!G278</f>
        <v>bp</v>
      </c>
      <c r="H170">
        <f>生データ!H278</f>
        <v>0</v>
      </c>
      <c r="I170">
        <f>生データ!I278</f>
        <v>1.22</v>
      </c>
      <c r="J170">
        <f>生データ!J278</f>
        <v>0</v>
      </c>
      <c r="K170">
        <f>生データ!K278</f>
        <v>16.100000000000001</v>
      </c>
      <c r="L170">
        <f>生データ!L278</f>
        <v>3.1</v>
      </c>
      <c r="M170">
        <f>生データ!M278</f>
        <v>0.8</v>
      </c>
      <c r="N170">
        <f>生データ!N278</f>
        <v>0</v>
      </c>
      <c r="O170">
        <f>生データ!O278</f>
        <v>0</v>
      </c>
      <c r="P170" t="str">
        <f>生データ!P278</f>
        <v>L</v>
      </c>
      <c r="Q170">
        <f>生データ!Q278</f>
        <v>0</v>
      </c>
      <c r="R170">
        <f>生データ!R278</f>
        <v>0</v>
      </c>
      <c r="S170">
        <f>生データ!S278</f>
        <v>0</v>
      </c>
      <c r="T170">
        <f>生データ!T278</f>
        <v>1.22</v>
      </c>
      <c r="U170">
        <f>生データ!U278</f>
        <v>16.100000000000001</v>
      </c>
      <c r="V170">
        <f>COUNTIF(怪しいデータを手直し!F$2:F$701,Sheet5!F170)</f>
        <v>1</v>
      </c>
    </row>
    <row r="171" spans="1:22">
      <c r="A171">
        <f>生データ!A279</f>
        <v>40</v>
      </c>
      <c r="B171">
        <f>生データ!B279</f>
        <v>-10</v>
      </c>
      <c r="C171">
        <f>生データ!C279</f>
        <v>43.511176741472546</v>
      </c>
      <c r="D171">
        <f>生データ!D279</f>
        <v>-9.4124305231359866</v>
      </c>
      <c r="E171">
        <f>生データ!E279</f>
        <v>0</v>
      </c>
      <c r="F171">
        <f>IF(生データ!E279="Wr",3000+生データ!F279,IF(生データ!E279="Wb",4000+生データ!F279,生データ!F279))</f>
        <v>449</v>
      </c>
      <c r="G171" t="str">
        <f>生データ!G279</f>
        <v>bp</v>
      </c>
      <c r="H171">
        <f>生データ!H279</f>
        <v>0</v>
      </c>
      <c r="I171">
        <f>生データ!I279</f>
        <v>1.22</v>
      </c>
      <c r="J171">
        <f>生データ!J279</f>
        <v>0</v>
      </c>
      <c r="K171">
        <f>生データ!K279</f>
        <v>12.1</v>
      </c>
      <c r="L171">
        <f>生データ!L279</f>
        <v>1.8</v>
      </c>
      <c r="M171">
        <f>生データ!M279</f>
        <v>1.6</v>
      </c>
      <c r="N171">
        <f>生データ!N279</f>
        <v>0</v>
      </c>
      <c r="O171">
        <f>生データ!O279</f>
        <v>0</v>
      </c>
      <c r="P171" t="str">
        <f>生データ!P279</f>
        <v>L</v>
      </c>
      <c r="Q171">
        <f>生データ!Q279</f>
        <v>0</v>
      </c>
      <c r="R171">
        <f>生データ!R279</f>
        <v>0</v>
      </c>
      <c r="S171">
        <f>生データ!S279</f>
        <v>0</v>
      </c>
      <c r="T171">
        <f>生データ!T279</f>
        <v>1.22</v>
      </c>
      <c r="U171">
        <f>生データ!U279</f>
        <v>12.1</v>
      </c>
      <c r="V171">
        <f>COUNTIF(怪しいデータを手直し!F$2:F$701,Sheet5!F171)</f>
        <v>1</v>
      </c>
    </row>
    <row r="172" spans="1:22">
      <c r="A172">
        <f>生データ!A280</f>
        <v>0</v>
      </c>
      <c r="B172">
        <f>生データ!B280</f>
        <v>-20</v>
      </c>
      <c r="C172">
        <f>生データ!C280</f>
        <v>4.283786838883505</v>
      </c>
      <c r="D172">
        <f>生データ!D280</f>
        <v>-18.299684952997218</v>
      </c>
      <c r="E172">
        <f>生データ!E280</f>
        <v>0</v>
      </c>
      <c r="F172">
        <f>IF(生データ!E280="Wr",3000+生データ!F280,IF(生データ!E280="Wb",4000+生データ!F280,生データ!F280))</f>
        <v>583</v>
      </c>
      <c r="G172" t="str">
        <f>生データ!G280</f>
        <v>lc</v>
      </c>
      <c r="H172">
        <f>生データ!H280</f>
        <v>0</v>
      </c>
      <c r="I172">
        <f>生データ!I280</f>
        <v>1.22</v>
      </c>
      <c r="J172" t="str">
        <f>生データ!J280</f>
        <v>dead</v>
      </c>
      <c r="K172">
        <f>生データ!K280</f>
        <v>0</v>
      </c>
      <c r="L172">
        <f>生データ!L280</f>
        <v>2.2000000000000002</v>
      </c>
      <c r="M172">
        <f>生データ!M280</f>
        <v>0</v>
      </c>
      <c r="N172">
        <f>生データ!N280</f>
        <v>0</v>
      </c>
      <c r="O172">
        <f>生データ!O280</f>
        <v>0</v>
      </c>
      <c r="P172" t="str">
        <f>生データ!P280</f>
        <v>D</v>
      </c>
      <c r="Q172">
        <f>生データ!Q280</f>
        <v>0</v>
      </c>
      <c r="R172">
        <f>生データ!R280</f>
        <v>0</v>
      </c>
      <c r="S172">
        <f>生データ!S280</f>
        <v>0</v>
      </c>
      <c r="T172">
        <f>生データ!T280</f>
        <v>1.22</v>
      </c>
      <c r="U172" t="str">
        <f>生データ!U280</f>
        <v>dead</v>
      </c>
      <c r="V172">
        <f>COUNTIF(怪しいデータを手直し!F$2:F$701,Sheet5!F172)</f>
        <v>1</v>
      </c>
    </row>
    <row r="173" spans="1:22">
      <c r="A173">
        <f>生データ!A281</f>
        <v>40</v>
      </c>
      <c r="B173">
        <f>生データ!B281</f>
        <v>20</v>
      </c>
      <c r="C173">
        <f>生データ!C281</f>
        <v>42.033215261247165</v>
      </c>
      <c r="D173">
        <f>生データ!D281</f>
        <v>29.849072569358412</v>
      </c>
      <c r="E173">
        <f>生データ!E281</f>
        <v>0</v>
      </c>
      <c r="F173">
        <f>IF(生データ!E281="Wr",3000+生データ!F281,IF(生データ!E281="Wb",4000+生データ!F281,生データ!F281))</f>
        <v>315</v>
      </c>
      <c r="G173" t="str">
        <f>生データ!G281</f>
        <v>bp</v>
      </c>
      <c r="H173">
        <f>生データ!H281</f>
        <v>0</v>
      </c>
      <c r="I173">
        <f>生データ!I281</f>
        <v>1.23</v>
      </c>
      <c r="J173" t="str">
        <f>生データ!J281</f>
        <v>dead</v>
      </c>
      <c r="K173">
        <f>生データ!K281</f>
        <v>0</v>
      </c>
      <c r="L173">
        <f>生データ!L281</f>
        <v>1.5</v>
      </c>
      <c r="M173">
        <f>生データ!M281</f>
        <v>0</v>
      </c>
      <c r="N173">
        <f>生データ!N281</f>
        <v>0</v>
      </c>
      <c r="O173">
        <f>生データ!O281</f>
        <v>0</v>
      </c>
      <c r="P173" t="str">
        <f>生データ!P281</f>
        <v>D</v>
      </c>
      <c r="Q173">
        <f>生データ!Q281</f>
        <v>0</v>
      </c>
      <c r="R173" t="str">
        <f>生データ!R281</f>
        <v>broken</v>
      </c>
      <c r="S173">
        <f>生データ!S281</f>
        <v>0</v>
      </c>
      <c r="T173">
        <f>生データ!T281</f>
        <v>1.23</v>
      </c>
      <c r="U173" t="str">
        <f>生データ!U281</f>
        <v>dead</v>
      </c>
      <c r="V173">
        <f>COUNTIF(怪しいデータを手直し!F$2:F$701,Sheet5!F173)</f>
        <v>1</v>
      </c>
    </row>
    <row r="174" spans="1:22">
      <c r="A174">
        <f>生データ!A282</f>
        <v>10</v>
      </c>
      <c r="B174">
        <f>生データ!B282</f>
        <v>20</v>
      </c>
      <c r="C174">
        <f>生データ!C282</f>
        <v>19.395037262242923</v>
      </c>
      <c r="D174">
        <f>生データ!D282</f>
        <v>28.232704877268993</v>
      </c>
      <c r="E174">
        <f>生データ!E282</f>
        <v>0</v>
      </c>
      <c r="F174">
        <f>IF(生データ!E282="Wr",3000+生データ!F282,IF(生データ!E282="Wb",4000+生データ!F282,生データ!F282))</f>
        <v>96</v>
      </c>
      <c r="G174" t="str">
        <f>生データ!G282</f>
        <v>bp</v>
      </c>
      <c r="H174">
        <f>生データ!H282</f>
        <v>0</v>
      </c>
      <c r="I174">
        <f>生データ!I282</f>
        <v>1.24</v>
      </c>
      <c r="J174">
        <f>生データ!J282</f>
        <v>0</v>
      </c>
      <c r="K174">
        <f>生データ!K282</f>
        <v>19.3</v>
      </c>
      <c r="L174">
        <f>生データ!L282</f>
        <v>3.3</v>
      </c>
      <c r="M174">
        <f>生データ!M282</f>
        <v>0.5</v>
      </c>
      <c r="N174">
        <f>生データ!N282</f>
        <v>0</v>
      </c>
      <c r="O174">
        <f>生データ!O282</f>
        <v>0</v>
      </c>
      <c r="P174" t="str">
        <f>生データ!P282</f>
        <v>L</v>
      </c>
      <c r="Q174">
        <f>生データ!Q282</f>
        <v>0</v>
      </c>
      <c r="R174">
        <f>生データ!R282</f>
        <v>0</v>
      </c>
      <c r="S174">
        <f>生データ!S282</f>
        <v>0</v>
      </c>
      <c r="T174">
        <f>生データ!T282</f>
        <v>1.24</v>
      </c>
      <c r="U174">
        <f>生データ!U282</f>
        <v>19.3</v>
      </c>
      <c r="V174">
        <f>COUNTIF(怪しいデータを手直し!F$2:F$701,Sheet5!F174)</f>
        <v>1</v>
      </c>
    </row>
    <row r="175" spans="1:22">
      <c r="A175">
        <f>生データ!A283</f>
        <v>40</v>
      </c>
      <c r="B175">
        <f>生データ!B283</f>
        <v>20</v>
      </c>
      <c r="C175">
        <f>生データ!C283</f>
        <v>42.314959564929261</v>
      </c>
      <c r="D175">
        <f>生データ!D283</f>
        <v>29.279987657004579</v>
      </c>
      <c r="E175">
        <f>生データ!E283</f>
        <v>0</v>
      </c>
      <c r="F175">
        <f>IF(生データ!E283="Wr",3000+生データ!F283,IF(生データ!E283="Wb",4000+生データ!F283,生データ!F283))</f>
        <v>291</v>
      </c>
      <c r="G175" t="str">
        <f>生データ!G283</f>
        <v>bp</v>
      </c>
      <c r="H175">
        <f>生データ!H283</f>
        <v>0</v>
      </c>
      <c r="I175">
        <f>生データ!I283</f>
        <v>1.24</v>
      </c>
      <c r="J175">
        <f>生データ!J283</f>
        <v>0</v>
      </c>
      <c r="K175">
        <f>生データ!K283</f>
        <v>5.5</v>
      </c>
      <c r="L175">
        <f>生データ!L283</f>
        <v>3.4</v>
      </c>
      <c r="M175">
        <f>生データ!M283</f>
        <v>1</v>
      </c>
      <c r="N175">
        <f>生データ!N283</f>
        <v>0</v>
      </c>
      <c r="O175">
        <f>生データ!O283</f>
        <v>0</v>
      </c>
      <c r="P175" t="str">
        <f>生データ!P283</f>
        <v>L</v>
      </c>
      <c r="Q175">
        <f>生データ!Q283</f>
        <v>0</v>
      </c>
      <c r="R175">
        <f>生データ!R283</f>
        <v>0</v>
      </c>
      <c r="S175">
        <f>生データ!S283</f>
        <v>0</v>
      </c>
      <c r="T175">
        <f>生データ!T283</f>
        <v>1.24</v>
      </c>
      <c r="U175">
        <f>生データ!U283</f>
        <v>5.5</v>
      </c>
      <c r="V175">
        <f>COUNTIF(怪しいデータを手直し!F$2:F$701,Sheet5!F175)</f>
        <v>1</v>
      </c>
    </row>
    <row r="176" spans="1:22">
      <c r="A176">
        <f>生データ!A284</f>
        <v>20</v>
      </c>
      <c r="B176">
        <f>生データ!B284</f>
        <v>-20</v>
      </c>
      <c r="C176">
        <f>生データ!C284</f>
        <v>29.815354348993672</v>
      </c>
      <c r="D176">
        <f>生データ!D284</f>
        <v>-13.113758655297145</v>
      </c>
      <c r="E176">
        <f>生データ!E284</f>
        <v>0</v>
      </c>
      <c r="F176">
        <f>IF(生データ!E284="Wr",3000+生データ!F284,IF(生データ!E284="Wb",4000+生データ!F284,生データ!F284))</f>
        <v>539</v>
      </c>
      <c r="G176" t="str">
        <f>生データ!G284</f>
        <v>bp</v>
      </c>
      <c r="H176">
        <f>生データ!H284</f>
        <v>0</v>
      </c>
      <c r="I176">
        <f>生データ!I284</f>
        <v>1.25</v>
      </c>
      <c r="J176">
        <f>生データ!J284</f>
        <v>0</v>
      </c>
      <c r="K176">
        <f>生データ!K284</f>
        <v>13.4</v>
      </c>
      <c r="L176">
        <f>生データ!L284</f>
        <v>2.2999999999999998</v>
      </c>
      <c r="M176">
        <f>生データ!M284</f>
        <v>1.3</v>
      </c>
      <c r="N176">
        <f>生データ!N284</f>
        <v>0</v>
      </c>
      <c r="O176">
        <f>生データ!O284</f>
        <v>0</v>
      </c>
      <c r="P176" t="str">
        <f>生データ!P284</f>
        <v>L</v>
      </c>
      <c r="Q176">
        <f>生データ!Q284</f>
        <v>0</v>
      </c>
      <c r="R176">
        <f>生データ!R284</f>
        <v>0</v>
      </c>
      <c r="S176">
        <f>生データ!S284</f>
        <v>0</v>
      </c>
      <c r="T176">
        <f>生データ!T284</f>
        <v>1.25</v>
      </c>
      <c r="U176">
        <f>生データ!U284</f>
        <v>13.4</v>
      </c>
      <c r="V176">
        <f>COUNTIF(怪しいデータを手直し!F$2:F$701,Sheet5!F176)</f>
        <v>1</v>
      </c>
    </row>
    <row r="177" spans="1:22">
      <c r="A177">
        <f>生データ!A285</f>
        <v>40</v>
      </c>
      <c r="B177">
        <f>生データ!B285</f>
        <v>0</v>
      </c>
      <c r="C177">
        <f>生データ!C285</f>
        <v>40.044069004266788</v>
      </c>
      <c r="D177">
        <f>生データ!D285</f>
        <v>4.9501922885259351</v>
      </c>
      <c r="E177">
        <f>生データ!E285</f>
        <v>0</v>
      </c>
      <c r="F177">
        <f>IF(生データ!E285="Wr",3000+生データ!F285,IF(生データ!E285="Wb",4000+生データ!F285,生データ!F285))</f>
        <v>263</v>
      </c>
      <c r="G177" t="str">
        <f>生データ!G285</f>
        <v>bp</v>
      </c>
      <c r="H177">
        <f>生データ!H285</f>
        <v>0</v>
      </c>
      <c r="I177">
        <f>生データ!I285</f>
        <v>1.26</v>
      </c>
      <c r="J177" t="str">
        <f>生データ!J285</f>
        <v>dead</v>
      </c>
      <c r="K177">
        <f>生データ!K285</f>
        <v>0</v>
      </c>
      <c r="L177">
        <f>生データ!L285</f>
        <v>2.5</v>
      </c>
      <c r="M177">
        <f>生データ!M285</f>
        <v>0</v>
      </c>
      <c r="N177">
        <f>生データ!N285</f>
        <v>0</v>
      </c>
      <c r="O177">
        <f>生データ!O285</f>
        <v>0</v>
      </c>
      <c r="P177" t="str">
        <f>生データ!P285</f>
        <v>D</v>
      </c>
      <c r="Q177">
        <f>生データ!Q285</f>
        <v>0</v>
      </c>
      <c r="R177">
        <f>生データ!R285</f>
        <v>0</v>
      </c>
      <c r="S177">
        <f>生データ!S285</f>
        <v>0</v>
      </c>
      <c r="T177">
        <f>生データ!T285</f>
        <v>1.26</v>
      </c>
      <c r="U177" t="str">
        <f>生データ!U285</f>
        <v>dead</v>
      </c>
      <c r="V177">
        <f>COUNTIF(怪しいデータを手直し!F$2:F$701,Sheet5!F177)</f>
        <v>1</v>
      </c>
    </row>
    <row r="178" spans="1:22">
      <c r="A178">
        <f>生データ!A286</f>
        <v>30</v>
      </c>
      <c r="B178">
        <f>生データ!B286</f>
        <v>-30</v>
      </c>
      <c r="C178">
        <f>生データ!C286</f>
        <v>32.172249041042093</v>
      </c>
      <c r="D178">
        <f>生データ!D286</f>
        <v>-27.886300406635019</v>
      </c>
      <c r="E178">
        <f>生データ!E286</f>
        <v>0</v>
      </c>
      <c r="F178">
        <f>IF(生データ!E286="Wr",3000+生データ!F286,IF(生データ!E286="Wb",4000+生データ!F286,生データ!F286))</f>
        <v>670</v>
      </c>
      <c r="G178" t="str">
        <f>生データ!G286</f>
        <v>lc</v>
      </c>
      <c r="H178">
        <f>生データ!H286</f>
        <v>0</v>
      </c>
      <c r="I178">
        <f>生データ!I286</f>
        <v>1.26</v>
      </c>
      <c r="J178" t="str">
        <f>生データ!J286</f>
        <v>dead</v>
      </c>
      <c r="K178">
        <f>生データ!K286</f>
        <v>0</v>
      </c>
      <c r="L178">
        <f>生データ!L286</f>
        <v>2.5</v>
      </c>
      <c r="M178">
        <f>生データ!M286</f>
        <v>0</v>
      </c>
      <c r="N178">
        <f>生データ!N286</f>
        <v>0</v>
      </c>
      <c r="O178">
        <f>生データ!O286</f>
        <v>0</v>
      </c>
      <c r="P178" t="str">
        <f>生データ!P286</f>
        <v>D</v>
      </c>
      <c r="Q178">
        <f>生データ!Q286</f>
        <v>0</v>
      </c>
      <c r="R178">
        <f>生データ!R286</f>
        <v>0</v>
      </c>
      <c r="S178">
        <f>生データ!S286</f>
        <v>0</v>
      </c>
      <c r="T178">
        <f>生データ!T286</f>
        <v>1.26</v>
      </c>
      <c r="U178" t="str">
        <f>生データ!U286</f>
        <v>dead</v>
      </c>
      <c r="V178">
        <f>COUNTIF(怪しいデータを手直し!F$2:F$701,Sheet5!F178)</f>
        <v>1</v>
      </c>
    </row>
    <row r="179" spans="1:22">
      <c r="A179">
        <f>生データ!A287</f>
        <v>20</v>
      </c>
      <c r="B179">
        <f>生データ!B287</f>
        <v>30</v>
      </c>
      <c r="C179">
        <f>生データ!C287</f>
        <v>20.548209621882769</v>
      </c>
      <c r="D179">
        <f>生データ!D287</f>
        <v>33.73393534900292</v>
      </c>
      <c r="E179">
        <f>生データ!E287</f>
        <v>0</v>
      </c>
      <c r="F179">
        <f>IF(生データ!E287="Wr",3000+生データ!F287,IF(生データ!E287="Wb",4000+生データ!F287,生データ!F287))</f>
        <v>175</v>
      </c>
      <c r="G179" t="str">
        <f>生データ!G287</f>
        <v>bp</v>
      </c>
      <c r="H179">
        <f>生データ!H287</f>
        <v>0</v>
      </c>
      <c r="I179">
        <f>生データ!I287</f>
        <v>1.27</v>
      </c>
      <c r="J179">
        <f>生データ!J287</f>
        <v>6.3</v>
      </c>
      <c r="K179">
        <f>生データ!K287</f>
        <v>0</v>
      </c>
      <c r="L179">
        <f>生データ!L287</f>
        <v>2.8</v>
      </c>
      <c r="M179">
        <f>生データ!M287</f>
        <v>0.8</v>
      </c>
      <c r="N179">
        <f>生データ!N287</f>
        <v>0</v>
      </c>
      <c r="O179">
        <f>生データ!O287</f>
        <v>0</v>
      </c>
      <c r="P179" t="str">
        <f>生データ!P287</f>
        <v>L</v>
      </c>
      <c r="Q179">
        <f>生データ!Q287</f>
        <v>0</v>
      </c>
      <c r="R179">
        <f>生データ!R287</f>
        <v>0</v>
      </c>
      <c r="S179">
        <f>生データ!S287</f>
        <v>0</v>
      </c>
      <c r="T179">
        <f>生データ!T287</f>
        <v>1.27</v>
      </c>
      <c r="U179">
        <f>生データ!U287</f>
        <v>2.0053522829578814</v>
      </c>
      <c r="V179">
        <f>COUNTIF(怪しいデータを手直し!F$2:F$701,Sheet5!F179)</f>
        <v>1</v>
      </c>
    </row>
    <row r="180" spans="1:22">
      <c r="A180">
        <f>生データ!A288</f>
        <v>30</v>
      </c>
      <c r="B180">
        <f>生データ!B288</f>
        <v>-20</v>
      </c>
      <c r="C180">
        <f>生データ!C288</f>
        <v>35.246860320498655</v>
      </c>
      <c r="D180">
        <f>生データ!D288</f>
        <v>-17.046819366717855</v>
      </c>
      <c r="E180">
        <f>生データ!E288</f>
        <v>0</v>
      </c>
      <c r="F180">
        <f>IF(生データ!E288="Wr",3000+生データ!F288,IF(生データ!E288="Wb",4000+生データ!F288,生データ!F288))</f>
        <v>523</v>
      </c>
      <c r="G180" t="str">
        <f>生データ!G288</f>
        <v>pt</v>
      </c>
      <c r="H180">
        <f>生データ!H288</f>
        <v>0</v>
      </c>
      <c r="I180">
        <f>生データ!I288</f>
        <v>1.27</v>
      </c>
      <c r="J180">
        <f>生データ!J288</f>
        <v>0</v>
      </c>
      <c r="K180">
        <f>生データ!K288</f>
        <v>1.92</v>
      </c>
      <c r="L180">
        <f>生データ!L288</f>
        <v>3.1</v>
      </c>
      <c r="M180">
        <f>生データ!M288</f>
        <v>0.6</v>
      </c>
      <c r="N180">
        <f>生データ!N288</f>
        <v>0</v>
      </c>
      <c r="O180">
        <f>生データ!O288</f>
        <v>0</v>
      </c>
      <c r="P180" t="str">
        <f>生データ!P288</f>
        <v>L</v>
      </c>
      <c r="Q180">
        <f>生データ!Q288</f>
        <v>0</v>
      </c>
      <c r="R180">
        <f>生データ!R288</f>
        <v>0</v>
      </c>
      <c r="S180">
        <f>生データ!S288</f>
        <v>0</v>
      </c>
      <c r="T180">
        <f>生データ!T288</f>
        <v>1.27</v>
      </c>
      <c r="U180">
        <f>生データ!U288</f>
        <v>1.92</v>
      </c>
      <c r="V180">
        <f>COUNTIF(怪しいデータを手直し!F$2:F$701,Sheet5!F180)</f>
        <v>1</v>
      </c>
    </row>
    <row r="181" spans="1:22">
      <c r="A181">
        <f>生データ!A289</f>
        <v>0</v>
      </c>
      <c r="B181">
        <f>生データ!B289</f>
        <v>-30</v>
      </c>
      <c r="C181">
        <f>生データ!C289</f>
        <v>9.309286328818267</v>
      </c>
      <c r="D181">
        <f>生データ!D289</f>
        <v>-23.147976576191382</v>
      </c>
      <c r="E181">
        <f>生データ!E289</f>
        <v>0</v>
      </c>
      <c r="F181">
        <f>IF(生データ!E289="Wr",3000+生データ!F289,IF(生データ!E289="Wb",4000+生データ!F289,生データ!F289))</f>
        <v>609</v>
      </c>
      <c r="G181" t="str">
        <f>生データ!G289</f>
        <v>bp</v>
      </c>
      <c r="H181">
        <f>生データ!H289</f>
        <v>0</v>
      </c>
      <c r="I181">
        <f>生データ!I289</f>
        <v>1.27</v>
      </c>
      <c r="J181">
        <f>生データ!J289</f>
        <v>0</v>
      </c>
      <c r="K181">
        <f>生データ!K289</f>
        <v>16.3</v>
      </c>
      <c r="L181">
        <f>生データ!L289</f>
        <v>2.2999999999999998</v>
      </c>
      <c r="M181">
        <f>生データ!M289</f>
        <v>1.7</v>
      </c>
      <c r="N181">
        <f>生データ!N289</f>
        <v>0</v>
      </c>
      <c r="O181">
        <f>生データ!O289</f>
        <v>0</v>
      </c>
      <c r="P181" t="str">
        <f>生データ!P289</f>
        <v>L</v>
      </c>
      <c r="Q181">
        <f>生データ!Q289</f>
        <v>0</v>
      </c>
      <c r="R181">
        <f>生データ!R289</f>
        <v>0</v>
      </c>
      <c r="S181">
        <f>生データ!S289</f>
        <v>0</v>
      </c>
      <c r="T181">
        <f>生データ!T289</f>
        <v>1.27</v>
      </c>
      <c r="U181">
        <f>生データ!U289</f>
        <v>16.3</v>
      </c>
      <c r="V181">
        <f>COUNTIF(怪しいデータを手直し!F$2:F$701,Sheet5!F181)</f>
        <v>1</v>
      </c>
    </row>
    <row r="182" spans="1:22">
      <c r="A182">
        <f>生データ!A290</f>
        <v>20</v>
      </c>
      <c r="B182">
        <f>生データ!B290</f>
        <v>30</v>
      </c>
      <c r="C182">
        <f>生データ!C290</f>
        <v>24.676352046017037</v>
      </c>
      <c r="D182">
        <f>生データ!D290</f>
        <v>39.225834938974714</v>
      </c>
      <c r="E182">
        <f>生データ!E290</f>
        <v>0</v>
      </c>
      <c r="F182">
        <f>IF(生データ!E290="Wr",3000+生データ!F290,IF(生データ!E290="Wb",4000+生データ!F290,生データ!F290))</f>
        <v>129</v>
      </c>
      <c r="G182" t="str">
        <f>生データ!G290</f>
        <v>lc</v>
      </c>
      <c r="H182">
        <f>生データ!H290</f>
        <v>0</v>
      </c>
      <c r="I182">
        <f>生データ!I290</f>
        <v>1.28</v>
      </c>
      <c r="J182">
        <f>生データ!J290</f>
        <v>7</v>
      </c>
      <c r="K182">
        <f>生データ!K290</f>
        <v>0</v>
      </c>
      <c r="L182">
        <f>生データ!L290</f>
        <v>2.5</v>
      </c>
      <c r="M182">
        <f>生データ!M290</f>
        <v>0.2</v>
      </c>
      <c r="N182">
        <f>生データ!N290</f>
        <v>0</v>
      </c>
      <c r="O182">
        <f>生データ!O290</f>
        <v>0</v>
      </c>
      <c r="P182" t="str">
        <f>生データ!P290</f>
        <v>L</v>
      </c>
      <c r="Q182">
        <f>生データ!Q290</f>
        <v>0</v>
      </c>
      <c r="R182">
        <f>生データ!R290</f>
        <v>0</v>
      </c>
      <c r="S182">
        <f>生データ!S290</f>
        <v>0</v>
      </c>
      <c r="T182">
        <f>生データ!T290</f>
        <v>1.28</v>
      </c>
      <c r="U182">
        <f>生データ!U290</f>
        <v>2.228169203286535</v>
      </c>
      <c r="V182">
        <f>COUNTIF(怪しいデータを手直し!F$2:F$701,Sheet5!F182)</f>
        <v>1</v>
      </c>
    </row>
    <row r="183" spans="1:22">
      <c r="A183">
        <f>生データ!A291</f>
        <v>40</v>
      </c>
      <c r="B183">
        <f>生データ!B291</f>
        <v>30</v>
      </c>
      <c r="C183">
        <f>生データ!C291</f>
        <v>48.785431380698043</v>
      </c>
      <c r="D183">
        <f>生データ!D291</f>
        <v>31.465996070483271</v>
      </c>
      <c r="E183">
        <f>生データ!E291</f>
        <v>0</v>
      </c>
      <c r="F183">
        <f>IF(生データ!E291="Wr",3000+生データ!F291,IF(生データ!E291="Wb",4000+生データ!F291,生データ!F291))</f>
        <v>336</v>
      </c>
      <c r="G183" t="str">
        <f>生データ!G291</f>
        <v>af</v>
      </c>
      <c r="H183">
        <f>生データ!H291</f>
        <v>0</v>
      </c>
      <c r="I183">
        <f>生データ!I291</f>
        <v>1.28</v>
      </c>
      <c r="J183">
        <f>生データ!J291</f>
        <v>0</v>
      </c>
      <c r="K183">
        <f>生データ!K291</f>
        <v>17.100000000000001</v>
      </c>
      <c r="L183">
        <f>生データ!L291</f>
        <v>2.1</v>
      </c>
      <c r="M183">
        <f>生データ!M291</f>
        <v>1</v>
      </c>
      <c r="N183">
        <f>生データ!N291</f>
        <v>0</v>
      </c>
      <c r="O183">
        <f>生データ!O291</f>
        <v>0</v>
      </c>
      <c r="P183" t="str">
        <f>生データ!P291</f>
        <v>L</v>
      </c>
      <c r="Q183">
        <f>生データ!Q291</f>
        <v>0</v>
      </c>
      <c r="R183">
        <f>生データ!R291</f>
        <v>0</v>
      </c>
      <c r="S183">
        <f>生データ!S291</f>
        <v>0</v>
      </c>
      <c r="T183">
        <f>生データ!T291</f>
        <v>1.28</v>
      </c>
      <c r="U183">
        <f>生データ!U291</f>
        <v>17.100000000000001</v>
      </c>
      <c r="V183">
        <f>COUNTIF(怪しいデータを手直し!F$2:F$701,Sheet5!F183)</f>
        <v>1</v>
      </c>
    </row>
    <row r="184" spans="1:22">
      <c r="A184">
        <f>生データ!A292</f>
        <v>40</v>
      </c>
      <c r="B184">
        <f>生データ!B292</f>
        <v>20</v>
      </c>
      <c r="C184">
        <f>生データ!C292</f>
        <v>41.994523250760842</v>
      </c>
      <c r="D184">
        <f>生データ!D292</f>
        <v>29.817403525727038</v>
      </c>
      <c r="E184">
        <f>生データ!E292</f>
        <v>0</v>
      </c>
      <c r="F184">
        <f>IF(生データ!E292="Wr",3000+生データ!F292,IF(生データ!E292="Wb",4000+生データ!F292,生データ!F292))</f>
        <v>313</v>
      </c>
      <c r="G184" t="str">
        <f>生データ!G292</f>
        <v>bp</v>
      </c>
      <c r="H184">
        <f>生データ!H292</f>
        <v>0</v>
      </c>
      <c r="I184">
        <f>生データ!I292</f>
        <v>1.3</v>
      </c>
      <c r="J184">
        <f>生データ!J292</f>
        <v>6</v>
      </c>
      <c r="K184">
        <f>生データ!K292</f>
        <v>0</v>
      </c>
      <c r="L184">
        <f>生データ!L292</f>
        <v>3.1</v>
      </c>
      <c r="M184">
        <f>生データ!M292</f>
        <v>0.8</v>
      </c>
      <c r="N184">
        <f>生データ!N292</f>
        <v>0</v>
      </c>
      <c r="O184">
        <f>生データ!O292</f>
        <v>0</v>
      </c>
      <c r="P184" t="str">
        <f>生データ!P292</f>
        <v>L</v>
      </c>
      <c r="Q184">
        <f>生データ!Q292</f>
        <v>0</v>
      </c>
      <c r="R184">
        <f>生データ!R292</f>
        <v>0</v>
      </c>
      <c r="S184">
        <f>生データ!S292</f>
        <v>0</v>
      </c>
      <c r="T184">
        <f>生データ!T292</f>
        <v>1.3</v>
      </c>
      <c r="U184">
        <f>生データ!U292</f>
        <v>1.909859317102744</v>
      </c>
      <c r="V184">
        <f>COUNTIF(怪しいデータを手直し!F$2:F$701,Sheet5!F184)</f>
        <v>1</v>
      </c>
    </row>
    <row r="185" spans="1:22">
      <c r="A185">
        <f>生データ!A293</f>
        <v>30</v>
      </c>
      <c r="B185">
        <f>生データ!B293</f>
        <v>-20</v>
      </c>
      <c r="C185">
        <f>生データ!C293</f>
        <v>30.272031637104213</v>
      </c>
      <c r="D185">
        <f>生データ!D293</f>
        <v>-12.789450040868029</v>
      </c>
      <c r="E185">
        <f>生データ!E293</f>
        <v>0</v>
      </c>
      <c r="F185">
        <f>IF(生データ!E293="Wr",3000+生データ!F293,IF(生データ!E293="Wb",4000+生データ!F293,生データ!F293))</f>
        <v>531</v>
      </c>
      <c r="G185" t="str">
        <f>生データ!G293</f>
        <v>bp</v>
      </c>
      <c r="H185">
        <f>生データ!H293</f>
        <v>0</v>
      </c>
      <c r="I185">
        <f>生データ!I293</f>
        <v>1.3</v>
      </c>
      <c r="J185">
        <f>生データ!J293</f>
        <v>0</v>
      </c>
      <c r="K185">
        <f>生データ!K293</f>
        <v>14.8</v>
      </c>
      <c r="L185">
        <f>生データ!L293</f>
        <v>2.7</v>
      </c>
      <c r="M185">
        <f>生データ!M293</f>
        <v>1.4</v>
      </c>
      <c r="N185">
        <f>生データ!N293</f>
        <v>0</v>
      </c>
      <c r="O185">
        <f>生データ!O293</f>
        <v>0</v>
      </c>
      <c r="P185" t="str">
        <f>生データ!P293</f>
        <v>L</v>
      </c>
      <c r="Q185">
        <f>生データ!Q293</f>
        <v>0</v>
      </c>
      <c r="R185">
        <f>生データ!R293</f>
        <v>0</v>
      </c>
      <c r="S185">
        <f>生データ!S293</f>
        <v>0</v>
      </c>
      <c r="T185">
        <f>生データ!T293</f>
        <v>1.3</v>
      </c>
      <c r="U185">
        <f>生データ!U293</f>
        <v>14.8</v>
      </c>
      <c r="V185">
        <f>COUNTIF(怪しいデータを手直し!F$2:F$701,Sheet5!F185)</f>
        <v>1</v>
      </c>
    </row>
    <row r="186" spans="1:22">
      <c r="A186">
        <f>生データ!A294</f>
        <v>0</v>
      </c>
      <c r="B186">
        <f>生データ!B294</f>
        <v>-20</v>
      </c>
      <c r="C186">
        <f>生データ!C294</f>
        <v>0.82101434437614929</v>
      </c>
      <c r="D186">
        <f>生データ!D294</f>
        <v>-14.108775419310309</v>
      </c>
      <c r="E186">
        <f>生データ!E294</f>
        <v>0</v>
      </c>
      <c r="F186">
        <f>IF(生データ!E294="Wr",3000+生データ!F294,IF(生データ!E294="Wb",4000+生データ!F294,生データ!F294))</f>
        <v>589</v>
      </c>
      <c r="G186" t="str">
        <f>生データ!G294</f>
        <v>lc</v>
      </c>
      <c r="H186">
        <f>生データ!H294</f>
        <v>0</v>
      </c>
      <c r="I186">
        <f>生データ!I294</f>
        <v>1.3</v>
      </c>
      <c r="J186">
        <f>生データ!J294</f>
        <v>0</v>
      </c>
      <c r="K186">
        <f>生データ!K294</f>
        <v>20.5</v>
      </c>
      <c r="L186">
        <f>生データ!L294</f>
        <v>1.9</v>
      </c>
      <c r="M186">
        <f>生データ!M294</f>
        <v>0.2</v>
      </c>
      <c r="N186">
        <f>生データ!N294</f>
        <v>0</v>
      </c>
      <c r="O186">
        <f>生データ!O294</f>
        <v>0</v>
      </c>
      <c r="P186" t="str">
        <f>生データ!P294</f>
        <v>L</v>
      </c>
      <c r="Q186">
        <f>生データ!Q294</f>
        <v>0</v>
      </c>
      <c r="R186">
        <f>生データ!R294</f>
        <v>0</v>
      </c>
      <c r="S186" t="str">
        <f>生データ!S294</f>
        <v>New No758</v>
      </c>
      <c r="T186">
        <f>生データ!T294</f>
        <v>1.3</v>
      </c>
      <c r="U186">
        <f>生データ!U294</f>
        <v>20.5</v>
      </c>
      <c r="V186">
        <f>COUNTIF(怪しいデータを手直し!F$2:F$701,Sheet5!F186)</f>
        <v>1</v>
      </c>
    </row>
    <row r="187" spans="1:22">
      <c r="A187">
        <f>生データ!A295</f>
        <v>20</v>
      </c>
      <c r="B187">
        <f>生データ!B295</f>
        <v>40</v>
      </c>
      <c r="C187">
        <f>生データ!C295</f>
        <v>25.933414994968828</v>
      </c>
      <c r="D187">
        <f>生データ!D295</f>
        <v>46.753864560196561</v>
      </c>
      <c r="E187">
        <f>生データ!E295</f>
        <v>0</v>
      </c>
      <c r="F187">
        <f>IF(生データ!E295="Wr",3000+生データ!F295,IF(生データ!E295="Wb",4000+生データ!F295,生データ!F295))</f>
        <v>190</v>
      </c>
      <c r="G187" t="str">
        <f>生データ!G295</f>
        <v>bp</v>
      </c>
      <c r="H187">
        <f>生データ!H295</f>
        <v>0</v>
      </c>
      <c r="I187">
        <f>生データ!I295</f>
        <v>1.31</v>
      </c>
      <c r="J187">
        <f>生データ!J295</f>
        <v>0</v>
      </c>
      <c r="K187">
        <f>生データ!K295</f>
        <v>14.3</v>
      </c>
      <c r="L187">
        <f>生データ!L295</f>
        <v>1.8</v>
      </c>
      <c r="M187">
        <f>生データ!M295</f>
        <v>1.1000000000000001</v>
      </c>
      <c r="N187">
        <f>生データ!N295</f>
        <v>0</v>
      </c>
      <c r="O187">
        <f>生データ!O295</f>
        <v>0</v>
      </c>
      <c r="P187" t="str">
        <f>生データ!P295</f>
        <v>L</v>
      </c>
      <c r="Q187">
        <f>生データ!Q295</f>
        <v>0</v>
      </c>
      <c r="R187">
        <f>生データ!R295</f>
        <v>0</v>
      </c>
      <c r="S187">
        <f>生データ!S295</f>
        <v>0</v>
      </c>
      <c r="T187">
        <f>生データ!T295</f>
        <v>1.31</v>
      </c>
      <c r="U187">
        <f>生データ!U295</f>
        <v>14.3</v>
      </c>
      <c r="V187">
        <f>COUNTIF(怪しいデータを手直し!F$2:F$701,Sheet5!F187)</f>
        <v>1</v>
      </c>
    </row>
    <row r="188" spans="1:22">
      <c r="A188">
        <f>生データ!A296</f>
        <v>40</v>
      </c>
      <c r="B188">
        <f>生データ!B296</f>
        <v>20</v>
      </c>
      <c r="C188">
        <f>生データ!C296</f>
        <v>42.537382672775671</v>
      </c>
      <c r="D188">
        <f>生データ!D296</f>
        <v>29.97268447893466</v>
      </c>
      <c r="E188">
        <f>生データ!E296</f>
        <v>0</v>
      </c>
      <c r="F188">
        <f>IF(生データ!E296="Wr",3000+生データ!F296,IF(生データ!E296="Wb",4000+生データ!F296,生データ!F296))</f>
        <v>301</v>
      </c>
      <c r="G188" t="str">
        <f>生データ!G296</f>
        <v>bp</v>
      </c>
      <c r="H188">
        <f>生データ!H296</f>
        <v>0</v>
      </c>
      <c r="I188">
        <f>生データ!I296</f>
        <v>1.31</v>
      </c>
      <c r="J188">
        <f>生データ!J296</f>
        <v>6</v>
      </c>
      <c r="K188">
        <f>生データ!K296</f>
        <v>0</v>
      </c>
      <c r="L188">
        <f>生データ!L296</f>
        <v>3.1</v>
      </c>
      <c r="M188">
        <f>生データ!M296</f>
        <v>1</v>
      </c>
      <c r="N188">
        <f>生データ!N296</f>
        <v>0</v>
      </c>
      <c r="O188">
        <f>生データ!O296</f>
        <v>0</v>
      </c>
      <c r="P188" t="str">
        <f>生データ!P296</f>
        <v>L</v>
      </c>
      <c r="Q188">
        <f>生データ!Q296</f>
        <v>0</v>
      </c>
      <c r="R188">
        <f>生データ!R296</f>
        <v>0</v>
      </c>
      <c r="S188">
        <f>生データ!S296</f>
        <v>0</v>
      </c>
      <c r="T188">
        <f>生データ!T296</f>
        <v>1.31</v>
      </c>
      <c r="U188">
        <f>生データ!U296</f>
        <v>1.909859317102744</v>
      </c>
      <c r="V188">
        <f>COUNTIF(怪しいデータを手直し!F$2:F$701,Sheet5!F188)</f>
        <v>1</v>
      </c>
    </row>
    <row r="189" spans="1:22">
      <c r="A189">
        <f>生データ!A297</f>
        <v>0</v>
      </c>
      <c r="B189">
        <f>生データ!B297</f>
        <v>20</v>
      </c>
      <c r="C189">
        <f>生データ!C297</f>
        <v>3.8226077947344206</v>
      </c>
      <c r="D189">
        <f>生データ!D297</f>
        <v>29.704255234052518</v>
      </c>
      <c r="E189">
        <f>生データ!E297</f>
        <v>0</v>
      </c>
      <c r="F189">
        <f>IF(生データ!E297="Wr",3000+生データ!F297,IF(生データ!E297="Wb",4000+生データ!F297,生データ!F297))</f>
        <v>45</v>
      </c>
      <c r="G189" t="str">
        <f>生データ!G297</f>
        <v>lc</v>
      </c>
      <c r="H189">
        <f>生データ!H297</f>
        <v>0</v>
      </c>
      <c r="I189">
        <f>生データ!I297</f>
        <v>1.32</v>
      </c>
      <c r="J189">
        <f>生データ!J297</f>
        <v>8.3000000000000007</v>
      </c>
      <c r="K189">
        <f>生データ!K297</f>
        <v>0</v>
      </c>
      <c r="L189">
        <f>生データ!L297</f>
        <v>2.1</v>
      </c>
      <c r="M189">
        <f>生データ!M297</f>
        <v>0.2</v>
      </c>
      <c r="N189">
        <f>生データ!N297</f>
        <v>0</v>
      </c>
      <c r="O189">
        <f>生データ!O297</f>
        <v>0</v>
      </c>
      <c r="P189" t="str">
        <f>生データ!P297</f>
        <v>L</v>
      </c>
      <c r="Q189">
        <f>生データ!Q297</f>
        <v>0</v>
      </c>
      <c r="R189">
        <f>生データ!R297</f>
        <v>0</v>
      </c>
      <c r="S189">
        <f>生データ!S297</f>
        <v>0</v>
      </c>
      <c r="T189">
        <f>生データ!T297</f>
        <v>1.32</v>
      </c>
      <c r="U189">
        <f>生データ!U297</f>
        <v>2.6419720553254629</v>
      </c>
      <c r="V189">
        <f>COUNTIF(怪しいデータを手直し!F$2:F$701,Sheet5!F189)</f>
        <v>1</v>
      </c>
    </row>
    <row r="190" spans="1:22">
      <c r="A190">
        <f>生データ!A298</f>
        <v>40</v>
      </c>
      <c r="B190">
        <f>生データ!B298</f>
        <v>30</v>
      </c>
      <c r="C190">
        <f>生データ!C298</f>
        <v>43.446618132143705</v>
      </c>
      <c r="D190">
        <f>生データ!D298</f>
        <v>36.456599642426447</v>
      </c>
      <c r="E190">
        <f>生データ!E298</f>
        <v>0</v>
      </c>
      <c r="F190">
        <f>IF(生データ!E298="Wr",3000+生データ!F298,IF(生データ!E298="Wb",4000+生データ!F298,生データ!F298))</f>
        <v>344</v>
      </c>
      <c r="G190" t="str">
        <f>生データ!G298</f>
        <v>lc</v>
      </c>
      <c r="H190">
        <f>生データ!H298</f>
        <v>0</v>
      </c>
      <c r="I190">
        <f>生データ!I298</f>
        <v>1.32</v>
      </c>
      <c r="J190">
        <f>生データ!J298</f>
        <v>7.4</v>
      </c>
      <c r="K190">
        <f>生データ!K298</f>
        <v>0</v>
      </c>
      <c r="L190">
        <f>生データ!L298</f>
        <v>2.6</v>
      </c>
      <c r="M190">
        <f>生データ!M298</f>
        <v>0.3</v>
      </c>
      <c r="N190">
        <f>生データ!N298</f>
        <v>0</v>
      </c>
      <c r="O190">
        <f>生データ!O298</f>
        <v>0</v>
      </c>
      <c r="P190" t="str">
        <f>生データ!P298</f>
        <v>L</v>
      </c>
      <c r="Q190">
        <f>生データ!Q298</f>
        <v>0</v>
      </c>
      <c r="R190">
        <f>生データ!R298</f>
        <v>0</v>
      </c>
      <c r="S190">
        <f>生データ!S298</f>
        <v>0</v>
      </c>
      <c r="T190">
        <f>生データ!T298</f>
        <v>1.32</v>
      </c>
      <c r="U190">
        <f>生データ!U298</f>
        <v>2.3554931577600513</v>
      </c>
      <c r="V190">
        <f>COUNTIF(怪しいデータを手直し!F$2:F$701,Sheet5!F190)</f>
        <v>1</v>
      </c>
    </row>
    <row r="191" spans="1:22">
      <c r="A191">
        <f>生データ!A299</f>
        <v>20</v>
      </c>
      <c r="B191">
        <f>生データ!B299</f>
        <v>10</v>
      </c>
      <c r="C191">
        <f>生データ!C299</f>
        <v>21.971325740910526</v>
      </c>
      <c r="D191">
        <f>生データ!D299</f>
        <v>11.532730588339588</v>
      </c>
      <c r="E191">
        <f>生データ!E299</f>
        <v>0</v>
      </c>
      <c r="F191">
        <f>IF(生データ!E299="Wr",3000+生データ!F299,IF(生データ!E299="Wb",4000+生データ!F299,生データ!F299))</f>
        <v>145</v>
      </c>
      <c r="G191" t="str">
        <f>生データ!G299</f>
        <v>bp</v>
      </c>
      <c r="H191">
        <f>生データ!H299</f>
        <v>0</v>
      </c>
      <c r="I191">
        <f>生データ!I299</f>
        <v>1.33</v>
      </c>
      <c r="J191" t="str">
        <f>生データ!J299</f>
        <v>dead</v>
      </c>
      <c r="K191">
        <f>生データ!K299</f>
        <v>0</v>
      </c>
      <c r="L191">
        <f>生データ!L299</f>
        <v>1.3</v>
      </c>
      <c r="M191">
        <f>生データ!M299</f>
        <v>0</v>
      </c>
      <c r="N191">
        <f>生データ!N299</f>
        <v>0</v>
      </c>
      <c r="O191">
        <f>生データ!O299</f>
        <v>0</v>
      </c>
      <c r="P191" t="str">
        <f>生データ!P299</f>
        <v>D</v>
      </c>
      <c r="Q191">
        <f>生データ!Q299</f>
        <v>0</v>
      </c>
      <c r="R191" t="str">
        <f>生データ!R299</f>
        <v>broken</v>
      </c>
      <c r="S191">
        <f>生データ!S299</f>
        <v>0</v>
      </c>
      <c r="T191">
        <f>生データ!T299</f>
        <v>1.33</v>
      </c>
      <c r="U191" t="str">
        <f>生データ!U299</f>
        <v>dead</v>
      </c>
      <c r="V191">
        <f>COUNTIF(怪しいデータを手直し!F$2:F$701,Sheet5!F191)</f>
        <v>1</v>
      </c>
    </row>
    <row r="192" spans="1:22">
      <c r="A192">
        <f>生データ!A300</f>
        <v>40</v>
      </c>
      <c r="B192">
        <f>生データ!B300</f>
        <v>-10</v>
      </c>
      <c r="C192">
        <f>生データ!C300</f>
        <v>43.411546288263949</v>
      </c>
      <c r="D192">
        <f>生データ!D300</f>
        <v>-9.4229801363622858</v>
      </c>
      <c r="E192">
        <f>生データ!E300</f>
        <v>0</v>
      </c>
      <c r="F192">
        <f>IF(生データ!E300="Wr",3000+生データ!F300,IF(生データ!E300="Wb",4000+生データ!F300,生データ!F300))</f>
        <v>447</v>
      </c>
      <c r="G192" t="str">
        <f>生データ!G300</f>
        <v>bp</v>
      </c>
      <c r="H192">
        <f>生データ!H300</f>
        <v>0</v>
      </c>
      <c r="I192">
        <f>生データ!I300</f>
        <v>1.33</v>
      </c>
      <c r="J192">
        <f>生データ!J300</f>
        <v>0</v>
      </c>
      <c r="K192">
        <f>生データ!K300</f>
        <v>15.9</v>
      </c>
      <c r="L192">
        <f>生データ!L300</f>
        <v>1.8</v>
      </c>
      <c r="M192">
        <f>生データ!M300</f>
        <v>1.3</v>
      </c>
      <c r="N192">
        <f>生データ!N300</f>
        <v>0</v>
      </c>
      <c r="O192">
        <f>生データ!O300</f>
        <v>0</v>
      </c>
      <c r="P192" t="str">
        <f>生データ!P300</f>
        <v>L</v>
      </c>
      <c r="Q192">
        <f>生データ!Q300</f>
        <v>0</v>
      </c>
      <c r="R192">
        <f>生データ!R300</f>
        <v>0</v>
      </c>
      <c r="S192">
        <f>生データ!S300</f>
        <v>0</v>
      </c>
      <c r="T192">
        <f>生データ!T300</f>
        <v>1.33</v>
      </c>
      <c r="U192">
        <f>生データ!U300</f>
        <v>15.9</v>
      </c>
      <c r="V192">
        <f>COUNTIF(怪しいデータを手直し!F$2:F$701,Sheet5!F192)</f>
        <v>1</v>
      </c>
    </row>
    <row r="193" spans="1:22">
      <c r="A193">
        <f>生データ!A301</f>
        <v>10</v>
      </c>
      <c r="B193">
        <f>生データ!B301</f>
        <v>20</v>
      </c>
      <c r="C193">
        <f>生データ!C301</f>
        <v>18.480876301162375</v>
      </c>
      <c r="D193">
        <f>生データ!D301</f>
        <v>20.580784935354586</v>
      </c>
      <c r="E193">
        <f>生データ!E301</f>
        <v>0</v>
      </c>
      <c r="F193">
        <f>IF(生データ!E301="Wr",3000+生データ!F301,IF(生データ!E301="Wb",4000+生データ!F301,生データ!F301))</f>
        <v>104</v>
      </c>
      <c r="G193" t="str">
        <f>生データ!G301</f>
        <v>lc</v>
      </c>
      <c r="H193">
        <f>生データ!H301</f>
        <v>0</v>
      </c>
      <c r="I193">
        <f>生データ!I301</f>
        <v>1.34</v>
      </c>
      <c r="J193" t="str">
        <f>生データ!J301</f>
        <v>dead</v>
      </c>
      <c r="K193">
        <f>生データ!K301</f>
        <v>0</v>
      </c>
      <c r="L193">
        <f>生データ!L301</f>
        <v>2.1</v>
      </c>
      <c r="M193">
        <f>生データ!M301</f>
        <v>0</v>
      </c>
      <c r="N193">
        <f>生データ!N301</f>
        <v>0</v>
      </c>
      <c r="O193">
        <f>生データ!O301</f>
        <v>0</v>
      </c>
      <c r="P193" t="str">
        <f>生データ!P301</f>
        <v>D</v>
      </c>
      <c r="Q193">
        <f>生データ!Q301</f>
        <v>0</v>
      </c>
      <c r="R193">
        <f>生データ!R301</f>
        <v>0</v>
      </c>
      <c r="S193">
        <f>生データ!S301</f>
        <v>0</v>
      </c>
      <c r="T193">
        <f>生データ!T301</f>
        <v>1.34</v>
      </c>
      <c r="U193" t="str">
        <f>生データ!U301</f>
        <v>dead</v>
      </c>
      <c r="V193">
        <f>COUNTIF(怪しいデータを手直し!F$2:F$701,Sheet5!F193)</f>
        <v>1</v>
      </c>
    </row>
    <row r="194" spans="1:22">
      <c r="A194">
        <f>生データ!A302</f>
        <v>20</v>
      </c>
      <c r="B194">
        <f>生データ!B302</f>
        <v>0</v>
      </c>
      <c r="C194">
        <f>生データ!C302</f>
        <v>27.161315759394988</v>
      </c>
      <c r="D194">
        <f>生データ!D302</f>
        <v>7.1363615795614637</v>
      </c>
      <c r="E194">
        <f>生データ!E302</f>
        <v>0</v>
      </c>
      <c r="F194">
        <f>IF(生データ!E302="Wr",3000+生データ!F302,IF(生データ!E302="Wb",4000+生データ!F302,生データ!F302))</f>
        <v>123</v>
      </c>
      <c r="G194" t="str">
        <f>生データ!G302</f>
        <v>lc</v>
      </c>
      <c r="H194">
        <f>生データ!H302</f>
        <v>0</v>
      </c>
      <c r="I194">
        <f>生データ!I302</f>
        <v>1.34</v>
      </c>
      <c r="J194" t="str">
        <f>生データ!J302</f>
        <v>dead</v>
      </c>
      <c r="K194">
        <f>生データ!K302</f>
        <v>0</v>
      </c>
      <c r="L194">
        <f>生データ!L302</f>
        <v>2.4</v>
      </c>
      <c r="M194">
        <f>生データ!M302</f>
        <v>0</v>
      </c>
      <c r="N194">
        <f>生データ!N302</f>
        <v>0</v>
      </c>
      <c r="O194">
        <f>生データ!O302</f>
        <v>0</v>
      </c>
      <c r="P194" t="str">
        <f>生データ!P302</f>
        <v>D</v>
      </c>
      <c r="Q194">
        <f>生データ!Q302</f>
        <v>0</v>
      </c>
      <c r="R194">
        <f>生データ!R302</f>
        <v>0</v>
      </c>
      <c r="S194">
        <f>生データ!S302</f>
        <v>0</v>
      </c>
      <c r="T194">
        <f>生データ!T302</f>
        <v>1.34</v>
      </c>
      <c r="U194" t="str">
        <f>生データ!U302</f>
        <v>dead</v>
      </c>
      <c r="V194">
        <f>COUNTIF(怪しいデータを手直し!F$2:F$701,Sheet5!F194)</f>
        <v>1</v>
      </c>
    </row>
    <row r="195" spans="1:22">
      <c r="A195">
        <f>生データ!A303</f>
        <v>20</v>
      </c>
      <c r="B195">
        <f>生データ!B303</f>
        <v>20</v>
      </c>
      <c r="C195">
        <f>生データ!C303</f>
        <v>29.620093591599371</v>
      </c>
      <c r="D195">
        <f>生データ!D303</f>
        <v>21.086119526062333</v>
      </c>
      <c r="E195">
        <f>生データ!E303</f>
        <v>0</v>
      </c>
      <c r="F195">
        <f>IF(生データ!E303="Wr",3000+生データ!F303,IF(生データ!E303="Wb",4000+生データ!F303,生データ!F303))</f>
        <v>162</v>
      </c>
      <c r="G195" t="str">
        <f>生データ!G303</f>
        <v>pt</v>
      </c>
      <c r="H195">
        <f>生データ!H303</f>
        <v>0</v>
      </c>
      <c r="I195">
        <f>生データ!I303</f>
        <v>1.34</v>
      </c>
      <c r="J195">
        <f>生データ!J303</f>
        <v>0</v>
      </c>
      <c r="K195">
        <f>生データ!K303</f>
        <v>21.2</v>
      </c>
      <c r="L195">
        <f>生データ!L303</f>
        <v>1.6</v>
      </c>
      <c r="M195">
        <f>生データ!M303</f>
        <v>0.6</v>
      </c>
      <c r="N195">
        <f>生データ!N303</f>
        <v>0</v>
      </c>
      <c r="O195">
        <f>生データ!O303</f>
        <v>0</v>
      </c>
      <c r="P195" t="str">
        <f>生データ!P303</f>
        <v>L</v>
      </c>
      <c r="Q195">
        <f>生データ!Q303</f>
        <v>0</v>
      </c>
      <c r="R195">
        <f>生データ!R303</f>
        <v>0</v>
      </c>
      <c r="S195">
        <f>生データ!S303</f>
        <v>0</v>
      </c>
      <c r="T195">
        <f>生データ!T303</f>
        <v>1.34</v>
      </c>
      <c r="U195">
        <f>生データ!U303</f>
        <v>21.2</v>
      </c>
      <c r="V195">
        <f>COUNTIF(怪しいデータを手直し!F$2:F$701,Sheet5!F195)</f>
        <v>1</v>
      </c>
    </row>
    <row r="196" spans="1:22">
      <c r="A196">
        <f>生データ!A304</f>
        <v>40</v>
      </c>
      <c r="B196">
        <f>生データ!B304</f>
        <v>-10</v>
      </c>
      <c r="C196">
        <f>生データ!C304</f>
        <v>48.499274544622907</v>
      </c>
      <c r="D196">
        <f>生データ!D304</f>
        <v>-2.9838604370149775</v>
      </c>
      <c r="E196">
        <f>生データ!E304</f>
        <v>0</v>
      </c>
      <c r="F196">
        <f>IF(生データ!E304="Wr",3000+生データ!F304,IF(生データ!E304="Wb",4000+生データ!F304,生データ!F304))</f>
        <v>470</v>
      </c>
      <c r="G196" t="str">
        <f>生データ!G304</f>
        <v>bp</v>
      </c>
      <c r="H196">
        <f>生データ!H304</f>
        <v>0</v>
      </c>
      <c r="I196">
        <f>生データ!I304</f>
        <v>1.34</v>
      </c>
      <c r="J196" t="str">
        <f>生データ!J304</f>
        <v>dead</v>
      </c>
      <c r="K196">
        <f>生データ!K304</f>
        <v>0</v>
      </c>
      <c r="L196">
        <f>生データ!L304</f>
        <v>2</v>
      </c>
      <c r="M196">
        <f>生データ!M304</f>
        <v>0</v>
      </c>
      <c r="N196">
        <f>生データ!N304</f>
        <v>0</v>
      </c>
      <c r="O196">
        <f>生データ!O304</f>
        <v>0</v>
      </c>
      <c r="P196" t="str">
        <f>生データ!P304</f>
        <v>D</v>
      </c>
      <c r="Q196">
        <f>生データ!Q304</f>
        <v>0</v>
      </c>
      <c r="R196">
        <f>生データ!R304</f>
        <v>0</v>
      </c>
      <c r="S196">
        <f>生データ!S304</f>
        <v>0</v>
      </c>
      <c r="T196">
        <f>生データ!T304</f>
        <v>1.34</v>
      </c>
      <c r="U196" t="str">
        <f>生データ!U304</f>
        <v>dead</v>
      </c>
      <c r="V196">
        <f>COUNTIF(怪しいデータを手直し!F$2:F$701,Sheet5!F196)</f>
        <v>1</v>
      </c>
    </row>
    <row r="197" spans="1:22">
      <c r="A197">
        <f>生データ!A305</f>
        <v>20</v>
      </c>
      <c r="B197">
        <f>生データ!B305</f>
        <v>40</v>
      </c>
      <c r="C197">
        <f>生データ!C305</f>
        <v>26.382700868550014</v>
      </c>
      <c r="D197">
        <f>生データ!D305</f>
        <v>47.29090046719957</v>
      </c>
      <c r="E197">
        <f>生データ!E305</f>
        <v>0</v>
      </c>
      <c r="F197">
        <f>IF(生データ!E305="Wr",3000+生データ!F305,IF(生データ!E305="Wb",4000+生データ!F305,生データ!F305))</f>
        <v>194</v>
      </c>
      <c r="G197" t="str">
        <f>生データ!G305</f>
        <v>bp</v>
      </c>
      <c r="H197">
        <f>生データ!H305</f>
        <v>0</v>
      </c>
      <c r="I197">
        <f>生データ!I305</f>
        <v>1.35</v>
      </c>
      <c r="J197">
        <f>生データ!J305</f>
        <v>0</v>
      </c>
      <c r="K197">
        <f>生データ!K305</f>
        <v>14.8</v>
      </c>
      <c r="L197">
        <f>生データ!L305</f>
        <v>2.7</v>
      </c>
      <c r="M197">
        <f>生データ!M305</f>
        <v>1.1000000000000001</v>
      </c>
      <c r="N197">
        <f>生データ!N305</f>
        <v>0</v>
      </c>
      <c r="O197">
        <f>生データ!O305</f>
        <v>0</v>
      </c>
      <c r="P197" t="str">
        <f>生データ!P305</f>
        <v>L</v>
      </c>
      <c r="Q197">
        <f>生データ!Q305</f>
        <v>0</v>
      </c>
      <c r="R197">
        <f>生データ!R305</f>
        <v>0</v>
      </c>
      <c r="S197">
        <f>生データ!S305</f>
        <v>0</v>
      </c>
      <c r="T197">
        <f>生データ!T305</f>
        <v>1.35</v>
      </c>
      <c r="U197">
        <f>生データ!U305</f>
        <v>14.8</v>
      </c>
      <c r="V197">
        <f>COUNTIF(怪しいデータを手直し!F$2:F$701,Sheet5!F197)</f>
        <v>1</v>
      </c>
    </row>
    <row r="198" spans="1:22">
      <c r="A198">
        <f>生データ!A306</f>
        <v>30</v>
      </c>
      <c r="B198">
        <f>生データ!B306</f>
        <v>20</v>
      </c>
      <c r="C198">
        <f>生データ!C306</f>
        <v>35.208951740241446</v>
      </c>
      <c r="D198">
        <f>生データ!D306</f>
        <v>23.344087583756682</v>
      </c>
      <c r="E198">
        <f>生データ!E306</f>
        <v>0</v>
      </c>
      <c r="F198">
        <f>IF(生データ!E306="Wr",3000+生データ!F306,IF(生データ!E306="Wb",4000+生データ!F306,生データ!F306))</f>
        <v>211</v>
      </c>
      <c r="G198" t="str">
        <f>生データ!G306</f>
        <v>bp</v>
      </c>
      <c r="H198">
        <f>生データ!H306</f>
        <v>0</v>
      </c>
      <c r="I198">
        <f>生データ!I306</f>
        <v>1.35</v>
      </c>
      <c r="J198">
        <f>生データ!J306</f>
        <v>7.5</v>
      </c>
      <c r="K198">
        <f>生データ!K306</f>
        <v>0</v>
      </c>
      <c r="L198">
        <f>生データ!L306</f>
        <v>2.6</v>
      </c>
      <c r="M198">
        <f>生データ!M306</f>
        <v>0.4</v>
      </c>
      <c r="N198">
        <f>生データ!N306</f>
        <v>0</v>
      </c>
      <c r="O198">
        <f>生データ!O306</f>
        <v>0</v>
      </c>
      <c r="P198" t="str">
        <f>生データ!P306</f>
        <v>L</v>
      </c>
      <c r="Q198">
        <f>生データ!Q306</f>
        <v>0</v>
      </c>
      <c r="R198">
        <f>生データ!R306</f>
        <v>0</v>
      </c>
      <c r="S198">
        <f>生データ!S306</f>
        <v>0</v>
      </c>
      <c r="T198">
        <f>生データ!T306</f>
        <v>1.35</v>
      </c>
      <c r="U198">
        <f>生データ!U306</f>
        <v>2.3873241463784303</v>
      </c>
      <c r="V198">
        <f>COUNTIF(怪しいデータを手直し!F$2:F$701,Sheet5!F198)</f>
        <v>1</v>
      </c>
    </row>
    <row r="199" spans="1:22">
      <c r="A199">
        <f>生データ!A307</f>
        <v>40</v>
      </c>
      <c r="B199">
        <f>生データ!B307</f>
        <v>30</v>
      </c>
      <c r="C199">
        <f>生データ!C307</f>
        <v>48.85269318912912</v>
      </c>
      <c r="D199">
        <f>生データ!D307</f>
        <v>30.519167384573795</v>
      </c>
      <c r="E199">
        <f>生データ!E307</f>
        <v>0</v>
      </c>
      <c r="F199">
        <f>IF(生データ!E307="Wr",3000+生データ!F307,IF(生データ!E307="Wb",4000+生データ!F307,生データ!F307))</f>
        <v>325</v>
      </c>
      <c r="G199" t="str">
        <f>生データ!G307</f>
        <v>af</v>
      </c>
      <c r="H199">
        <f>生データ!H307</f>
        <v>0</v>
      </c>
      <c r="I199">
        <f>生データ!I307</f>
        <v>1.35</v>
      </c>
      <c r="J199">
        <f>生データ!J307</f>
        <v>0</v>
      </c>
      <c r="K199">
        <f>生データ!K307</f>
        <v>18.3</v>
      </c>
      <c r="L199">
        <f>生データ!L307</f>
        <v>1.4</v>
      </c>
      <c r="M199">
        <f>生データ!M307</f>
        <v>0.9</v>
      </c>
      <c r="N199">
        <f>生データ!N307</f>
        <v>0</v>
      </c>
      <c r="O199">
        <f>生データ!O307</f>
        <v>0</v>
      </c>
      <c r="P199" t="str">
        <f>生データ!P307</f>
        <v>L</v>
      </c>
      <c r="Q199">
        <f>生データ!Q307</f>
        <v>0</v>
      </c>
      <c r="R199">
        <f>生データ!R307</f>
        <v>0</v>
      </c>
      <c r="S199">
        <f>生データ!S307</f>
        <v>0</v>
      </c>
      <c r="T199">
        <f>生データ!T307</f>
        <v>1.35</v>
      </c>
      <c r="U199">
        <f>生データ!U307</f>
        <v>18.3</v>
      </c>
      <c r="V199">
        <f>COUNTIF(怪しいデータを手直し!F$2:F$701,Sheet5!F199)</f>
        <v>1</v>
      </c>
    </row>
    <row r="200" spans="1:22">
      <c r="A200">
        <f>生データ!A308</f>
        <v>10</v>
      </c>
      <c r="B200">
        <f>生データ!B308</f>
        <v>-30</v>
      </c>
      <c r="C200">
        <f>生データ!C308</f>
        <v>19.934757230768518</v>
      </c>
      <c r="D200">
        <f>生データ!D308</f>
        <v>-22.323744391372124</v>
      </c>
      <c r="E200">
        <f>生データ!E308</f>
        <v>0</v>
      </c>
      <c r="F200">
        <f>IF(生データ!E308="Wr",3000+生データ!F308,IF(生データ!E308="Wb",4000+生データ!F308,生データ!F308))</f>
        <v>628</v>
      </c>
      <c r="G200" t="str">
        <f>生データ!G308</f>
        <v>lc</v>
      </c>
      <c r="H200">
        <f>生データ!H308</f>
        <v>0</v>
      </c>
      <c r="I200">
        <f>生データ!I308</f>
        <v>1.35</v>
      </c>
      <c r="J200">
        <f>生データ!J308</f>
        <v>0</v>
      </c>
      <c r="K200">
        <f>生データ!K308</f>
        <v>19</v>
      </c>
      <c r="L200">
        <f>生データ!L308</f>
        <v>2.6</v>
      </c>
      <c r="M200">
        <f>生データ!M308</f>
        <v>0.7</v>
      </c>
      <c r="N200">
        <f>生データ!N308</f>
        <v>0</v>
      </c>
      <c r="O200">
        <f>生データ!O308</f>
        <v>0</v>
      </c>
      <c r="P200" t="str">
        <f>生データ!P308</f>
        <v>L</v>
      </c>
      <c r="Q200">
        <f>生データ!Q308</f>
        <v>0</v>
      </c>
      <c r="R200">
        <f>生データ!R308</f>
        <v>0</v>
      </c>
      <c r="S200">
        <f>生データ!S308</f>
        <v>0</v>
      </c>
      <c r="T200">
        <f>生データ!T308</f>
        <v>1.35</v>
      </c>
      <c r="U200">
        <f>生データ!U308</f>
        <v>19</v>
      </c>
      <c r="V200">
        <f>COUNTIF(怪しいデータを手直し!F$2:F$701,Sheet5!F200)</f>
        <v>1</v>
      </c>
    </row>
    <row r="201" spans="1:22">
      <c r="A201">
        <f>生データ!A309</f>
        <v>30</v>
      </c>
      <c r="B201">
        <f>生データ!B309</f>
        <v>20</v>
      </c>
      <c r="C201">
        <f>生データ!C309</f>
        <v>33.939110065365163</v>
      </c>
      <c r="D201">
        <f>生データ!D309</f>
        <v>24.008467524246502</v>
      </c>
      <c r="E201">
        <f>生データ!E309</f>
        <v>0</v>
      </c>
      <c r="F201">
        <f>IF(生データ!E309="Wr",3000+生データ!F309,IF(生データ!E309="Wb",4000+生データ!F309,生データ!F309))</f>
        <v>209</v>
      </c>
      <c r="G201" t="str">
        <f>生データ!G309</f>
        <v>pt</v>
      </c>
      <c r="H201">
        <f>生データ!H309</f>
        <v>0</v>
      </c>
      <c r="I201">
        <f>生データ!I309</f>
        <v>1.36</v>
      </c>
      <c r="J201">
        <f>生データ!J309</f>
        <v>0</v>
      </c>
      <c r="K201">
        <f>生データ!K309</f>
        <v>21.4</v>
      </c>
      <c r="L201">
        <f>生データ!L309</f>
        <v>2.7</v>
      </c>
      <c r="M201">
        <f>生データ!M309</f>
        <v>0.5</v>
      </c>
      <c r="N201">
        <f>生データ!N309</f>
        <v>0</v>
      </c>
      <c r="O201">
        <f>生データ!O309</f>
        <v>0</v>
      </c>
      <c r="P201" t="str">
        <f>生データ!P309</f>
        <v>L</v>
      </c>
      <c r="Q201">
        <f>生データ!Q309</f>
        <v>0</v>
      </c>
      <c r="R201">
        <f>生データ!R309</f>
        <v>0</v>
      </c>
      <c r="S201">
        <f>生データ!S309</f>
        <v>0</v>
      </c>
      <c r="T201">
        <f>生データ!T309</f>
        <v>1.36</v>
      </c>
      <c r="U201">
        <f>生データ!U309</f>
        <v>21.4</v>
      </c>
      <c r="V201">
        <f>COUNTIF(怪しいデータを手直し!F$2:F$701,Sheet5!F201)</f>
        <v>1</v>
      </c>
    </row>
    <row r="202" spans="1:22">
      <c r="A202">
        <f>生データ!A310</f>
        <v>0</v>
      </c>
      <c r="B202">
        <f>生データ!B310</f>
        <v>40</v>
      </c>
      <c r="C202">
        <f>生データ!C310</f>
        <v>6.9523180845387946</v>
      </c>
      <c r="D202">
        <f>生データ!D310</f>
        <v>42.049935901299008</v>
      </c>
      <c r="E202">
        <f>生データ!E310</f>
        <v>0</v>
      </c>
      <c r="F202">
        <f>IF(生データ!E310="Wr",3000+生データ!F310,IF(生データ!E310="Wb",4000+生データ!F310,生データ!F310))</f>
        <v>64</v>
      </c>
      <c r="G202" t="str">
        <f>生データ!G310</f>
        <v>lc</v>
      </c>
      <c r="H202">
        <f>生データ!H310</f>
        <v>0</v>
      </c>
      <c r="I202">
        <f>生データ!I310</f>
        <v>1.38</v>
      </c>
      <c r="J202">
        <f>生データ!J310</f>
        <v>0</v>
      </c>
      <c r="K202">
        <f>生データ!K310</f>
        <v>19.8</v>
      </c>
      <c r="L202">
        <f>生データ!L310</f>
        <v>3.2</v>
      </c>
      <c r="M202">
        <f>生データ!M310</f>
        <v>0.6</v>
      </c>
      <c r="N202">
        <f>生データ!N310</f>
        <v>0</v>
      </c>
      <c r="O202">
        <f>生データ!O310</f>
        <v>0</v>
      </c>
      <c r="P202" t="str">
        <f>生データ!P310</f>
        <v>L</v>
      </c>
      <c r="Q202">
        <f>生データ!Q310</f>
        <v>0</v>
      </c>
      <c r="R202">
        <f>生データ!R310</f>
        <v>0</v>
      </c>
      <c r="S202">
        <f>生データ!S310</f>
        <v>0</v>
      </c>
      <c r="T202">
        <f>生データ!T310</f>
        <v>1.38</v>
      </c>
      <c r="U202">
        <f>生データ!U310</f>
        <v>19.8</v>
      </c>
      <c r="V202">
        <f>COUNTIF(怪しいデータを手直し!F$2:F$701,Sheet5!F202)</f>
        <v>1</v>
      </c>
    </row>
    <row r="203" spans="1:22">
      <c r="A203">
        <f>生データ!A311</f>
        <v>40</v>
      </c>
      <c r="B203">
        <f>生データ!B311</f>
        <v>-30</v>
      </c>
      <c r="C203">
        <f>生データ!C311</f>
        <v>42.673689076497766</v>
      </c>
      <c r="D203">
        <f>生データ!D311</f>
        <v>-25.82924567952502</v>
      </c>
      <c r="E203">
        <f>生データ!E311</f>
        <v>0</v>
      </c>
      <c r="F203">
        <f>IF(生データ!E311="Wr",3000+生データ!F311,IF(生データ!E311="Wb",4000+生データ!F311,生データ!F311))</f>
        <v>682</v>
      </c>
      <c r="G203" t="str">
        <f>生データ!G311</f>
        <v>bp</v>
      </c>
      <c r="H203">
        <f>生データ!H311</f>
        <v>0</v>
      </c>
      <c r="I203">
        <f>生データ!I311</f>
        <v>1.38</v>
      </c>
      <c r="J203">
        <f>生データ!J311</f>
        <v>0</v>
      </c>
      <c r="K203">
        <f>生データ!K311</f>
        <v>16.8</v>
      </c>
      <c r="L203">
        <f>生データ!L311</f>
        <v>1.8</v>
      </c>
      <c r="M203">
        <f>生データ!M311</f>
        <v>1.2</v>
      </c>
      <c r="N203">
        <f>生データ!N311</f>
        <v>0</v>
      </c>
      <c r="O203">
        <f>生データ!O311</f>
        <v>0</v>
      </c>
      <c r="P203" t="str">
        <f>生データ!P311</f>
        <v>L</v>
      </c>
      <c r="Q203">
        <f>生データ!Q311</f>
        <v>0</v>
      </c>
      <c r="R203">
        <f>生データ!R311</f>
        <v>0</v>
      </c>
      <c r="S203">
        <f>生データ!S311</f>
        <v>0</v>
      </c>
      <c r="T203">
        <f>生データ!T311</f>
        <v>1.38</v>
      </c>
      <c r="U203">
        <f>生データ!U311</f>
        <v>16.8</v>
      </c>
      <c r="V203">
        <f>COUNTIF(怪しいデータを手直し!F$2:F$701,Sheet5!F203)</f>
        <v>1</v>
      </c>
    </row>
    <row r="204" spans="1:22">
      <c r="A204">
        <f>生データ!A312</f>
        <v>20</v>
      </c>
      <c r="B204">
        <f>生データ!B312</f>
        <v>-20</v>
      </c>
      <c r="C204">
        <f>生データ!C312</f>
        <v>28.615447336791203</v>
      </c>
      <c r="D204">
        <f>生データ!D312</f>
        <v>-30.660464995618224</v>
      </c>
      <c r="E204">
        <f>生データ!E312</f>
        <v>0</v>
      </c>
      <c r="F204">
        <f>IF(生データ!E312="Wr",3000+生データ!F312,IF(生データ!E312="Wb",4000+生データ!F312,生データ!F312))</f>
        <v>714</v>
      </c>
      <c r="G204" t="str">
        <f>生データ!G312</f>
        <v>pt</v>
      </c>
      <c r="H204">
        <f>生データ!H312</f>
        <v>0</v>
      </c>
      <c r="I204">
        <f>生データ!I312</f>
        <v>1.38</v>
      </c>
      <c r="J204">
        <f>生データ!J312</f>
        <v>0</v>
      </c>
      <c r="K204">
        <f>生データ!K312</f>
        <v>18.8</v>
      </c>
      <c r="L204">
        <f>生データ!L312</f>
        <v>3.4</v>
      </c>
      <c r="M204">
        <f>生データ!M312</f>
        <v>0.6</v>
      </c>
      <c r="N204">
        <f>生データ!N312</f>
        <v>0</v>
      </c>
      <c r="O204">
        <f>生データ!O312</f>
        <v>0</v>
      </c>
      <c r="P204" t="str">
        <f>生データ!P312</f>
        <v>L</v>
      </c>
      <c r="Q204">
        <f>生データ!Q312</f>
        <v>0</v>
      </c>
      <c r="R204">
        <f>生データ!R312</f>
        <v>0</v>
      </c>
      <c r="S204" t="str">
        <f>生データ!S312</f>
        <v>New　No783　whiteBlue</v>
      </c>
      <c r="T204">
        <f>生データ!T312</f>
        <v>1.38</v>
      </c>
      <c r="U204">
        <f>生データ!U312</f>
        <v>18.8</v>
      </c>
      <c r="V204">
        <f>COUNTIF(怪しいデータを手直し!F$2:F$701,Sheet5!F204)</f>
        <v>1</v>
      </c>
    </row>
    <row r="205" spans="1:22">
      <c r="A205">
        <f>生データ!A313</f>
        <v>40</v>
      </c>
      <c r="B205">
        <f>生データ!B313</f>
        <v>30</v>
      </c>
      <c r="C205">
        <f>生データ!C313</f>
        <v>49.824853784818124</v>
      </c>
      <c r="D205">
        <f>生データ!D313</f>
        <v>32.281987056028768</v>
      </c>
      <c r="E205">
        <f>生データ!E313</f>
        <v>0</v>
      </c>
      <c r="F205">
        <f>IF(生データ!E313="Wr",3000+生データ!F313,IF(生データ!E313="Wb",4000+生データ!F313,生データ!F313))</f>
        <v>340</v>
      </c>
      <c r="G205" t="str">
        <f>生データ!G313</f>
        <v>af</v>
      </c>
      <c r="H205">
        <f>生データ!H313</f>
        <v>0</v>
      </c>
      <c r="I205">
        <f>生データ!I313</f>
        <v>1.4</v>
      </c>
      <c r="J205" t="str">
        <f>生データ!J313</f>
        <v>dead</v>
      </c>
      <c r="K205">
        <f>生データ!K313</f>
        <v>0</v>
      </c>
      <c r="L205">
        <f>生データ!L313</f>
        <v>1.4</v>
      </c>
      <c r="M205">
        <f>生データ!M313</f>
        <v>1</v>
      </c>
      <c r="N205">
        <f>生データ!N313</f>
        <v>0</v>
      </c>
      <c r="O205">
        <f>生データ!O313</f>
        <v>0</v>
      </c>
      <c r="P205" t="str">
        <f>生データ!P313</f>
        <v>L</v>
      </c>
      <c r="Q205">
        <f>生データ!Q313</f>
        <v>0</v>
      </c>
      <c r="R205">
        <f>生データ!R313</f>
        <v>0</v>
      </c>
      <c r="S205" t="str">
        <f>生データ!S313</f>
        <v>dead</v>
      </c>
      <c r="T205">
        <f>生データ!T313</f>
        <v>1.4</v>
      </c>
      <c r="U205" t="str">
        <f>生データ!U313</f>
        <v>dead</v>
      </c>
      <c r="V205">
        <f>COUNTIF(怪しいデータを手直し!F$2:F$701,Sheet5!F205)</f>
        <v>1</v>
      </c>
    </row>
    <row r="206" spans="1:22">
      <c r="A206">
        <f>生データ!A314</f>
        <v>40</v>
      </c>
      <c r="B206">
        <f>生データ!B314</f>
        <v>-30</v>
      </c>
      <c r="C206">
        <f>生データ!C314</f>
        <v>42.331454315224569</v>
      </c>
      <c r="D206">
        <f>生データ!D314</f>
        <v>-26.014452133946147</v>
      </c>
      <c r="E206">
        <f>生データ!E314</f>
        <v>0</v>
      </c>
      <c r="F206">
        <f>IF(生データ!E314="Wr",3000+生データ!F314,IF(生データ!E314="Wb",4000+生データ!F314,生データ!F314))</f>
        <v>684</v>
      </c>
      <c r="G206" t="str">
        <f>生データ!G314</f>
        <v>bp</v>
      </c>
      <c r="H206">
        <f>生データ!H314</f>
        <v>0</v>
      </c>
      <c r="I206">
        <f>生データ!I314</f>
        <v>1.4</v>
      </c>
      <c r="J206">
        <f>生データ!J314</f>
        <v>0</v>
      </c>
      <c r="K206">
        <f>生データ!K314</f>
        <v>16.2</v>
      </c>
      <c r="L206">
        <f>生データ!L314</f>
        <v>1.7</v>
      </c>
      <c r="M206">
        <f>生データ!M314</f>
        <v>1.3</v>
      </c>
      <c r="N206">
        <f>生データ!N314</f>
        <v>0</v>
      </c>
      <c r="O206">
        <f>生データ!O314</f>
        <v>0</v>
      </c>
      <c r="P206" t="str">
        <f>生データ!P314</f>
        <v>L</v>
      </c>
      <c r="Q206">
        <f>生データ!Q314</f>
        <v>0</v>
      </c>
      <c r="R206">
        <f>生データ!R314</f>
        <v>0</v>
      </c>
      <c r="S206">
        <f>生データ!S314</f>
        <v>0</v>
      </c>
      <c r="T206">
        <f>生データ!T314</f>
        <v>1.4</v>
      </c>
      <c r="U206">
        <f>生データ!U314</f>
        <v>16.2</v>
      </c>
      <c r="V206">
        <f>COUNTIF(怪しいデータを手直し!F$2:F$701,Sheet5!F206)</f>
        <v>1</v>
      </c>
    </row>
    <row r="207" spans="1:22">
      <c r="A207">
        <f>生データ!A315</f>
        <v>40</v>
      </c>
      <c r="B207">
        <f>生データ!B315</f>
        <v>10</v>
      </c>
      <c r="C207">
        <f>生データ!C315</f>
        <v>41.378009384887001</v>
      </c>
      <c r="D207">
        <f>生データ!D315</f>
        <v>14.425970717925551</v>
      </c>
      <c r="E207">
        <f>生データ!E315</f>
        <v>0</v>
      </c>
      <c r="F207">
        <f>IF(生データ!E315="Wr",3000+生データ!F315,IF(生データ!E315="Wb",4000+生データ!F315,生データ!F315))</f>
        <v>281</v>
      </c>
      <c r="G207" t="str">
        <f>生データ!G315</f>
        <v>lc</v>
      </c>
      <c r="H207">
        <f>生データ!H315</f>
        <v>0</v>
      </c>
      <c r="I207">
        <f>生データ!I315</f>
        <v>1.41</v>
      </c>
      <c r="J207">
        <f>生データ!J315</f>
        <v>7.7</v>
      </c>
      <c r="K207">
        <f>生データ!K315</f>
        <v>0</v>
      </c>
      <c r="L207">
        <f>生データ!L315</f>
        <v>2.2000000000000002</v>
      </c>
      <c r="M207">
        <f>生データ!M315</f>
        <v>0.6</v>
      </c>
      <c r="N207">
        <f>生データ!N315</f>
        <v>0</v>
      </c>
      <c r="O207">
        <f>生データ!O315</f>
        <v>0</v>
      </c>
      <c r="P207" t="str">
        <f>生データ!P315</f>
        <v>L</v>
      </c>
      <c r="Q207">
        <f>生データ!Q315</f>
        <v>0</v>
      </c>
      <c r="R207" t="str">
        <f>生データ!R315</f>
        <v>broken,resprouted multi-stems, dbh=tallest stem, thickest stem dbh=4.07 H= ca 1m</v>
      </c>
      <c r="S207" t="str">
        <f>生データ!S315</f>
        <v>thickest stem dbh=19.2</v>
      </c>
      <c r="T207">
        <f>生データ!T315</f>
        <v>1.41</v>
      </c>
      <c r="U207">
        <f>生データ!U315</f>
        <v>2.4509861236151882</v>
      </c>
      <c r="V207">
        <f>COUNTIF(怪しいデータを手直し!F$2:F$701,Sheet5!F207)</f>
        <v>1</v>
      </c>
    </row>
    <row r="208" spans="1:22">
      <c r="A208">
        <f>生データ!A316</f>
        <v>30</v>
      </c>
      <c r="B208">
        <f>生データ!B316</f>
        <v>-30</v>
      </c>
      <c r="C208">
        <f>生データ!C316</f>
        <v>31.654135647274799</v>
      </c>
      <c r="D208">
        <f>生データ!D316</f>
        <v>-25.548687706153121</v>
      </c>
      <c r="E208">
        <f>生データ!E316</f>
        <v>0</v>
      </c>
      <c r="F208">
        <f>IF(生データ!E316="Wr",3000+生データ!F316,IF(生データ!E316="Wb",4000+生データ!F316,生データ!F316))</f>
        <v>664</v>
      </c>
      <c r="G208" t="str">
        <f>生データ!G316</f>
        <v>lc</v>
      </c>
      <c r="H208">
        <f>生データ!H316</f>
        <v>0</v>
      </c>
      <c r="I208">
        <f>生データ!I316</f>
        <v>1.42</v>
      </c>
      <c r="J208" t="str">
        <f>生データ!J316</f>
        <v>dead</v>
      </c>
      <c r="K208">
        <f>生データ!K316</f>
        <v>0</v>
      </c>
      <c r="L208">
        <f>生データ!L316</f>
        <v>2.2999999999999998</v>
      </c>
      <c r="M208">
        <f>生データ!M316</f>
        <v>0</v>
      </c>
      <c r="N208">
        <f>生データ!N316</f>
        <v>0</v>
      </c>
      <c r="O208">
        <f>生データ!O316</f>
        <v>0</v>
      </c>
      <c r="P208" t="str">
        <f>生データ!P316</f>
        <v>D</v>
      </c>
      <c r="Q208">
        <f>生データ!Q316</f>
        <v>0</v>
      </c>
      <c r="R208">
        <f>生データ!R316</f>
        <v>0</v>
      </c>
      <c r="S208">
        <f>生データ!S316</f>
        <v>0</v>
      </c>
      <c r="T208">
        <f>生データ!T316</f>
        <v>1.42</v>
      </c>
      <c r="U208" t="str">
        <f>生データ!U316</f>
        <v>dead</v>
      </c>
      <c r="V208">
        <f>COUNTIF(怪しいデータを手直し!F$2:F$701,Sheet5!F208)</f>
        <v>1</v>
      </c>
    </row>
    <row r="209" spans="1:22">
      <c r="A209">
        <f>生データ!A317</f>
        <v>10</v>
      </c>
      <c r="B209">
        <f>生データ!B317</f>
        <v>-30</v>
      </c>
      <c r="C209">
        <f>生データ!C317</f>
        <v>17.181672912791875</v>
      </c>
      <c r="D209">
        <f>生データ!D317</f>
        <v>-22.458583419269921</v>
      </c>
      <c r="E209">
        <f>生データ!E317</f>
        <v>0</v>
      </c>
      <c r="F209">
        <f>IF(生データ!E317="Wr",3000+生データ!F317,IF(生データ!E317="Wb",4000+生データ!F317,生データ!F317))</f>
        <v>623</v>
      </c>
      <c r="G209" t="str">
        <f>生データ!G317</f>
        <v>lc</v>
      </c>
      <c r="H209">
        <f>生データ!H317</f>
        <v>0</v>
      </c>
      <c r="I209">
        <f>生データ!I317</f>
        <v>1.44</v>
      </c>
      <c r="J209">
        <f>生データ!J317</f>
        <v>0</v>
      </c>
      <c r="K209">
        <f>生データ!K317</f>
        <v>21</v>
      </c>
      <c r="L209">
        <f>生データ!L317</f>
        <v>2.2000000000000002</v>
      </c>
      <c r="M209">
        <f>生データ!M317</f>
        <v>0.1</v>
      </c>
      <c r="N209">
        <f>生データ!N317</f>
        <v>0</v>
      </c>
      <c r="O209">
        <f>生データ!O317</f>
        <v>0</v>
      </c>
      <c r="P209" t="str">
        <f>生データ!P317</f>
        <v>L</v>
      </c>
      <c r="Q209">
        <f>生データ!Q317</f>
        <v>0</v>
      </c>
      <c r="R209">
        <f>生データ!R317</f>
        <v>0</v>
      </c>
      <c r="S209" t="str">
        <f>生データ!S317</f>
        <v>New No 765</v>
      </c>
      <c r="T209">
        <f>生データ!T317</f>
        <v>1.44</v>
      </c>
      <c r="U209">
        <f>生データ!U317</f>
        <v>21</v>
      </c>
      <c r="V209">
        <f>COUNTIF(怪しいデータを手直し!F$2:F$701,Sheet5!F209)</f>
        <v>1</v>
      </c>
    </row>
    <row r="210" spans="1:22">
      <c r="A210">
        <f>生データ!A318</f>
        <v>30</v>
      </c>
      <c r="B210">
        <f>生データ!B318</f>
        <v>-30</v>
      </c>
      <c r="C210">
        <f>生データ!C318</f>
        <v>32.218880714326836</v>
      </c>
      <c r="D210">
        <f>生データ!D318</f>
        <v>-27.73815665230347</v>
      </c>
      <c r="E210">
        <f>生データ!E318</f>
        <v>0</v>
      </c>
      <c r="F210">
        <f>IF(生データ!E318="Wr",3000+生データ!F318,IF(生データ!E318="Wb",4000+生データ!F318,生データ!F318))</f>
        <v>669</v>
      </c>
      <c r="G210" t="str">
        <f>生データ!G318</f>
        <v>lc</v>
      </c>
      <c r="H210">
        <f>生データ!H318</f>
        <v>0</v>
      </c>
      <c r="I210">
        <f>生データ!I318</f>
        <v>1.45</v>
      </c>
      <c r="J210" t="str">
        <f>生データ!J318</f>
        <v>dead</v>
      </c>
      <c r="K210">
        <f>生データ!K318</f>
        <v>0</v>
      </c>
      <c r="L210">
        <f>生データ!L318</f>
        <v>2.5</v>
      </c>
      <c r="M210">
        <f>生データ!M318</f>
        <v>0</v>
      </c>
      <c r="N210">
        <f>生データ!N318</f>
        <v>0</v>
      </c>
      <c r="O210">
        <f>生データ!O318</f>
        <v>0</v>
      </c>
      <c r="P210" t="str">
        <f>生データ!P318</f>
        <v>D</v>
      </c>
      <c r="Q210">
        <f>生データ!Q318</f>
        <v>0</v>
      </c>
      <c r="R210">
        <f>生データ!R318</f>
        <v>0</v>
      </c>
      <c r="S210">
        <f>生データ!S318</f>
        <v>0</v>
      </c>
      <c r="T210">
        <f>生データ!T318</f>
        <v>1.45</v>
      </c>
      <c r="U210" t="str">
        <f>生データ!U318</f>
        <v>dead</v>
      </c>
      <c r="V210">
        <f>COUNTIF(怪しいデータを手直し!F$2:F$701,Sheet5!F210)</f>
        <v>1</v>
      </c>
    </row>
    <row r="211" spans="1:22">
      <c r="A211">
        <f>生データ!A319</f>
        <v>20</v>
      </c>
      <c r="B211">
        <f>生データ!B319</f>
        <v>-20</v>
      </c>
      <c r="C211">
        <f>生データ!C319</f>
        <v>27.708774059127435</v>
      </c>
      <c r="D211">
        <f>生データ!D319</f>
        <v>-30.421093209825571</v>
      </c>
      <c r="E211">
        <f>生データ!E319</f>
        <v>0</v>
      </c>
      <c r="F211">
        <f>IF(生データ!E319="Wr",3000+生データ!F319,IF(生データ!E319="Wb",4000+生データ!F319,生データ!F319))</f>
        <v>716</v>
      </c>
      <c r="G211" t="str">
        <f>生データ!G319</f>
        <v>pt</v>
      </c>
      <c r="H211">
        <f>生データ!H319</f>
        <v>0</v>
      </c>
      <c r="I211">
        <f>生データ!I319</f>
        <v>1.46</v>
      </c>
      <c r="J211">
        <f>生データ!J319</f>
        <v>0</v>
      </c>
      <c r="K211">
        <f>生データ!K319</f>
        <v>5.7</v>
      </c>
      <c r="L211">
        <f>生データ!L319</f>
        <v>3</v>
      </c>
      <c r="M211">
        <f>生データ!M319</f>
        <v>0.8</v>
      </c>
      <c r="N211">
        <f>生データ!N319</f>
        <v>0</v>
      </c>
      <c r="O211">
        <f>生データ!O319</f>
        <v>0</v>
      </c>
      <c r="P211" t="str">
        <f>生データ!P319</f>
        <v>L</v>
      </c>
      <c r="Q211">
        <f>生データ!Q319</f>
        <v>0</v>
      </c>
      <c r="R211">
        <f>生データ!R319</f>
        <v>0</v>
      </c>
      <c r="S211" t="str">
        <f>生データ!S319</f>
        <v>New　No786　whiteBlue</v>
      </c>
      <c r="T211">
        <f>生データ!T319</f>
        <v>1.46</v>
      </c>
      <c r="U211">
        <f>生データ!U319</f>
        <v>5.7</v>
      </c>
      <c r="V211">
        <f>COUNTIF(怪しいデータを手直し!F$2:F$701,Sheet5!F211)</f>
        <v>1</v>
      </c>
    </row>
    <row r="212" spans="1:22">
      <c r="A212">
        <f>生データ!A320</f>
        <v>10</v>
      </c>
      <c r="B212">
        <f>生データ!B320</f>
        <v>10</v>
      </c>
      <c r="C212">
        <f>生データ!C320</f>
        <v>13.695974146610109</v>
      </c>
      <c r="D212">
        <f>生データ!D320</f>
        <v>10.572167027702303</v>
      </c>
      <c r="E212">
        <f>生データ!E320</f>
        <v>0</v>
      </c>
      <c r="F212">
        <f>IF(生データ!E320="Wr",3000+生データ!F320,IF(生データ!E320="Wb",4000+生データ!F320,生データ!F320))</f>
        <v>113</v>
      </c>
      <c r="G212" t="str">
        <f>生データ!G320</f>
        <v>lc</v>
      </c>
      <c r="H212">
        <f>生データ!H320</f>
        <v>0</v>
      </c>
      <c r="I212">
        <f>生データ!I320</f>
        <v>1.47</v>
      </c>
      <c r="J212" t="str">
        <f>生データ!J320</f>
        <v>dead</v>
      </c>
      <c r="K212">
        <f>生データ!K320</f>
        <v>0</v>
      </c>
      <c r="L212">
        <f>生データ!L320</f>
        <v>2.2000000000000002</v>
      </c>
      <c r="M212">
        <f>生データ!M320</f>
        <v>0</v>
      </c>
      <c r="N212">
        <f>生データ!N320</f>
        <v>0</v>
      </c>
      <c r="O212">
        <f>生データ!O320</f>
        <v>0</v>
      </c>
      <c r="P212" t="str">
        <f>生データ!P320</f>
        <v>D</v>
      </c>
      <c r="Q212">
        <f>生データ!Q320</f>
        <v>0</v>
      </c>
      <c r="R212">
        <f>生データ!R320</f>
        <v>0</v>
      </c>
      <c r="S212">
        <f>生データ!S320</f>
        <v>0</v>
      </c>
      <c r="T212">
        <f>生データ!T320</f>
        <v>1.47</v>
      </c>
      <c r="U212" t="str">
        <f>生データ!U320</f>
        <v>dead</v>
      </c>
      <c r="V212">
        <f>COUNTIF(怪しいデータを手直し!F$2:F$701,Sheet5!F212)</f>
        <v>1</v>
      </c>
    </row>
    <row r="213" spans="1:22">
      <c r="A213">
        <f>生データ!A321</f>
        <v>40</v>
      </c>
      <c r="B213">
        <f>生データ!B321</f>
        <v>30</v>
      </c>
      <c r="C213">
        <f>生データ!C321</f>
        <v>48.780725712693545</v>
      </c>
      <c r="D213">
        <f>生データ!D321</f>
        <v>30.982052882594992</v>
      </c>
      <c r="E213">
        <f>生データ!E321</f>
        <v>0</v>
      </c>
      <c r="F213">
        <f>IF(生データ!E321="Wr",3000+生データ!F321,IF(生データ!E321="Wb",4000+生データ!F321,生データ!F321))</f>
        <v>324</v>
      </c>
      <c r="G213" t="str">
        <f>生データ!G321</f>
        <v>af</v>
      </c>
      <c r="H213">
        <f>生データ!H321</f>
        <v>0</v>
      </c>
      <c r="I213">
        <f>生データ!I321</f>
        <v>1.47</v>
      </c>
      <c r="J213" t="str">
        <f>生データ!J321</f>
        <v>dead</v>
      </c>
      <c r="K213">
        <f>生データ!K321</f>
        <v>0</v>
      </c>
      <c r="L213">
        <f>生データ!L321</f>
        <v>1</v>
      </c>
      <c r="M213">
        <f>生データ!M321</f>
        <v>0.9</v>
      </c>
      <c r="N213">
        <f>生データ!N321</f>
        <v>0</v>
      </c>
      <c r="O213">
        <f>生データ!O321</f>
        <v>0</v>
      </c>
      <c r="P213" t="str">
        <f>生データ!P321</f>
        <v>L</v>
      </c>
      <c r="Q213">
        <f>生データ!Q321</f>
        <v>0</v>
      </c>
      <c r="R213" t="str">
        <f>生データ!R321</f>
        <v>fall down</v>
      </c>
      <c r="S213">
        <f>生データ!S321</f>
        <v>0</v>
      </c>
      <c r="T213">
        <f>生データ!T321</f>
        <v>1.47</v>
      </c>
      <c r="U213" t="str">
        <f>生データ!U321</f>
        <v>dead</v>
      </c>
      <c r="V213">
        <f>COUNTIF(怪しいデータを手直し!F$2:F$701,Sheet5!F213)</f>
        <v>1</v>
      </c>
    </row>
    <row r="214" spans="1:22">
      <c r="A214">
        <f>生データ!A322</f>
        <v>40</v>
      </c>
      <c r="B214">
        <f>生データ!B322</f>
        <v>-20</v>
      </c>
      <c r="C214">
        <f>生データ!C322</f>
        <v>41.077045145116749</v>
      </c>
      <c r="D214">
        <f>生データ!D322</f>
        <v>-13.612876105733552</v>
      </c>
      <c r="E214">
        <f>生データ!E322</f>
        <v>0</v>
      </c>
      <c r="F214">
        <f>IF(生データ!E322="Wr",3000+生データ!F322,IF(生データ!E322="Wb",4000+生データ!F322,生データ!F322))</f>
        <v>513</v>
      </c>
      <c r="G214" t="str">
        <f>生データ!G322</f>
        <v>pt</v>
      </c>
      <c r="H214">
        <f>生データ!H322</f>
        <v>0</v>
      </c>
      <c r="I214">
        <f>生データ!I322</f>
        <v>1.47</v>
      </c>
      <c r="J214">
        <f>生データ!J322</f>
        <v>0</v>
      </c>
      <c r="K214">
        <f>生データ!K322</f>
        <v>17.5</v>
      </c>
      <c r="L214">
        <f>生データ!L322</f>
        <v>3</v>
      </c>
      <c r="M214">
        <f>生データ!M322</f>
        <v>1.3</v>
      </c>
      <c r="N214">
        <f>生データ!N322</f>
        <v>0</v>
      </c>
      <c r="O214">
        <f>生データ!O322</f>
        <v>0</v>
      </c>
      <c r="P214" t="str">
        <f>生データ!P322</f>
        <v>L</v>
      </c>
      <c r="Q214">
        <f>生データ!Q322</f>
        <v>0</v>
      </c>
      <c r="R214">
        <f>生データ!R322</f>
        <v>0</v>
      </c>
      <c r="S214" t="str">
        <f>生データ!S322</f>
        <v>同株　つけ忘れ　No746　DBH=18.3mm　H=3.0ｍ</v>
      </c>
      <c r="T214">
        <f>生データ!T322</f>
        <v>1.47</v>
      </c>
      <c r="U214">
        <f>生データ!U322</f>
        <v>17.5</v>
      </c>
      <c r="V214">
        <f>COUNTIF(怪しいデータを手直し!F$2:F$701,Sheet5!F214)</f>
        <v>1</v>
      </c>
    </row>
    <row r="215" spans="1:22">
      <c r="A215">
        <f>生データ!A323</f>
        <v>0</v>
      </c>
      <c r="B215">
        <f>生データ!B323</f>
        <v>-30</v>
      </c>
      <c r="C215">
        <f>生データ!C323</f>
        <v>3.8441714100243498</v>
      </c>
      <c r="D215">
        <f>生データ!D323</f>
        <v>-21.83114306271171</v>
      </c>
      <c r="E215">
        <f>生データ!E323</f>
        <v>0</v>
      </c>
      <c r="F215">
        <f>IF(生データ!E323="Wr",3000+生データ!F323,IF(生データ!E323="Wb",4000+生データ!F323,生データ!F323))</f>
        <v>603</v>
      </c>
      <c r="G215" t="str">
        <f>生データ!G323</f>
        <v>lc</v>
      </c>
      <c r="H215">
        <f>生データ!H323</f>
        <v>0</v>
      </c>
      <c r="I215">
        <f>生データ!I323</f>
        <v>1.48</v>
      </c>
      <c r="J215">
        <f>生データ!J323</f>
        <v>0</v>
      </c>
      <c r="K215">
        <f>生データ!K323</f>
        <v>20.8</v>
      </c>
      <c r="L215">
        <f>生データ!L323</f>
        <v>2.2999999999999998</v>
      </c>
      <c r="M215">
        <f>生データ!M323</f>
        <v>0.3</v>
      </c>
      <c r="N215">
        <f>生データ!N323</f>
        <v>0</v>
      </c>
      <c r="O215">
        <f>生データ!O323</f>
        <v>0</v>
      </c>
      <c r="P215" t="str">
        <f>生データ!P323</f>
        <v>L</v>
      </c>
      <c r="Q215">
        <f>生データ!Q323</f>
        <v>0</v>
      </c>
      <c r="R215">
        <f>生データ!R323</f>
        <v>0</v>
      </c>
      <c r="S215">
        <f>生データ!S323</f>
        <v>0</v>
      </c>
      <c r="T215">
        <f>生データ!T323</f>
        <v>1.48</v>
      </c>
      <c r="U215">
        <f>生データ!U323</f>
        <v>20.8</v>
      </c>
      <c r="V215">
        <f>COUNTIF(怪しいデータを手直し!F$2:F$701,Sheet5!F215)</f>
        <v>1</v>
      </c>
    </row>
    <row r="216" spans="1:22">
      <c r="A216">
        <f>生データ!A324</f>
        <v>0</v>
      </c>
      <c r="B216">
        <f>生データ!B324</f>
        <v>20</v>
      </c>
      <c r="C216">
        <f>生データ!C324</f>
        <v>0.66636346065243546</v>
      </c>
      <c r="D216">
        <f>生データ!D324</f>
        <v>24.864571896714789</v>
      </c>
      <c r="E216">
        <f>生データ!E324</f>
        <v>0</v>
      </c>
      <c r="F216">
        <f>IF(生データ!E324="Wr",3000+生データ!F324,IF(生データ!E324="Wb",4000+生データ!F324,生データ!F324))</f>
        <v>29</v>
      </c>
      <c r="G216" t="str">
        <f>生データ!G324</f>
        <v>lc</v>
      </c>
      <c r="H216">
        <f>生データ!H324</f>
        <v>0</v>
      </c>
      <c r="I216">
        <f>生データ!I324</f>
        <v>1.5</v>
      </c>
      <c r="J216">
        <f>生データ!J324</f>
        <v>0</v>
      </c>
      <c r="K216">
        <f>生データ!K324</f>
        <v>20.3</v>
      </c>
      <c r="L216">
        <f>生データ!L324</f>
        <v>2</v>
      </c>
      <c r="M216">
        <f>生データ!M324</f>
        <v>0.2</v>
      </c>
      <c r="N216">
        <f>生データ!N324</f>
        <v>0</v>
      </c>
      <c r="O216">
        <f>生データ!O324</f>
        <v>0</v>
      </c>
      <c r="P216" t="str">
        <f>生データ!P324</f>
        <v>L</v>
      </c>
      <c r="Q216">
        <f>生データ!Q324</f>
        <v>0</v>
      </c>
      <c r="R216">
        <f>生データ!R324</f>
        <v>0</v>
      </c>
      <c r="S216">
        <f>生データ!S324</f>
        <v>0</v>
      </c>
      <c r="T216">
        <f>生データ!T324</f>
        <v>1.5</v>
      </c>
      <c r="U216">
        <f>生データ!U324</f>
        <v>20.3</v>
      </c>
      <c r="V216">
        <f>COUNTIF(怪しいデータを手直し!F$2:F$701,Sheet5!F216)</f>
        <v>1</v>
      </c>
    </row>
    <row r="217" spans="1:22">
      <c r="A217">
        <f>生データ!A325</f>
        <v>40</v>
      </c>
      <c r="B217">
        <f>生データ!B325</f>
        <v>40</v>
      </c>
      <c r="C217">
        <f>生データ!C325</f>
        <v>41.55964685708858</v>
      </c>
      <c r="D217">
        <f>生データ!D325</f>
        <v>45.418610414390876</v>
      </c>
      <c r="E217">
        <f>生データ!E325</f>
        <v>0</v>
      </c>
      <c r="F217">
        <f>IF(生データ!E325="Wr",3000+生データ!F325,IF(生データ!E325="Wb",4000+生データ!F325,生データ!F325))</f>
        <v>356</v>
      </c>
      <c r="G217" t="str">
        <f>生データ!G325</f>
        <v>bp</v>
      </c>
      <c r="H217">
        <f>生データ!H325</f>
        <v>0</v>
      </c>
      <c r="I217">
        <f>生データ!I325</f>
        <v>1.51</v>
      </c>
      <c r="J217">
        <f>生データ!J325</f>
        <v>0</v>
      </c>
      <c r="K217">
        <f>生データ!K325</f>
        <v>15.7</v>
      </c>
      <c r="L217">
        <f>生データ!L325</f>
        <v>2.9</v>
      </c>
      <c r="M217">
        <f>生データ!M325</f>
        <v>1.5</v>
      </c>
      <c r="N217">
        <f>生データ!N325</f>
        <v>0</v>
      </c>
      <c r="O217">
        <f>生データ!O325</f>
        <v>0</v>
      </c>
      <c r="P217" t="str">
        <f>生データ!P325</f>
        <v>L</v>
      </c>
      <c r="Q217">
        <f>生データ!Q325</f>
        <v>0</v>
      </c>
      <c r="R217">
        <f>生データ!R325</f>
        <v>0</v>
      </c>
      <c r="S217">
        <f>生データ!S325</f>
        <v>0</v>
      </c>
      <c r="T217">
        <f>生データ!T325</f>
        <v>1.51</v>
      </c>
      <c r="U217">
        <f>生データ!U325</f>
        <v>15.7</v>
      </c>
      <c r="V217">
        <f>COUNTIF(怪しいデータを手直し!F$2:F$701,Sheet5!F217)</f>
        <v>1</v>
      </c>
    </row>
    <row r="218" spans="1:22">
      <c r="A218">
        <f>生データ!A326</f>
        <v>30</v>
      </c>
      <c r="B218">
        <f>生データ!B326</f>
        <v>-20</v>
      </c>
      <c r="C218">
        <f>生データ!C326</f>
        <v>36.093682459167503</v>
      </c>
      <c r="D218">
        <f>生データ!D326</f>
        <v>-15.517090108941883</v>
      </c>
      <c r="E218">
        <f>生データ!E326</f>
        <v>0</v>
      </c>
      <c r="F218">
        <f>IF(生データ!E326="Wr",3000+生データ!F326,IF(生データ!E326="Wb",4000+生データ!F326,生データ!F326))</f>
        <v>520</v>
      </c>
      <c r="G218" t="str">
        <f>生データ!G326</f>
        <v>lc</v>
      </c>
      <c r="H218">
        <f>生データ!H326</f>
        <v>0</v>
      </c>
      <c r="I218">
        <f>生データ!I326</f>
        <v>1.51</v>
      </c>
      <c r="J218" t="str">
        <f>生データ!J326</f>
        <v>dead</v>
      </c>
      <c r="K218">
        <f>生データ!K326</f>
        <v>0</v>
      </c>
      <c r="L218">
        <f>生データ!L326</f>
        <v>2.2000000000000002</v>
      </c>
      <c r="M218">
        <f>生データ!M326</f>
        <v>0.1</v>
      </c>
      <c r="N218">
        <f>生データ!N326</f>
        <v>0</v>
      </c>
      <c r="O218">
        <f>生データ!O326</f>
        <v>0</v>
      </c>
      <c r="P218" t="str">
        <f>生データ!P326</f>
        <v>L</v>
      </c>
      <c r="Q218">
        <f>生データ!Q326</f>
        <v>0</v>
      </c>
      <c r="R218">
        <f>生データ!R326</f>
        <v>0</v>
      </c>
      <c r="S218">
        <f>生データ!S326</f>
        <v>0</v>
      </c>
      <c r="T218">
        <f>生データ!T326</f>
        <v>1.51</v>
      </c>
      <c r="U218" t="str">
        <f>生データ!U326</f>
        <v>dead</v>
      </c>
      <c r="V218">
        <f>COUNTIF(怪しいデータを手直し!F$2:F$701,Sheet5!F218)</f>
        <v>1</v>
      </c>
    </row>
    <row r="219" spans="1:22">
      <c r="A219">
        <f>生データ!A327</f>
        <v>20</v>
      </c>
      <c r="B219">
        <f>生データ!B327</f>
        <v>-20</v>
      </c>
      <c r="C219">
        <f>生データ!C327</f>
        <v>27.573886755230106</v>
      </c>
      <c r="D219">
        <f>生データ!D327</f>
        <v>-13.029159888179269</v>
      </c>
      <c r="E219">
        <f>生データ!E327</f>
        <v>0</v>
      </c>
      <c r="F219">
        <f>IF(生データ!E327="Wr",3000+生データ!F327,IF(生データ!E327="Wb",4000+生データ!F327,生データ!F327))</f>
        <v>540</v>
      </c>
      <c r="G219" t="str">
        <f>生データ!G327</f>
        <v>bp</v>
      </c>
      <c r="H219">
        <f>生データ!H327</f>
        <v>0</v>
      </c>
      <c r="I219">
        <f>生データ!I327</f>
        <v>1.51</v>
      </c>
      <c r="J219">
        <f>生データ!J327</f>
        <v>0</v>
      </c>
      <c r="K219">
        <f>生データ!K327</f>
        <v>17.3</v>
      </c>
      <c r="L219">
        <f>生データ!L327</f>
        <v>3.3</v>
      </c>
      <c r="M219">
        <f>生データ!M327</f>
        <v>1.3</v>
      </c>
      <c r="N219">
        <f>生データ!N327</f>
        <v>0</v>
      </c>
      <c r="O219">
        <f>生データ!O327</f>
        <v>0</v>
      </c>
      <c r="P219" t="str">
        <f>生データ!P327</f>
        <v>L</v>
      </c>
      <c r="Q219">
        <f>生データ!Q327</f>
        <v>0</v>
      </c>
      <c r="R219">
        <f>生データ!R327</f>
        <v>0</v>
      </c>
      <c r="S219">
        <f>生データ!S327</f>
        <v>0</v>
      </c>
      <c r="T219">
        <f>生データ!T327</f>
        <v>1.51</v>
      </c>
      <c r="U219">
        <f>生データ!U327</f>
        <v>17.3</v>
      </c>
      <c r="V219">
        <f>COUNTIF(怪しいデータを手直し!F$2:F$701,Sheet5!F219)</f>
        <v>1</v>
      </c>
    </row>
    <row r="220" spans="1:22">
      <c r="A220">
        <f>生データ!A328</f>
        <v>20</v>
      </c>
      <c r="B220">
        <f>生データ!B328</f>
        <v>10</v>
      </c>
      <c r="C220">
        <f>生データ!C328</f>
        <v>20.025377074440154</v>
      </c>
      <c r="D220">
        <f>生データ!D328</f>
        <v>14.539977854319202</v>
      </c>
      <c r="E220">
        <f>生データ!E328</f>
        <v>0</v>
      </c>
      <c r="F220">
        <f>IF(生データ!E328="Wr",3000+生データ!F328,IF(生データ!E328="Wb",4000+生データ!F328,生データ!F328))</f>
        <v>155</v>
      </c>
      <c r="G220" t="str">
        <f>生データ!G328</f>
        <v>lc</v>
      </c>
      <c r="H220">
        <f>生データ!H328</f>
        <v>0</v>
      </c>
      <c r="I220">
        <f>生データ!I328</f>
        <v>1.52</v>
      </c>
      <c r="J220">
        <f>生データ!J328</f>
        <v>0</v>
      </c>
      <c r="K220">
        <f>生データ!K328</f>
        <v>21.1</v>
      </c>
      <c r="L220">
        <f>生データ!L328</f>
        <v>2.4</v>
      </c>
      <c r="M220">
        <f>生データ!M328</f>
        <v>0.2</v>
      </c>
      <c r="N220">
        <f>生データ!N328</f>
        <v>0</v>
      </c>
      <c r="O220">
        <f>生データ!O328</f>
        <v>0</v>
      </c>
      <c r="P220" t="str">
        <f>生データ!P328</f>
        <v>L</v>
      </c>
      <c r="Q220">
        <f>生データ!Q328</f>
        <v>0</v>
      </c>
      <c r="R220">
        <f>生データ!R328</f>
        <v>0</v>
      </c>
      <c r="S220">
        <f>生データ!S328</f>
        <v>0</v>
      </c>
      <c r="T220">
        <f>生データ!T328</f>
        <v>1.52</v>
      </c>
      <c r="U220">
        <f>生データ!U328</f>
        <v>21.1</v>
      </c>
      <c r="V220">
        <f>COUNTIF(怪しいデータを手直し!F$2:F$701,Sheet5!F220)</f>
        <v>1</v>
      </c>
    </row>
    <row r="221" spans="1:22">
      <c r="A221">
        <f>生データ!A329</f>
        <v>10</v>
      </c>
      <c r="B221">
        <f>生データ!B329</f>
        <v>20</v>
      </c>
      <c r="C221">
        <f>生データ!C329</f>
        <v>18.888959746745883</v>
      </c>
      <c r="D221">
        <f>生データ!D329</f>
        <v>21.51976961603188</v>
      </c>
      <c r="E221">
        <f>生データ!E329</f>
        <v>0</v>
      </c>
      <c r="F221">
        <f>IF(生データ!E329="Wr",3000+生データ!F329,IF(生データ!E329="Wb",4000+生データ!F329,生データ!F329))</f>
        <v>102</v>
      </c>
      <c r="G221" t="str">
        <f>生データ!G329</f>
        <v>lc</v>
      </c>
      <c r="H221">
        <f>生データ!H329</f>
        <v>0</v>
      </c>
      <c r="I221">
        <f>生データ!I329</f>
        <v>1.53</v>
      </c>
      <c r="J221" t="str">
        <f>生データ!J329</f>
        <v>dead</v>
      </c>
      <c r="K221">
        <f>生データ!K329</f>
        <v>0</v>
      </c>
      <c r="L221">
        <f>生データ!L329</f>
        <v>2.6</v>
      </c>
      <c r="M221">
        <f>生データ!M329</f>
        <v>0</v>
      </c>
      <c r="N221">
        <f>生データ!N329</f>
        <v>0</v>
      </c>
      <c r="O221">
        <f>生データ!O329</f>
        <v>0</v>
      </c>
      <c r="P221" t="str">
        <f>生データ!P329</f>
        <v>D</v>
      </c>
      <c r="Q221">
        <f>生データ!Q329</f>
        <v>0</v>
      </c>
      <c r="R221">
        <f>生データ!R329</f>
        <v>0</v>
      </c>
      <c r="S221">
        <f>生データ!S329</f>
        <v>0</v>
      </c>
      <c r="T221">
        <f>生データ!T329</f>
        <v>1.53</v>
      </c>
      <c r="U221" t="str">
        <f>生データ!U329</f>
        <v>dead</v>
      </c>
      <c r="V221">
        <f>COUNTIF(怪しいデータを手直し!F$2:F$701,Sheet5!F221)</f>
        <v>1</v>
      </c>
    </row>
    <row r="222" spans="1:22">
      <c r="A222">
        <f>生データ!A330</f>
        <v>40</v>
      </c>
      <c r="B222">
        <f>生データ!B330</f>
        <v>10</v>
      </c>
      <c r="C222">
        <f>生データ!C330</f>
        <v>42.941695206502793</v>
      </c>
      <c r="D222">
        <f>生データ!D330</f>
        <v>16.264571620016966</v>
      </c>
      <c r="E222">
        <f>生データ!E330</f>
        <v>0</v>
      </c>
      <c r="F222">
        <f>IF(生データ!E330="Wr",3000+生データ!F330,IF(生データ!E330="Wb",4000+生データ!F330,生データ!F330))</f>
        <v>282</v>
      </c>
      <c r="G222" t="str">
        <f>生データ!G330</f>
        <v>lc</v>
      </c>
      <c r="H222">
        <f>生データ!H330</f>
        <v>0</v>
      </c>
      <c r="I222">
        <f>生データ!I330</f>
        <v>1.53</v>
      </c>
      <c r="J222">
        <f>生データ!J330</f>
        <v>8.3000000000000007</v>
      </c>
      <c r="K222">
        <f>生データ!K330</f>
        <v>0</v>
      </c>
      <c r="L222">
        <f>生データ!L330</f>
        <v>3.1</v>
      </c>
      <c r="M222">
        <f>生データ!M330</f>
        <v>0.3</v>
      </c>
      <c r="N222">
        <f>生データ!N330</f>
        <v>0</v>
      </c>
      <c r="O222">
        <f>生データ!O330</f>
        <v>0</v>
      </c>
      <c r="P222" t="str">
        <f>生データ!P330</f>
        <v>L</v>
      </c>
      <c r="Q222">
        <f>生データ!Q330</f>
        <v>0</v>
      </c>
      <c r="R222">
        <f>生データ!R330</f>
        <v>0</v>
      </c>
      <c r="S222">
        <f>生データ!S330</f>
        <v>0</v>
      </c>
      <c r="T222">
        <f>生データ!T330</f>
        <v>1.53</v>
      </c>
      <c r="U222">
        <f>生データ!U330</f>
        <v>2.6419720553254629</v>
      </c>
      <c r="V222">
        <f>COUNTIF(怪しいデータを手直し!F$2:F$701,Sheet5!F222)</f>
        <v>1</v>
      </c>
    </row>
    <row r="223" spans="1:22">
      <c r="A223">
        <f>生データ!A331</f>
        <v>0</v>
      </c>
      <c r="B223">
        <f>生データ!B331</f>
        <v>30</v>
      </c>
      <c r="C223">
        <f>生データ!C331</f>
        <v>1.0700791983558624</v>
      </c>
      <c r="D223">
        <f>生データ!D331</f>
        <v>30.012983097421369</v>
      </c>
      <c r="E223">
        <f>生データ!E331</f>
        <v>0</v>
      </c>
      <c r="F223">
        <f>IF(生データ!E331="Wr",3000+生データ!F331,IF(生データ!E331="Wb",4000+生データ!F331,生データ!F331))</f>
        <v>50</v>
      </c>
      <c r="G223" t="str">
        <f>生データ!G331</f>
        <v>bp</v>
      </c>
      <c r="H223">
        <f>生データ!H331</f>
        <v>0</v>
      </c>
      <c r="I223">
        <f>生データ!I331</f>
        <v>1.54</v>
      </c>
      <c r="J223">
        <f>生データ!J331</f>
        <v>0</v>
      </c>
      <c r="K223">
        <f>生データ!K331</f>
        <v>15.5</v>
      </c>
      <c r="L223">
        <f>生データ!L331</f>
        <v>2.2000000000000002</v>
      </c>
      <c r="M223">
        <f>生データ!M331</f>
        <v>1.2</v>
      </c>
      <c r="N223">
        <f>生データ!N331</f>
        <v>0</v>
      </c>
      <c r="O223">
        <f>生データ!O331</f>
        <v>0</v>
      </c>
      <c r="P223" t="str">
        <f>生データ!P331</f>
        <v>L</v>
      </c>
      <c r="Q223">
        <f>生データ!Q331</f>
        <v>0</v>
      </c>
      <c r="R223">
        <f>生データ!R331</f>
        <v>0</v>
      </c>
      <c r="S223">
        <f>生データ!S331</f>
        <v>0</v>
      </c>
      <c r="T223">
        <f>生データ!T331</f>
        <v>1.54</v>
      </c>
      <c r="U223">
        <f>生データ!U331</f>
        <v>15.5</v>
      </c>
      <c r="V223">
        <f>COUNTIF(怪しいデータを手直し!F$2:F$701,Sheet5!F223)</f>
        <v>1</v>
      </c>
    </row>
    <row r="224" spans="1:22">
      <c r="A224">
        <f>生データ!A332</f>
        <v>40</v>
      </c>
      <c r="B224">
        <f>生データ!B332</f>
        <v>-30</v>
      </c>
      <c r="C224">
        <f>生データ!C332</f>
        <v>42.781270294175009</v>
      </c>
      <c r="D224">
        <f>生データ!D332</f>
        <v>-25.663879383182479</v>
      </c>
      <c r="E224">
        <f>生データ!E332</f>
        <v>0</v>
      </c>
      <c r="F224">
        <f>IF(生データ!E332="Wr",3000+生データ!F332,IF(生データ!E332="Wb",4000+生データ!F332,生データ!F332))</f>
        <v>680</v>
      </c>
      <c r="G224" t="str">
        <f>生データ!G332</f>
        <v>bp</v>
      </c>
      <c r="H224">
        <f>生データ!H332</f>
        <v>0</v>
      </c>
      <c r="I224">
        <f>生データ!I332</f>
        <v>1.54</v>
      </c>
      <c r="J224">
        <f>生データ!J332</f>
        <v>0</v>
      </c>
      <c r="K224">
        <f>生データ!K332</f>
        <v>17.5</v>
      </c>
      <c r="L224">
        <f>生データ!L332</f>
        <v>2.8</v>
      </c>
      <c r="M224">
        <f>生データ!M332</f>
        <v>1.1000000000000001</v>
      </c>
      <c r="N224">
        <f>生データ!N332</f>
        <v>0</v>
      </c>
      <c r="O224">
        <f>生データ!O332</f>
        <v>0</v>
      </c>
      <c r="P224" t="str">
        <f>生データ!P332</f>
        <v>L</v>
      </c>
      <c r="Q224">
        <f>生データ!Q332</f>
        <v>0</v>
      </c>
      <c r="R224">
        <f>生データ!R332</f>
        <v>0</v>
      </c>
      <c r="S224">
        <f>生データ!S332</f>
        <v>0</v>
      </c>
      <c r="T224">
        <f>生データ!T332</f>
        <v>1.54</v>
      </c>
      <c r="U224">
        <f>生データ!U332</f>
        <v>17.5</v>
      </c>
      <c r="V224">
        <f>COUNTIF(怪しいデータを手直し!F$2:F$701,Sheet5!F224)</f>
        <v>1</v>
      </c>
    </row>
    <row r="225" spans="1:22">
      <c r="A225">
        <f>生データ!A333</f>
        <v>40</v>
      </c>
      <c r="B225">
        <f>生データ!B333</f>
        <v>0</v>
      </c>
      <c r="C225">
        <f>生データ!C333</f>
        <v>49.012604403629609</v>
      </c>
      <c r="D225">
        <f>生データ!D333</f>
        <v>2.6494992100077894</v>
      </c>
      <c r="E225">
        <f>生データ!E333</f>
        <v>0</v>
      </c>
      <c r="F225">
        <f>IF(生データ!E333="Wr",3000+生データ!F333,IF(生データ!E333="Wb",4000+生データ!F333,生データ!F333))</f>
        <v>276</v>
      </c>
      <c r="G225" t="str">
        <f>生データ!G333</f>
        <v>pt</v>
      </c>
      <c r="H225">
        <f>生データ!H333</f>
        <v>0</v>
      </c>
      <c r="I225">
        <f>生データ!I333</f>
        <v>1.55</v>
      </c>
      <c r="J225">
        <f>生データ!J333</f>
        <v>8.4</v>
      </c>
      <c r="K225">
        <f>生データ!K333</f>
        <v>0</v>
      </c>
      <c r="L225">
        <f>生データ!L333</f>
        <v>3.2</v>
      </c>
      <c r="M225">
        <f>生データ!M333</f>
        <v>0.7</v>
      </c>
      <c r="N225">
        <f>生データ!N333</f>
        <v>0</v>
      </c>
      <c r="O225">
        <f>生データ!O333</f>
        <v>0</v>
      </c>
      <c r="P225" t="str">
        <f>生データ!P333</f>
        <v>L</v>
      </c>
      <c r="Q225">
        <f>生データ!Q333</f>
        <v>0</v>
      </c>
      <c r="R225">
        <f>生データ!R333</f>
        <v>0</v>
      </c>
      <c r="S225" t="str">
        <f>生データ!S333</f>
        <v>New No 592 white red</v>
      </c>
      <c r="T225">
        <f>生データ!T333</f>
        <v>1.55</v>
      </c>
      <c r="U225">
        <f>生データ!U333</f>
        <v>2.6738030439438418</v>
      </c>
      <c r="V225">
        <f>COUNTIF(怪しいデータを手直し!F$2:F$701,Sheet5!F225)</f>
        <v>1</v>
      </c>
    </row>
    <row r="226" spans="1:22">
      <c r="A226">
        <f>生データ!A334</f>
        <v>40</v>
      </c>
      <c r="B226">
        <f>生データ!B334</f>
        <v>20</v>
      </c>
      <c r="C226">
        <f>生データ!C334</f>
        <v>41.793904923765879</v>
      </c>
      <c r="D226">
        <f>生データ!D334</f>
        <v>29.381295574128924</v>
      </c>
      <c r="E226">
        <f>生データ!E334</f>
        <v>0</v>
      </c>
      <c r="F226">
        <f>IF(生データ!E334="Wr",3000+生データ!F334,IF(生データ!E334="Wb",4000+生データ!F334,生データ!F334))</f>
        <v>307</v>
      </c>
      <c r="G226" t="str">
        <f>生データ!G334</f>
        <v>bp</v>
      </c>
      <c r="H226">
        <f>生データ!H334</f>
        <v>0</v>
      </c>
      <c r="I226">
        <f>生データ!I334</f>
        <v>1.56</v>
      </c>
      <c r="J226">
        <f>生データ!J334</f>
        <v>6.1</v>
      </c>
      <c r="K226">
        <f>生データ!K334</f>
        <v>0</v>
      </c>
      <c r="L226">
        <f>生データ!L334</f>
        <v>3.9</v>
      </c>
      <c r="M226">
        <f>生データ!M334</f>
        <v>1.2</v>
      </c>
      <c r="N226">
        <f>生データ!N334</f>
        <v>0</v>
      </c>
      <c r="O226">
        <f>生データ!O334</f>
        <v>0</v>
      </c>
      <c r="P226" t="str">
        <f>生データ!P334</f>
        <v>L</v>
      </c>
      <c r="Q226">
        <f>生データ!Q334</f>
        <v>0</v>
      </c>
      <c r="R226">
        <f>生データ!R334</f>
        <v>0</v>
      </c>
      <c r="S226">
        <f>生データ!S334</f>
        <v>0</v>
      </c>
      <c r="T226">
        <f>生データ!T334</f>
        <v>1.56</v>
      </c>
      <c r="U226">
        <f>生データ!U334</f>
        <v>1.941690305721123</v>
      </c>
      <c r="V226">
        <f>COUNTIF(怪しいデータを手直し!F$2:F$701,Sheet5!F226)</f>
        <v>1</v>
      </c>
    </row>
    <row r="227" spans="1:22">
      <c r="A227">
        <f>生データ!A335</f>
        <v>30</v>
      </c>
      <c r="B227">
        <f>生データ!B335</f>
        <v>-30</v>
      </c>
      <c r="C227">
        <f>生データ!C335</f>
        <v>33.53647369957767</v>
      </c>
      <c r="D227">
        <f>生データ!D335</f>
        <v>-24.559194421407735</v>
      </c>
      <c r="E227">
        <f>生データ!E335</f>
        <v>0</v>
      </c>
      <c r="F227">
        <f>IF(生データ!E335="Wr",3000+生データ!F335,IF(生データ!E335="Wb",4000+生データ!F335,生データ!F335))</f>
        <v>662</v>
      </c>
      <c r="G227" t="str">
        <f>生データ!G335</f>
        <v>lc</v>
      </c>
      <c r="H227">
        <f>生データ!H335</f>
        <v>0</v>
      </c>
      <c r="I227">
        <f>生データ!I335</f>
        <v>1.57</v>
      </c>
      <c r="J227" t="str">
        <f>生データ!J335</f>
        <v>dead</v>
      </c>
      <c r="K227">
        <f>生データ!K335</f>
        <v>0</v>
      </c>
      <c r="L227">
        <f>生データ!L335</f>
        <v>5</v>
      </c>
      <c r="M227">
        <f>生データ!M335</f>
        <v>0.4</v>
      </c>
      <c r="N227">
        <f>生データ!N335</f>
        <v>0</v>
      </c>
      <c r="O227">
        <f>生データ!O335</f>
        <v>0</v>
      </c>
      <c r="P227" t="str">
        <f>生データ!P335</f>
        <v>L</v>
      </c>
      <c r="Q227">
        <f>生データ!Q335</f>
        <v>0</v>
      </c>
      <c r="R227">
        <f>生データ!R335</f>
        <v>0</v>
      </c>
      <c r="S227">
        <f>生データ!S335</f>
        <v>0</v>
      </c>
      <c r="T227">
        <f>生データ!T335</f>
        <v>1.57</v>
      </c>
      <c r="U227" t="str">
        <f>生データ!U335</f>
        <v>dead</v>
      </c>
      <c r="V227">
        <f>COUNTIF(怪しいデータを手直し!F$2:F$701,Sheet5!F227)</f>
        <v>1</v>
      </c>
    </row>
    <row r="228" spans="1:22">
      <c r="A228">
        <f>生データ!A336</f>
        <v>30</v>
      </c>
      <c r="B228">
        <f>生データ!B336</f>
        <v>-30</v>
      </c>
      <c r="C228">
        <f>生データ!C336</f>
        <v>35.356399276918161</v>
      </c>
      <c r="D228">
        <f>生データ!D336</f>
        <v>-28.844466450059642</v>
      </c>
      <c r="E228">
        <f>生データ!E336</f>
        <v>0</v>
      </c>
      <c r="F228">
        <f>IF(生データ!E336="Wr",3000+生データ!F336,IF(生データ!E336="Wb",4000+生データ!F336,生データ!F336))</f>
        <v>674</v>
      </c>
      <c r="G228" t="str">
        <f>生データ!G336</f>
        <v>lc</v>
      </c>
      <c r="H228">
        <f>生データ!H336</f>
        <v>0</v>
      </c>
      <c r="I228">
        <f>生データ!I336</f>
        <v>1.57</v>
      </c>
      <c r="J228">
        <f>生データ!J336</f>
        <v>0</v>
      </c>
      <c r="K228">
        <f>生データ!K336</f>
        <v>29</v>
      </c>
      <c r="L228">
        <f>生データ!L336</f>
        <v>2.7</v>
      </c>
      <c r="M228">
        <f>生データ!M336</f>
        <v>0.3</v>
      </c>
      <c r="N228">
        <f>生データ!N336</f>
        <v>0</v>
      </c>
      <c r="O228">
        <f>生データ!O336</f>
        <v>0</v>
      </c>
      <c r="P228" t="str">
        <f>生データ!P336</f>
        <v>L</v>
      </c>
      <c r="Q228">
        <f>生データ!Q336</f>
        <v>0</v>
      </c>
      <c r="R228">
        <f>生データ!R336</f>
        <v>0</v>
      </c>
      <c r="S228" t="str">
        <f>生データ!S336</f>
        <v>NewNo 776</v>
      </c>
      <c r="T228">
        <f>生データ!T336</f>
        <v>1.57</v>
      </c>
      <c r="U228">
        <f>生データ!U336</f>
        <v>29</v>
      </c>
      <c r="V228">
        <f>COUNTIF(怪しいデータを手直し!F$2:F$701,Sheet5!F228)</f>
        <v>1</v>
      </c>
    </row>
    <row r="229" spans="1:22">
      <c r="A229">
        <f>生データ!A337</f>
        <v>50</v>
      </c>
      <c r="B229">
        <f>生データ!B337</f>
        <v>-30</v>
      </c>
      <c r="C229">
        <f>生データ!C337</f>
        <v>50.215139710240834</v>
      </c>
      <c r="D229">
        <f>生データ!D337</f>
        <v>-27.437723206428444</v>
      </c>
      <c r="E229">
        <f>生データ!E337</f>
        <v>0</v>
      </c>
      <c r="F229">
        <f>IF(生データ!E337="Wr",3000+生データ!F337,IF(生データ!E337="Wb",4000+生データ!F337,生データ!F337))</f>
        <v>2010</v>
      </c>
      <c r="G229" t="str">
        <f>生データ!G337</f>
        <v>bp</v>
      </c>
      <c r="H229">
        <f>生データ!H337</f>
        <v>0</v>
      </c>
      <c r="I229">
        <f>生データ!I337</f>
        <v>1.57</v>
      </c>
      <c r="J229">
        <f>生データ!J337</f>
        <v>44.8</v>
      </c>
      <c r="K229">
        <f>生データ!K337</f>
        <v>0</v>
      </c>
      <c r="L229">
        <f>生データ!L337</f>
        <v>0</v>
      </c>
      <c r="M229">
        <f>生データ!M337</f>
        <v>0</v>
      </c>
      <c r="N229">
        <f>生データ!N337</f>
        <v>8.5</v>
      </c>
      <c r="O229" t="str">
        <f>生データ!O337</f>
        <v>dead</v>
      </c>
      <c r="P229">
        <f>生データ!P337</f>
        <v>0</v>
      </c>
      <c r="Q229">
        <f>生データ!Q337</f>
        <v>0</v>
      </c>
      <c r="R229" t="str">
        <f>生データ!R337</f>
        <v>701 same tree</v>
      </c>
      <c r="S229" t="str">
        <f>生データ!S337</f>
        <v>New No 613 White red　先オレ　dead</v>
      </c>
      <c r="T229">
        <f>生データ!T337</f>
        <v>1.57</v>
      </c>
      <c r="U229">
        <f>生データ!U337</f>
        <v>14.260282901033822</v>
      </c>
      <c r="V229">
        <f>COUNTIF(怪しいデータを手直し!F$2:F$701,Sheet5!F229)</f>
        <v>1</v>
      </c>
    </row>
    <row r="230" spans="1:22">
      <c r="A230">
        <f>生データ!A338</f>
        <v>10</v>
      </c>
      <c r="B230">
        <f>生データ!B338</f>
        <v>-30</v>
      </c>
      <c r="C230">
        <f>生データ!C338</f>
        <v>10.075594505370871</v>
      </c>
      <c r="D230">
        <f>生データ!D338</f>
        <v>-21.922856006986763</v>
      </c>
      <c r="E230">
        <f>生データ!E338</f>
        <v>0</v>
      </c>
      <c r="F230">
        <f>IF(生データ!E338="Wr",3000+生データ!F338,IF(生データ!E338="Wb",4000+生データ!F338,生データ!F338))</f>
        <v>614</v>
      </c>
      <c r="G230" t="str">
        <f>生データ!G338</f>
        <v>lc</v>
      </c>
      <c r="H230">
        <f>生データ!H338</f>
        <v>0</v>
      </c>
      <c r="I230">
        <f>生データ!I338</f>
        <v>1.59</v>
      </c>
      <c r="J230" t="str">
        <f>生データ!J338</f>
        <v>dead</v>
      </c>
      <c r="K230">
        <f>生データ!K338</f>
        <v>0</v>
      </c>
      <c r="L230">
        <f>生データ!L338</f>
        <v>2.2999999999999998</v>
      </c>
      <c r="M230">
        <f>生データ!M338</f>
        <v>0</v>
      </c>
      <c r="N230">
        <f>生データ!N338</f>
        <v>0</v>
      </c>
      <c r="O230">
        <f>生データ!O338</f>
        <v>0</v>
      </c>
      <c r="P230" t="str">
        <f>生データ!P338</f>
        <v>D</v>
      </c>
      <c r="Q230">
        <f>生データ!Q338</f>
        <v>0</v>
      </c>
      <c r="R230">
        <f>生データ!R338</f>
        <v>0</v>
      </c>
      <c r="S230">
        <f>生データ!S338</f>
        <v>0</v>
      </c>
      <c r="T230">
        <f>生データ!T338</f>
        <v>1.59</v>
      </c>
      <c r="U230" t="str">
        <f>生データ!U338</f>
        <v>dead</v>
      </c>
      <c r="V230">
        <f>COUNTIF(怪しいデータを手直し!F$2:F$701,Sheet5!F230)</f>
        <v>1</v>
      </c>
    </row>
    <row r="231" spans="1:22">
      <c r="A231">
        <f>生データ!A339</f>
        <v>10</v>
      </c>
      <c r="B231">
        <f>生データ!B339</f>
        <v>-30</v>
      </c>
      <c r="C231">
        <f>生データ!C339</f>
        <v>20.370058669255478</v>
      </c>
      <c r="D231">
        <f>生データ!D339</f>
        <v>-20.100000000000001</v>
      </c>
      <c r="E231">
        <f>生データ!E339</f>
        <v>0</v>
      </c>
      <c r="F231">
        <f>IF(生データ!E339="Wr",3000+生データ!F339,IF(生データ!E339="Wb",4000+生データ!F339,生データ!F339))</f>
        <v>627</v>
      </c>
      <c r="G231" t="str">
        <f>生データ!G339</f>
        <v>lc</v>
      </c>
      <c r="H231">
        <f>生データ!H339</f>
        <v>0</v>
      </c>
      <c r="I231">
        <f>生データ!I339</f>
        <v>1.59</v>
      </c>
      <c r="J231">
        <f>生データ!J339</f>
        <v>0</v>
      </c>
      <c r="K231">
        <f>生データ!K339</f>
        <v>22.4</v>
      </c>
      <c r="L231">
        <f>生データ!L339</f>
        <v>2.5</v>
      </c>
      <c r="M231">
        <f>生データ!M339</f>
        <v>0.3</v>
      </c>
      <c r="N231">
        <f>生データ!N339</f>
        <v>0</v>
      </c>
      <c r="O231">
        <f>生データ!O339</f>
        <v>0</v>
      </c>
      <c r="P231" t="str">
        <f>生データ!P339</f>
        <v>L</v>
      </c>
      <c r="Q231">
        <f>生データ!Q339</f>
        <v>0</v>
      </c>
      <c r="R231">
        <f>生データ!R339</f>
        <v>0</v>
      </c>
      <c r="S231" t="str">
        <f>生データ!S339</f>
        <v>New No 766</v>
      </c>
      <c r="T231">
        <f>生データ!T339</f>
        <v>1.59</v>
      </c>
      <c r="U231">
        <f>生データ!U339</f>
        <v>22.4</v>
      </c>
      <c r="V231">
        <f>COUNTIF(怪しいデータを手直し!F$2:F$701,Sheet5!F231)</f>
        <v>1</v>
      </c>
    </row>
    <row r="232" spans="1:22">
      <c r="A232">
        <f>生データ!A340</f>
        <v>10</v>
      </c>
      <c r="B232">
        <f>生データ!B340</f>
        <v>20</v>
      </c>
      <c r="C232">
        <f>生データ!C340</f>
        <v>12.785030728212849</v>
      </c>
      <c r="D232">
        <f>生データ!D340</f>
        <v>39.991395380979618</v>
      </c>
      <c r="E232">
        <f>生データ!E340</f>
        <v>0</v>
      </c>
      <c r="F232">
        <f>IF(生データ!E340="Wr",3000+生データ!F340,IF(生データ!E340="Wb",4000+生データ!F340,生データ!F340))</f>
        <v>83</v>
      </c>
      <c r="G232" t="str">
        <f>生データ!G340</f>
        <v>lc</v>
      </c>
      <c r="H232">
        <f>生データ!H340</f>
        <v>0</v>
      </c>
      <c r="I232">
        <f>生データ!I340</f>
        <v>1.61</v>
      </c>
      <c r="J232">
        <f>生データ!J340</f>
        <v>8.6999999999999993</v>
      </c>
      <c r="K232">
        <f>生データ!K340</f>
        <v>0</v>
      </c>
      <c r="L232">
        <f>生データ!L340</f>
        <v>2.9</v>
      </c>
      <c r="M232">
        <f>生データ!M340</f>
        <v>0.4</v>
      </c>
      <c r="N232">
        <f>生データ!N340</f>
        <v>0</v>
      </c>
      <c r="O232">
        <f>生データ!O340</f>
        <v>0</v>
      </c>
      <c r="P232" t="str">
        <f>生データ!P340</f>
        <v>L</v>
      </c>
      <c r="Q232">
        <f>生データ!Q340</f>
        <v>0</v>
      </c>
      <c r="R232">
        <f>生データ!R340</f>
        <v>0</v>
      </c>
      <c r="S232">
        <f>生データ!S340</f>
        <v>0</v>
      </c>
      <c r="T232">
        <f>生データ!T340</f>
        <v>1.61</v>
      </c>
      <c r="U232">
        <f>生データ!U340</f>
        <v>2.7692960097989787</v>
      </c>
      <c r="V232">
        <f>COUNTIF(怪しいデータを手直し!F$2:F$701,Sheet5!F232)</f>
        <v>1</v>
      </c>
    </row>
    <row r="233" spans="1:22">
      <c r="A233">
        <f>生データ!A341</f>
        <v>20</v>
      </c>
      <c r="B233">
        <f>生データ!B341</f>
        <v>-20</v>
      </c>
      <c r="C233">
        <f>生データ!C341</f>
        <v>26.865716922766467</v>
      </c>
      <c r="D233">
        <f>生データ!D341</f>
        <v>-13.642459065946641</v>
      </c>
      <c r="E233">
        <f>生データ!E341</f>
        <v>0</v>
      </c>
      <c r="F233">
        <f>IF(生データ!E341="Wr",3000+生データ!F341,IF(生データ!E341="Wb",4000+生データ!F341,生データ!F341))</f>
        <v>557</v>
      </c>
      <c r="G233" t="str">
        <f>生データ!G341</f>
        <v>bp</v>
      </c>
      <c r="H233">
        <f>生データ!H341</f>
        <v>0</v>
      </c>
      <c r="I233">
        <f>生データ!I341</f>
        <v>1.61</v>
      </c>
      <c r="J233">
        <f>生データ!J341</f>
        <v>0</v>
      </c>
      <c r="K233">
        <f>生データ!K341</f>
        <v>11.2</v>
      </c>
      <c r="L233">
        <f>生データ!L341</f>
        <v>0.9</v>
      </c>
      <c r="M233">
        <f>生データ!M341</f>
        <v>0</v>
      </c>
      <c r="N233">
        <f>生データ!N341</f>
        <v>0</v>
      </c>
      <c r="O233">
        <f>生データ!O341</f>
        <v>0</v>
      </c>
      <c r="P233" t="str">
        <f>生データ!P341</f>
        <v>L</v>
      </c>
      <c r="Q233">
        <f>生データ!Q341</f>
        <v>0</v>
      </c>
      <c r="R233" t="str">
        <f>生データ!R341</f>
        <v>L=3.4</v>
      </c>
      <c r="S233" t="str">
        <f>生データ!S341</f>
        <v>New No753 DBH01?</v>
      </c>
      <c r="T233">
        <f>生データ!T341</f>
        <v>1.61</v>
      </c>
      <c r="U233">
        <f>生データ!U341</f>
        <v>11.2</v>
      </c>
      <c r="V233">
        <f>COUNTIF(怪しいデータを手直し!F$2:F$701,Sheet5!F233)</f>
        <v>1</v>
      </c>
    </row>
    <row r="234" spans="1:22">
      <c r="A234">
        <f>生データ!A342</f>
        <v>40</v>
      </c>
      <c r="B234">
        <f>生データ!B342</f>
        <v>10</v>
      </c>
      <c r="C234">
        <f>生データ!C342</f>
        <v>42.95207783888543</v>
      </c>
      <c r="D234">
        <f>生データ!D342</f>
        <v>10.555182391625927</v>
      </c>
      <c r="E234">
        <f>生データ!E342</f>
        <v>0</v>
      </c>
      <c r="F234">
        <f>IF(生データ!E342="Wr",3000+生データ!F342,IF(生データ!E342="Wb",4000+生データ!F342,生データ!F342))</f>
        <v>279</v>
      </c>
      <c r="G234" t="str">
        <f>生データ!G342</f>
        <v>pt</v>
      </c>
      <c r="H234">
        <f>生データ!H342</f>
        <v>0</v>
      </c>
      <c r="I234">
        <f>生データ!I342</f>
        <v>1.63</v>
      </c>
      <c r="J234">
        <f>生データ!J342</f>
        <v>8.3000000000000007</v>
      </c>
      <c r="K234">
        <f>生データ!K342</f>
        <v>0</v>
      </c>
      <c r="L234">
        <f>生データ!L342</f>
        <v>3.2</v>
      </c>
      <c r="M234">
        <f>生データ!M342</f>
        <v>0.7</v>
      </c>
      <c r="N234">
        <f>生データ!N342</f>
        <v>0</v>
      </c>
      <c r="O234">
        <f>生データ!O342</f>
        <v>0</v>
      </c>
      <c r="P234" t="str">
        <f>生データ!P342</f>
        <v>L</v>
      </c>
      <c r="Q234">
        <f>生データ!Q342</f>
        <v>0</v>
      </c>
      <c r="R234">
        <f>生データ!R342</f>
        <v>0</v>
      </c>
      <c r="S234">
        <f>生データ!S342</f>
        <v>0</v>
      </c>
      <c r="T234">
        <f>生データ!T342</f>
        <v>1.63</v>
      </c>
      <c r="U234">
        <f>生データ!U342</f>
        <v>2.6419720553254629</v>
      </c>
      <c r="V234">
        <f>COUNTIF(怪しいデータを手直し!F$2:F$701,Sheet5!F234)</f>
        <v>1</v>
      </c>
    </row>
    <row r="235" spans="1:22">
      <c r="A235">
        <f>生データ!A343</f>
        <v>40</v>
      </c>
      <c r="B235">
        <f>生データ!B343</f>
        <v>40</v>
      </c>
      <c r="C235">
        <f>生データ!C343</f>
        <v>49.266331268088543</v>
      </c>
      <c r="D235">
        <f>生データ!D343</f>
        <v>42.28511054258113</v>
      </c>
      <c r="E235">
        <f>生データ!E343</f>
        <v>0</v>
      </c>
      <c r="F235">
        <f>IF(生データ!E343="Wr",3000+生データ!F343,IF(生データ!E343="Wb",4000+生データ!F343,生データ!F343))</f>
        <v>350</v>
      </c>
      <c r="G235" t="str">
        <f>生データ!G343</f>
        <v>bp</v>
      </c>
      <c r="H235">
        <f>生データ!H343</f>
        <v>0</v>
      </c>
      <c r="I235">
        <f>生データ!I343</f>
        <v>1.63</v>
      </c>
      <c r="J235">
        <f>生データ!J343</f>
        <v>0</v>
      </c>
      <c r="K235">
        <f>生データ!K343</f>
        <v>16.8</v>
      </c>
      <c r="L235">
        <f>生データ!L343</f>
        <v>3.4</v>
      </c>
      <c r="M235">
        <f>生データ!M343</f>
        <v>2.1</v>
      </c>
      <c r="N235">
        <f>生データ!N343</f>
        <v>0</v>
      </c>
      <c r="O235">
        <f>生データ!O343</f>
        <v>0</v>
      </c>
      <c r="P235" t="str">
        <f>生データ!P343</f>
        <v>L</v>
      </c>
      <c r="Q235">
        <f>生データ!Q343</f>
        <v>0</v>
      </c>
      <c r="R235">
        <f>生データ!R343</f>
        <v>0</v>
      </c>
      <c r="S235">
        <f>生データ!S343</f>
        <v>0</v>
      </c>
      <c r="T235">
        <f>生データ!T343</f>
        <v>1.63</v>
      </c>
      <c r="U235">
        <f>生データ!U343</f>
        <v>16.8</v>
      </c>
      <c r="V235">
        <f>COUNTIF(怪しいデータを手直し!F$2:F$701,Sheet5!F235)</f>
        <v>1</v>
      </c>
    </row>
    <row r="236" spans="1:22">
      <c r="A236">
        <f>生データ!A344</f>
        <v>0</v>
      </c>
      <c r="B236">
        <f>生データ!B344</f>
        <v>40</v>
      </c>
      <c r="C236">
        <f>生データ!C344</f>
        <v>8.1404010585722872</v>
      </c>
      <c r="D236">
        <f>生データ!D344</f>
        <v>40.771855251893008</v>
      </c>
      <c r="E236">
        <f>生データ!E344</f>
        <v>0</v>
      </c>
      <c r="F236">
        <f>IF(生データ!E344="Wr",3000+生データ!F344,IF(生データ!E344="Wb",4000+生データ!F344,生データ!F344))</f>
        <v>62</v>
      </c>
      <c r="G236" t="str">
        <f>生データ!G344</f>
        <v>lc</v>
      </c>
      <c r="H236">
        <f>生データ!H344</f>
        <v>0</v>
      </c>
      <c r="I236">
        <f>生データ!I344</f>
        <v>1.64</v>
      </c>
      <c r="J236" t="str">
        <f>生データ!J344</f>
        <v>dead</v>
      </c>
      <c r="K236">
        <f>生データ!K344</f>
        <v>0</v>
      </c>
      <c r="L236">
        <f>生データ!L344</f>
        <v>2.5</v>
      </c>
      <c r="M236">
        <f>生データ!M344</f>
        <v>0.2</v>
      </c>
      <c r="N236">
        <f>生データ!N344</f>
        <v>0</v>
      </c>
      <c r="O236">
        <f>生データ!O344</f>
        <v>0</v>
      </c>
      <c r="P236" t="str">
        <f>生データ!P344</f>
        <v>L</v>
      </c>
      <c r="Q236">
        <f>生データ!Q344</f>
        <v>0</v>
      </c>
      <c r="R236">
        <f>生データ!R344</f>
        <v>0</v>
      </c>
      <c r="S236">
        <f>生データ!S344</f>
        <v>0</v>
      </c>
      <c r="T236">
        <f>生データ!T344</f>
        <v>1.64</v>
      </c>
      <c r="U236" t="str">
        <f>生データ!U344</f>
        <v>dead</v>
      </c>
      <c r="V236">
        <f>COUNTIF(怪しいデータを手直し!F$2:F$701,Sheet5!F236)</f>
        <v>1</v>
      </c>
    </row>
    <row r="237" spans="1:22">
      <c r="A237">
        <f>生データ!A345</f>
        <v>0</v>
      </c>
      <c r="B237">
        <f>生データ!B345</f>
        <v>-30</v>
      </c>
      <c r="C237">
        <f>生データ!C345</f>
        <v>9.9566634226198119</v>
      </c>
      <c r="D237">
        <f>生データ!D345</f>
        <v>-21.057995003103628</v>
      </c>
      <c r="E237">
        <f>生データ!E345</f>
        <v>0</v>
      </c>
      <c r="F237">
        <f>IF(生データ!E345="Wr",3000+生データ!F345,IF(生データ!E345="Wb",4000+生データ!F345,生データ!F345))</f>
        <v>612</v>
      </c>
      <c r="G237" t="str">
        <f>生データ!G345</f>
        <v>lc</v>
      </c>
      <c r="H237">
        <f>生データ!H345</f>
        <v>0</v>
      </c>
      <c r="I237">
        <f>生データ!I345</f>
        <v>1.64</v>
      </c>
      <c r="J237">
        <f>生データ!J345</f>
        <v>0</v>
      </c>
      <c r="K237">
        <f>生データ!K345</f>
        <v>22.2</v>
      </c>
      <c r="L237">
        <f>生データ!L345</f>
        <v>3</v>
      </c>
      <c r="M237">
        <f>生データ!M345</f>
        <v>0.4</v>
      </c>
      <c r="N237">
        <f>生データ!N345</f>
        <v>0</v>
      </c>
      <c r="O237">
        <f>生データ!O345</f>
        <v>0</v>
      </c>
      <c r="P237" t="str">
        <f>生データ!P345</f>
        <v>L</v>
      </c>
      <c r="Q237">
        <f>生データ!Q345</f>
        <v>0</v>
      </c>
      <c r="R237">
        <f>生データ!R345</f>
        <v>0</v>
      </c>
      <c r="S237" t="str">
        <f>生データ!S345</f>
        <v>New No763</v>
      </c>
      <c r="T237">
        <f>生データ!T345</f>
        <v>1.64</v>
      </c>
      <c r="U237">
        <f>生データ!U345</f>
        <v>22.2</v>
      </c>
      <c r="V237">
        <f>COUNTIF(怪しいデータを手直し!F$2:F$701,Sheet5!F237)</f>
        <v>1</v>
      </c>
    </row>
    <row r="238" spans="1:22">
      <c r="A238">
        <f>生データ!A346</f>
        <v>10</v>
      </c>
      <c r="B238">
        <f>生データ!B346</f>
        <v>30</v>
      </c>
      <c r="C238">
        <f>生データ!C346</f>
        <v>17.517240329533635</v>
      </c>
      <c r="D238">
        <f>生データ!D346</f>
        <v>31.159712865363531</v>
      </c>
      <c r="E238">
        <f>生データ!E346</f>
        <v>0</v>
      </c>
      <c r="F238">
        <f>IF(生データ!E346="Wr",3000+生データ!F346,IF(生データ!E346="Wb",4000+生データ!F346,生データ!F346))</f>
        <v>87</v>
      </c>
      <c r="G238" t="str">
        <f>生データ!G346</f>
        <v>lc</v>
      </c>
      <c r="H238">
        <f>生データ!H346</f>
        <v>0</v>
      </c>
      <c r="I238">
        <f>生データ!I346</f>
        <v>1.67</v>
      </c>
      <c r="J238">
        <f>生データ!J346</f>
        <v>9.8000000000000007</v>
      </c>
      <c r="K238">
        <f>生データ!K346</f>
        <v>0</v>
      </c>
      <c r="L238">
        <f>生データ!L346</f>
        <v>2.5</v>
      </c>
      <c r="M238">
        <f>生データ!M346</f>
        <v>0.2</v>
      </c>
      <c r="N238">
        <f>生データ!N346</f>
        <v>0</v>
      </c>
      <c r="O238">
        <f>生データ!O346</f>
        <v>0</v>
      </c>
      <c r="P238" t="str">
        <f>生データ!P346</f>
        <v>L</v>
      </c>
      <c r="Q238">
        <f>生データ!Q346</f>
        <v>0</v>
      </c>
      <c r="R238">
        <f>生データ!R346</f>
        <v>0</v>
      </c>
      <c r="S238">
        <f>生データ!S346</f>
        <v>0</v>
      </c>
      <c r="T238">
        <f>生データ!T346</f>
        <v>1.67</v>
      </c>
      <c r="U238">
        <f>生データ!U346</f>
        <v>3.1194368846011491</v>
      </c>
      <c r="V238">
        <f>COUNTIF(怪しいデータを手直し!F$2:F$701,Sheet5!F238)</f>
        <v>1</v>
      </c>
    </row>
    <row r="239" spans="1:22">
      <c r="A239">
        <f>生データ!A347</f>
        <v>30</v>
      </c>
      <c r="B239">
        <f>生データ!B347</f>
        <v>-10</v>
      </c>
      <c r="C239">
        <f>生データ!C347</f>
        <v>38.887856973840393</v>
      </c>
      <c r="D239">
        <f>生データ!D347</f>
        <v>-4.1141493487037444</v>
      </c>
      <c r="E239">
        <f>生データ!E347</f>
        <v>0</v>
      </c>
      <c r="F239">
        <f>IF(生データ!E347="Wr",3000+生データ!F347,IF(生データ!E347="Wb",4000+生データ!F347,生データ!F347))</f>
        <v>441</v>
      </c>
      <c r="G239" t="str">
        <f>生データ!G347</f>
        <v>bp</v>
      </c>
      <c r="H239">
        <f>生データ!H347</f>
        <v>0</v>
      </c>
      <c r="I239">
        <f>生データ!I347</f>
        <v>1.68</v>
      </c>
      <c r="J239" t="str">
        <f>生データ!J347</f>
        <v>dead</v>
      </c>
      <c r="K239">
        <f>生データ!K347</f>
        <v>0</v>
      </c>
      <c r="L239">
        <f>生データ!L347</f>
        <v>1.6</v>
      </c>
      <c r="M239">
        <f>生データ!M347</f>
        <v>1.3</v>
      </c>
      <c r="N239">
        <f>生データ!N347</f>
        <v>0</v>
      </c>
      <c r="O239">
        <f>生データ!O347</f>
        <v>0</v>
      </c>
      <c r="P239" t="str">
        <f>生データ!P347</f>
        <v>L</v>
      </c>
      <c r="Q239">
        <f>生データ!Q347</f>
        <v>0</v>
      </c>
      <c r="R239">
        <f>生データ!R347</f>
        <v>0</v>
      </c>
      <c r="S239">
        <f>生データ!S347</f>
        <v>0</v>
      </c>
      <c r="T239">
        <f>生データ!T347</f>
        <v>1.68</v>
      </c>
      <c r="U239" t="str">
        <f>生データ!U347</f>
        <v>dead</v>
      </c>
      <c r="V239">
        <f>COUNTIF(怪しいデータを手直し!F$2:F$701,Sheet5!F239)</f>
        <v>1</v>
      </c>
    </row>
    <row r="240" spans="1:22">
      <c r="A240">
        <f>生データ!A348</f>
        <v>0</v>
      </c>
      <c r="B240">
        <f>生データ!B348</f>
        <v>0</v>
      </c>
      <c r="C240">
        <f>生データ!C348</f>
        <v>4.4428325442296615</v>
      </c>
      <c r="D240">
        <f>生データ!D348</f>
        <v>8.5628187767275055</v>
      </c>
      <c r="E240">
        <f>生データ!E348</f>
        <v>0</v>
      </c>
      <c r="F240">
        <f>IF(生データ!E348="Wr",3000+生データ!F348,IF(生データ!E348="Wb",4000+生データ!F348,生データ!F348))</f>
        <v>5</v>
      </c>
      <c r="G240" t="str">
        <f>生データ!G348</f>
        <v>bp</v>
      </c>
      <c r="H240">
        <f>生データ!H348</f>
        <v>0</v>
      </c>
      <c r="I240">
        <f>生データ!I348</f>
        <v>1.69</v>
      </c>
      <c r="J240">
        <f>生データ!J348</f>
        <v>0</v>
      </c>
      <c r="K240">
        <f>生データ!K348</f>
        <v>19.2</v>
      </c>
      <c r="L240">
        <f>生データ!L348</f>
        <v>3.6</v>
      </c>
      <c r="M240">
        <f>生データ!M348</f>
        <v>0.9</v>
      </c>
      <c r="N240">
        <f>生データ!N348</f>
        <v>0</v>
      </c>
      <c r="O240">
        <f>生データ!O348</f>
        <v>0</v>
      </c>
      <c r="P240" t="str">
        <f>生データ!P348</f>
        <v>L</v>
      </c>
      <c r="Q240">
        <f>生データ!Q348</f>
        <v>0</v>
      </c>
      <c r="R240" t="str">
        <f>生データ!R348</f>
        <v xml:space="preserve"> </v>
      </c>
      <c r="S240">
        <f>生データ!S348</f>
        <v>0</v>
      </c>
      <c r="T240">
        <f>生データ!T348</f>
        <v>1.69</v>
      </c>
      <c r="U240">
        <f>生データ!U348</f>
        <v>19.2</v>
      </c>
      <c r="V240">
        <f>COUNTIF(怪しいデータを手直し!F$2:F$701,Sheet5!F240)</f>
        <v>1</v>
      </c>
    </row>
    <row r="241" spans="1:22">
      <c r="A241">
        <f>生データ!A349</f>
        <v>20</v>
      </c>
      <c r="B241">
        <f>生データ!B349</f>
        <v>30</v>
      </c>
      <c r="C241">
        <f>生データ!C349</f>
        <v>20.605733397222572</v>
      </c>
      <c r="D241">
        <f>生データ!D349</f>
        <v>34.513335525887406</v>
      </c>
      <c r="E241">
        <f>生データ!E349</f>
        <v>0</v>
      </c>
      <c r="F241">
        <f>IF(生データ!E349="Wr",3000+生データ!F349,IF(生データ!E349="Wb",4000+生データ!F349,生データ!F349))</f>
        <v>180</v>
      </c>
      <c r="G241" t="str">
        <f>生データ!G349</f>
        <v>bp</v>
      </c>
      <c r="H241">
        <f>生データ!H349</f>
        <v>0</v>
      </c>
      <c r="I241">
        <f>生データ!I349</f>
        <v>1.69</v>
      </c>
      <c r="J241">
        <f>生データ!J349</f>
        <v>6.7</v>
      </c>
      <c r="K241">
        <f>生データ!K349</f>
        <v>0</v>
      </c>
      <c r="L241">
        <f>生データ!L349</f>
        <v>2.7</v>
      </c>
      <c r="M241">
        <f>生データ!M349</f>
        <v>0.8</v>
      </c>
      <c r="N241">
        <f>生データ!N349</f>
        <v>0</v>
      </c>
      <c r="O241">
        <f>生データ!O349</f>
        <v>0</v>
      </c>
      <c r="P241" t="str">
        <f>生データ!P349</f>
        <v>L</v>
      </c>
      <c r="Q241">
        <f>生データ!Q349</f>
        <v>0</v>
      </c>
      <c r="R241">
        <f>生データ!R349</f>
        <v>0</v>
      </c>
      <c r="S241">
        <f>生データ!S349</f>
        <v>0</v>
      </c>
      <c r="T241">
        <f>生データ!T349</f>
        <v>1.69</v>
      </c>
      <c r="U241">
        <f>生データ!U349</f>
        <v>2.1326762374313977</v>
      </c>
      <c r="V241">
        <f>COUNTIF(怪しいデータを手直し!F$2:F$701,Sheet5!F241)</f>
        <v>1</v>
      </c>
    </row>
    <row r="242" spans="1:22">
      <c r="A242">
        <f>生データ!A350</f>
        <v>20</v>
      </c>
      <c r="B242">
        <f>生データ!B350</f>
        <v>-30</v>
      </c>
      <c r="C242">
        <f>生データ!C350</f>
        <v>25.63549269867908</v>
      </c>
      <c r="D242">
        <f>生データ!D350</f>
        <v>-22.899771718035126</v>
      </c>
      <c r="E242">
        <f>生データ!E350</f>
        <v>0</v>
      </c>
      <c r="F242">
        <f>IF(生データ!E350="Wr",3000+生データ!F350,IF(生データ!E350="Wb",4000+生データ!F350,生データ!F350))</f>
        <v>636</v>
      </c>
      <c r="G242" t="str">
        <f>生データ!G350</f>
        <v>pt</v>
      </c>
      <c r="H242">
        <f>生データ!H350</f>
        <v>0</v>
      </c>
      <c r="I242">
        <f>生データ!I350</f>
        <v>1.69</v>
      </c>
      <c r="J242">
        <f>生データ!J350</f>
        <v>23.5</v>
      </c>
      <c r="K242">
        <f>生データ!K350</f>
        <v>0</v>
      </c>
      <c r="L242">
        <f>生データ!L350</f>
        <v>3.7</v>
      </c>
      <c r="M242">
        <f>生データ!M350</f>
        <v>0.9</v>
      </c>
      <c r="N242">
        <f>生データ!N350</f>
        <v>0</v>
      </c>
      <c r="O242">
        <f>生データ!O350</f>
        <v>0</v>
      </c>
      <c r="P242" t="str">
        <f>生データ!P350</f>
        <v>L</v>
      </c>
      <c r="Q242">
        <f>生データ!Q350</f>
        <v>0</v>
      </c>
      <c r="R242" t="str">
        <f>生データ!R350</f>
        <v>636 same tree?</v>
      </c>
      <c r="S242" t="str">
        <f>生データ!S350</f>
        <v>New No 767</v>
      </c>
      <c r="T242">
        <f>生データ!T350</f>
        <v>1.69</v>
      </c>
      <c r="U242">
        <f>生データ!U350</f>
        <v>7.4802823253190809</v>
      </c>
      <c r="V242">
        <f>COUNTIF(怪しいデータを手直し!F$2:F$701,Sheet5!F242)</f>
        <v>1</v>
      </c>
    </row>
    <row r="243" spans="1:22">
      <c r="A243">
        <f>生データ!A351</f>
        <v>20</v>
      </c>
      <c r="B243">
        <f>生データ!B351</f>
        <v>-30</v>
      </c>
      <c r="C243">
        <f>生データ!C351</f>
        <v>25.63549269867908</v>
      </c>
      <c r="D243">
        <f>生データ!D351</f>
        <v>-22.899771718035126</v>
      </c>
      <c r="E243">
        <f>生データ!E351</f>
        <v>0</v>
      </c>
      <c r="F243">
        <f>IF(生データ!E351="Wr",3000+生データ!F351,IF(生データ!E351="Wb",4000+生データ!F351,生データ!F351))</f>
        <v>637</v>
      </c>
      <c r="G243" t="str">
        <f>生データ!G351</f>
        <v>pt</v>
      </c>
      <c r="H243">
        <f>生データ!H351</f>
        <v>0</v>
      </c>
      <c r="I243">
        <f>生データ!I351</f>
        <v>1.69</v>
      </c>
      <c r="J243">
        <f>生データ!J351</f>
        <v>21.9</v>
      </c>
      <c r="K243">
        <f>生データ!K351</f>
        <v>0</v>
      </c>
      <c r="L243">
        <f>生データ!L351</f>
        <v>3.4</v>
      </c>
      <c r="M243">
        <f>生データ!M351</f>
        <v>1.1000000000000001</v>
      </c>
      <c r="N243">
        <f>生データ!N351</f>
        <v>0</v>
      </c>
      <c r="O243">
        <f>生データ!O351</f>
        <v>0</v>
      </c>
      <c r="P243" t="str">
        <f>生データ!P351</f>
        <v>L</v>
      </c>
      <c r="Q243">
        <f>生データ!Q351</f>
        <v>0</v>
      </c>
      <c r="R243">
        <f>生データ!R351</f>
        <v>0</v>
      </c>
      <c r="S243" t="str">
        <f>生データ!S351</f>
        <v>New No 768</v>
      </c>
      <c r="T243">
        <f>生データ!T351</f>
        <v>1.69</v>
      </c>
      <c r="U243">
        <f>生データ!U351</f>
        <v>6.9709865074250157</v>
      </c>
      <c r="V243">
        <f>COUNTIF(怪しいデータを手直し!F$2:F$701,Sheet5!F243)</f>
        <v>1</v>
      </c>
    </row>
    <row r="244" spans="1:22">
      <c r="A244">
        <f>生データ!A352</f>
        <v>10</v>
      </c>
      <c r="B244">
        <f>生データ!B352</f>
        <v>10</v>
      </c>
      <c r="C244">
        <f>生データ!C352</f>
        <v>17.062022304305565</v>
      </c>
      <c r="D244">
        <f>生データ!D352</f>
        <v>15.739149847624711</v>
      </c>
      <c r="E244">
        <f>生データ!E352</f>
        <v>0</v>
      </c>
      <c r="F244">
        <f>IF(生データ!E352="Wr",3000+生データ!F352,IF(生データ!E352="Wb",4000+生データ!F352,生データ!F352))</f>
        <v>106</v>
      </c>
      <c r="G244" t="str">
        <f>生データ!G352</f>
        <v>pt</v>
      </c>
      <c r="H244">
        <f>生データ!H352</f>
        <v>0</v>
      </c>
      <c r="I244">
        <f>生データ!I352</f>
        <v>1.7</v>
      </c>
      <c r="J244">
        <f>生データ!J352</f>
        <v>0</v>
      </c>
      <c r="K244">
        <f>生データ!K352</f>
        <v>23.5</v>
      </c>
      <c r="L244">
        <f>生データ!L352</f>
        <v>2.8</v>
      </c>
      <c r="M244">
        <f>生データ!M352</f>
        <v>0.5</v>
      </c>
      <c r="N244">
        <f>生データ!N352</f>
        <v>0</v>
      </c>
      <c r="O244">
        <f>生データ!O352</f>
        <v>0</v>
      </c>
      <c r="P244" t="str">
        <f>生データ!P352</f>
        <v>L</v>
      </c>
      <c r="Q244">
        <f>生データ!Q352</f>
        <v>0</v>
      </c>
      <c r="R244">
        <f>生データ!R352</f>
        <v>0</v>
      </c>
      <c r="S244">
        <f>生データ!S352</f>
        <v>0</v>
      </c>
      <c r="T244">
        <f>生データ!T352</f>
        <v>1.7</v>
      </c>
      <c r="U244">
        <f>生データ!U352</f>
        <v>23.5</v>
      </c>
      <c r="V244">
        <f>COUNTIF(怪しいデータを手直し!F$2:F$701,Sheet5!F244)</f>
        <v>1</v>
      </c>
    </row>
    <row r="245" spans="1:22">
      <c r="A245">
        <f>生データ!A353</f>
        <v>30</v>
      </c>
      <c r="B245">
        <f>生データ!B353</f>
        <v>-10</v>
      </c>
      <c r="C245">
        <f>生データ!C353</f>
        <v>38.84947872844365</v>
      </c>
      <c r="D245">
        <f>生データ!D353</f>
        <v>-3.9687562805258523</v>
      </c>
      <c r="E245">
        <f>生データ!E353</f>
        <v>0</v>
      </c>
      <c r="F245">
        <f>IF(生データ!E353="Wr",3000+生データ!F353,IF(生データ!E353="Wb",4000+生データ!F353,生データ!F353))</f>
        <v>440</v>
      </c>
      <c r="G245" t="str">
        <f>生データ!G353</f>
        <v>bp</v>
      </c>
      <c r="H245">
        <f>生データ!H353</f>
        <v>0</v>
      </c>
      <c r="I245">
        <f>生データ!I353</f>
        <v>1.73</v>
      </c>
      <c r="J245">
        <f>生データ!J353</f>
        <v>0</v>
      </c>
      <c r="K245">
        <f>生データ!K353</f>
        <v>19.3</v>
      </c>
      <c r="L245">
        <f>生データ!L353</f>
        <v>3</v>
      </c>
      <c r="M245">
        <f>生データ!M353</f>
        <v>1.3</v>
      </c>
      <c r="N245">
        <f>生データ!N353</f>
        <v>0</v>
      </c>
      <c r="O245">
        <f>生データ!O353</f>
        <v>0</v>
      </c>
      <c r="P245" t="str">
        <f>生データ!P353</f>
        <v>L</v>
      </c>
      <c r="Q245">
        <f>生データ!Q353</f>
        <v>0</v>
      </c>
      <c r="R245">
        <f>生データ!R353</f>
        <v>0</v>
      </c>
      <c r="S245">
        <f>生データ!S353</f>
        <v>0</v>
      </c>
      <c r="T245">
        <f>生データ!T353</f>
        <v>1.73</v>
      </c>
      <c r="U245">
        <f>生データ!U353</f>
        <v>19.3</v>
      </c>
      <c r="V245">
        <f>COUNTIF(怪しいデータを手直し!F$2:F$701,Sheet5!F245)</f>
        <v>1</v>
      </c>
    </row>
    <row r="246" spans="1:22">
      <c r="A246">
        <f>生データ!A354</f>
        <v>0</v>
      </c>
      <c r="B246">
        <f>生データ!B354</f>
        <v>20</v>
      </c>
      <c r="C246">
        <f>生データ!C354</f>
        <v>2.0869868475753837</v>
      </c>
      <c r="D246">
        <f>生データ!D354</f>
        <v>29.185906917558405</v>
      </c>
      <c r="E246">
        <f>生データ!E354</f>
        <v>0</v>
      </c>
      <c r="F246">
        <f>IF(生データ!E354="Wr",3000+生データ!F354,IF(生データ!E354="Wb",4000+生データ!F354,生データ!F354))</f>
        <v>46</v>
      </c>
      <c r="G246" t="str">
        <f>生データ!G354</f>
        <v>lc</v>
      </c>
      <c r="H246">
        <f>生データ!H354</f>
        <v>0</v>
      </c>
      <c r="I246">
        <f>生データ!I354</f>
        <v>1.74</v>
      </c>
      <c r="J246" t="str">
        <f>生データ!J354</f>
        <v>dead</v>
      </c>
      <c r="K246">
        <f>生データ!K354</f>
        <v>0</v>
      </c>
      <c r="L246">
        <f>生データ!L354</f>
        <v>3.8</v>
      </c>
      <c r="M246">
        <f>生データ!M354</f>
        <v>0</v>
      </c>
      <c r="N246">
        <f>生データ!N354</f>
        <v>0</v>
      </c>
      <c r="O246">
        <f>生データ!O354</f>
        <v>0</v>
      </c>
      <c r="P246" t="str">
        <f>生データ!P354</f>
        <v>D</v>
      </c>
      <c r="Q246">
        <f>生データ!Q354</f>
        <v>0</v>
      </c>
      <c r="R246" t="str">
        <f>生データ!R354</f>
        <v>this year</v>
      </c>
      <c r="S246">
        <f>生データ!S354</f>
        <v>0</v>
      </c>
      <c r="T246">
        <f>生データ!T354</f>
        <v>1.74</v>
      </c>
      <c r="U246" t="str">
        <f>生データ!U354</f>
        <v>dead</v>
      </c>
      <c r="V246">
        <f>COUNTIF(怪しいデータを手直し!F$2:F$701,Sheet5!F246)</f>
        <v>1</v>
      </c>
    </row>
    <row r="247" spans="1:22">
      <c r="A247">
        <f>生データ!A355</f>
        <v>0</v>
      </c>
      <c r="B247">
        <f>生データ!B355</f>
        <v>30</v>
      </c>
      <c r="C247">
        <f>生データ!C355</f>
        <v>4.2100548133568347</v>
      </c>
      <c r="D247">
        <f>生データ!D355</f>
        <v>38.681486516563155</v>
      </c>
      <c r="E247">
        <f>生データ!E355</f>
        <v>0</v>
      </c>
      <c r="F247">
        <f>IF(生データ!E355="Wr",3000+生データ!F355,IF(生データ!E355="Wb",4000+生データ!F355,生データ!F355))</f>
        <v>56</v>
      </c>
      <c r="G247" t="str">
        <f>生データ!G355</f>
        <v>lc</v>
      </c>
      <c r="H247">
        <f>生データ!H355</f>
        <v>0</v>
      </c>
      <c r="I247">
        <f>生データ!I355</f>
        <v>1.74</v>
      </c>
      <c r="J247" t="str">
        <f>生データ!J355</f>
        <v>dead</v>
      </c>
      <c r="K247">
        <f>生データ!K355</f>
        <v>0</v>
      </c>
      <c r="L247">
        <f>生データ!L355</f>
        <v>2.1</v>
      </c>
      <c r="M247">
        <f>生データ!M355</f>
        <v>0</v>
      </c>
      <c r="N247">
        <f>生データ!N355</f>
        <v>0</v>
      </c>
      <c r="O247">
        <f>生データ!O355</f>
        <v>0</v>
      </c>
      <c r="P247" t="str">
        <f>生データ!P355</f>
        <v>D</v>
      </c>
      <c r="Q247">
        <f>生データ!Q355</f>
        <v>0</v>
      </c>
      <c r="R247">
        <f>生データ!R355</f>
        <v>0</v>
      </c>
      <c r="S247" t="str">
        <f>生データ!S355</f>
        <v>倒れ</v>
      </c>
      <c r="T247">
        <f>生データ!T355</f>
        <v>1.74</v>
      </c>
      <c r="U247" t="str">
        <f>生データ!U355</f>
        <v>dead</v>
      </c>
      <c r="V247">
        <f>COUNTIF(怪しいデータを手直し!F$2:F$701,Sheet5!F247)</f>
        <v>1</v>
      </c>
    </row>
    <row r="248" spans="1:22">
      <c r="A248">
        <f>生データ!A356</f>
        <v>0</v>
      </c>
      <c r="B248">
        <f>生データ!B356</f>
        <v>10</v>
      </c>
      <c r="C248">
        <f>生データ!C356</f>
        <v>6.59703322326639</v>
      </c>
      <c r="D248">
        <f>生データ!D356</f>
        <v>17.789083201279034</v>
      </c>
      <c r="E248">
        <f>生データ!E356</f>
        <v>0</v>
      </c>
      <c r="F248">
        <f>IF(生データ!E356="Wr",3000+生データ!F356,IF(生データ!E356="Wb",4000+生データ!F356,生データ!F356))</f>
        <v>24</v>
      </c>
      <c r="G248" t="str">
        <f>生データ!G356</f>
        <v>bp</v>
      </c>
      <c r="H248">
        <f>生データ!H356</f>
        <v>0</v>
      </c>
      <c r="I248">
        <f>生データ!I356</f>
        <v>1.76</v>
      </c>
      <c r="J248">
        <f>生データ!J356</f>
        <v>6</v>
      </c>
      <c r="K248">
        <f>生データ!K356</f>
        <v>0</v>
      </c>
      <c r="L248">
        <f>生データ!L356</f>
        <v>3.1</v>
      </c>
      <c r="M248">
        <f>生データ!M356</f>
        <v>1.1000000000000001</v>
      </c>
      <c r="N248">
        <f>生データ!N356</f>
        <v>0</v>
      </c>
      <c r="O248">
        <f>生データ!O356</f>
        <v>0</v>
      </c>
      <c r="P248" t="str">
        <f>生データ!P356</f>
        <v>L</v>
      </c>
      <c r="Q248">
        <f>生データ!Q356</f>
        <v>0</v>
      </c>
      <c r="R248">
        <f>生データ!R356</f>
        <v>0</v>
      </c>
      <c r="S248">
        <f>生データ!S356</f>
        <v>0</v>
      </c>
      <c r="T248">
        <f>生データ!T356</f>
        <v>1.76</v>
      </c>
      <c r="U248">
        <f>生データ!U356</f>
        <v>1.909859317102744</v>
      </c>
      <c r="V248">
        <f>COUNTIF(怪しいデータを手直し!F$2:F$701,Sheet5!F248)</f>
        <v>1</v>
      </c>
    </row>
    <row r="249" spans="1:22">
      <c r="A249">
        <f>生データ!A357</f>
        <v>40</v>
      </c>
      <c r="B249">
        <f>生データ!B357</f>
        <v>0</v>
      </c>
      <c r="C249">
        <f>生データ!C357</f>
        <v>48.235042680231857</v>
      </c>
      <c r="D249">
        <f>生データ!D357</f>
        <v>2.3206984656962657</v>
      </c>
      <c r="E249">
        <f>生データ!E357</f>
        <v>0</v>
      </c>
      <c r="F249">
        <f>IF(生データ!E357="Wr",3000+生データ!F357,IF(生データ!E357="Wb",4000+生データ!F357,生データ!F357))</f>
        <v>274</v>
      </c>
      <c r="G249" t="str">
        <f>生データ!G357</f>
        <v>lc</v>
      </c>
      <c r="H249">
        <f>生データ!H357</f>
        <v>0</v>
      </c>
      <c r="I249">
        <f>生データ!I357</f>
        <v>1.79</v>
      </c>
      <c r="J249">
        <f>生データ!J357</f>
        <v>9.6999999999999993</v>
      </c>
      <c r="K249">
        <f>生データ!K357</f>
        <v>0</v>
      </c>
      <c r="L249">
        <f>生データ!L357</f>
        <v>2.9</v>
      </c>
      <c r="M249">
        <f>生データ!M357</f>
        <v>0.2</v>
      </c>
      <c r="N249">
        <f>生データ!N357</f>
        <v>0</v>
      </c>
      <c r="O249">
        <f>生データ!O357</f>
        <v>0</v>
      </c>
      <c r="P249" t="str">
        <f>生データ!P357</f>
        <v>L</v>
      </c>
      <c r="Q249">
        <f>生データ!Q357</f>
        <v>0</v>
      </c>
      <c r="R249">
        <f>生データ!R357</f>
        <v>0</v>
      </c>
      <c r="S249">
        <f>生データ!S357</f>
        <v>0</v>
      </c>
      <c r="T249">
        <f>生データ!T357</f>
        <v>1.79</v>
      </c>
      <c r="U249">
        <f>生データ!U357</f>
        <v>3.0876058959827692</v>
      </c>
      <c r="V249">
        <f>COUNTIF(怪しいデータを手直し!F$2:F$701,Sheet5!F249)</f>
        <v>1</v>
      </c>
    </row>
    <row r="250" spans="1:22">
      <c r="A250">
        <f>生データ!A358</f>
        <v>40</v>
      </c>
      <c r="B250">
        <f>生データ!B358</f>
        <v>20</v>
      </c>
      <c r="C250">
        <f>生データ!C358</f>
        <v>42.210517931122659</v>
      </c>
      <c r="D250">
        <f>生データ!D358</f>
        <v>29.301921944078657</v>
      </c>
      <c r="E250">
        <f>生データ!E358</f>
        <v>0</v>
      </c>
      <c r="F250">
        <f>IF(生データ!E358="Wr",3000+生データ!F358,IF(生データ!E358="Wb",4000+生データ!F358,生データ!F358))</f>
        <v>294</v>
      </c>
      <c r="G250" t="str">
        <f>生データ!G358</f>
        <v>bp</v>
      </c>
      <c r="H250">
        <f>生データ!H358</f>
        <v>0</v>
      </c>
      <c r="I250">
        <f>生データ!I358</f>
        <v>1.8</v>
      </c>
      <c r="J250">
        <f>生データ!J358</f>
        <v>0</v>
      </c>
      <c r="K250">
        <f>生データ!K358</f>
        <v>18.3</v>
      </c>
      <c r="L250">
        <f>生データ!L358</f>
        <v>3.5</v>
      </c>
      <c r="M250">
        <f>生データ!M358</f>
        <v>2.1</v>
      </c>
      <c r="N250">
        <f>生データ!N358</f>
        <v>0</v>
      </c>
      <c r="O250">
        <f>生データ!O358</f>
        <v>0</v>
      </c>
      <c r="P250" t="str">
        <f>生データ!P358</f>
        <v>L</v>
      </c>
      <c r="Q250">
        <f>生データ!Q358</f>
        <v>0</v>
      </c>
      <c r="R250">
        <f>生データ!R358</f>
        <v>0</v>
      </c>
      <c r="S250">
        <f>生データ!S358</f>
        <v>0</v>
      </c>
      <c r="T250">
        <f>生データ!T358</f>
        <v>1.8</v>
      </c>
      <c r="U250">
        <f>生データ!U358</f>
        <v>18.3</v>
      </c>
      <c r="V250">
        <f>COUNTIF(怪しいデータを手直し!F$2:F$701,Sheet5!F250)</f>
        <v>1</v>
      </c>
    </row>
    <row r="251" spans="1:22">
      <c r="A251">
        <f>生データ!A359</f>
        <v>40</v>
      </c>
      <c r="B251">
        <f>生データ!B359</f>
        <v>-20</v>
      </c>
      <c r="C251">
        <f>生データ!C359</f>
        <v>49.439942488289539</v>
      </c>
      <c r="D251">
        <f>生データ!D359</f>
        <v>-10.032951749359711</v>
      </c>
      <c r="E251">
        <f>生データ!E359</f>
        <v>0</v>
      </c>
      <c r="F251">
        <f>IF(生データ!E359="Wr",3000+生データ!F359,IF(生データ!E359="Wb",4000+生データ!F359,生データ!F359))</f>
        <v>503</v>
      </c>
      <c r="G251" t="str">
        <f>生データ!G359</f>
        <v>bp</v>
      </c>
      <c r="H251">
        <f>生データ!H359</f>
        <v>0</v>
      </c>
      <c r="I251">
        <f>生データ!I359</f>
        <v>1.8</v>
      </c>
      <c r="J251">
        <f>生データ!J359</f>
        <v>0</v>
      </c>
      <c r="K251">
        <f>生データ!K359</f>
        <v>24</v>
      </c>
      <c r="L251">
        <f>生データ!L359</f>
        <v>3.7</v>
      </c>
      <c r="M251">
        <f>生データ!M359</f>
        <v>1.3</v>
      </c>
      <c r="N251">
        <f>生データ!N359</f>
        <v>0</v>
      </c>
      <c r="O251">
        <f>生データ!O359</f>
        <v>0</v>
      </c>
      <c r="P251" t="str">
        <f>生データ!P359</f>
        <v>L</v>
      </c>
      <c r="Q251">
        <f>生データ!Q359</f>
        <v>0</v>
      </c>
      <c r="R251">
        <f>生データ!R359</f>
        <v>0</v>
      </c>
      <c r="S251">
        <f>生データ!S359</f>
        <v>0</v>
      </c>
      <c r="T251">
        <f>生データ!T359</f>
        <v>1.8</v>
      </c>
      <c r="U251">
        <f>生データ!U359</f>
        <v>24</v>
      </c>
      <c r="V251">
        <f>COUNTIF(怪しいデータを手直し!F$2:F$701,Sheet5!F251)</f>
        <v>1</v>
      </c>
    </row>
    <row r="252" spans="1:22">
      <c r="A252">
        <f>生データ!A360</f>
        <v>40</v>
      </c>
      <c r="B252">
        <f>生データ!B360</f>
        <v>30</v>
      </c>
      <c r="C252">
        <f>生データ!C360</f>
        <v>49.643761131667816</v>
      </c>
      <c r="D252">
        <f>生データ!D360</f>
        <v>30.726840135709438</v>
      </c>
      <c r="E252">
        <f>生データ!E360</f>
        <v>0</v>
      </c>
      <c r="F252">
        <f>IF(生データ!E360="Wr",3000+生データ!F360,IF(生データ!E360="Wb",4000+生データ!F360,生データ!F360))</f>
        <v>329</v>
      </c>
      <c r="G252" t="str">
        <f>生データ!G360</f>
        <v>af</v>
      </c>
      <c r="H252">
        <f>生データ!H360</f>
        <v>0</v>
      </c>
      <c r="I252">
        <f>生データ!I360</f>
        <v>1.81</v>
      </c>
      <c r="J252">
        <f>生データ!J360</f>
        <v>7.6</v>
      </c>
      <c r="K252">
        <f>生データ!K360</f>
        <v>0</v>
      </c>
      <c r="L252">
        <f>生データ!L360</f>
        <v>3.3</v>
      </c>
      <c r="M252">
        <f>生データ!M360</f>
        <v>1.1000000000000001</v>
      </c>
      <c r="N252">
        <f>生データ!N360</f>
        <v>0</v>
      </c>
      <c r="O252">
        <f>生データ!O360</f>
        <v>0</v>
      </c>
      <c r="P252" t="str">
        <f>生データ!P360</f>
        <v>L</v>
      </c>
      <c r="Q252">
        <f>生データ!Q360</f>
        <v>0</v>
      </c>
      <c r="R252">
        <f>生データ!R360</f>
        <v>0</v>
      </c>
      <c r="S252">
        <f>生データ!S360</f>
        <v>0</v>
      </c>
      <c r="T252">
        <f>生データ!T360</f>
        <v>1.81</v>
      </c>
      <c r="U252">
        <f>生データ!U360</f>
        <v>2.4191551349968092</v>
      </c>
      <c r="V252">
        <f>COUNTIF(怪しいデータを手直し!F$2:F$701,Sheet5!F252)</f>
        <v>1</v>
      </c>
    </row>
    <row r="253" spans="1:22">
      <c r="A253">
        <f>生データ!A361</f>
        <v>0</v>
      </c>
      <c r="B253">
        <f>生データ!B361</f>
        <v>20</v>
      </c>
      <c r="C253">
        <f>生データ!C361</f>
        <v>8.3029446827353137</v>
      </c>
      <c r="D253">
        <f>生データ!D361</f>
        <v>22.162755093725913</v>
      </c>
      <c r="E253">
        <f>生データ!E361</f>
        <v>0</v>
      </c>
      <c r="F253">
        <f>IF(生データ!E361="Wr",3000+生データ!F361,IF(生データ!E361="Wb",4000+生データ!F361,生データ!F361))</f>
        <v>30</v>
      </c>
      <c r="G253" t="str">
        <f>生データ!G361</f>
        <v>bp</v>
      </c>
      <c r="H253">
        <f>生データ!H361</f>
        <v>0</v>
      </c>
      <c r="I253">
        <f>生データ!I361</f>
        <v>1.82</v>
      </c>
      <c r="J253">
        <f>生データ!J361</f>
        <v>8.5</v>
      </c>
      <c r="K253">
        <f>生データ!K361</f>
        <v>0</v>
      </c>
      <c r="L253">
        <f>生データ!L361</f>
        <v>3.8</v>
      </c>
      <c r="M253">
        <f>生データ!M361</f>
        <v>0.8</v>
      </c>
      <c r="N253">
        <f>生データ!N361</f>
        <v>0</v>
      </c>
      <c r="O253">
        <f>生データ!O361</f>
        <v>0</v>
      </c>
      <c r="P253" t="str">
        <f>生データ!P361</f>
        <v>L</v>
      </c>
      <c r="Q253">
        <f>生データ!Q361</f>
        <v>0</v>
      </c>
      <c r="R253">
        <f>生データ!R361</f>
        <v>0</v>
      </c>
      <c r="S253">
        <f>生データ!S361</f>
        <v>0</v>
      </c>
      <c r="T253">
        <f>生データ!T361</f>
        <v>1.82</v>
      </c>
      <c r="U253">
        <f>生データ!U361</f>
        <v>2.7056340325622208</v>
      </c>
      <c r="V253">
        <f>COUNTIF(怪しいデータを手直し!F$2:F$701,Sheet5!F253)</f>
        <v>1</v>
      </c>
    </row>
    <row r="254" spans="1:22">
      <c r="A254">
        <f>生データ!A362</f>
        <v>0</v>
      </c>
      <c r="B254">
        <f>生データ!B362</f>
        <v>0</v>
      </c>
      <c r="C254">
        <f>生データ!C362</f>
        <v>4.3074786275277868</v>
      </c>
      <c r="D254">
        <f>生データ!D362</f>
        <v>9.0576091978658386</v>
      </c>
      <c r="E254">
        <f>生データ!E362</f>
        <v>0</v>
      </c>
      <c r="F254">
        <f>IF(生データ!E362="Wr",3000+生データ!F362,IF(生データ!E362="Wb",4000+生データ!F362,生データ!F362))</f>
        <v>7</v>
      </c>
      <c r="G254" t="str">
        <f>生データ!G362</f>
        <v>bp</v>
      </c>
      <c r="H254">
        <f>生データ!H362</f>
        <v>0</v>
      </c>
      <c r="I254">
        <f>生データ!I362</f>
        <v>1.83</v>
      </c>
      <c r="J254">
        <f>生データ!J362</f>
        <v>7.4</v>
      </c>
      <c r="K254">
        <f>生データ!K362</f>
        <v>0</v>
      </c>
      <c r="L254">
        <f>生データ!L362</f>
        <v>3.5</v>
      </c>
      <c r="M254">
        <f>生データ!M362</f>
        <v>1.5</v>
      </c>
      <c r="N254">
        <f>生データ!N362</f>
        <v>0</v>
      </c>
      <c r="O254">
        <f>生データ!O362</f>
        <v>0</v>
      </c>
      <c r="P254" t="str">
        <f>生データ!P362</f>
        <v>L</v>
      </c>
      <c r="Q254">
        <f>生データ!Q362</f>
        <v>0</v>
      </c>
      <c r="R254">
        <f>生データ!R362</f>
        <v>0</v>
      </c>
      <c r="S254">
        <f>生データ!S362</f>
        <v>0</v>
      </c>
      <c r="T254">
        <f>生データ!T362</f>
        <v>1.83</v>
      </c>
      <c r="U254">
        <f>生データ!U362</f>
        <v>2.3554931577600513</v>
      </c>
      <c r="V254">
        <f>COUNTIF(怪しいデータを手直し!F$2:F$701,Sheet5!F254)</f>
        <v>1</v>
      </c>
    </row>
    <row r="255" spans="1:22">
      <c r="A255">
        <f>生データ!A363</f>
        <v>0</v>
      </c>
      <c r="B255">
        <f>生データ!B363</f>
        <v>20</v>
      </c>
      <c r="C255">
        <f>生データ!C363</f>
        <v>7.1383060376698781E-2</v>
      </c>
      <c r="D255">
        <f>生データ!D363</f>
        <v>28.179688530664919</v>
      </c>
      <c r="E255">
        <f>生データ!E363</f>
        <v>0</v>
      </c>
      <c r="F255">
        <f>IF(生データ!E363="Wr",3000+生データ!F363,IF(生データ!E363="Wb",4000+生データ!F363,生データ!F363))</f>
        <v>49</v>
      </c>
      <c r="G255" t="str">
        <f>生データ!G363</f>
        <v>lc</v>
      </c>
      <c r="H255">
        <f>生データ!H363</f>
        <v>0</v>
      </c>
      <c r="I255">
        <f>生データ!I363</f>
        <v>1.83</v>
      </c>
      <c r="J255" t="str">
        <f>生データ!J363</f>
        <v>dead</v>
      </c>
      <c r="K255">
        <f>生データ!K363</f>
        <v>0</v>
      </c>
      <c r="L255">
        <f>生データ!L363</f>
        <v>2.9</v>
      </c>
      <c r="M255">
        <f>生データ!M363</f>
        <v>0</v>
      </c>
      <c r="N255">
        <f>生データ!N363</f>
        <v>0</v>
      </c>
      <c r="O255">
        <f>生データ!O363</f>
        <v>0</v>
      </c>
      <c r="P255" t="str">
        <f>生データ!P363</f>
        <v>D</v>
      </c>
      <c r="Q255">
        <f>生データ!Q363</f>
        <v>0</v>
      </c>
      <c r="R255">
        <f>生データ!R363</f>
        <v>0</v>
      </c>
      <c r="S255">
        <f>生データ!S363</f>
        <v>0</v>
      </c>
      <c r="T255">
        <f>生データ!T363</f>
        <v>1.83</v>
      </c>
      <c r="U255" t="str">
        <f>生データ!U363</f>
        <v>dead</v>
      </c>
      <c r="V255">
        <f>COUNTIF(怪しいデータを手直し!F$2:F$701,Sheet5!F255)</f>
        <v>1</v>
      </c>
    </row>
    <row r="256" spans="1:22">
      <c r="A256">
        <f>生データ!A364</f>
        <v>40</v>
      </c>
      <c r="B256">
        <f>生データ!B364</f>
        <v>0</v>
      </c>
      <c r="C256">
        <f>生データ!C364</f>
        <v>40.795535078290051</v>
      </c>
      <c r="D256">
        <f>生データ!D364</f>
        <v>5.0333085520429153</v>
      </c>
      <c r="E256">
        <f>生データ!E364</f>
        <v>0</v>
      </c>
      <c r="F256">
        <f>IF(生データ!E364="Wr",3000+生データ!F364,IF(生データ!E364="Wb",4000+生データ!F364,生データ!F364))</f>
        <v>261</v>
      </c>
      <c r="G256" t="str">
        <f>生データ!G364</f>
        <v>bp</v>
      </c>
      <c r="H256">
        <f>生データ!H364</f>
        <v>0</v>
      </c>
      <c r="I256">
        <f>生データ!I364</f>
        <v>1.84</v>
      </c>
      <c r="J256">
        <f>生データ!J364</f>
        <v>0</v>
      </c>
      <c r="K256">
        <f>生データ!K364</f>
        <v>19.5</v>
      </c>
      <c r="L256">
        <f>生データ!L364</f>
        <v>2</v>
      </c>
      <c r="M256">
        <f>生データ!M364</f>
        <v>1.5</v>
      </c>
      <c r="N256">
        <f>生データ!N364</f>
        <v>0</v>
      </c>
      <c r="O256">
        <f>生データ!O364</f>
        <v>0</v>
      </c>
      <c r="P256" t="str">
        <f>生データ!P364</f>
        <v>L</v>
      </c>
      <c r="Q256">
        <f>生データ!Q364</f>
        <v>0</v>
      </c>
      <c r="R256">
        <f>生データ!R364</f>
        <v>0</v>
      </c>
      <c r="S256">
        <f>生データ!S364</f>
        <v>0</v>
      </c>
      <c r="T256">
        <f>生データ!T364</f>
        <v>1.84</v>
      </c>
      <c r="U256">
        <f>生データ!U364</f>
        <v>19.5</v>
      </c>
      <c r="V256">
        <f>COUNTIF(怪しいデータを手直し!F$2:F$701,Sheet5!F256)</f>
        <v>1</v>
      </c>
    </row>
    <row r="257" spans="1:22">
      <c r="A257">
        <f>生データ!A365</f>
        <v>40</v>
      </c>
      <c r="B257">
        <f>生データ!B365</f>
        <v>20</v>
      </c>
      <c r="C257">
        <f>生データ!C365</f>
        <v>41.955044382048811</v>
      </c>
      <c r="D257">
        <f>生データ!D365</f>
        <v>29.612102466330828</v>
      </c>
      <c r="E257">
        <f>生データ!E365</f>
        <v>0</v>
      </c>
      <c r="F257">
        <f>IF(生データ!E365="Wr",3000+生データ!F365,IF(生データ!E365="Wb",4000+生データ!F365,生データ!F365))</f>
        <v>312</v>
      </c>
      <c r="G257" t="str">
        <f>生データ!G365</f>
        <v>bp</v>
      </c>
      <c r="H257">
        <f>生データ!H365</f>
        <v>0</v>
      </c>
      <c r="I257">
        <f>生データ!I365</f>
        <v>1.84</v>
      </c>
      <c r="J257">
        <f>生データ!J365</f>
        <v>0</v>
      </c>
      <c r="K257">
        <f>生データ!K365</f>
        <v>18.600000000000001</v>
      </c>
      <c r="L257">
        <f>生データ!L365</f>
        <v>3</v>
      </c>
      <c r="M257">
        <f>生データ!M365</f>
        <v>2.1</v>
      </c>
      <c r="N257">
        <f>生データ!N365</f>
        <v>0</v>
      </c>
      <c r="O257">
        <f>生データ!O365</f>
        <v>0</v>
      </c>
      <c r="P257" t="str">
        <f>生データ!P365</f>
        <v>L</v>
      </c>
      <c r="Q257">
        <f>生データ!Q365</f>
        <v>0</v>
      </c>
      <c r="R257">
        <f>生データ!R365</f>
        <v>0</v>
      </c>
      <c r="S257">
        <f>生データ!S365</f>
        <v>0</v>
      </c>
      <c r="T257">
        <f>生データ!T365</f>
        <v>1.84</v>
      </c>
      <c r="U257">
        <f>生データ!U365</f>
        <v>18.600000000000001</v>
      </c>
      <c r="V257">
        <f>COUNTIF(怪しいデータを手直し!F$2:F$701,Sheet5!F257)</f>
        <v>1</v>
      </c>
    </row>
    <row r="258" spans="1:22">
      <c r="A258">
        <f>生データ!A366</f>
        <v>20</v>
      </c>
      <c r="B258">
        <f>生データ!B366</f>
        <v>-20</v>
      </c>
      <c r="C258">
        <f>生データ!C366</f>
        <v>27.296469722438403</v>
      </c>
      <c r="D258">
        <f>生データ!D366</f>
        <v>-13.073307418250858</v>
      </c>
      <c r="E258">
        <f>生データ!E366</f>
        <v>0</v>
      </c>
      <c r="F258">
        <f>IF(生データ!E366="Wr",3000+生データ!F366,IF(生データ!E366="Wb",4000+生データ!F366,生データ!F366))</f>
        <v>542</v>
      </c>
      <c r="G258" t="str">
        <f>生データ!G366</f>
        <v>bp</v>
      </c>
      <c r="H258">
        <f>生データ!H366</f>
        <v>0</v>
      </c>
      <c r="I258">
        <f>生データ!I366</f>
        <v>1.84</v>
      </c>
      <c r="J258" t="str">
        <f>生データ!J366</f>
        <v>dead</v>
      </c>
      <c r="K258">
        <f>生データ!K366</f>
        <v>0</v>
      </c>
      <c r="L258">
        <f>生データ!L366</f>
        <v>2.5</v>
      </c>
      <c r="M258">
        <f>生データ!M366</f>
        <v>0</v>
      </c>
      <c r="N258">
        <f>生データ!N366</f>
        <v>0</v>
      </c>
      <c r="O258">
        <f>生データ!O366</f>
        <v>0</v>
      </c>
      <c r="P258" t="str">
        <f>生データ!P366</f>
        <v>D</v>
      </c>
      <c r="Q258">
        <f>生データ!Q366</f>
        <v>0</v>
      </c>
      <c r="R258">
        <f>生データ!R366</f>
        <v>0</v>
      </c>
      <c r="S258">
        <f>生データ!S366</f>
        <v>0</v>
      </c>
      <c r="T258">
        <f>生データ!T366</f>
        <v>1.84</v>
      </c>
      <c r="U258" t="str">
        <f>生データ!U366</f>
        <v>dead</v>
      </c>
      <c r="V258">
        <f>COUNTIF(怪しいデータを手直し!F$2:F$701,Sheet5!F258)</f>
        <v>1</v>
      </c>
    </row>
    <row r="259" spans="1:22">
      <c r="A259">
        <f>生データ!A367</f>
        <v>10</v>
      </c>
      <c r="B259">
        <f>生データ!B367</f>
        <v>-30</v>
      </c>
      <c r="C259">
        <f>生データ!C367</f>
        <v>15.238000848139492</v>
      </c>
      <c r="D259">
        <f>生データ!D367</f>
        <v>-22.295516668774031</v>
      </c>
      <c r="E259">
        <f>生データ!E367</f>
        <v>0</v>
      </c>
      <c r="F259">
        <f>IF(生データ!E367="Wr",3000+生データ!F367,IF(生データ!E367="Wb",4000+生データ!F367,生データ!F367))</f>
        <v>621</v>
      </c>
      <c r="G259" t="str">
        <f>生データ!G367</f>
        <v>lc</v>
      </c>
      <c r="H259">
        <f>生データ!H367</f>
        <v>0</v>
      </c>
      <c r="I259">
        <f>生データ!I367</f>
        <v>1.84</v>
      </c>
      <c r="J259">
        <f>生データ!J367</f>
        <v>9.5</v>
      </c>
      <c r="K259">
        <f>生データ!K367</f>
        <v>0</v>
      </c>
      <c r="L259">
        <f>生データ!L367</f>
        <v>2.8</v>
      </c>
      <c r="M259">
        <f>生データ!M367</f>
        <v>0.2</v>
      </c>
      <c r="N259">
        <f>生データ!N367</f>
        <v>0</v>
      </c>
      <c r="O259">
        <f>生データ!O367</f>
        <v>0</v>
      </c>
      <c r="P259" t="str">
        <f>生データ!P367</f>
        <v>L</v>
      </c>
      <c r="Q259">
        <f>生データ!Q367</f>
        <v>0</v>
      </c>
      <c r="R259">
        <f>生データ!R367</f>
        <v>0</v>
      </c>
      <c r="S259" t="str">
        <f>生データ!S367</f>
        <v>New No764</v>
      </c>
      <c r="T259">
        <f>生データ!T367</f>
        <v>1.84</v>
      </c>
      <c r="U259">
        <f>生データ!U367</f>
        <v>3.0239439187460113</v>
      </c>
      <c r="V259">
        <f>COUNTIF(怪しいデータを手直し!F$2:F$701,Sheet5!F259)</f>
        <v>1</v>
      </c>
    </row>
    <row r="260" spans="1:22">
      <c r="A260">
        <f>生データ!A368</f>
        <v>10</v>
      </c>
      <c r="B260">
        <f>生データ!B368</f>
        <v>40</v>
      </c>
      <c r="C260">
        <f>生データ!C368</f>
        <v>17.19336699698033</v>
      </c>
      <c r="D260">
        <f>生データ!D368</f>
        <v>46.911903586303907</v>
      </c>
      <c r="E260">
        <f>生データ!E368</f>
        <v>0</v>
      </c>
      <c r="F260">
        <f>IF(生データ!E368="Wr",3000+生データ!F368,IF(生データ!E368="Wb",4000+生データ!F368,生データ!F368))</f>
        <v>78</v>
      </c>
      <c r="G260" t="str">
        <f>生データ!G368</f>
        <v>lc</v>
      </c>
      <c r="H260">
        <f>生データ!H368</f>
        <v>0</v>
      </c>
      <c r="I260">
        <f>生データ!I368</f>
        <v>1.86</v>
      </c>
      <c r="J260" t="str">
        <f>生データ!J368</f>
        <v>dead</v>
      </c>
      <c r="K260">
        <f>生データ!K368</f>
        <v>0</v>
      </c>
      <c r="L260">
        <f>生データ!L368</f>
        <v>2.5</v>
      </c>
      <c r="M260">
        <f>生データ!M368</f>
        <v>0</v>
      </c>
      <c r="N260">
        <f>生データ!N368</f>
        <v>0</v>
      </c>
      <c r="O260">
        <f>生データ!O368</f>
        <v>0</v>
      </c>
      <c r="P260" t="str">
        <f>生データ!P368</f>
        <v>D</v>
      </c>
      <c r="Q260">
        <f>生データ!Q368</f>
        <v>0</v>
      </c>
      <c r="R260">
        <f>生データ!R368</f>
        <v>0</v>
      </c>
      <c r="S260">
        <f>生データ!S368</f>
        <v>0</v>
      </c>
      <c r="T260">
        <f>生データ!T368</f>
        <v>1.86</v>
      </c>
      <c r="U260" t="str">
        <f>生データ!U368</f>
        <v>dead</v>
      </c>
      <c r="V260">
        <f>COUNTIF(怪しいデータを手直し!F$2:F$701,Sheet5!F260)</f>
        <v>1</v>
      </c>
    </row>
    <row r="261" spans="1:22">
      <c r="A261">
        <f>生データ!A369</f>
        <v>10</v>
      </c>
      <c r="B261">
        <f>生データ!B369</f>
        <v>20</v>
      </c>
      <c r="C261">
        <f>生データ!C369</f>
        <v>19.014335911764277</v>
      </c>
      <c r="D261">
        <f>生データ!D369</f>
        <v>28.505523489744252</v>
      </c>
      <c r="E261">
        <f>生データ!E369</f>
        <v>0</v>
      </c>
      <c r="F261">
        <f>IF(生データ!E369="Wr",3000+生データ!F369,IF(生データ!E369="Wb",4000+生データ!F369,生データ!F369))</f>
        <v>90</v>
      </c>
      <c r="G261" t="str">
        <f>生データ!G369</f>
        <v>bp</v>
      </c>
      <c r="H261">
        <f>生データ!H369</f>
        <v>0</v>
      </c>
      <c r="I261">
        <f>生データ!I369</f>
        <v>1.86</v>
      </c>
      <c r="J261">
        <f>生データ!J369</f>
        <v>0</v>
      </c>
      <c r="K261">
        <f>生データ!K369</f>
        <v>20.7</v>
      </c>
      <c r="L261">
        <f>生データ!L369</f>
        <v>2.6</v>
      </c>
      <c r="M261">
        <f>生データ!M369</f>
        <v>1.3</v>
      </c>
      <c r="N261">
        <f>生データ!N369</f>
        <v>0</v>
      </c>
      <c r="O261">
        <f>生データ!O369</f>
        <v>0</v>
      </c>
      <c r="P261" t="str">
        <f>生データ!P369</f>
        <v>L</v>
      </c>
      <c r="Q261">
        <f>生データ!Q369</f>
        <v>0</v>
      </c>
      <c r="R261">
        <f>生データ!R369</f>
        <v>0</v>
      </c>
      <c r="S261">
        <f>生データ!S369</f>
        <v>0</v>
      </c>
      <c r="T261">
        <f>生データ!T369</f>
        <v>1.86</v>
      </c>
      <c r="U261">
        <f>生データ!U369</f>
        <v>20.7</v>
      </c>
      <c r="V261">
        <f>COUNTIF(怪しいデータを手直し!F$2:F$701,Sheet5!F261)</f>
        <v>1</v>
      </c>
    </row>
    <row r="262" spans="1:22">
      <c r="A262">
        <f>生データ!A370</f>
        <v>10</v>
      </c>
      <c r="B262">
        <f>生データ!B370</f>
        <v>20</v>
      </c>
      <c r="C262">
        <f>生データ!C370</f>
        <v>19.166810907643413</v>
      </c>
      <c r="D262">
        <f>生データ!D370</f>
        <v>28.65414696146544</v>
      </c>
      <c r="E262">
        <f>生データ!E370</f>
        <v>0</v>
      </c>
      <c r="F262">
        <f>IF(生データ!E370="Wr",3000+生データ!F370,IF(生データ!E370="Wb",4000+生データ!F370,生データ!F370))</f>
        <v>89</v>
      </c>
      <c r="G262" t="str">
        <f>生データ!G370</f>
        <v>bp</v>
      </c>
      <c r="H262">
        <f>生データ!H370</f>
        <v>0</v>
      </c>
      <c r="I262">
        <f>生データ!I370</f>
        <v>1.87</v>
      </c>
      <c r="J262">
        <f>生データ!J370</f>
        <v>0</v>
      </c>
      <c r="K262">
        <f>生データ!K370</f>
        <v>22.1</v>
      </c>
      <c r="L262">
        <f>生データ!L370</f>
        <v>2.8</v>
      </c>
      <c r="M262">
        <f>生データ!M370</f>
        <v>0.7</v>
      </c>
      <c r="N262">
        <f>生データ!N370</f>
        <v>0</v>
      </c>
      <c r="O262">
        <f>生データ!O370</f>
        <v>0</v>
      </c>
      <c r="P262" t="str">
        <f>生データ!P370</f>
        <v>L</v>
      </c>
      <c r="Q262">
        <f>生データ!Q370</f>
        <v>0</v>
      </c>
      <c r="R262">
        <f>生データ!R370</f>
        <v>0</v>
      </c>
      <c r="S262">
        <f>生データ!S370</f>
        <v>0</v>
      </c>
      <c r="T262">
        <f>生データ!T370</f>
        <v>1.87</v>
      </c>
      <c r="U262">
        <f>生データ!U370</f>
        <v>22.1</v>
      </c>
      <c r="V262">
        <f>COUNTIF(怪しいデータを手直し!F$2:F$701,Sheet5!F262)</f>
        <v>1</v>
      </c>
    </row>
    <row r="263" spans="1:22">
      <c r="A263">
        <f>生データ!A371</f>
        <v>40</v>
      </c>
      <c r="B263">
        <f>生データ!B371</f>
        <v>40</v>
      </c>
      <c r="C263">
        <f>生データ!C371</f>
        <v>41.956430674594081</v>
      </c>
      <c r="D263">
        <f>生データ!D371</f>
        <v>49.384593358659124</v>
      </c>
      <c r="E263">
        <f>生データ!E371</f>
        <v>0</v>
      </c>
      <c r="F263">
        <f>IF(生データ!E371="Wr",3000+生データ!F371,IF(生データ!E371="Wb",4000+生データ!F371,生データ!F371))</f>
        <v>367</v>
      </c>
      <c r="G263" t="str">
        <f>生データ!G371</f>
        <v>bp</v>
      </c>
      <c r="H263">
        <f>生データ!H371</f>
        <v>0</v>
      </c>
      <c r="I263">
        <f>生データ!I371</f>
        <v>1.88</v>
      </c>
      <c r="J263">
        <f>生データ!J371</f>
        <v>6.8</v>
      </c>
      <c r="K263">
        <f>生データ!K371</f>
        <v>0</v>
      </c>
      <c r="L263">
        <f>生データ!L371</f>
        <v>4</v>
      </c>
      <c r="M263">
        <f>生データ!M371</f>
        <v>1.5</v>
      </c>
      <c r="N263">
        <f>生データ!N371</f>
        <v>0</v>
      </c>
      <c r="O263">
        <f>生データ!O371</f>
        <v>0</v>
      </c>
      <c r="P263" t="str">
        <f>生データ!P371</f>
        <v>L</v>
      </c>
      <c r="Q263">
        <f>生データ!Q371</f>
        <v>0</v>
      </c>
      <c r="R263">
        <f>生データ!R371</f>
        <v>0</v>
      </c>
      <c r="S263">
        <f>生データ!S371</f>
        <v>0</v>
      </c>
      <c r="T263">
        <f>生データ!T371</f>
        <v>1.88</v>
      </c>
      <c r="U263">
        <f>生データ!U371</f>
        <v>2.1645072260497766</v>
      </c>
      <c r="V263">
        <f>COUNTIF(怪しいデータを手直し!F$2:F$701,Sheet5!F263)</f>
        <v>1</v>
      </c>
    </row>
    <row r="264" spans="1:22">
      <c r="A264">
        <f>生データ!A372</f>
        <v>30</v>
      </c>
      <c r="B264">
        <f>生データ!B372</f>
        <v>30</v>
      </c>
      <c r="C264">
        <f>生データ!C372</f>
        <v>39.177377799053929</v>
      </c>
      <c r="D264">
        <f>生データ!D372</f>
        <v>30.783382434720195</v>
      </c>
      <c r="E264">
        <f>生データ!E372</f>
        <v>0</v>
      </c>
      <c r="F264">
        <f>IF(生データ!E372="Wr",3000+生データ!F372,IF(生データ!E372="Wb",4000+生データ!F372,生データ!F372))</f>
        <v>206</v>
      </c>
      <c r="G264" t="str">
        <f>生データ!G372</f>
        <v>lc</v>
      </c>
      <c r="H264">
        <f>生データ!H372</f>
        <v>0</v>
      </c>
      <c r="I264">
        <f>生データ!I372</f>
        <v>1.89</v>
      </c>
      <c r="J264" t="str">
        <f>生データ!J372</f>
        <v>dead</v>
      </c>
      <c r="K264">
        <f>生データ!K372</f>
        <v>0</v>
      </c>
      <c r="L264">
        <f>生データ!L372</f>
        <v>2.9</v>
      </c>
      <c r="M264">
        <f>生データ!M372</f>
        <v>0.1</v>
      </c>
      <c r="N264">
        <f>生データ!N372</f>
        <v>0</v>
      </c>
      <c r="O264">
        <f>生データ!O372</f>
        <v>0</v>
      </c>
      <c r="P264" t="str">
        <f>生データ!P372</f>
        <v>L</v>
      </c>
      <c r="Q264">
        <f>生データ!Q372</f>
        <v>0</v>
      </c>
      <c r="R264">
        <f>生データ!R372</f>
        <v>0</v>
      </c>
      <c r="S264">
        <f>生データ!S372</f>
        <v>0</v>
      </c>
      <c r="T264">
        <f>生データ!T372</f>
        <v>1.89</v>
      </c>
      <c r="U264" t="str">
        <f>生データ!U372</f>
        <v>dead</v>
      </c>
      <c r="V264">
        <f>COUNTIF(怪しいデータを手直し!F$2:F$701,Sheet5!F264)</f>
        <v>1</v>
      </c>
    </row>
    <row r="265" spans="1:22">
      <c r="A265">
        <f>生データ!A373</f>
        <v>40</v>
      </c>
      <c r="B265">
        <f>生データ!B373</f>
        <v>30</v>
      </c>
      <c r="C265">
        <f>生データ!C373</f>
        <v>48.75869591198731</v>
      </c>
      <c r="D265">
        <f>生データ!D373</f>
        <v>30.571359368335063</v>
      </c>
      <c r="E265">
        <f>生データ!E373</f>
        <v>0</v>
      </c>
      <c r="F265">
        <f>IF(生データ!E373="Wr",3000+生データ!F373,IF(生データ!E373="Wb",4000+生データ!F373,生データ!F373))</f>
        <v>331</v>
      </c>
      <c r="G265" t="str">
        <f>生データ!G373</f>
        <v>af</v>
      </c>
      <c r="H265">
        <f>生データ!H373</f>
        <v>0</v>
      </c>
      <c r="I265">
        <f>生データ!I373</f>
        <v>1.93</v>
      </c>
      <c r="J265">
        <f>生データ!J373</f>
        <v>7</v>
      </c>
      <c r="K265">
        <f>生データ!K373</f>
        <v>0</v>
      </c>
      <c r="L265">
        <f>生データ!L373</f>
        <v>3.2</v>
      </c>
      <c r="M265">
        <f>生データ!M373</f>
        <v>1.2</v>
      </c>
      <c r="N265">
        <f>生データ!N373</f>
        <v>0</v>
      </c>
      <c r="O265">
        <f>生データ!O373</f>
        <v>0</v>
      </c>
      <c r="P265" t="str">
        <f>生データ!P373</f>
        <v>L</v>
      </c>
      <c r="Q265">
        <f>生データ!Q373</f>
        <v>0</v>
      </c>
      <c r="R265">
        <f>生データ!R373</f>
        <v>0</v>
      </c>
      <c r="S265">
        <f>生データ!S373</f>
        <v>0</v>
      </c>
      <c r="T265">
        <f>生データ!T373</f>
        <v>1.93</v>
      </c>
      <c r="U265">
        <f>生データ!U373</f>
        <v>2.228169203286535</v>
      </c>
      <c r="V265">
        <f>COUNTIF(怪しいデータを手直し!F$2:F$701,Sheet5!F265)</f>
        <v>1</v>
      </c>
    </row>
    <row r="266" spans="1:22">
      <c r="A266">
        <f>生データ!A374</f>
        <v>20</v>
      </c>
      <c r="B266">
        <f>生データ!B374</f>
        <v>-20</v>
      </c>
      <c r="C266">
        <f>生データ!C374</f>
        <v>22.928535532501993</v>
      </c>
      <c r="D266">
        <f>生データ!D374</f>
        <v>-15.546855049030304</v>
      </c>
      <c r="E266">
        <f>生データ!E374</f>
        <v>0</v>
      </c>
      <c r="F266">
        <f>IF(生データ!E374="Wr",3000+生データ!F374,IF(生データ!E374="Wb",4000+生データ!F374,生データ!F374))</f>
        <v>569</v>
      </c>
      <c r="G266" t="str">
        <f>生データ!G374</f>
        <v>pt</v>
      </c>
      <c r="H266">
        <f>生データ!H374</f>
        <v>0</v>
      </c>
      <c r="I266">
        <f>生データ!I374</f>
        <v>1.94</v>
      </c>
      <c r="J266">
        <f>生データ!J374</f>
        <v>0</v>
      </c>
      <c r="K266">
        <f>生データ!K374</f>
        <v>27.1</v>
      </c>
      <c r="L266">
        <f>生データ!L374</f>
        <v>3.9</v>
      </c>
      <c r="M266">
        <f>生データ!M374</f>
        <v>1.1000000000000001</v>
      </c>
      <c r="N266">
        <f>生データ!N374</f>
        <v>0</v>
      </c>
      <c r="O266">
        <f>生データ!O374</f>
        <v>0</v>
      </c>
      <c r="P266" t="str">
        <f>生データ!P374</f>
        <v>L</v>
      </c>
      <c r="Q266">
        <f>生データ!Q374</f>
        <v>0</v>
      </c>
      <c r="R266">
        <f>生データ!R374</f>
        <v>0</v>
      </c>
      <c r="S266">
        <f>生データ!S374</f>
        <v>0</v>
      </c>
      <c r="T266">
        <f>生データ!T374</f>
        <v>1.94</v>
      </c>
      <c r="U266">
        <f>生データ!U374</f>
        <v>27.1</v>
      </c>
      <c r="V266">
        <f>COUNTIF(怪しいデータを手直し!F$2:F$701,Sheet5!F266)</f>
        <v>1</v>
      </c>
    </row>
    <row r="267" spans="1:22">
      <c r="A267">
        <f>生データ!A375</f>
        <v>30</v>
      </c>
      <c r="B267">
        <f>生データ!B375</f>
        <v>-30</v>
      </c>
      <c r="C267">
        <f>生データ!C375</f>
        <v>32.394255554027595</v>
      </c>
      <c r="D267">
        <f>生データ!D375</f>
        <v>-28.134982504099689</v>
      </c>
      <c r="E267">
        <f>生データ!E375</f>
        <v>0</v>
      </c>
      <c r="F267">
        <f>IF(生データ!E375="Wr",3000+生データ!F375,IF(生データ!E375="Wb",4000+生データ!F375,生データ!F375))</f>
        <v>671</v>
      </c>
      <c r="G267" t="str">
        <f>生データ!G375</f>
        <v>lc</v>
      </c>
      <c r="H267">
        <f>生データ!H375</f>
        <v>0</v>
      </c>
      <c r="I267">
        <f>生データ!I375</f>
        <v>1.94</v>
      </c>
      <c r="J267">
        <f>生データ!J375</f>
        <v>0</v>
      </c>
      <c r="K267">
        <f>生データ!K375</f>
        <v>25.3</v>
      </c>
      <c r="L267">
        <f>生データ!L375</f>
        <v>2.9</v>
      </c>
      <c r="M267">
        <f>生データ!M375</f>
        <v>0.2</v>
      </c>
      <c r="N267">
        <f>生データ!N375</f>
        <v>0</v>
      </c>
      <c r="O267">
        <f>生データ!O375</f>
        <v>0</v>
      </c>
      <c r="P267" t="str">
        <f>生データ!P375</f>
        <v>L</v>
      </c>
      <c r="Q267">
        <f>生データ!Q375</f>
        <v>0</v>
      </c>
      <c r="R267">
        <f>生データ!R375</f>
        <v>0</v>
      </c>
      <c r="S267" t="str">
        <f>生データ!S375</f>
        <v>NewNo 774</v>
      </c>
      <c r="T267">
        <f>生データ!T375</f>
        <v>1.94</v>
      </c>
      <c r="U267">
        <f>生データ!U375</f>
        <v>25.3</v>
      </c>
      <c r="V267">
        <f>COUNTIF(怪しいデータを手直し!F$2:F$701,Sheet5!F267)</f>
        <v>1</v>
      </c>
    </row>
    <row r="268" spans="1:22">
      <c r="A268">
        <f>生データ!A376</f>
        <v>30</v>
      </c>
      <c r="B268">
        <f>生データ!B376</f>
        <v>-30</v>
      </c>
      <c r="C268">
        <f>生データ!C376</f>
        <v>30.694094957487589</v>
      </c>
      <c r="D268">
        <f>生データ!D376</f>
        <v>-25.002072789353459</v>
      </c>
      <c r="E268">
        <f>生データ!E376</f>
        <v>0</v>
      </c>
      <c r="F268">
        <f>IF(生データ!E376="Wr",3000+生データ!F376,IF(生データ!E376="Wb",4000+生データ!F376,生データ!F376))</f>
        <v>665</v>
      </c>
      <c r="G268" t="str">
        <f>生データ!G376</f>
        <v>lc</v>
      </c>
      <c r="H268">
        <f>生データ!H376</f>
        <v>0</v>
      </c>
      <c r="I268">
        <f>生データ!I376</f>
        <v>1.96</v>
      </c>
      <c r="J268" t="str">
        <f>生データ!J376</f>
        <v>dead</v>
      </c>
      <c r="K268">
        <f>生データ!K376</f>
        <v>0</v>
      </c>
      <c r="L268">
        <f>生データ!L376</f>
        <v>3.2</v>
      </c>
      <c r="M268">
        <f>生データ!M376</f>
        <v>0</v>
      </c>
      <c r="N268">
        <f>生データ!N376</f>
        <v>0</v>
      </c>
      <c r="O268">
        <f>生データ!O376</f>
        <v>0</v>
      </c>
      <c r="P268" t="str">
        <f>生データ!P376</f>
        <v>D</v>
      </c>
      <c r="Q268">
        <f>生データ!Q376</f>
        <v>0</v>
      </c>
      <c r="R268">
        <f>生データ!R376</f>
        <v>0</v>
      </c>
      <c r="S268">
        <f>生データ!S376</f>
        <v>0</v>
      </c>
      <c r="T268">
        <f>生データ!T376</f>
        <v>1.96</v>
      </c>
      <c r="U268" t="str">
        <f>生データ!U376</f>
        <v>dead</v>
      </c>
      <c r="V268">
        <f>COUNTIF(怪しいデータを手直し!F$2:F$701,Sheet5!F268)</f>
        <v>1</v>
      </c>
    </row>
    <row r="269" spans="1:22">
      <c r="A269">
        <f>生データ!A377</f>
        <v>30</v>
      </c>
      <c r="B269">
        <f>生データ!B377</f>
        <v>10</v>
      </c>
      <c r="C269">
        <f>生データ!C377</f>
        <v>36.223984999037157</v>
      </c>
      <c r="D269">
        <f>生データ!D377</f>
        <v>18.902543517144998</v>
      </c>
      <c r="E269">
        <f>生データ!E377</f>
        <v>0</v>
      </c>
      <c r="F269">
        <f>IF(生データ!E377="Wr",3000+生データ!F377,IF(生データ!E377="Wb",4000+生データ!F377,生データ!F377))</f>
        <v>216</v>
      </c>
      <c r="G269" t="str">
        <f>生データ!G377</f>
        <v>lc</v>
      </c>
      <c r="H269">
        <f>生データ!H377</f>
        <v>0</v>
      </c>
      <c r="I269">
        <f>生データ!I377</f>
        <v>1.97</v>
      </c>
      <c r="J269">
        <f>生データ!J377</f>
        <v>9.1</v>
      </c>
      <c r="K269">
        <f>生データ!K377</f>
        <v>0</v>
      </c>
      <c r="L269">
        <f>生データ!L377</f>
        <v>2.8</v>
      </c>
      <c r="M269">
        <f>生データ!M377</f>
        <v>0.2</v>
      </c>
      <c r="N269">
        <f>生データ!N377</f>
        <v>0</v>
      </c>
      <c r="O269">
        <f>生データ!O377</f>
        <v>0</v>
      </c>
      <c r="P269" t="str">
        <f>生データ!P377</f>
        <v>L</v>
      </c>
      <c r="Q269">
        <f>生データ!Q377</f>
        <v>0</v>
      </c>
      <c r="R269">
        <f>生データ!R377</f>
        <v>0</v>
      </c>
      <c r="S269">
        <f>生データ!S377</f>
        <v>0</v>
      </c>
      <c r="T269">
        <f>生データ!T377</f>
        <v>1.97</v>
      </c>
      <c r="U269">
        <f>生データ!U377</f>
        <v>2.896619964272495</v>
      </c>
      <c r="V269">
        <f>COUNTIF(怪しいデータを手直し!F$2:F$701,Sheet5!F269)</f>
        <v>1</v>
      </c>
    </row>
    <row r="270" spans="1:22">
      <c r="A270">
        <f>生データ!A378</f>
        <v>30</v>
      </c>
      <c r="B270">
        <f>生データ!B378</f>
        <v>-30</v>
      </c>
      <c r="C270">
        <f>生データ!C378</f>
        <v>30.382963040855245</v>
      </c>
      <c r="D270">
        <f>生データ!D378</f>
        <v>-25.476626635926436</v>
      </c>
      <c r="E270">
        <f>生データ!E378</f>
        <v>0</v>
      </c>
      <c r="F270">
        <f>IF(生データ!E378="Wr",3000+生データ!F378,IF(生データ!E378="Wb",4000+生データ!F378,生データ!F378))</f>
        <v>666</v>
      </c>
      <c r="G270" t="str">
        <f>生データ!G378</f>
        <v>lc</v>
      </c>
      <c r="H270">
        <f>生データ!H378</f>
        <v>0</v>
      </c>
      <c r="I270">
        <f>生データ!I378</f>
        <v>1.97</v>
      </c>
      <c r="J270">
        <f>生データ!J378</f>
        <v>9</v>
      </c>
      <c r="K270">
        <f>生データ!K378</f>
        <v>0</v>
      </c>
      <c r="L270">
        <f>生データ!L378</f>
        <v>2.8</v>
      </c>
      <c r="M270">
        <f>生データ!M378</f>
        <v>0.2</v>
      </c>
      <c r="N270">
        <f>生データ!N378</f>
        <v>0</v>
      </c>
      <c r="O270">
        <f>生データ!O378</f>
        <v>0</v>
      </c>
      <c r="P270" t="str">
        <f>生データ!P378</f>
        <v>L</v>
      </c>
      <c r="Q270">
        <f>生データ!Q378</f>
        <v>0</v>
      </c>
      <c r="R270">
        <f>生データ!R378</f>
        <v>0</v>
      </c>
      <c r="S270" t="str">
        <f>生データ!S378</f>
        <v>NewNo 773</v>
      </c>
      <c r="T270">
        <f>生データ!T378</f>
        <v>1.97</v>
      </c>
      <c r="U270">
        <f>生データ!U378</f>
        <v>2.8647889756541161</v>
      </c>
      <c r="V270">
        <f>COUNTIF(怪しいデータを手直し!F$2:F$701,Sheet5!F270)</f>
        <v>1</v>
      </c>
    </row>
    <row r="271" spans="1:22">
      <c r="A271">
        <f>生データ!A379</f>
        <v>0</v>
      </c>
      <c r="B271">
        <f>生データ!B379</f>
        <v>10</v>
      </c>
      <c r="C271">
        <f>生データ!C379</f>
        <v>6.5904406558154331</v>
      </c>
      <c r="D271">
        <f>生データ!D379</f>
        <v>17.622165379895907</v>
      </c>
      <c r="E271">
        <f>生データ!E379</f>
        <v>0</v>
      </c>
      <c r="F271">
        <f>IF(生データ!E379="Wr",3000+生データ!F379,IF(生データ!E379="Wb",4000+生データ!F379,生データ!F379))</f>
        <v>25</v>
      </c>
      <c r="G271" t="str">
        <f>生データ!G379</f>
        <v>bp</v>
      </c>
      <c r="H271">
        <f>生データ!H379</f>
        <v>0</v>
      </c>
      <c r="I271">
        <f>生データ!I379</f>
        <v>1.98</v>
      </c>
      <c r="J271">
        <f>生データ!J379</f>
        <v>6.9</v>
      </c>
      <c r="K271">
        <f>生データ!K379</f>
        <v>0</v>
      </c>
      <c r="L271">
        <f>生データ!L379</f>
        <v>3.7</v>
      </c>
      <c r="M271">
        <f>生データ!M379</f>
        <v>0.9</v>
      </c>
      <c r="N271">
        <f>生データ!N379</f>
        <v>0</v>
      </c>
      <c r="O271">
        <f>生データ!O379</f>
        <v>0</v>
      </c>
      <c r="P271" t="str">
        <f>生データ!P379</f>
        <v>L</v>
      </c>
      <c r="Q271">
        <f>生データ!Q379</f>
        <v>0</v>
      </c>
      <c r="R271">
        <f>生データ!R379</f>
        <v>0</v>
      </c>
      <c r="S271">
        <f>生データ!S379</f>
        <v>0</v>
      </c>
      <c r="T271">
        <f>生データ!T379</f>
        <v>1.98</v>
      </c>
      <c r="U271">
        <f>生データ!U379</f>
        <v>2.196338214668156</v>
      </c>
      <c r="V271">
        <f>COUNTIF(怪しいデータを手直し!F$2:F$701,Sheet5!F271)</f>
        <v>1</v>
      </c>
    </row>
    <row r="272" spans="1:22">
      <c r="A272">
        <f>生データ!A380</f>
        <v>0</v>
      </c>
      <c r="B272">
        <f>生データ!B380</f>
        <v>20</v>
      </c>
      <c r="C272">
        <f>生データ!C380</f>
        <v>0.32706413342566815</v>
      </c>
      <c r="D272">
        <f>生データ!D380</f>
        <v>28.513720047818492</v>
      </c>
      <c r="E272">
        <f>生データ!E380</f>
        <v>0</v>
      </c>
      <c r="F272">
        <f>IF(生データ!E380="Wr",3000+生データ!F380,IF(生データ!E380="Wb",4000+生データ!F380,生データ!F380))</f>
        <v>48</v>
      </c>
      <c r="G272" t="str">
        <f>生データ!G380</f>
        <v>lc</v>
      </c>
      <c r="H272">
        <f>生データ!H380</f>
        <v>0</v>
      </c>
      <c r="I272">
        <f>生データ!I380</f>
        <v>1.98</v>
      </c>
      <c r="J272" t="str">
        <f>生データ!J380</f>
        <v>dead</v>
      </c>
      <c r="K272">
        <f>生データ!K380</f>
        <v>0</v>
      </c>
      <c r="L272">
        <f>生データ!L380</f>
        <v>2.8</v>
      </c>
      <c r="M272">
        <f>生データ!M380</f>
        <v>0</v>
      </c>
      <c r="N272">
        <f>生データ!N380</f>
        <v>0</v>
      </c>
      <c r="O272">
        <f>生データ!O380</f>
        <v>0</v>
      </c>
      <c r="P272" t="str">
        <f>生データ!P380</f>
        <v>D</v>
      </c>
      <c r="Q272">
        <f>生データ!Q380</f>
        <v>0</v>
      </c>
      <c r="R272">
        <f>生データ!R380</f>
        <v>0</v>
      </c>
      <c r="S272">
        <f>生データ!S380</f>
        <v>0</v>
      </c>
      <c r="T272">
        <f>生データ!T380</f>
        <v>1.98</v>
      </c>
      <c r="U272" t="str">
        <f>生データ!U380</f>
        <v>dead</v>
      </c>
      <c r="V272">
        <f>COUNTIF(怪しいデータを手直し!F$2:F$701,Sheet5!F272)</f>
        <v>1</v>
      </c>
    </row>
    <row r="273" spans="1:22">
      <c r="A273">
        <f>生データ!A381</f>
        <v>30</v>
      </c>
      <c r="B273">
        <f>生データ!B381</f>
        <v>-10</v>
      </c>
      <c r="C273">
        <f>生データ!C381</f>
        <v>36.443441690078132</v>
      </c>
      <c r="D273">
        <f>生データ!D381</f>
        <v>-2.0492143163001968</v>
      </c>
      <c r="E273">
        <f>生データ!E381</f>
        <v>0</v>
      </c>
      <c r="F273">
        <f>IF(生データ!E381="Wr",3000+生データ!F381,IF(生データ!E381="Wb",4000+生データ!F381,生データ!F381))</f>
        <v>438</v>
      </c>
      <c r="G273" t="str">
        <f>生データ!G381</f>
        <v>bp</v>
      </c>
      <c r="H273">
        <f>生データ!H381</f>
        <v>0</v>
      </c>
      <c r="I273">
        <f>生データ!I381</f>
        <v>1.99</v>
      </c>
      <c r="J273">
        <f>生データ!J381</f>
        <v>0</v>
      </c>
      <c r="K273">
        <f>生データ!K381</f>
        <v>20.8</v>
      </c>
      <c r="L273">
        <f>生データ!L381</f>
        <v>2.4</v>
      </c>
      <c r="M273">
        <f>生データ!M381</f>
        <v>0.9</v>
      </c>
      <c r="N273">
        <f>生データ!N381</f>
        <v>0</v>
      </c>
      <c r="O273">
        <f>生データ!O381</f>
        <v>0</v>
      </c>
      <c r="P273" t="str">
        <f>生データ!P381</f>
        <v>L</v>
      </c>
      <c r="Q273">
        <f>生データ!Q381</f>
        <v>0</v>
      </c>
      <c r="R273">
        <f>生データ!R381</f>
        <v>0</v>
      </c>
      <c r="S273">
        <f>生データ!S381</f>
        <v>0</v>
      </c>
      <c r="T273">
        <f>生データ!T381</f>
        <v>1.99</v>
      </c>
      <c r="U273">
        <f>生データ!U381</f>
        <v>20.8</v>
      </c>
      <c r="V273">
        <f>COUNTIF(怪しいデータを手直し!F$2:F$701,Sheet5!F273)</f>
        <v>1</v>
      </c>
    </row>
    <row r="274" spans="1:22">
      <c r="A274">
        <f>生データ!A382</f>
        <v>10</v>
      </c>
      <c r="B274">
        <f>生データ!B382</f>
        <v>20</v>
      </c>
      <c r="C274">
        <f>生データ!C382</f>
        <v>19.312191825432201</v>
      </c>
      <c r="D274">
        <f>生データ!D382</f>
        <v>28.19753907570496</v>
      </c>
      <c r="E274">
        <f>生データ!E382</f>
        <v>0</v>
      </c>
      <c r="F274">
        <f>IF(生データ!E382="Wr",3000+生データ!F382,IF(生データ!E382="Wb",4000+生データ!F382,生データ!F382))</f>
        <v>95</v>
      </c>
      <c r="G274" t="str">
        <f>生データ!G382</f>
        <v>bp</v>
      </c>
      <c r="H274">
        <f>生データ!H382</f>
        <v>0</v>
      </c>
      <c r="I274">
        <f>生データ!I382</f>
        <v>2.02</v>
      </c>
      <c r="J274">
        <f>生データ!J382</f>
        <v>0</v>
      </c>
      <c r="K274">
        <f>生データ!K382</f>
        <v>27.4</v>
      </c>
      <c r="L274">
        <f>生データ!L382</f>
        <v>3.4</v>
      </c>
      <c r="M274">
        <f>生データ!M382</f>
        <v>0.7</v>
      </c>
      <c r="N274">
        <f>生データ!N382</f>
        <v>0</v>
      </c>
      <c r="O274">
        <f>生データ!O382</f>
        <v>0</v>
      </c>
      <c r="P274" t="str">
        <f>生データ!P382</f>
        <v>L</v>
      </c>
      <c r="Q274">
        <f>生データ!Q382</f>
        <v>0</v>
      </c>
      <c r="R274">
        <f>生データ!R382</f>
        <v>0</v>
      </c>
      <c r="S274">
        <f>生データ!S382</f>
        <v>0</v>
      </c>
      <c r="T274">
        <f>生データ!T382</f>
        <v>2.02</v>
      </c>
      <c r="U274">
        <f>生データ!U382</f>
        <v>27.4</v>
      </c>
      <c r="V274">
        <f>COUNTIF(怪しいデータを手直し!F$2:F$701,Sheet5!F274)</f>
        <v>1</v>
      </c>
    </row>
    <row r="275" spans="1:22">
      <c r="A275">
        <f>生データ!A383</f>
        <v>30</v>
      </c>
      <c r="B275">
        <f>生データ!B383</f>
        <v>-20</v>
      </c>
      <c r="C275">
        <f>生データ!C383</f>
        <v>38.614147537104941</v>
      </c>
      <c r="D275">
        <f>生データ!D383</f>
        <v>-15.817199751692192</v>
      </c>
      <c r="E275">
        <f>生データ!E383</f>
        <v>0</v>
      </c>
      <c r="F275">
        <f>IF(生データ!E383="Wr",3000+生データ!F383,IF(生データ!E383="Wb",4000+生データ!F383,生データ!F383))</f>
        <v>516</v>
      </c>
      <c r="G275" t="str">
        <f>生データ!G383</f>
        <v>pt</v>
      </c>
      <c r="H275">
        <f>生データ!H383</f>
        <v>0</v>
      </c>
      <c r="I275">
        <f>生データ!I383</f>
        <v>2.0299999999999998</v>
      </c>
      <c r="J275">
        <f>生データ!J383</f>
        <v>0</v>
      </c>
      <c r="K275">
        <f>生データ!K383</f>
        <v>24.7</v>
      </c>
      <c r="L275">
        <f>生データ!L383</f>
        <v>3.7</v>
      </c>
      <c r="M275">
        <f>生データ!M383</f>
        <v>0.9</v>
      </c>
      <c r="N275">
        <f>生データ!N383</f>
        <v>0</v>
      </c>
      <c r="O275">
        <f>生データ!O383</f>
        <v>0</v>
      </c>
      <c r="P275" t="str">
        <f>生データ!P383</f>
        <v>L</v>
      </c>
      <c r="Q275">
        <f>生データ!Q383</f>
        <v>0</v>
      </c>
      <c r="R275">
        <f>生データ!R383</f>
        <v>0</v>
      </c>
      <c r="S275">
        <f>生データ!S383</f>
        <v>0</v>
      </c>
      <c r="T275">
        <f>生データ!T383</f>
        <v>2.0299999999999998</v>
      </c>
      <c r="U275">
        <f>生データ!U383</f>
        <v>24.7</v>
      </c>
      <c r="V275">
        <f>COUNTIF(怪しいデータを手直し!F$2:F$701,Sheet5!F275)</f>
        <v>1</v>
      </c>
    </row>
    <row r="276" spans="1:22">
      <c r="A276">
        <f>生データ!A384</f>
        <v>40</v>
      </c>
      <c r="B276">
        <f>生データ!B384</f>
        <v>20</v>
      </c>
      <c r="C276">
        <f>生データ!C384</f>
        <v>42.367641332774518</v>
      </c>
      <c r="D276">
        <f>生データ!D384</f>
        <v>29.524366008498795</v>
      </c>
      <c r="E276">
        <f>生データ!E384</f>
        <v>0</v>
      </c>
      <c r="F276">
        <f>IF(生データ!E384="Wr",3000+生データ!F384,IF(生データ!E384="Wb",4000+生データ!F384,生データ!F384))</f>
        <v>296</v>
      </c>
      <c r="G276" t="str">
        <f>生データ!G384</f>
        <v>bp</v>
      </c>
      <c r="H276">
        <f>生データ!H384</f>
        <v>0</v>
      </c>
      <c r="I276">
        <f>生データ!I384</f>
        <v>2.0499999999999998</v>
      </c>
      <c r="J276">
        <f>生データ!J384</f>
        <v>7.2</v>
      </c>
      <c r="K276">
        <f>生データ!K384</f>
        <v>0</v>
      </c>
      <c r="L276">
        <f>生データ!L384</f>
        <v>3</v>
      </c>
      <c r="M276">
        <f>生データ!M384</f>
        <v>2.2000000000000002</v>
      </c>
      <c r="N276">
        <f>生データ!N384</f>
        <v>0</v>
      </c>
      <c r="O276">
        <f>生データ!O384</f>
        <v>0</v>
      </c>
      <c r="P276" t="str">
        <f>生データ!P384</f>
        <v>L</v>
      </c>
      <c r="Q276">
        <f>生データ!Q384</f>
        <v>0</v>
      </c>
      <c r="R276">
        <f>生データ!R384</f>
        <v>0</v>
      </c>
      <c r="S276">
        <f>生データ!S384</f>
        <v>0</v>
      </c>
      <c r="T276">
        <f>生データ!T384</f>
        <v>2.0499999999999998</v>
      </c>
      <c r="U276">
        <f>生データ!U384</f>
        <v>2.2918311805232929</v>
      </c>
      <c r="V276">
        <f>COUNTIF(怪しいデータを手直し!F$2:F$701,Sheet5!F276)</f>
        <v>1</v>
      </c>
    </row>
    <row r="277" spans="1:22">
      <c r="A277">
        <f>生データ!A385</f>
        <v>0</v>
      </c>
      <c r="B277">
        <f>生データ!B385</f>
        <v>20</v>
      </c>
      <c r="C277">
        <f>生データ!C385</f>
        <v>1.7956392668405727</v>
      </c>
      <c r="D277">
        <f>生データ!D385</f>
        <v>29.979743464808116</v>
      </c>
      <c r="E277">
        <f>生データ!E385</f>
        <v>0</v>
      </c>
      <c r="F277">
        <f>IF(生データ!E385="Wr",3000+生データ!F385,IF(生データ!E385="Wb",4000+生データ!F385,生データ!F385))</f>
        <v>47</v>
      </c>
      <c r="G277" t="str">
        <f>生データ!G385</f>
        <v>lc</v>
      </c>
      <c r="H277">
        <f>生データ!H385</f>
        <v>0</v>
      </c>
      <c r="I277">
        <f>生データ!I385</f>
        <v>2.06</v>
      </c>
      <c r="J277">
        <f>生データ!J385</f>
        <v>11.2</v>
      </c>
      <c r="K277">
        <f>生データ!K385</f>
        <v>0</v>
      </c>
      <c r="L277">
        <f>生データ!L385</f>
        <v>3.3</v>
      </c>
      <c r="M277">
        <f>生データ!M385</f>
        <v>0.2</v>
      </c>
      <c r="N277">
        <f>生データ!N385</f>
        <v>0</v>
      </c>
      <c r="O277">
        <f>生データ!O385</f>
        <v>0</v>
      </c>
      <c r="P277" t="str">
        <f>生データ!P385</f>
        <v>L</v>
      </c>
      <c r="Q277">
        <f>生データ!Q385</f>
        <v>0</v>
      </c>
      <c r="R277">
        <f>生データ!R385</f>
        <v>0</v>
      </c>
      <c r="S277">
        <f>生データ!S385</f>
        <v>0</v>
      </c>
      <c r="T277">
        <f>生データ!T385</f>
        <v>2.06</v>
      </c>
      <c r="U277">
        <f>生データ!U385</f>
        <v>3.5650707252584555</v>
      </c>
      <c r="V277">
        <f>COUNTIF(怪しいデータを手直し!F$2:F$701,Sheet5!F277)</f>
        <v>1</v>
      </c>
    </row>
    <row r="278" spans="1:22">
      <c r="A278">
        <f>生データ!A386</f>
        <v>30</v>
      </c>
      <c r="B278">
        <f>生データ!B386</f>
        <v>10</v>
      </c>
      <c r="C278">
        <f>生データ!C386</f>
        <v>32.1725155843124</v>
      </c>
      <c r="D278">
        <f>生データ!D386</f>
        <v>17.931141368792993</v>
      </c>
      <c r="E278">
        <f>生データ!E386</f>
        <v>0</v>
      </c>
      <c r="F278">
        <f>IF(生データ!E386="Wr",3000+生データ!F386,IF(生データ!E386="Wb",4000+生データ!F386,生データ!F386))</f>
        <v>218</v>
      </c>
      <c r="G278" t="str">
        <f>生データ!G386</f>
        <v>bp</v>
      </c>
      <c r="H278">
        <f>生データ!H386</f>
        <v>0</v>
      </c>
      <c r="I278">
        <f>生データ!I386</f>
        <v>2.06</v>
      </c>
      <c r="J278">
        <f>生データ!J386</f>
        <v>0</v>
      </c>
      <c r="K278">
        <f>生データ!K386</f>
        <v>21.5</v>
      </c>
      <c r="L278">
        <f>生データ!L386</f>
        <v>2.4</v>
      </c>
      <c r="M278">
        <f>生データ!M386</f>
        <v>1.1000000000000001</v>
      </c>
      <c r="N278">
        <f>生データ!N386</f>
        <v>0</v>
      </c>
      <c r="O278">
        <f>生データ!O386</f>
        <v>0</v>
      </c>
      <c r="P278" t="str">
        <f>生データ!P386</f>
        <v>L</v>
      </c>
      <c r="Q278">
        <f>生データ!Q386</f>
        <v>0</v>
      </c>
      <c r="R278">
        <f>生データ!R386</f>
        <v>0</v>
      </c>
      <c r="S278">
        <f>生データ!S386</f>
        <v>0</v>
      </c>
      <c r="T278">
        <f>生データ!T386</f>
        <v>2.06</v>
      </c>
      <c r="U278">
        <f>生データ!U386</f>
        <v>21.5</v>
      </c>
      <c r="V278">
        <f>COUNTIF(怪しいデータを手直し!F$2:F$701,Sheet5!F278)</f>
        <v>1</v>
      </c>
    </row>
    <row r="279" spans="1:22">
      <c r="A279">
        <f>生データ!A387</f>
        <v>40</v>
      </c>
      <c r="B279">
        <f>生データ!B387</f>
        <v>30</v>
      </c>
      <c r="C279">
        <f>生データ!C387</f>
        <v>48.684961231235185</v>
      </c>
      <c r="D279">
        <f>生データ!D387</f>
        <v>30.874263151030185</v>
      </c>
      <c r="E279">
        <f>生データ!E387</f>
        <v>0</v>
      </c>
      <c r="F279">
        <f>IF(生データ!E387="Wr",3000+生データ!F387,IF(生データ!E387="Wb",4000+生データ!F387,生データ!F387))</f>
        <v>332</v>
      </c>
      <c r="G279" t="str">
        <f>生データ!G387</f>
        <v>af</v>
      </c>
      <c r="H279">
        <f>生データ!H387</f>
        <v>0</v>
      </c>
      <c r="I279">
        <f>生データ!I387</f>
        <v>2.0699999999999998</v>
      </c>
      <c r="J279">
        <f>生データ!J387</f>
        <v>9</v>
      </c>
      <c r="K279">
        <f>生データ!K387</f>
        <v>0</v>
      </c>
      <c r="L279">
        <f>生データ!L387</f>
        <v>3.6</v>
      </c>
      <c r="M279">
        <f>生データ!M387</f>
        <v>1.5</v>
      </c>
      <c r="N279">
        <f>生データ!N387</f>
        <v>0</v>
      </c>
      <c r="O279">
        <f>生データ!O387</f>
        <v>0</v>
      </c>
      <c r="P279" t="str">
        <f>生データ!P387</f>
        <v>L</v>
      </c>
      <c r="Q279">
        <f>生データ!Q387</f>
        <v>0</v>
      </c>
      <c r="R279">
        <f>生データ!R387</f>
        <v>0</v>
      </c>
      <c r="S279">
        <f>生データ!S387</f>
        <v>0</v>
      </c>
      <c r="T279">
        <f>生データ!T387</f>
        <v>2.0699999999999998</v>
      </c>
      <c r="U279">
        <f>生データ!U387</f>
        <v>2.8647889756541161</v>
      </c>
      <c r="V279">
        <f>COUNTIF(怪しいデータを手直し!F$2:F$701,Sheet5!F279)</f>
        <v>1</v>
      </c>
    </row>
    <row r="280" spans="1:22">
      <c r="A280">
        <f>生データ!A388</f>
        <v>30</v>
      </c>
      <c r="B280">
        <f>生データ!B388</f>
        <v>0</v>
      </c>
      <c r="C280">
        <f>生データ!C388</f>
        <v>33.894852414965456</v>
      </c>
      <c r="D280">
        <f>生データ!D388</f>
        <v>9.4075223287711989</v>
      </c>
      <c r="E280">
        <f>生データ!E388</f>
        <v>0</v>
      </c>
      <c r="F280">
        <f>IF(生データ!E388="Wr",3000+生データ!F388,IF(生データ!E388="Wb",4000+生データ!F388,生データ!F388))</f>
        <v>247</v>
      </c>
      <c r="G280" t="str">
        <f>生データ!G388</f>
        <v>bp</v>
      </c>
      <c r="H280">
        <f>生データ!H388</f>
        <v>0</v>
      </c>
      <c r="I280">
        <f>生データ!I388</f>
        <v>2.08</v>
      </c>
      <c r="J280">
        <f>生データ!J388</f>
        <v>0</v>
      </c>
      <c r="K280">
        <f>生データ!K388</f>
        <v>22.2</v>
      </c>
      <c r="L280">
        <f>生データ!L388</f>
        <v>3</v>
      </c>
      <c r="M280">
        <f>生データ!M388</f>
        <v>2</v>
      </c>
      <c r="N280">
        <f>生データ!N388</f>
        <v>0</v>
      </c>
      <c r="O280">
        <f>生データ!O388</f>
        <v>0</v>
      </c>
      <c r="P280" t="str">
        <f>生データ!P388</f>
        <v>L</v>
      </c>
      <c r="Q280">
        <f>生データ!Q388</f>
        <v>0</v>
      </c>
      <c r="R280">
        <f>生データ!R388</f>
        <v>0</v>
      </c>
      <c r="S280">
        <f>生データ!S388</f>
        <v>0</v>
      </c>
      <c r="T280">
        <f>生データ!T388</f>
        <v>2.08</v>
      </c>
      <c r="U280">
        <f>生データ!U388</f>
        <v>22.2</v>
      </c>
      <c r="V280">
        <f>COUNTIF(怪しいデータを手直し!F$2:F$701,Sheet5!F280)</f>
        <v>1</v>
      </c>
    </row>
    <row r="281" spans="1:22">
      <c r="A281">
        <f>生データ!A389</f>
        <v>40</v>
      </c>
      <c r="B281">
        <f>生データ!B389</f>
        <v>30</v>
      </c>
      <c r="C281">
        <f>生データ!C389</f>
        <v>48.923210114886899</v>
      </c>
      <c r="D281">
        <f>生データ!D389</f>
        <v>30.400201900908641</v>
      </c>
      <c r="E281">
        <f>生データ!E389</f>
        <v>0</v>
      </c>
      <c r="F281">
        <f>IF(生データ!E389="Wr",3000+生データ!F389,IF(生データ!E389="Wb",4000+生データ!F389,生データ!F389))</f>
        <v>321</v>
      </c>
      <c r="G281" t="str">
        <f>生データ!G389</f>
        <v>af</v>
      </c>
      <c r="H281">
        <f>生データ!H389</f>
        <v>0</v>
      </c>
      <c r="I281">
        <f>生データ!I389</f>
        <v>2.08</v>
      </c>
      <c r="J281">
        <f>生データ!J389</f>
        <v>8.5</v>
      </c>
      <c r="K281">
        <f>生データ!K389</f>
        <v>0</v>
      </c>
      <c r="L281">
        <f>生データ!L389</f>
        <v>3.3</v>
      </c>
      <c r="M281">
        <f>生データ!M389</f>
        <v>1.1000000000000001</v>
      </c>
      <c r="N281">
        <f>生データ!N389</f>
        <v>0</v>
      </c>
      <c r="O281">
        <f>生データ!O389</f>
        <v>0</v>
      </c>
      <c r="P281" t="str">
        <f>生データ!P389</f>
        <v>L</v>
      </c>
      <c r="Q281">
        <f>生データ!Q389</f>
        <v>0</v>
      </c>
      <c r="R281">
        <f>生データ!R389</f>
        <v>0</v>
      </c>
      <c r="S281">
        <f>生データ!S389</f>
        <v>0</v>
      </c>
      <c r="T281">
        <f>生データ!T389</f>
        <v>2.08</v>
      </c>
      <c r="U281">
        <f>生データ!U389</f>
        <v>2.7056340325622208</v>
      </c>
      <c r="V281">
        <f>COUNTIF(怪しいデータを手直し!F$2:F$701,Sheet5!F281)</f>
        <v>1</v>
      </c>
    </row>
    <row r="282" spans="1:22">
      <c r="A282">
        <f>生データ!A390</f>
        <v>20</v>
      </c>
      <c r="B282">
        <f>生データ!B390</f>
        <v>-30</v>
      </c>
      <c r="C282">
        <f>生データ!C390</f>
        <v>24.625619283291407</v>
      </c>
      <c r="D282">
        <f>生データ!D390</f>
        <v>-25.803803228217753</v>
      </c>
      <c r="E282">
        <f>生データ!E390</f>
        <v>0</v>
      </c>
      <c r="F282">
        <f>IF(生データ!E390="Wr",3000+生データ!F390,IF(生データ!E390="Wb",4000+生データ!F390,生データ!F390))</f>
        <v>642</v>
      </c>
      <c r="G282" t="str">
        <f>生データ!G390</f>
        <v>bp</v>
      </c>
      <c r="H282">
        <f>生データ!H390</f>
        <v>0</v>
      </c>
      <c r="I282">
        <f>生データ!I390</f>
        <v>2.09</v>
      </c>
      <c r="J282">
        <f>生データ!J390</f>
        <v>0</v>
      </c>
      <c r="K282">
        <f>生データ!K390</f>
        <v>23</v>
      </c>
      <c r="L282">
        <f>生データ!L390</f>
        <v>3.9</v>
      </c>
      <c r="M282">
        <f>生データ!M390</f>
        <v>1.8</v>
      </c>
      <c r="N282">
        <f>生データ!N390</f>
        <v>0</v>
      </c>
      <c r="O282">
        <f>生データ!O390</f>
        <v>0</v>
      </c>
      <c r="P282" t="str">
        <f>生データ!P390</f>
        <v>L</v>
      </c>
      <c r="Q282">
        <f>生データ!Q390</f>
        <v>0</v>
      </c>
      <c r="R282">
        <f>生データ!R390</f>
        <v>0</v>
      </c>
      <c r="S282">
        <f>生データ!S390</f>
        <v>0</v>
      </c>
      <c r="T282">
        <f>生データ!T390</f>
        <v>2.09</v>
      </c>
      <c r="U282">
        <f>生データ!U390</f>
        <v>23</v>
      </c>
      <c r="V282">
        <f>COUNTIF(怪しいデータを手直し!F$2:F$701,Sheet5!F282)</f>
        <v>1</v>
      </c>
    </row>
    <row r="283" spans="1:22">
      <c r="A283">
        <f>生データ!A391</f>
        <v>30</v>
      </c>
      <c r="B283">
        <f>生データ!B391</f>
        <v>10</v>
      </c>
      <c r="C283">
        <f>生データ!C391</f>
        <v>37.037694491441883</v>
      </c>
      <c r="D283">
        <f>生データ!D391</f>
        <v>18.258346692039844</v>
      </c>
      <c r="E283">
        <f>生データ!E391</f>
        <v>0</v>
      </c>
      <c r="F283">
        <f>IF(生データ!E391="Wr",3000+生データ!F391,IF(生データ!E391="Wb",4000+生データ!F391,生データ!F391))</f>
        <v>214</v>
      </c>
      <c r="G283" t="str">
        <f>生データ!G391</f>
        <v>lc</v>
      </c>
      <c r="H283">
        <f>生データ!H391</f>
        <v>0</v>
      </c>
      <c r="I283">
        <f>生データ!I391</f>
        <v>2.1</v>
      </c>
      <c r="J283">
        <f>生データ!J391</f>
        <v>9.5</v>
      </c>
      <c r="K283">
        <f>生データ!K391</f>
        <v>0</v>
      </c>
      <c r="L283">
        <f>生データ!L391</f>
        <v>2.5</v>
      </c>
      <c r="M283">
        <f>生データ!M391</f>
        <v>0.3</v>
      </c>
      <c r="N283">
        <f>生データ!N391</f>
        <v>0</v>
      </c>
      <c r="O283">
        <f>生データ!O391</f>
        <v>0</v>
      </c>
      <c r="P283" t="str">
        <f>生データ!P391</f>
        <v>L</v>
      </c>
      <c r="Q283">
        <f>生データ!Q391</f>
        <v>0</v>
      </c>
      <c r="R283">
        <f>生データ!R391</f>
        <v>0</v>
      </c>
      <c r="S283">
        <f>生データ!S391</f>
        <v>0</v>
      </c>
      <c r="T283">
        <f>生データ!T391</f>
        <v>2.1</v>
      </c>
      <c r="U283">
        <f>生データ!U391</f>
        <v>3.0239439187460113</v>
      </c>
      <c r="V283">
        <f>COUNTIF(怪しいデータを手直し!F$2:F$701,Sheet5!F283)</f>
        <v>1</v>
      </c>
    </row>
    <row r="284" spans="1:22">
      <c r="A284">
        <f>生データ!A392</f>
        <v>20</v>
      </c>
      <c r="B284">
        <f>生データ!B392</f>
        <v>10</v>
      </c>
      <c r="C284">
        <f>生データ!C392</f>
        <v>26.909703103773136</v>
      </c>
      <c r="D284">
        <f>生データ!D392</f>
        <v>14.486493813815263</v>
      </c>
      <c r="E284">
        <f>生データ!E392</f>
        <v>0</v>
      </c>
      <c r="F284">
        <f>IF(生データ!E392="Wr",3000+生データ!F392,IF(生データ!E392="Wb",4000+生データ!F392,生データ!F392))</f>
        <v>159</v>
      </c>
      <c r="G284" t="str">
        <f>生データ!G392</f>
        <v>pt</v>
      </c>
      <c r="H284">
        <f>生データ!H392</f>
        <v>0</v>
      </c>
      <c r="I284">
        <f>生データ!I392</f>
        <v>2.12</v>
      </c>
      <c r="J284">
        <f>生データ!J392</f>
        <v>9.5</v>
      </c>
      <c r="K284">
        <f>生データ!K392</f>
        <v>0</v>
      </c>
      <c r="L284">
        <f>生データ!L392</f>
        <v>3.5</v>
      </c>
      <c r="M284">
        <f>生データ!M392</f>
        <v>0.9</v>
      </c>
      <c r="N284">
        <f>生データ!N392</f>
        <v>0</v>
      </c>
      <c r="O284">
        <f>生データ!O392</f>
        <v>0</v>
      </c>
      <c r="P284" t="str">
        <f>生データ!P392</f>
        <v>L</v>
      </c>
      <c r="Q284">
        <f>生データ!Q392</f>
        <v>0</v>
      </c>
      <c r="R284">
        <f>生データ!R392</f>
        <v>0</v>
      </c>
      <c r="S284">
        <f>生データ!S392</f>
        <v>0</v>
      </c>
      <c r="T284">
        <f>生データ!T392</f>
        <v>2.12</v>
      </c>
      <c r="U284">
        <f>生データ!U392</f>
        <v>3.0239439187460113</v>
      </c>
      <c r="V284">
        <f>COUNTIF(怪しいデータを手直し!F$2:F$701,Sheet5!F284)</f>
        <v>1</v>
      </c>
    </row>
    <row r="285" spans="1:22">
      <c r="A285">
        <f>生データ!A393</f>
        <v>30</v>
      </c>
      <c r="B285">
        <f>生データ!B393</f>
        <v>30</v>
      </c>
      <c r="C285">
        <f>生データ!C393</f>
        <v>34.511392259886222</v>
      </c>
      <c r="D285">
        <f>生データ!D393</f>
        <v>39.264884580685361</v>
      </c>
      <c r="E285">
        <f>生データ!E393</f>
        <v>0</v>
      </c>
      <c r="F285">
        <f>IF(生データ!E393="Wr",3000+生データ!F393,IF(生データ!E393="Wb",4000+生データ!F393,生データ!F393))</f>
        <v>204</v>
      </c>
      <c r="G285" t="str">
        <f>生データ!G393</f>
        <v>lc</v>
      </c>
      <c r="H285">
        <f>生データ!H393</f>
        <v>0</v>
      </c>
      <c r="I285">
        <f>生データ!I393</f>
        <v>2.12</v>
      </c>
      <c r="J285">
        <f>生データ!J393</f>
        <v>11.3</v>
      </c>
      <c r="K285">
        <f>生データ!K393</f>
        <v>0</v>
      </c>
      <c r="L285">
        <f>生データ!L393</f>
        <v>3.3</v>
      </c>
      <c r="M285">
        <f>生データ!M393</f>
        <v>0.1</v>
      </c>
      <c r="N285">
        <f>生データ!N393</f>
        <v>0</v>
      </c>
      <c r="O285">
        <f>生データ!O393</f>
        <v>0</v>
      </c>
      <c r="P285" t="str">
        <f>生データ!P393</f>
        <v>L</v>
      </c>
      <c r="Q285">
        <f>生データ!Q393</f>
        <v>0</v>
      </c>
      <c r="R285">
        <f>生データ!R393</f>
        <v>0</v>
      </c>
      <c r="S285">
        <f>生データ!S393</f>
        <v>0</v>
      </c>
      <c r="T285">
        <f>生データ!T393</f>
        <v>2.12</v>
      </c>
      <c r="U285">
        <f>生データ!U393</f>
        <v>3.5969017138768349</v>
      </c>
      <c r="V285">
        <f>COUNTIF(怪しいデータを手直し!F$2:F$701,Sheet5!F285)</f>
        <v>1</v>
      </c>
    </row>
    <row r="286" spans="1:22">
      <c r="A286">
        <f>生データ!A394</f>
        <v>0</v>
      </c>
      <c r="B286">
        <f>生データ!B394</f>
        <v>-30</v>
      </c>
      <c r="C286">
        <f>生データ!C394</f>
        <v>3.6767165407509381</v>
      </c>
      <c r="D286">
        <f>生データ!D394</f>
        <v>-20.101695673448518</v>
      </c>
      <c r="E286">
        <f>生データ!E394</f>
        <v>0</v>
      </c>
      <c r="F286">
        <f>IF(生データ!E394="Wr",3000+生データ!F394,IF(生データ!E394="Wb",4000+生データ!F394,生データ!F394))</f>
        <v>601</v>
      </c>
      <c r="G286" t="str">
        <f>生データ!G394</f>
        <v>lc</v>
      </c>
      <c r="H286">
        <f>生データ!H394</f>
        <v>0</v>
      </c>
      <c r="I286">
        <f>生データ!I394</f>
        <v>2.12</v>
      </c>
      <c r="J286">
        <f>生データ!J394</f>
        <v>10</v>
      </c>
      <c r="K286">
        <f>生データ!K394</f>
        <v>0</v>
      </c>
      <c r="L286">
        <f>生データ!L394</f>
        <v>3.2</v>
      </c>
      <c r="M286">
        <f>生データ!M394</f>
        <v>0.3</v>
      </c>
      <c r="N286">
        <f>生データ!N394</f>
        <v>0</v>
      </c>
      <c r="O286">
        <f>生データ!O394</f>
        <v>0</v>
      </c>
      <c r="P286" t="str">
        <f>生データ!P394</f>
        <v>L</v>
      </c>
      <c r="Q286">
        <f>生データ!Q394</f>
        <v>0</v>
      </c>
      <c r="R286">
        <f>生データ!R394</f>
        <v>0</v>
      </c>
      <c r="S286">
        <f>生データ!S394</f>
        <v>0</v>
      </c>
      <c r="T286">
        <f>生データ!T394</f>
        <v>2.12</v>
      </c>
      <c r="U286">
        <f>生データ!U394</f>
        <v>3.183098861837907</v>
      </c>
      <c r="V286">
        <f>COUNTIF(怪しいデータを手直し!F$2:F$701,Sheet5!F286)</f>
        <v>1</v>
      </c>
    </row>
    <row r="287" spans="1:22">
      <c r="A287">
        <f>生データ!A395</f>
        <v>30</v>
      </c>
      <c r="B287">
        <f>生データ!B395</f>
        <v>10</v>
      </c>
      <c r="C287">
        <f>生データ!C395</f>
        <v>32.119407180101206</v>
      </c>
      <c r="D287">
        <f>生データ!D395</f>
        <v>17.114776749550312</v>
      </c>
      <c r="E287">
        <f>生データ!E395</f>
        <v>0</v>
      </c>
      <c r="F287">
        <f>IF(生データ!E395="Wr",3000+生データ!F395,IF(生データ!E395="Wb",4000+生データ!F395,生データ!F395))</f>
        <v>226</v>
      </c>
      <c r="G287" t="str">
        <f>生データ!G395</f>
        <v>bp</v>
      </c>
      <c r="H287">
        <f>生データ!H395</f>
        <v>0</v>
      </c>
      <c r="I287">
        <f>生データ!I395</f>
        <v>2.13</v>
      </c>
      <c r="J287">
        <f>生データ!J395</f>
        <v>7.9</v>
      </c>
      <c r="K287">
        <f>生データ!K395</f>
        <v>0</v>
      </c>
      <c r="L287">
        <f>生データ!L395</f>
        <v>1.9</v>
      </c>
      <c r="M287">
        <f>生データ!M395</f>
        <v>1.5</v>
      </c>
      <c r="N287">
        <f>生データ!N395</f>
        <v>0</v>
      </c>
      <c r="O287">
        <f>生データ!O395</f>
        <v>0</v>
      </c>
      <c r="P287" t="str">
        <f>生データ!P395</f>
        <v>L</v>
      </c>
      <c r="Q287">
        <f>生データ!Q395</f>
        <v>0</v>
      </c>
      <c r="R287" t="str">
        <f>生データ!R395</f>
        <v>broken</v>
      </c>
      <c r="S287">
        <f>生データ!S395</f>
        <v>0</v>
      </c>
      <c r="T287">
        <f>生データ!T395</f>
        <v>2.13</v>
      </c>
      <c r="U287">
        <f>生データ!U395</f>
        <v>2.5146481008519466</v>
      </c>
      <c r="V287">
        <f>COUNTIF(怪しいデータを手直し!F$2:F$701,Sheet5!F287)</f>
        <v>1</v>
      </c>
    </row>
    <row r="288" spans="1:22">
      <c r="A288">
        <f>生データ!A396</f>
        <v>20</v>
      </c>
      <c r="B288">
        <f>生データ!B396</f>
        <v>0</v>
      </c>
      <c r="C288">
        <f>生データ!C396</f>
        <v>29.141634328646191</v>
      </c>
      <c r="D288">
        <f>生データ!D396</f>
        <v>7.350062707305125</v>
      </c>
      <c r="E288">
        <f>生データ!E396</f>
        <v>0</v>
      </c>
      <c r="F288">
        <f>IF(生データ!E396="Wr",3000+生データ!F396,IF(生データ!E396="Wb",4000+生データ!F396,生データ!F396))</f>
        <v>125</v>
      </c>
      <c r="G288" t="str">
        <f>生データ!G396</f>
        <v>lc</v>
      </c>
      <c r="H288">
        <f>生データ!H396</f>
        <v>0</v>
      </c>
      <c r="I288">
        <f>生データ!I396</f>
        <v>2.14</v>
      </c>
      <c r="J288" t="str">
        <f>生データ!J396</f>
        <v>dead</v>
      </c>
      <c r="K288">
        <f>生データ!K396</f>
        <v>0</v>
      </c>
      <c r="L288">
        <f>生データ!L396</f>
        <v>2.9</v>
      </c>
      <c r="M288">
        <f>生データ!M396</f>
        <v>0</v>
      </c>
      <c r="N288">
        <f>生データ!N396</f>
        <v>0</v>
      </c>
      <c r="O288">
        <f>生データ!O396</f>
        <v>0</v>
      </c>
      <c r="P288" t="str">
        <f>生データ!P396</f>
        <v>D</v>
      </c>
      <c r="Q288">
        <f>生データ!Q396</f>
        <v>0</v>
      </c>
      <c r="R288">
        <f>生データ!R396</f>
        <v>0</v>
      </c>
      <c r="S288" t="str">
        <f>生データ!S396</f>
        <v>倒れ</v>
      </c>
      <c r="T288">
        <f>生データ!T396</f>
        <v>2.14</v>
      </c>
      <c r="U288" t="str">
        <f>生データ!U396</f>
        <v>dead</v>
      </c>
      <c r="V288">
        <f>COUNTIF(怪しいデータを手直し!F$2:F$701,Sheet5!F288)</f>
        <v>1</v>
      </c>
    </row>
    <row r="289" spans="1:22">
      <c r="A289">
        <f>生データ!A397</f>
        <v>40</v>
      </c>
      <c r="B289">
        <f>生データ!B397</f>
        <v>30</v>
      </c>
      <c r="C289">
        <f>生データ!C397</f>
        <v>48.911560240158103</v>
      </c>
      <c r="D289">
        <f>生データ!D397</f>
        <v>31.005618482119225</v>
      </c>
      <c r="E289">
        <f>生データ!E397</f>
        <v>0</v>
      </c>
      <c r="F289">
        <f>IF(生データ!E397="Wr",3000+生データ!F397,IF(生データ!E397="Wb",4000+生データ!F397,生データ!F397))</f>
        <v>334</v>
      </c>
      <c r="G289" t="str">
        <f>生データ!G397</f>
        <v>af</v>
      </c>
      <c r="H289">
        <f>生データ!H397</f>
        <v>0</v>
      </c>
      <c r="I289">
        <f>生データ!I397</f>
        <v>2.14</v>
      </c>
      <c r="J289">
        <f>生データ!J397</f>
        <v>12.5</v>
      </c>
      <c r="K289">
        <f>生データ!K397</f>
        <v>0</v>
      </c>
      <c r="L289">
        <f>生データ!L397</f>
        <v>1.7</v>
      </c>
      <c r="M289">
        <f>生データ!M397</f>
        <v>0.9</v>
      </c>
      <c r="N289">
        <f>生データ!N397</f>
        <v>0</v>
      </c>
      <c r="O289">
        <f>生データ!O397</f>
        <v>0</v>
      </c>
      <c r="P289" t="str">
        <f>生データ!P397</f>
        <v>L</v>
      </c>
      <c r="Q289">
        <f>生データ!Q397</f>
        <v>0</v>
      </c>
      <c r="R289" t="str">
        <f>生データ!R397</f>
        <v>fall down</v>
      </c>
      <c r="S289">
        <f>生データ!S397</f>
        <v>0</v>
      </c>
      <c r="T289">
        <f>生データ!T397</f>
        <v>2.14</v>
      </c>
      <c r="U289">
        <f>生データ!U397</f>
        <v>3.9788735772973833</v>
      </c>
      <c r="V289">
        <f>COUNTIF(怪しいデータを手直し!F$2:F$701,Sheet5!F289)</f>
        <v>1</v>
      </c>
    </row>
    <row r="290" spans="1:22">
      <c r="A290">
        <f>生データ!A398</f>
        <v>20</v>
      </c>
      <c r="B290">
        <f>生データ!B398</f>
        <v>-30</v>
      </c>
      <c r="C290">
        <f>生データ!C398</f>
        <v>20.068510563484196</v>
      </c>
      <c r="D290">
        <f>生データ!D398</f>
        <v>-22.494617720688876</v>
      </c>
      <c r="E290">
        <f>生データ!E398</f>
        <v>0</v>
      </c>
      <c r="F290">
        <f>IF(生データ!E398="Wr",3000+生データ!F398,IF(生データ!E398="Wb",4000+生データ!F398,生データ!F398))</f>
        <v>630</v>
      </c>
      <c r="G290" t="str">
        <f>生データ!G398</f>
        <v>lc</v>
      </c>
      <c r="H290">
        <f>生データ!H398</f>
        <v>0</v>
      </c>
      <c r="I290">
        <f>生データ!I398</f>
        <v>2.14</v>
      </c>
      <c r="J290">
        <f>生データ!J398</f>
        <v>0</v>
      </c>
      <c r="K290">
        <f>生データ!K398</f>
        <v>28.2</v>
      </c>
      <c r="L290">
        <f>生データ!L398</f>
        <v>3.6</v>
      </c>
      <c r="M290">
        <f>生データ!M398</f>
        <v>0.7</v>
      </c>
      <c r="N290">
        <f>生データ!N398</f>
        <v>0</v>
      </c>
      <c r="O290">
        <f>生データ!O398</f>
        <v>0</v>
      </c>
      <c r="P290" t="str">
        <f>生データ!P398</f>
        <v>L</v>
      </c>
      <c r="Q290">
        <f>生データ!Q398</f>
        <v>0</v>
      </c>
      <c r="R290">
        <f>生データ!R398</f>
        <v>0</v>
      </c>
      <c r="S290">
        <f>生データ!S398</f>
        <v>0</v>
      </c>
      <c r="T290">
        <f>生データ!T398</f>
        <v>2.14</v>
      </c>
      <c r="U290">
        <f>生データ!U398</f>
        <v>28.2</v>
      </c>
      <c r="V290">
        <f>COUNTIF(怪しいデータを手直し!F$2:F$701,Sheet5!F290)</f>
        <v>1</v>
      </c>
    </row>
    <row r="291" spans="1:22">
      <c r="A291">
        <f>生データ!A399</f>
        <v>40</v>
      </c>
      <c r="B291">
        <f>生データ!B399</f>
        <v>-50</v>
      </c>
      <c r="C291">
        <f>生データ!C399</f>
        <v>45.382901456243502</v>
      </c>
      <c r="D291">
        <f>生データ!D399</f>
        <v>-40.852567834469262</v>
      </c>
      <c r="E291">
        <f>生データ!E399</f>
        <v>0</v>
      </c>
      <c r="F291">
        <f>IF(生データ!E399="Wr",3000+生データ!F399,IF(生データ!E399="Wb",4000+生データ!F399,生データ!F399))</f>
        <v>828</v>
      </c>
      <c r="G291" t="str">
        <f>生データ!G399</f>
        <v>bp</v>
      </c>
      <c r="H291">
        <f>生データ!H399</f>
        <v>0</v>
      </c>
      <c r="I291">
        <f>生データ!I399</f>
        <v>2.14</v>
      </c>
      <c r="J291">
        <f>生データ!J399</f>
        <v>8.6</v>
      </c>
      <c r="K291">
        <f>生データ!K399</f>
        <v>0</v>
      </c>
      <c r="L291">
        <f>生データ!L399</f>
        <v>3.6</v>
      </c>
      <c r="M291">
        <f>生データ!M399</f>
        <v>1.5</v>
      </c>
      <c r="N291">
        <f>生データ!N399</f>
        <v>0</v>
      </c>
      <c r="O291">
        <f>生データ!O399</f>
        <v>0</v>
      </c>
      <c r="P291" t="str">
        <f>生データ!P399</f>
        <v>L</v>
      </c>
      <c r="Q291">
        <f>生データ!Q399</f>
        <v>0</v>
      </c>
      <c r="R291">
        <f>生データ!R399</f>
        <v>0</v>
      </c>
      <c r="S291" t="str">
        <f>生データ!S399</f>
        <v>New No 599 White red</v>
      </c>
      <c r="T291">
        <f>生データ!T399</f>
        <v>2.14</v>
      </c>
      <c r="U291">
        <f>生データ!U399</f>
        <v>2.7374650211805998</v>
      </c>
      <c r="V291">
        <f>COUNTIF(怪しいデータを手直し!F$2:F$701,Sheet5!F291)</f>
        <v>1</v>
      </c>
    </row>
    <row r="292" spans="1:22">
      <c r="A292">
        <f>生データ!A400</f>
        <v>20</v>
      </c>
      <c r="B292">
        <f>生データ!B400</f>
        <v>-30</v>
      </c>
      <c r="C292">
        <f>生データ!C400</f>
        <v>20.777557086264643</v>
      </c>
      <c r="D292">
        <f>生データ!D400</f>
        <v>-22.907825081206319</v>
      </c>
      <c r="E292">
        <f>生データ!E400</f>
        <v>0</v>
      </c>
      <c r="F292">
        <f>IF(生データ!E400="Wr",3000+生データ!F400,IF(生データ!E400="Wb",4000+生データ!F400,生データ!F400))</f>
        <v>633</v>
      </c>
      <c r="G292" t="str">
        <f>生データ!G400</f>
        <v>lc</v>
      </c>
      <c r="H292">
        <f>生データ!H400</f>
        <v>0</v>
      </c>
      <c r="I292">
        <f>生データ!I400</f>
        <v>2.1800000000000002</v>
      </c>
      <c r="J292" t="str">
        <f>生データ!J400</f>
        <v>dead</v>
      </c>
      <c r="K292">
        <f>生データ!K400</f>
        <v>0</v>
      </c>
      <c r="L292">
        <f>生データ!L400</f>
        <v>3.8</v>
      </c>
      <c r="M292">
        <f>生データ!M400</f>
        <v>0</v>
      </c>
      <c r="N292">
        <f>生データ!N400</f>
        <v>0</v>
      </c>
      <c r="O292">
        <f>生データ!O400</f>
        <v>0</v>
      </c>
      <c r="P292" t="str">
        <f>生データ!P400</f>
        <v>D</v>
      </c>
      <c r="Q292">
        <f>生データ!Q400</f>
        <v>0</v>
      </c>
      <c r="R292">
        <f>生データ!R400</f>
        <v>0</v>
      </c>
      <c r="S292">
        <f>生データ!S400</f>
        <v>0</v>
      </c>
      <c r="T292">
        <f>生データ!T400</f>
        <v>2.1800000000000002</v>
      </c>
      <c r="U292" t="str">
        <f>生データ!U400</f>
        <v>dead</v>
      </c>
      <c r="V292">
        <f>COUNTIF(怪しいデータを手直し!F$2:F$701,Sheet5!F292)</f>
        <v>1</v>
      </c>
    </row>
    <row r="293" spans="1:22">
      <c r="A293">
        <f>生データ!A401</f>
        <v>30</v>
      </c>
      <c r="B293">
        <f>生データ!B401</f>
        <v>-20</v>
      </c>
      <c r="C293">
        <f>生データ!C401</f>
        <v>35.588236187970651</v>
      </c>
      <c r="D293">
        <f>生データ!D401</f>
        <v>-16.565397175104358</v>
      </c>
      <c r="E293">
        <f>生データ!E401</f>
        <v>0</v>
      </c>
      <c r="F293">
        <f>IF(生データ!E401="Wr",3000+生データ!F401,IF(生データ!E401="Wb",4000+生データ!F401,生データ!F401))</f>
        <v>522</v>
      </c>
      <c r="G293" t="str">
        <f>生データ!G401</f>
        <v>lc</v>
      </c>
      <c r="H293">
        <f>生データ!H401</f>
        <v>0</v>
      </c>
      <c r="I293">
        <f>生データ!I401</f>
        <v>2.2000000000000002</v>
      </c>
      <c r="J293">
        <f>生データ!J401</f>
        <v>10.6</v>
      </c>
      <c r="K293">
        <f>生データ!K401</f>
        <v>0</v>
      </c>
      <c r="L293">
        <f>生データ!L401</f>
        <v>3.3</v>
      </c>
      <c r="M293">
        <f>生データ!M401</f>
        <v>0</v>
      </c>
      <c r="N293">
        <f>生データ!N401</f>
        <v>0</v>
      </c>
      <c r="O293">
        <f>生データ!O401</f>
        <v>0</v>
      </c>
      <c r="P293" t="str">
        <f>生データ!P401</f>
        <v>L</v>
      </c>
      <c r="Q293">
        <f>生データ!Q401</f>
        <v>0</v>
      </c>
      <c r="R293">
        <f>生データ!R401</f>
        <v>0</v>
      </c>
      <c r="S293">
        <f>生データ!S401</f>
        <v>0</v>
      </c>
      <c r="T293">
        <f>生データ!T401</f>
        <v>2.2000000000000002</v>
      </c>
      <c r="U293">
        <f>生データ!U401</f>
        <v>3.3740847935481812</v>
      </c>
      <c r="V293">
        <f>COUNTIF(怪しいデータを手直し!F$2:F$701,Sheet5!F293)</f>
        <v>1</v>
      </c>
    </row>
    <row r="294" spans="1:22">
      <c r="A294">
        <f>生データ!A402</f>
        <v>20</v>
      </c>
      <c r="B294">
        <f>生データ!B402</f>
        <v>-20</v>
      </c>
      <c r="C294">
        <f>生データ!C402</f>
        <v>24.662897967014203</v>
      </c>
      <c r="D294">
        <f>生データ!D402</f>
        <v>-31.711201556181109</v>
      </c>
      <c r="E294">
        <f>生データ!E402</f>
        <v>0</v>
      </c>
      <c r="F294">
        <f>IF(生データ!E402="Wr",3000+生データ!F402,IF(生データ!E402="Wb",4000+生データ!F402,生データ!F402))</f>
        <v>718</v>
      </c>
      <c r="G294" t="str">
        <f>生データ!G402</f>
        <v>pt</v>
      </c>
      <c r="H294">
        <f>生データ!H402</f>
        <v>0</v>
      </c>
      <c r="I294">
        <f>生データ!I402</f>
        <v>2.21</v>
      </c>
      <c r="J294">
        <f>生データ!J402</f>
        <v>0</v>
      </c>
      <c r="K294">
        <f>生データ!K402</f>
        <v>9.6</v>
      </c>
      <c r="L294">
        <f>生データ!L402</f>
        <v>2.2999999999999998</v>
      </c>
      <c r="M294">
        <f>生データ!M402</f>
        <v>1.2</v>
      </c>
      <c r="N294">
        <f>生データ!N402</f>
        <v>0</v>
      </c>
      <c r="O294">
        <f>生データ!O402</f>
        <v>0</v>
      </c>
      <c r="P294" t="str">
        <f>生データ!P402</f>
        <v>L</v>
      </c>
      <c r="Q294">
        <f>生データ!Q402</f>
        <v>0</v>
      </c>
      <c r="R294">
        <f>生データ!R402</f>
        <v>0</v>
      </c>
      <c r="S294" t="str">
        <f>生データ!S402</f>
        <v>New　No784　whiteBlue</v>
      </c>
      <c r="T294">
        <f>生データ!T402</f>
        <v>2.21</v>
      </c>
      <c r="U294">
        <f>生データ!U402</f>
        <v>9.6</v>
      </c>
      <c r="V294">
        <f>COUNTIF(怪しいデータを手直し!F$2:F$701,Sheet5!F294)</f>
        <v>1</v>
      </c>
    </row>
    <row r="295" spans="1:22">
      <c r="A295">
        <f>生データ!A403</f>
        <v>20</v>
      </c>
      <c r="B295">
        <f>生データ!B403</f>
        <v>30</v>
      </c>
      <c r="C295">
        <f>生データ!C403</f>
        <v>24.907350780199291</v>
      </c>
      <c r="D295">
        <f>生データ!D403</f>
        <v>34.663296118381929</v>
      </c>
      <c r="E295">
        <f>生データ!E403</f>
        <v>0</v>
      </c>
      <c r="F295">
        <f>IF(生データ!E403="Wr",3000+生データ!F403,IF(生データ!E403="Wb",4000+生データ!F403,生データ!F403))</f>
        <v>172</v>
      </c>
      <c r="G295" t="str">
        <f>生データ!G403</f>
        <v>bp</v>
      </c>
      <c r="H295">
        <f>生データ!H403</f>
        <v>0</v>
      </c>
      <c r="I295">
        <f>生データ!I403</f>
        <v>2.2200000000000002</v>
      </c>
      <c r="J295">
        <f>生データ!J403</f>
        <v>7.7</v>
      </c>
      <c r="K295">
        <f>生データ!K403</f>
        <v>0</v>
      </c>
      <c r="L295">
        <f>生データ!L403</f>
        <v>3.6</v>
      </c>
      <c r="M295">
        <f>生データ!M403</f>
        <v>1.7</v>
      </c>
      <c r="N295">
        <f>生データ!N403</f>
        <v>0</v>
      </c>
      <c r="O295">
        <f>生データ!O403</f>
        <v>0</v>
      </c>
      <c r="P295" t="str">
        <f>生データ!P403</f>
        <v>L</v>
      </c>
      <c r="Q295">
        <f>生データ!Q403</f>
        <v>0</v>
      </c>
      <c r="R295">
        <f>生データ!R403</f>
        <v>0</v>
      </c>
      <c r="S295">
        <f>生データ!S403</f>
        <v>0</v>
      </c>
      <c r="T295">
        <f>生データ!T403</f>
        <v>2.2200000000000002</v>
      </c>
      <c r="U295">
        <f>生データ!U403</f>
        <v>2.4509861236151882</v>
      </c>
      <c r="V295">
        <f>COUNTIF(怪しいデータを手直し!F$2:F$701,Sheet5!F295)</f>
        <v>1</v>
      </c>
    </row>
    <row r="296" spans="1:22">
      <c r="A296">
        <f>生データ!A404</f>
        <v>40</v>
      </c>
      <c r="B296">
        <f>生データ!B404</f>
        <v>-10</v>
      </c>
      <c r="C296">
        <f>生データ!C404</f>
        <v>43.818712041029102</v>
      </c>
      <c r="D296">
        <f>生データ!D404</f>
        <v>-9.7061661222742828</v>
      </c>
      <c r="E296">
        <f>生データ!E404</f>
        <v>0</v>
      </c>
      <c r="F296">
        <f>IF(生データ!E404="Wr",3000+生データ!F404,IF(生データ!E404="Wb",4000+生データ!F404,生データ!F404))</f>
        <v>455</v>
      </c>
      <c r="G296" t="str">
        <f>生データ!G404</f>
        <v>bp</v>
      </c>
      <c r="H296">
        <f>生データ!H404</f>
        <v>0</v>
      </c>
      <c r="I296">
        <f>生データ!I404</f>
        <v>2.2200000000000002</v>
      </c>
      <c r="J296">
        <f>生データ!J404</f>
        <v>0</v>
      </c>
      <c r="K296">
        <f>生データ!K404</f>
        <v>23.3</v>
      </c>
      <c r="L296">
        <f>生データ!L404</f>
        <v>2.2999999999999998</v>
      </c>
      <c r="M296">
        <f>生データ!M404</f>
        <v>6</v>
      </c>
      <c r="N296">
        <f>生データ!N404</f>
        <v>0</v>
      </c>
      <c r="O296">
        <f>生データ!O404</f>
        <v>0</v>
      </c>
      <c r="P296" t="str">
        <f>生データ!P404</f>
        <v>L</v>
      </c>
      <c r="Q296">
        <f>生データ!Q404</f>
        <v>0</v>
      </c>
      <c r="R296" t="str">
        <f>生データ!R404</f>
        <v>curved</v>
      </c>
      <c r="S296">
        <f>生データ!S404</f>
        <v>0</v>
      </c>
      <c r="T296">
        <f>生データ!T404</f>
        <v>2.2200000000000002</v>
      </c>
      <c r="U296">
        <f>生データ!U404</f>
        <v>23.3</v>
      </c>
      <c r="V296">
        <f>COUNTIF(怪しいデータを手直し!F$2:F$701,Sheet5!F296)</f>
        <v>1</v>
      </c>
    </row>
    <row r="297" spans="1:22">
      <c r="A297">
        <f>生データ!A405</f>
        <v>0</v>
      </c>
      <c r="B297">
        <f>生データ!B405</f>
        <v>30</v>
      </c>
      <c r="C297">
        <f>生データ!C405</f>
        <v>9.4615067739142642</v>
      </c>
      <c r="D297">
        <f>生データ!D405</f>
        <v>30.508067832250347</v>
      </c>
      <c r="E297">
        <f>生データ!E405</f>
        <v>0</v>
      </c>
      <c r="F297">
        <f>IF(生データ!E405="Wr",3000+生データ!F405,IF(生データ!E405="Wb",4000+生データ!F405,生データ!F405))</f>
        <v>59</v>
      </c>
      <c r="G297" t="str">
        <f>生データ!G405</f>
        <v>lc</v>
      </c>
      <c r="H297">
        <f>生データ!H405</f>
        <v>0</v>
      </c>
      <c r="I297">
        <f>生データ!I405</f>
        <v>2.23</v>
      </c>
      <c r="J297" t="str">
        <f>生データ!J405</f>
        <v>dead</v>
      </c>
      <c r="K297">
        <f>生データ!K405</f>
        <v>0</v>
      </c>
      <c r="L297">
        <f>生データ!L405</f>
        <v>3.4</v>
      </c>
      <c r="M297">
        <f>生データ!M405</f>
        <v>0.2</v>
      </c>
      <c r="N297">
        <f>生データ!N405</f>
        <v>0</v>
      </c>
      <c r="O297">
        <f>生データ!O405</f>
        <v>0</v>
      </c>
      <c r="P297" t="str">
        <f>生データ!P405</f>
        <v>L</v>
      </c>
      <c r="Q297">
        <f>生データ!Q405</f>
        <v>0</v>
      </c>
      <c r="R297">
        <f>生データ!R405</f>
        <v>0</v>
      </c>
      <c r="S297">
        <f>生データ!S405</f>
        <v>0</v>
      </c>
      <c r="T297">
        <f>生データ!T405</f>
        <v>2.23</v>
      </c>
      <c r="U297" t="str">
        <f>生データ!U405</f>
        <v>dead</v>
      </c>
      <c r="V297">
        <f>COUNTIF(怪しいデータを手直し!F$2:F$701,Sheet5!F297)</f>
        <v>1</v>
      </c>
    </row>
    <row r="298" spans="1:22">
      <c r="A298">
        <f>生データ!A406</f>
        <v>10</v>
      </c>
      <c r="B298">
        <f>生データ!B406</f>
        <v>40</v>
      </c>
      <c r="C298">
        <f>生データ!C406</f>
        <v>14.7505595735526</v>
      </c>
      <c r="D298">
        <f>生データ!D406</f>
        <v>45.809670834839075</v>
      </c>
      <c r="E298">
        <f>生データ!E406</f>
        <v>0</v>
      </c>
      <c r="F298">
        <f>IF(生データ!E406="Wr",3000+生データ!F406,IF(生データ!E406="Wb",4000+生データ!F406,生データ!F406))</f>
        <v>76</v>
      </c>
      <c r="G298" t="str">
        <f>生データ!G406</f>
        <v>lc</v>
      </c>
      <c r="H298">
        <f>生データ!H406</f>
        <v>0</v>
      </c>
      <c r="I298">
        <f>生データ!I406</f>
        <v>2.2400000000000002</v>
      </c>
      <c r="J298" t="str">
        <f>生データ!J406</f>
        <v>dead</v>
      </c>
      <c r="K298">
        <f>生データ!K406</f>
        <v>0</v>
      </c>
      <c r="L298">
        <f>生データ!L406</f>
        <v>3.3</v>
      </c>
      <c r="M298">
        <f>生データ!M406</f>
        <v>0</v>
      </c>
      <c r="N298">
        <f>生データ!N406</f>
        <v>0</v>
      </c>
      <c r="O298">
        <f>生データ!O406</f>
        <v>0</v>
      </c>
      <c r="P298" t="str">
        <f>生データ!P406</f>
        <v>D</v>
      </c>
      <c r="Q298">
        <f>生データ!Q406</f>
        <v>0</v>
      </c>
      <c r="R298">
        <f>生データ!R406</f>
        <v>0</v>
      </c>
      <c r="S298">
        <f>生データ!S406</f>
        <v>0</v>
      </c>
      <c r="T298">
        <f>生データ!T406</f>
        <v>2.2400000000000002</v>
      </c>
      <c r="U298" t="str">
        <f>生データ!U406</f>
        <v>dead</v>
      </c>
      <c r="V298">
        <f>COUNTIF(怪しいデータを手直し!F$2:F$701,Sheet5!F298)</f>
        <v>1</v>
      </c>
    </row>
    <row r="299" spans="1:22">
      <c r="A299">
        <f>生データ!A407</f>
        <v>40</v>
      </c>
      <c r="B299">
        <f>生データ!B407</f>
        <v>0</v>
      </c>
      <c r="C299">
        <f>生データ!C407</f>
        <v>41.114237411154114</v>
      </c>
      <c r="D299">
        <f>生データ!D407</f>
        <v>7.3877069476062651</v>
      </c>
      <c r="E299">
        <f>生データ!E407</f>
        <v>0</v>
      </c>
      <c r="F299">
        <f>IF(生データ!E407="Wr",3000+生データ!F407,IF(生データ!E407="Wb",4000+生データ!F407,生データ!F407))</f>
        <v>271</v>
      </c>
      <c r="G299" t="str">
        <f>生データ!G407</f>
        <v>lc</v>
      </c>
      <c r="H299">
        <f>生データ!H407</f>
        <v>0</v>
      </c>
      <c r="I299">
        <f>生データ!I407</f>
        <v>2.2400000000000002</v>
      </c>
      <c r="J299" t="str">
        <f>生データ!J407</f>
        <v>dead</v>
      </c>
      <c r="K299">
        <f>生データ!K407</f>
        <v>0</v>
      </c>
      <c r="L299">
        <f>生データ!L407</f>
        <v>2.8</v>
      </c>
      <c r="M299">
        <f>生データ!M407</f>
        <v>0</v>
      </c>
      <c r="N299">
        <f>生データ!N407</f>
        <v>0</v>
      </c>
      <c r="O299">
        <f>生データ!O407</f>
        <v>0</v>
      </c>
      <c r="P299" t="str">
        <f>生データ!P407</f>
        <v>D</v>
      </c>
      <c r="Q299">
        <f>生データ!Q407</f>
        <v>0</v>
      </c>
      <c r="R299">
        <f>生データ!R407</f>
        <v>0</v>
      </c>
      <c r="S299">
        <f>生データ!S407</f>
        <v>0</v>
      </c>
      <c r="T299">
        <f>生データ!T407</f>
        <v>2.2400000000000002</v>
      </c>
      <c r="U299" t="str">
        <f>生データ!U407</f>
        <v>dead</v>
      </c>
      <c r="V299">
        <f>COUNTIF(怪しいデータを手直し!F$2:F$701,Sheet5!F299)</f>
        <v>1</v>
      </c>
    </row>
    <row r="300" spans="1:22">
      <c r="A300">
        <f>生データ!A408</f>
        <v>40</v>
      </c>
      <c r="B300">
        <f>生データ!B408</f>
        <v>10</v>
      </c>
      <c r="C300">
        <f>生データ!C408</f>
        <v>44.448175780776694</v>
      </c>
      <c r="D300">
        <f>生データ!D408</f>
        <v>11.04175147655649</v>
      </c>
      <c r="E300">
        <f>生データ!E408</f>
        <v>0</v>
      </c>
      <c r="F300">
        <f>IF(生データ!E408="Wr",3000+生データ!F408,IF(生データ!E408="Wb",4000+生データ!F408,生データ!F408))</f>
        <v>280</v>
      </c>
      <c r="G300" t="str">
        <f>生データ!G408</f>
        <v>pt</v>
      </c>
      <c r="H300">
        <f>生データ!H408</f>
        <v>0</v>
      </c>
      <c r="I300">
        <f>生データ!I408</f>
        <v>2.25</v>
      </c>
      <c r="J300">
        <f>生データ!J408</f>
        <v>0</v>
      </c>
      <c r="K300">
        <f>生データ!K408</f>
        <v>24.6</v>
      </c>
      <c r="L300">
        <f>生データ!L408</f>
        <v>1.7</v>
      </c>
      <c r="M300">
        <f>生データ!M408</f>
        <v>1.2</v>
      </c>
      <c r="N300">
        <f>生データ!N408</f>
        <v>0</v>
      </c>
      <c r="O300">
        <f>生データ!O408</f>
        <v>0</v>
      </c>
      <c r="P300" t="str">
        <f>生データ!P408</f>
        <v>L</v>
      </c>
      <c r="Q300">
        <f>生データ!Q408</f>
        <v>0</v>
      </c>
      <c r="R300" t="str">
        <f>生データ!R408</f>
        <v>dead Ht=3.5, broken</v>
      </c>
      <c r="S300">
        <f>生データ!S408</f>
        <v>0</v>
      </c>
      <c r="T300">
        <f>生データ!T408</f>
        <v>2.25</v>
      </c>
      <c r="U300">
        <f>生データ!U408</f>
        <v>24.6</v>
      </c>
      <c r="V300">
        <f>COUNTIF(怪しいデータを手直し!F$2:F$701,Sheet5!F300)</f>
        <v>1</v>
      </c>
    </row>
    <row r="301" spans="1:22">
      <c r="A301">
        <f>生データ!A409</f>
        <v>40</v>
      </c>
      <c r="B301">
        <f>生データ!B409</f>
        <v>20</v>
      </c>
      <c r="C301">
        <f>生データ!C409</f>
        <v>41.880792813059728</v>
      </c>
      <c r="D301">
        <f>生データ!D409</f>
        <v>29.416600349019195</v>
      </c>
      <c r="E301">
        <f>生データ!E409</f>
        <v>0</v>
      </c>
      <c r="F301">
        <f>IF(生データ!E409="Wr",3000+生データ!F409,IF(生データ!E409="Wb",4000+生データ!F409,生データ!F409))</f>
        <v>306</v>
      </c>
      <c r="G301" t="str">
        <f>生データ!G409</f>
        <v>bp</v>
      </c>
      <c r="H301">
        <f>生データ!H409</f>
        <v>0</v>
      </c>
      <c r="I301">
        <f>生データ!I409</f>
        <v>2.25</v>
      </c>
      <c r="J301">
        <f>生データ!J409</f>
        <v>8</v>
      </c>
      <c r="K301">
        <f>生データ!K409</f>
        <v>0</v>
      </c>
      <c r="L301">
        <f>生データ!L409</f>
        <v>3.6</v>
      </c>
      <c r="M301">
        <f>生データ!M409</f>
        <v>2</v>
      </c>
      <c r="N301">
        <f>生データ!N409</f>
        <v>0</v>
      </c>
      <c r="O301">
        <f>生データ!O409</f>
        <v>0</v>
      </c>
      <c r="P301" t="str">
        <f>生データ!P409</f>
        <v>L</v>
      </c>
      <c r="Q301">
        <f>生データ!Q409</f>
        <v>0</v>
      </c>
      <c r="R301">
        <f>生データ!R409</f>
        <v>0</v>
      </c>
      <c r="S301">
        <f>生データ!S409</f>
        <v>0</v>
      </c>
      <c r="T301">
        <f>生データ!T409</f>
        <v>2.25</v>
      </c>
      <c r="U301">
        <f>生データ!U409</f>
        <v>2.5464790894703255</v>
      </c>
      <c r="V301">
        <f>COUNTIF(怪しいデータを手直し!F$2:F$701,Sheet5!F301)</f>
        <v>1</v>
      </c>
    </row>
    <row r="302" spans="1:22">
      <c r="A302">
        <f>生データ!A410</f>
        <v>40</v>
      </c>
      <c r="B302">
        <f>生データ!B410</f>
        <v>20</v>
      </c>
      <c r="C302">
        <f>生データ!C410</f>
        <v>42.430857709244037</v>
      </c>
      <c r="D302">
        <f>生データ!D410</f>
        <v>29.817299863635021</v>
      </c>
      <c r="E302">
        <f>生データ!E410</f>
        <v>0</v>
      </c>
      <c r="F302">
        <f>IF(生データ!E410="Wr",3000+生データ!F410,IF(生データ!E410="Wb",4000+生データ!F410,生データ!F410))</f>
        <v>298</v>
      </c>
      <c r="G302" t="str">
        <f>生データ!G410</f>
        <v>bp</v>
      </c>
      <c r="H302">
        <f>生データ!H410</f>
        <v>0</v>
      </c>
      <c r="I302">
        <f>生データ!I410</f>
        <v>2.2599999999999998</v>
      </c>
      <c r="J302">
        <f>生データ!J410</f>
        <v>7.7</v>
      </c>
      <c r="K302">
        <f>生データ!K410</f>
        <v>0</v>
      </c>
      <c r="L302">
        <f>生データ!L410</f>
        <v>4.3</v>
      </c>
      <c r="M302">
        <f>生データ!M410</f>
        <v>2</v>
      </c>
      <c r="N302">
        <f>生データ!N410</f>
        <v>0</v>
      </c>
      <c r="O302">
        <f>生データ!O410</f>
        <v>0</v>
      </c>
      <c r="P302" t="str">
        <f>生データ!P410</f>
        <v>L</v>
      </c>
      <c r="Q302">
        <f>生データ!Q410</f>
        <v>0</v>
      </c>
      <c r="R302">
        <f>生データ!R410</f>
        <v>0</v>
      </c>
      <c r="S302">
        <f>生データ!S410</f>
        <v>0</v>
      </c>
      <c r="T302">
        <f>生データ!T410</f>
        <v>2.2599999999999998</v>
      </c>
      <c r="U302">
        <f>生データ!U410</f>
        <v>2.4509861236151882</v>
      </c>
      <c r="V302">
        <f>COUNTIF(怪しいデータを手直し!F$2:F$701,Sheet5!F302)</f>
        <v>1</v>
      </c>
    </row>
    <row r="303" spans="1:22">
      <c r="A303">
        <f>生データ!A411</f>
        <v>40</v>
      </c>
      <c r="B303">
        <f>生データ!B411</f>
        <v>-30</v>
      </c>
      <c r="C303">
        <f>生データ!C411</f>
        <v>42.600771010641061</v>
      </c>
      <c r="D303">
        <f>生データ!D411</f>
        <v>-25.452840538415533</v>
      </c>
      <c r="E303">
        <f>生データ!E411</f>
        <v>0</v>
      </c>
      <c r="F303">
        <f>IF(生データ!E411="Wr",3000+生データ!F411,IF(生データ!E411="Wb",4000+生データ!F411,生データ!F411))</f>
        <v>679</v>
      </c>
      <c r="G303" t="str">
        <f>生データ!G411</f>
        <v>bp</v>
      </c>
      <c r="H303">
        <f>生データ!H411</f>
        <v>0</v>
      </c>
      <c r="I303">
        <f>生データ!I411</f>
        <v>2.2599999999999998</v>
      </c>
      <c r="J303" t="str">
        <f>生データ!J411</f>
        <v>dead</v>
      </c>
      <c r="K303">
        <f>生データ!K411</f>
        <v>0</v>
      </c>
      <c r="L303">
        <f>生データ!L411</f>
        <v>1.5</v>
      </c>
      <c r="M303">
        <f>生データ!M411</f>
        <v>1.4</v>
      </c>
      <c r="N303">
        <f>生データ!N411</f>
        <v>0</v>
      </c>
      <c r="O303">
        <f>生データ!O411</f>
        <v>0</v>
      </c>
      <c r="P303" t="str">
        <f>生データ!P411</f>
        <v>L</v>
      </c>
      <c r="Q303">
        <f>生データ!Q411</f>
        <v>0</v>
      </c>
      <c r="R303">
        <f>生データ!R411</f>
        <v>0</v>
      </c>
      <c r="S303">
        <f>生データ!S411</f>
        <v>0</v>
      </c>
      <c r="T303">
        <f>生データ!T411</f>
        <v>2.2599999999999998</v>
      </c>
      <c r="U303" t="str">
        <f>生データ!U411</f>
        <v>dead</v>
      </c>
      <c r="V303">
        <f>COUNTIF(怪しいデータを手直し!F$2:F$701,Sheet5!F303)</f>
        <v>1</v>
      </c>
    </row>
    <row r="304" spans="1:22">
      <c r="A304">
        <f>生データ!A412</f>
        <v>20</v>
      </c>
      <c r="B304">
        <f>生データ!B412</f>
        <v>10</v>
      </c>
      <c r="C304">
        <f>生データ!C412</f>
        <v>23.814136091910594</v>
      </c>
      <c r="D304">
        <f>生データ!D412</f>
        <v>10.891462981270466</v>
      </c>
      <c r="E304">
        <f>生データ!E412</f>
        <v>0</v>
      </c>
      <c r="F304">
        <f>IF(生データ!E412="Wr",3000+生データ!F412,IF(生データ!E412="Wb",4000+生データ!F412,生データ!F412))</f>
        <v>140</v>
      </c>
      <c r="G304" t="str">
        <f>生データ!G412</f>
        <v>bp</v>
      </c>
      <c r="H304">
        <f>生データ!H412</f>
        <v>0</v>
      </c>
      <c r="I304">
        <f>生データ!I412</f>
        <v>2.27</v>
      </c>
      <c r="J304">
        <f>生データ!J412</f>
        <v>8.5</v>
      </c>
      <c r="K304">
        <f>生データ!K412</f>
        <v>0</v>
      </c>
      <c r="L304">
        <f>生データ!L412</f>
        <v>2.8</v>
      </c>
      <c r="M304">
        <f>生データ!M412</f>
        <v>1</v>
      </c>
      <c r="N304">
        <f>生データ!N412</f>
        <v>0</v>
      </c>
      <c r="O304">
        <f>生データ!O412</f>
        <v>0</v>
      </c>
      <c r="P304" t="str">
        <f>生データ!P412</f>
        <v>L</v>
      </c>
      <c r="Q304">
        <f>生データ!Q412</f>
        <v>0</v>
      </c>
      <c r="R304">
        <f>生データ!R412</f>
        <v>0</v>
      </c>
      <c r="S304">
        <f>生データ!S412</f>
        <v>0</v>
      </c>
      <c r="T304">
        <f>生データ!T412</f>
        <v>2.27</v>
      </c>
      <c r="U304">
        <f>生データ!U412</f>
        <v>2.7056340325622208</v>
      </c>
      <c r="V304">
        <f>COUNTIF(怪しいデータを手直し!F$2:F$701,Sheet5!F304)</f>
        <v>1</v>
      </c>
    </row>
    <row r="305" spans="1:22">
      <c r="A305">
        <f>生データ!A413</f>
        <v>40</v>
      </c>
      <c r="B305">
        <f>生データ!B413</f>
        <v>30</v>
      </c>
      <c r="C305">
        <f>生データ!C413</f>
        <v>49.057455574932867</v>
      </c>
      <c r="D305">
        <f>生データ!D413</f>
        <v>30.556922641067963</v>
      </c>
      <c r="E305">
        <f>生データ!E413</f>
        <v>0</v>
      </c>
      <c r="F305">
        <f>IF(生データ!E413="Wr",3000+生データ!F413,IF(生データ!E413="Wb",4000+生データ!F413,生データ!F413))</f>
        <v>322</v>
      </c>
      <c r="G305" t="str">
        <f>生データ!G413</f>
        <v>af</v>
      </c>
      <c r="H305">
        <f>生データ!H413</f>
        <v>0</v>
      </c>
      <c r="I305">
        <f>生データ!I413</f>
        <v>2.27</v>
      </c>
      <c r="J305">
        <f>生データ!J413</f>
        <v>9</v>
      </c>
      <c r="K305">
        <f>生データ!K413</f>
        <v>0</v>
      </c>
      <c r="L305">
        <f>生データ!L413</f>
        <v>2.8</v>
      </c>
      <c r="M305">
        <f>生データ!M413</f>
        <v>1.2</v>
      </c>
      <c r="N305">
        <f>生データ!N413</f>
        <v>0</v>
      </c>
      <c r="O305">
        <f>生データ!O413</f>
        <v>0</v>
      </c>
      <c r="P305" t="str">
        <f>生データ!P413</f>
        <v>L</v>
      </c>
      <c r="Q305">
        <f>生データ!Q413</f>
        <v>0</v>
      </c>
      <c r="R305">
        <f>生データ!R413</f>
        <v>0</v>
      </c>
      <c r="S305">
        <f>生データ!S413</f>
        <v>0</v>
      </c>
      <c r="T305">
        <f>生データ!T413</f>
        <v>2.27</v>
      </c>
      <c r="U305">
        <f>生データ!U413</f>
        <v>2.8647889756541161</v>
      </c>
      <c r="V305">
        <f>COUNTIF(怪しいデータを手直し!F$2:F$701,Sheet5!F305)</f>
        <v>1</v>
      </c>
    </row>
    <row r="306" spans="1:22">
      <c r="A306">
        <f>生データ!A414</f>
        <v>30</v>
      </c>
      <c r="B306">
        <f>生データ!B414</f>
        <v>-20</v>
      </c>
      <c r="C306">
        <f>生データ!C414</f>
        <v>30.008426910538304</v>
      </c>
      <c r="D306">
        <f>生データ!D414</f>
        <v>-12.921740439865401</v>
      </c>
      <c r="E306">
        <f>生データ!E414</f>
        <v>0</v>
      </c>
      <c r="F306">
        <f>IF(生データ!E414="Wr",3000+生データ!F414,IF(生データ!E414="Wb",4000+生データ!F414,生データ!F414))</f>
        <v>534</v>
      </c>
      <c r="G306" t="str">
        <f>生データ!G414</f>
        <v>bp</v>
      </c>
      <c r="H306">
        <f>生データ!H414</f>
        <v>0</v>
      </c>
      <c r="I306">
        <f>生データ!I414</f>
        <v>2.2799999999999998</v>
      </c>
      <c r="J306">
        <f>生データ!J414</f>
        <v>0</v>
      </c>
      <c r="K306">
        <f>生データ!K414</f>
        <v>25.7</v>
      </c>
      <c r="L306">
        <f>生データ!L414</f>
        <v>4</v>
      </c>
      <c r="M306">
        <f>生データ!M414</f>
        <v>1.6</v>
      </c>
      <c r="N306">
        <f>生データ!N414</f>
        <v>0</v>
      </c>
      <c r="O306">
        <f>生データ!O414</f>
        <v>0</v>
      </c>
      <c r="P306" t="str">
        <f>生データ!P414</f>
        <v>L</v>
      </c>
      <c r="Q306">
        <f>生データ!Q414</f>
        <v>0</v>
      </c>
      <c r="R306">
        <f>生データ!R414</f>
        <v>0</v>
      </c>
      <c r="S306">
        <f>生データ!S414</f>
        <v>0</v>
      </c>
      <c r="T306">
        <f>生データ!T414</f>
        <v>2.2799999999999998</v>
      </c>
      <c r="U306">
        <f>生データ!U414</f>
        <v>25.7</v>
      </c>
      <c r="V306">
        <f>COUNTIF(怪しいデータを手直し!F$2:F$701,Sheet5!F306)</f>
        <v>1</v>
      </c>
    </row>
    <row r="307" spans="1:22">
      <c r="A307">
        <f>生データ!A415</f>
        <v>20</v>
      </c>
      <c r="B307">
        <f>生データ!B415</f>
        <v>10</v>
      </c>
      <c r="C307">
        <f>生データ!C415</f>
        <v>21.713553925037083</v>
      </c>
      <c r="D307">
        <f>生データ!D415</f>
        <v>11.604164465655854</v>
      </c>
      <c r="E307">
        <f>生データ!E415</f>
        <v>0</v>
      </c>
      <c r="F307">
        <f>IF(生データ!E415="Wr",3000+生データ!F415,IF(生データ!E415="Wb",4000+生データ!F415,生データ!F415))</f>
        <v>147</v>
      </c>
      <c r="G307" t="str">
        <f>生データ!G415</f>
        <v>bp</v>
      </c>
      <c r="H307">
        <f>生データ!H415</f>
        <v>0</v>
      </c>
      <c r="I307">
        <f>生データ!I415</f>
        <v>2.29</v>
      </c>
      <c r="J307">
        <f>生データ!J415</f>
        <v>7.7</v>
      </c>
      <c r="K307">
        <f>生データ!K415</f>
        <v>0</v>
      </c>
      <c r="L307">
        <f>生データ!L415</f>
        <v>2</v>
      </c>
      <c r="M307">
        <f>生データ!M415</f>
        <v>1.5</v>
      </c>
      <c r="N307">
        <f>生データ!N415</f>
        <v>0</v>
      </c>
      <c r="O307">
        <f>生データ!O415</f>
        <v>0</v>
      </c>
      <c r="P307" t="str">
        <f>生データ!P415</f>
        <v>L</v>
      </c>
      <c r="Q307">
        <f>生データ!Q415</f>
        <v>0</v>
      </c>
      <c r="R307">
        <f>生データ!R415</f>
        <v>0</v>
      </c>
      <c r="S307">
        <f>生データ!S415</f>
        <v>0</v>
      </c>
      <c r="T307">
        <f>生データ!T415</f>
        <v>2.29</v>
      </c>
      <c r="U307">
        <f>生データ!U415</f>
        <v>2.4509861236151882</v>
      </c>
      <c r="V307">
        <f>COUNTIF(怪しいデータを手直し!F$2:F$701,Sheet5!F307)</f>
        <v>1</v>
      </c>
    </row>
    <row r="308" spans="1:22">
      <c r="A308">
        <f>生データ!A416</f>
        <v>30</v>
      </c>
      <c r="B308">
        <f>生データ!B416</f>
        <v>10</v>
      </c>
      <c r="C308">
        <f>生データ!C416</f>
        <v>36.716514801527289</v>
      </c>
      <c r="D308">
        <f>生データ!D416</f>
        <v>18.175163316659585</v>
      </c>
      <c r="E308">
        <f>生データ!E416</f>
        <v>0</v>
      </c>
      <c r="F308">
        <f>IF(生データ!E416="Wr",3000+生データ!F416,IF(生データ!E416="Wb",4000+生データ!F416,生データ!F416))</f>
        <v>215</v>
      </c>
      <c r="G308" t="str">
        <f>生データ!G416</f>
        <v>lc</v>
      </c>
      <c r="H308">
        <f>生データ!H416</f>
        <v>0</v>
      </c>
      <c r="I308">
        <f>生データ!I416</f>
        <v>2.2999999999999998</v>
      </c>
      <c r="J308">
        <f>生データ!J416</f>
        <v>9.1</v>
      </c>
      <c r="K308">
        <f>生データ!K416</f>
        <v>0</v>
      </c>
      <c r="L308">
        <f>生データ!L416</f>
        <v>3</v>
      </c>
      <c r="M308">
        <f>生データ!M416</f>
        <v>0.2</v>
      </c>
      <c r="N308">
        <f>生データ!N416</f>
        <v>0</v>
      </c>
      <c r="O308">
        <f>生データ!O416</f>
        <v>0</v>
      </c>
      <c r="P308" t="str">
        <f>生データ!P416</f>
        <v>L</v>
      </c>
      <c r="Q308">
        <f>生データ!Q416</f>
        <v>0</v>
      </c>
      <c r="R308">
        <f>生データ!R416</f>
        <v>0</v>
      </c>
      <c r="S308">
        <f>生データ!S416</f>
        <v>0</v>
      </c>
      <c r="T308">
        <f>生データ!T416</f>
        <v>2.2999999999999998</v>
      </c>
      <c r="U308">
        <f>生データ!U416</f>
        <v>2.896619964272495</v>
      </c>
      <c r="V308">
        <f>COUNTIF(怪しいデータを手直し!F$2:F$701,Sheet5!F308)</f>
        <v>1</v>
      </c>
    </row>
    <row r="309" spans="1:22">
      <c r="A309">
        <f>生データ!A417</f>
        <v>30</v>
      </c>
      <c r="B309">
        <f>生データ!B417</f>
        <v>-30</v>
      </c>
      <c r="C309">
        <f>生データ!C417</f>
        <v>33.740755386689855</v>
      </c>
      <c r="D309">
        <f>生データ!D417</f>
        <v>-22.590221831610339</v>
      </c>
      <c r="E309">
        <f>生データ!E417</f>
        <v>0</v>
      </c>
      <c r="F309">
        <f>IF(生データ!E417="Wr",3000+生データ!F417,IF(生データ!E417="Wb",4000+生データ!F417,生データ!F417))</f>
        <v>661</v>
      </c>
      <c r="G309" t="str">
        <f>生データ!G417</f>
        <v>pt</v>
      </c>
      <c r="H309">
        <f>生データ!H417</f>
        <v>0</v>
      </c>
      <c r="I309">
        <f>生データ!I417</f>
        <v>2.2999999999999998</v>
      </c>
      <c r="J309">
        <f>生データ!J417</f>
        <v>11</v>
      </c>
      <c r="K309">
        <f>生データ!K417</f>
        <v>0</v>
      </c>
      <c r="L309">
        <f>生データ!L417</f>
        <v>4.0999999999999996</v>
      </c>
      <c r="M309">
        <f>生データ!M417</f>
        <v>0.9</v>
      </c>
      <c r="N309">
        <f>生データ!N417</f>
        <v>0</v>
      </c>
      <c r="O309">
        <f>生データ!O417</f>
        <v>0</v>
      </c>
      <c r="P309" t="str">
        <f>生データ!P417</f>
        <v>L</v>
      </c>
      <c r="Q309">
        <f>生データ!Q417</f>
        <v>0</v>
      </c>
      <c r="R309">
        <f>生データ!R417</f>
        <v>0</v>
      </c>
      <c r="S309" t="str">
        <f>生データ!S417</f>
        <v>NewNo 772</v>
      </c>
      <c r="T309">
        <f>生データ!T417</f>
        <v>2.2999999999999998</v>
      </c>
      <c r="U309">
        <f>生データ!U417</f>
        <v>3.5014087480216975</v>
      </c>
      <c r="V309">
        <f>COUNTIF(怪しいデータを手直し!F$2:F$701,Sheet5!F309)</f>
        <v>1</v>
      </c>
    </row>
    <row r="310" spans="1:22">
      <c r="A310">
        <f>生データ!A418</f>
        <v>10</v>
      </c>
      <c r="B310">
        <f>生データ!B418</f>
        <v>20</v>
      </c>
      <c r="C310">
        <f>生データ!C418</f>
        <v>17.684763959829091</v>
      </c>
      <c r="D310">
        <f>生データ!D418</f>
        <v>23.662338554138607</v>
      </c>
      <c r="E310">
        <f>生データ!E418</f>
        <v>0</v>
      </c>
      <c r="F310">
        <f>IF(生データ!E418="Wr",3000+生データ!F418,IF(生データ!E418="Wb",4000+生データ!F418,生データ!F418))</f>
        <v>100</v>
      </c>
      <c r="G310" t="str">
        <f>生データ!G418</f>
        <v>lc</v>
      </c>
      <c r="H310">
        <f>生データ!H418</f>
        <v>0</v>
      </c>
      <c r="I310">
        <f>生データ!I418</f>
        <v>2.31</v>
      </c>
      <c r="J310" t="str">
        <f>生データ!J418</f>
        <v>dead</v>
      </c>
      <c r="K310">
        <f>生データ!K418</f>
        <v>0</v>
      </c>
      <c r="L310">
        <f>生データ!L418</f>
        <v>2.9</v>
      </c>
      <c r="M310">
        <f>生データ!M418</f>
        <v>0</v>
      </c>
      <c r="N310">
        <f>生データ!N418</f>
        <v>0</v>
      </c>
      <c r="O310">
        <f>生データ!O418</f>
        <v>0</v>
      </c>
      <c r="P310" t="str">
        <f>生データ!P418</f>
        <v>D</v>
      </c>
      <c r="Q310">
        <f>生データ!Q418</f>
        <v>0</v>
      </c>
      <c r="R310">
        <f>生データ!R418</f>
        <v>0</v>
      </c>
      <c r="S310">
        <f>生データ!S418</f>
        <v>0</v>
      </c>
      <c r="T310">
        <f>生データ!T418</f>
        <v>2.31</v>
      </c>
      <c r="U310" t="str">
        <f>生データ!U418</f>
        <v>dead</v>
      </c>
      <c r="V310">
        <f>COUNTIF(怪しいデータを手直し!F$2:F$701,Sheet5!F310)</f>
        <v>1</v>
      </c>
    </row>
    <row r="311" spans="1:22">
      <c r="A311">
        <f>生データ!A419</f>
        <v>0</v>
      </c>
      <c r="B311">
        <f>生データ!B419</f>
        <v>40</v>
      </c>
      <c r="C311">
        <f>生データ!C419</f>
        <v>6.9471554421474488</v>
      </c>
      <c r="D311">
        <f>生データ!D419</f>
        <v>41.768314846644444</v>
      </c>
      <c r="E311">
        <f>生データ!E419</f>
        <v>0</v>
      </c>
      <c r="F311">
        <f>IF(生データ!E419="Wr",3000+生データ!F419,IF(生データ!E419="Wb",4000+生データ!F419,生データ!F419))</f>
        <v>63</v>
      </c>
      <c r="G311" t="str">
        <f>生データ!G419</f>
        <v>lc</v>
      </c>
      <c r="H311">
        <f>生データ!H419</f>
        <v>0</v>
      </c>
      <c r="I311">
        <f>生データ!I419</f>
        <v>2.3199999999999998</v>
      </c>
      <c r="J311">
        <f>生データ!J419</f>
        <v>0</v>
      </c>
      <c r="K311">
        <f>生データ!K419</f>
        <v>24.8</v>
      </c>
      <c r="L311">
        <f>生データ!L419</f>
        <v>2.9</v>
      </c>
      <c r="M311">
        <f>生データ!M419</f>
        <v>0.3</v>
      </c>
      <c r="N311">
        <f>生データ!N419</f>
        <v>0</v>
      </c>
      <c r="O311">
        <f>生データ!O419</f>
        <v>0</v>
      </c>
      <c r="P311" t="str">
        <f>生データ!P419</f>
        <v>L</v>
      </c>
      <c r="Q311">
        <f>生データ!Q419</f>
        <v>0</v>
      </c>
      <c r="R311">
        <f>生データ!R419</f>
        <v>0</v>
      </c>
      <c r="S311">
        <f>生データ!S419</f>
        <v>0</v>
      </c>
      <c r="T311">
        <f>生データ!T419</f>
        <v>2.3199999999999998</v>
      </c>
      <c r="U311">
        <f>生データ!U419</f>
        <v>24.8</v>
      </c>
      <c r="V311">
        <f>COUNTIF(怪しいデータを手直し!F$2:F$701,Sheet5!F311)</f>
        <v>1</v>
      </c>
    </row>
    <row r="312" spans="1:22">
      <c r="A312">
        <f>生データ!A420</f>
        <v>10</v>
      </c>
      <c r="B312">
        <f>生データ!B420</f>
        <v>-30</v>
      </c>
      <c r="C312">
        <f>生データ!C420</f>
        <v>16.213479815213489</v>
      </c>
      <c r="D312">
        <f>生データ!D420</f>
        <v>-22.804634796887598</v>
      </c>
      <c r="E312">
        <f>生データ!E420</f>
        <v>0</v>
      </c>
      <c r="F312">
        <f>IF(生データ!E420="Wr",3000+生データ!F420,IF(生データ!E420="Wb",4000+生データ!F420,生データ!F420))</f>
        <v>622</v>
      </c>
      <c r="G312" t="str">
        <f>生データ!G420</f>
        <v>lc</v>
      </c>
      <c r="H312">
        <f>生データ!H420</f>
        <v>0</v>
      </c>
      <c r="I312">
        <f>生データ!I420</f>
        <v>2.3199999999999998</v>
      </c>
      <c r="J312" t="str">
        <f>生データ!J420</f>
        <v>dead</v>
      </c>
      <c r="K312">
        <f>生データ!K420</f>
        <v>0</v>
      </c>
      <c r="L312">
        <f>生データ!L420</f>
        <v>3.3</v>
      </c>
      <c r="M312">
        <f>生データ!M420</f>
        <v>0.1</v>
      </c>
      <c r="N312">
        <f>生データ!N420</f>
        <v>0</v>
      </c>
      <c r="O312">
        <f>生データ!O420</f>
        <v>0</v>
      </c>
      <c r="P312" t="str">
        <f>生データ!P420</f>
        <v>L</v>
      </c>
      <c r="Q312">
        <f>生データ!Q420</f>
        <v>0</v>
      </c>
      <c r="R312">
        <f>生データ!R420</f>
        <v>0</v>
      </c>
      <c r="S312">
        <f>生データ!S420</f>
        <v>0</v>
      </c>
      <c r="T312">
        <f>生データ!T420</f>
        <v>2.3199999999999998</v>
      </c>
      <c r="U312" t="str">
        <f>生データ!U420</f>
        <v>dead</v>
      </c>
      <c r="V312">
        <f>COUNTIF(怪しいデータを手直し!F$2:F$701,Sheet5!F312)</f>
        <v>1</v>
      </c>
    </row>
    <row r="313" spans="1:22">
      <c r="A313">
        <f>生データ!A421</f>
        <v>40</v>
      </c>
      <c r="B313">
        <f>生データ!B421</f>
        <v>-20</v>
      </c>
      <c r="C313">
        <f>生データ!C421</f>
        <v>49.246140094845508</v>
      </c>
      <c r="D313">
        <f>生データ!D421</f>
        <v>-16.426234772126698</v>
      </c>
      <c r="E313">
        <f>生データ!E421</f>
        <v>0</v>
      </c>
      <c r="F313">
        <f>IF(生データ!E421="Wr",3000+生データ!F421,IF(生データ!E421="Wb",4000+生データ!F421,生データ!F421))</f>
        <v>509</v>
      </c>
      <c r="G313" t="str">
        <f>生データ!G421</f>
        <v>bp</v>
      </c>
      <c r="H313">
        <f>生データ!H421</f>
        <v>0</v>
      </c>
      <c r="I313">
        <f>生データ!I421</f>
        <v>2.33</v>
      </c>
      <c r="J313">
        <f>生データ!J421</f>
        <v>0</v>
      </c>
      <c r="K313">
        <f>生データ!K421</f>
        <v>24.8</v>
      </c>
      <c r="L313">
        <f>生データ!L421</f>
        <v>3.6</v>
      </c>
      <c r="M313">
        <f>生データ!M421</f>
        <v>1.5</v>
      </c>
      <c r="N313">
        <f>生データ!N421</f>
        <v>0</v>
      </c>
      <c r="O313">
        <f>生データ!O421</f>
        <v>0</v>
      </c>
      <c r="P313" t="str">
        <f>生データ!P421</f>
        <v>L</v>
      </c>
      <c r="Q313">
        <f>生データ!Q421</f>
        <v>0</v>
      </c>
      <c r="R313">
        <f>生データ!R421</f>
        <v>0</v>
      </c>
      <c r="S313">
        <f>生データ!S421</f>
        <v>0</v>
      </c>
      <c r="T313">
        <f>生データ!T421</f>
        <v>2.33</v>
      </c>
      <c r="U313">
        <f>生データ!U421</f>
        <v>24.8</v>
      </c>
      <c r="V313">
        <f>COUNTIF(怪しいデータを手直し!F$2:F$701,Sheet5!F313)</f>
        <v>1</v>
      </c>
    </row>
    <row r="314" spans="1:22">
      <c r="A314">
        <f>生データ!A422</f>
        <v>30</v>
      </c>
      <c r="B314">
        <f>生データ!B422</f>
        <v>0</v>
      </c>
      <c r="C314">
        <f>生データ!C422</f>
        <v>33.713362604392707</v>
      </c>
      <c r="D314">
        <f>生データ!D422</f>
        <v>9.4955824508264737</v>
      </c>
      <c r="E314">
        <f>生データ!E422</f>
        <v>0</v>
      </c>
      <c r="F314">
        <f>IF(生データ!E422="Wr",3000+生データ!F422,IF(生データ!E422="Wb",4000+生データ!F422,生データ!F422))</f>
        <v>250</v>
      </c>
      <c r="G314" t="str">
        <f>生データ!G422</f>
        <v>bp</v>
      </c>
      <c r="H314">
        <f>生データ!H422</f>
        <v>0</v>
      </c>
      <c r="I314">
        <f>生データ!I422</f>
        <v>2.34</v>
      </c>
      <c r="J314" t="str">
        <f>生データ!J422</f>
        <v>dead</v>
      </c>
      <c r="K314">
        <f>生データ!K422</f>
        <v>0</v>
      </c>
      <c r="L314">
        <f>生データ!L422</f>
        <v>2.4</v>
      </c>
      <c r="M314">
        <f>生データ!M422</f>
        <v>1.6</v>
      </c>
      <c r="N314">
        <f>生データ!N422</f>
        <v>0</v>
      </c>
      <c r="O314">
        <f>生データ!O422</f>
        <v>0</v>
      </c>
      <c r="P314" t="str">
        <f>生データ!P422</f>
        <v>L</v>
      </c>
      <c r="Q314">
        <f>生データ!Q422</f>
        <v>0</v>
      </c>
      <c r="R314">
        <f>生データ!R422</f>
        <v>0</v>
      </c>
      <c r="S314">
        <f>生データ!S422</f>
        <v>0</v>
      </c>
      <c r="T314">
        <f>生データ!T422</f>
        <v>2.34</v>
      </c>
      <c r="U314" t="str">
        <f>生データ!U422</f>
        <v>dead</v>
      </c>
      <c r="V314">
        <f>COUNTIF(怪しいデータを手直し!F$2:F$701,Sheet5!F314)</f>
        <v>1</v>
      </c>
    </row>
    <row r="315" spans="1:22">
      <c r="A315">
        <f>生データ!A423</f>
        <v>30</v>
      </c>
      <c r="B315">
        <f>生データ!B423</f>
        <v>-10</v>
      </c>
      <c r="C315">
        <f>生データ!C423</f>
        <v>39.40833443356302</v>
      </c>
      <c r="D315">
        <f>生データ!D423</f>
        <v>-8.7311690981486905</v>
      </c>
      <c r="E315">
        <f>生データ!E423</f>
        <v>0</v>
      </c>
      <c r="F315">
        <f>IF(生データ!E423="Wr",3000+生データ!F423,IF(生データ!E423="Wb",4000+生データ!F423,生データ!F423))</f>
        <v>445</v>
      </c>
      <c r="G315" t="str">
        <f>生データ!G423</f>
        <v>pt</v>
      </c>
      <c r="H315">
        <f>生データ!H423</f>
        <v>0</v>
      </c>
      <c r="I315">
        <f>生データ!I423</f>
        <v>2.34</v>
      </c>
      <c r="J315">
        <f>生データ!J423</f>
        <v>9</v>
      </c>
      <c r="K315">
        <f>生データ!K423</f>
        <v>0</v>
      </c>
      <c r="L315">
        <f>生データ!L423</f>
        <v>4.3</v>
      </c>
      <c r="M315">
        <f>生データ!M423</f>
        <v>1</v>
      </c>
      <c r="N315">
        <f>生データ!N423</f>
        <v>0</v>
      </c>
      <c r="O315">
        <f>生データ!O423</f>
        <v>0</v>
      </c>
      <c r="P315" t="str">
        <f>生データ!P423</f>
        <v>L</v>
      </c>
      <c r="Q315">
        <f>生データ!Q423</f>
        <v>0</v>
      </c>
      <c r="R315">
        <f>生データ!R423</f>
        <v>0</v>
      </c>
      <c r="S315" t="str">
        <f>生データ!S423</f>
        <v>寝返り</v>
      </c>
      <c r="T315">
        <f>生データ!T423</f>
        <v>2.34</v>
      </c>
      <c r="U315">
        <f>生データ!U423</f>
        <v>2.8647889756541161</v>
      </c>
      <c r="V315">
        <f>COUNTIF(怪しいデータを手直し!F$2:F$701,Sheet5!F315)</f>
        <v>1</v>
      </c>
    </row>
    <row r="316" spans="1:22">
      <c r="A316">
        <f>生データ!A424</f>
        <v>30</v>
      </c>
      <c r="B316">
        <f>生データ!B424</f>
        <v>-20</v>
      </c>
      <c r="C316">
        <f>生データ!C424</f>
        <v>30.102245775782585</v>
      </c>
      <c r="D316">
        <f>生データ!D424</f>
        <v>-13.026047143880325</v>
      </c>
      <c r="E316">
        <f>生データ!E424</f>
        <v>0</v>
      </c>
      <c r="F316">
        <f>IF(生データ!E424="Wr",3000+生データ!F424,IF(生データ!E424="Wb",4000+生データ!F424,生データ!F424))</f>
        <v>529</v>
      </c>
      <c r="G316" t="str">
        <f>生データ!G424</f>
        <v>bp</v>
      </c>
      <c r="H316">
        <f>生データ!H424</f>
        <v>0</v>
      </c>
      <c r="I316">
        <f>生データ!I424</f>
        <v>2.34</v>
      </c>
      <c r="J316">
        <f>生データ!J424</f>
        <v>0</v>
      </c>
      <c r="K316">
        <f>生データ!K424</f>
        <v>25.7</v>
      </c>
      <c r="L316">
        <f>生データ!L424</f>
        <v>2.8</v>
      </c>
      <c r="M316">
        <f>生データ!M424</f>
        <v>2</v>
      </c>
      <c r="N316">
        <f>生データ!N424</f>
        <v>0</v>
      </c>
      <c r="O316">
        <f>生データ!O424</f>
        <v>0</v>
      </c>
      <c r="P316" t="str">
        <f>生データ!P424</f>
        <v>L</v>
      </c>
      <c r="Q316">
        <f>生データ!Q424</f>
        <v>0</v>
      </c>
      <c r="R316">
        <f>生データ!R424</f>
        <v>0</v>
      </c>
      <c r="S316">
        <f>生データ!S424</f>
        <v>0</v>
      </c>
      <c r="T316">
        <f>生データ!T424</f>
        <v>2.34</v>
      </c>
      <c r="U316">
        <f>生データ!U424</f>
        <v>25.7</v>
      </c>
      <c r="V316">
        <f>COUNTIF(怪しいデータを手直し!F$2:F$701,Sheet5!F316)</f>
        <v>1</v>
      </c>
    </row>
    <row r="317" spans="1:22">
      <c r="A317">
        <f>生データ!A425</f>
        <v>0</v>
      </c>
      <c r="B317">
        <f>生データ!B425</f>
        <v>40</v>
      </c>
      <c r="C317">
        <f>生データ!C425</f>
        <v>8.5582568356338165</v>
      </c>
      <c r="D317">
        <f>生データ!D425</f>
        <v>40.55989153510609</v>
      </c>
      <c r="E317">
        <f>生データ!E425</f>
        <v>0</v>
      </c>
      <c r="F317">
        <f>IF(生データ!E425="Wr",3000+生データ!F425,IF(生データ!E425="Wb",4000+生データ!F425,生データ!F425))</f>
        <v>61</v>
      </c>
      <c r="G317" t="str">
        <f>生データ!G425</f>
        <v>lc</v>
      </c>
      <c r="H317">
        <f>生データ!H425</f>
        <v>0</v>
      </c>
      <c r="I317">
        <f>生データ!I425</f>
        <v>2.35</v>
      </c>
      <c r="J317" t="str">
        <f>生データ!J425</f>
        <v>dead</v>
      </c>
      <c r="K317">
        <f>生データ!K425</f>
        <v>0</v>
      </c>
      <c r="L317">
        <f>生データ!L425</f>
        <v>3.2</v>
      </c>
      <c r="M317">
        <f>生データ!M425</f>
        <v>0.6</v>
      </c>
      <c r="N317">
        <f>生データ!N425</f>
        <v>0</v>
      </c>
      <c r="O317">
        <f>生データ!O425</f>
        <v>0</v>
      </c>
      <c r="P317" t="str">
        <f>生データ!P425</f>
        <v>L</v>
      </c>
      <c r="Q317">
        <f>生データ!Q425</f>
        <v>0</v>
      </c>
      <c r="R317">
        <f>生データ!R425</f>
        <v>0</v>
      </c>
      <c r="S317">
        <f>生データ!S425</f>
        <v>0</v>
      </c>
      <c r="T317">
        <f>生データ!T425</f>
        <v>2.35</v>
      </c>
      <c r="U317" t="str">
        <f>生データ!U425</f>
        <v>dead</v>
      </c>
      <c r="V317">
        <f>COUNTIF(怪しいデータを手直し!F$2:F$701,Sheet5!F317)</f>
        <v>1</v>
      </c>
    </row>
    <row r="318" spans="1:22">
      <c r="A318">
        <f>生データ!A426</f>
        <v>40</v>
      </c>
      <c r="B318">
        <f>生データ!B426</f>
        <v>30</v>
      </c>
      <c r="C318">
        <f>生データ!C426</f>
        <v>49.01626407235689</v>
      </c>
      <c r="D318">
        <f>生データ!D426</f>
        <v>31.365860574170455</v>
      </c>
      <c r="E318">
        <f>生データ!E426</f>
        <v>0</v>
      </c>
      <c r="F318">
        <f>IF(生データ!E426="Wr",3000+生データ!F426,IF(生データ!E426="Wb",4000+生データ!F426,生データ!F426))</f>
        <v>330</v>
      </c>
      <c r="G318" t="str">
        <f>生データ!G426</f>
        <v>af</v>
      </c>
      <c r="H318">
        <f>生データ!H426</f>
        <v>0</v>
      </c>
      <c r="I318">
        <f>生データ!I426</f>
        <v>2.35</v>
      </c>
      <c r="J318">
        <f>生データ!J426</f>
        <v>8.6</v>
      </c>
      <c r="K318">
        <f>生データ!K426</f>
        <v>0</v>
      </c>
      <c r="L318">
        <f>生データ!L426</f>
        <v>3.4</v>
      </c>
      <c r="M318">
        <f>生データ!M426</f>
        <v>1.2</v>
      </c>
      <c r="N318">
        <f>生データ!N426</f>
        <v>0</v>
      </c>
      <c r="O318">
        <f>生データ!O426</f>
        <v>0</v>
      </c>
      <c r="P318" t="str">
        <f>生データ!P426</f>
        <v>L</v>
      </c>
      <c r="Q318">
        <f>生データ!Q426</f>
        <v>0</v>
      </c>
      <c r="R318">
        <f>生データ!R426</f>
        <v>0</v>
      </c>
      <c r="S318">
        <f>生データ!S426</f>
        <v>0</v>
      </c>
      <c r="T318">
        <f>生データ!T426</f>
        <v>2.35</v>
      </c>
      <c r="U318">
        <f>生データ!U426</f>
        <v>2.7374650211805998</v>
      </c>
      <c r="V318">
        <f>COUNTIF(怪しいデータを手直し!F$2:F$701,Sheet5!F318)</f>
        <v>1</v>
      </c>
    </row>
    <row r="319" spans="1:22">
      <c r="A319">
        <f>生データ!A427</f>
        <v>30</v>
      </c>
      <c r="B319">
        <f>生データ!B427</f>
        <v>-10</v>
      </c>
      <c r="C319">
        <f>生データ!C427</f>
        <v>32.809033307619565</v>
      </c>
      <c r="D319">
        <f>生データ!D427</f>
        <v>-4.19762134732012</v>
      </c>
      <c r="E319">
        <f>生データ!E427</f>
        <v>0</v>
      </c>
      <c r="F319">
        <f>IF(生データ!E427="Wr",3000+生データ!F427,IF(生データ!E427="Wb",4000+生データ!F427,生データ!F427))</f>
        <v>424</v>
      </c>
      <c r="G319" t="str">
        <f>生データ!G427</f>
        <v>bp</v>
      </c>
      <c r="H319">
        <f>生データ!H427</f>
        <v>0</v>
      </c>
      <c r="I319">
        <f>生データ!I427</f>
        <v>2.36</v>
      </c>
      <c r="J319">
        <f>生データ!J427</f>
        <v>0</v>
      </c>
      <c r="K319">
        <f>生データ!K427</f>
        <v>26.5</v>
      </c>
      <c r="L319">
        <f>生データ!L427</f>
        <v>4.8</v>
      </c>
      <c r="M319">
        <f>生データ!M427</f>
        <v>1.7</v>
      </c>
      <c r="N319">
        <f>生データ!N427</f>
        <v>0</v>
      </c>
      <c r="O319">
        <f>生データ!O427</f>
        <v>0</v>
      </c>
      <c r="P319" t="str">
        <f>生データ!P427</f>
        <v>L</v>
      </c>
      <c r="Q319">
        <f>生データ!Q427</f>
        <v>0</v>
      </c>
      <c r="R319">
        <f>生データ!R427</f>
        <v>0</v>
      </c>
      <c r="S319">
        <f>生データ!S427</f>
        <v>0</v>
      </c>
      <c r="T319">
        <f>生データ!T427</f>
        <v>2.36</v>
      </c>
      <c r="U319">
        <f>生データ!U427</f>
        <v>26.5</v>
      </c>
      <c r="V319">
        <f>COUNTIF(怪しいデータを手直し!F$2:F$701,Sheet5!F319)</f>
        <v>1</v>
      </c>
    </row>
    <row r="320" spans="1:22">
      <c r="A320">
        <f>生データ!A428</f>
        <v>20</v>
      </c>
      <c r="B320">
        <f>生データ!B428</f>
        <v>40</v>
      </c>
      <c r="C320">
        <f>生データ!C428</f>
        <v>26.402940262221591</v>
      </c>
      <c r="D320">
        <f>生データ!D428</f>
        <v>47.576856604055649</v>
      </c>
      <c r="E320">
        <f>生データ!E428</f>
        <v>0</v>
      </c>
      <c r="F320">
        <f>IF(生データ!E428="Wr",3000+生データ!F428,IF(生データ!E428="Wb",4000+生データ!F428,生データ!F428))</f>
        <v>196</v>
      </c>
      <c r="G320" t="str">
        <f>生データ!G428</f>
        <v>bp</v>
      </c>
      <c r="H320">
        <f>生データ!H428</f>
        <v>0</v>
      </c>
      <c r="I320">
        <f>生データ!I428</f>
        <v>2.38</v>
      </c>
      <c r="J320" t="str">
        <f>生データ!J428</f>
        <v>dead</v>
      </c>
      <c r="K320">
        <f>生データ!K428</f>
        <v>0</v>
      </c>
      <c r="L320">
        <f>生データ!L428</f>
        <v>3.2</v>
      </c>
      <c r="M320">
        <f>生データ!M428</f>
        <v>0</v>
      </c>
      <c r="N320">
        <f>生データ!N428</f>
        <v>0</v>
      </c>
      <c r="O320">
        <f>生データ!O428</f>
        <v>0</v>
      </c>
      <c r="P320" t="str">
        <f>生データ!P428</f>
        <v>D</v>
      </c>
      <c r="Q320">
        <f>生データ!Q428</f>
        <v>0</v>
      </c>
      <c r="R320">
        <f>生データ!R428</f>
        <v>0</v>
      </c>
      <c r="S320" t="str">
        <f>生データ!S428</f>
        <v>倒れ</v>
      </c>
      <c r="T320">
        <f>生データ!T428</f>
        <v>2.38</v>
      </c>
      <c r="U320" t="str">
        <f>生データ!U428</f>
        <v>dead</v>
      </c>
      <c r="V320">
        <f>COUNTIF(怪しいデータを手直し!F$2:F$701,Sheet5!F320)</f>
        <v>1</v>
      </c>
    </row>
    <row r="321" spans="1:22">
      <c r="A321">
        <f>生データ!A429</f>
        <v>20</v>
      </c>
      <c r="B321">
        <f>生データ!B429</f>
        <v>-30</v>
      </c>
      <c r="C321">
        <f>生データ!C429</f>
        <v>20.134595844127755</v>
      </c>
      <c r="D321">
        <f>生データ!D429</f>
        <v>-22.386692447991294</v>
      </c>
      <c r="E321">
        <f>生データ!E429</f>
        <v>0</v>
      </c>
      <c r="F321">
        <f>IF(生データ!E429="Wr",3000+生データ!F429,IF(生データ!E429="Wb",4000+生データ!F429,生データ!F429))</f>
        <v>631</v>
      </c>
      <c r="G321" t="str">
        <f>生データ!G429</f>
        <v>lc</v>
      </c>
      <c r="H321">
        <f>生データ!H429</f>
        <v>0</v>
      </c>
      <c r="I321">
        <f>生データ!I429</f>
        <v>2.39</v>
      </c>
      <c r="J321">
        <f>生データ!J429</f>
        <v>10.199999999999999</v>
      </c>
      <c r="K321">
        <f>生データ!K429</f>
        <v>0</v>
      </c>
      <c r="L321">
        <f>生データ!L429</f>
        <v>3.6</v>
      </c>
      <c r="M321">
        <f>生データ!M429</f>
        <v>0.3</v>
      </c>
      <c r="N321">
        <f>生データ!N429</f>
        <v>0</v>
      </c>
      <c r="O321">
        <f>生データ!O429</f>
        <v>0</v>
      </c>
      <c r="P321" t="str">
        <f>生データ!P429</f>
        <v>L</v>
      </c>
      <c r="Q321">
        <f>生データ!Q429</f>
        <v>0</v>
      </c>
      <c r="R321">
        <f>生データ!R429</f>
        <v>0</v>
      </c>
      <c r="S321">
        <f>生データ!S429</f>
        <v>0</v>
      </c>
      <c r="T321">
        <f>生データ!T429</f>
        <v>2.39</v>
      </c>
      <c r="U321">
        <f>生データ!U429</f>
        <v>3.246760839074665</v>
      </c>
      <c r="V321">
        <f>COUNTIF(怪しいデータを手直し!F$2:F$701,Sheet5!F321)</f>
        <v>1</v>
      </c>
    </row>
    <row r="322" spans="1:22">
      <c r="A322">
        <f>生データ!A430</f>
        <v>30</v>
      </c>
      <c r="B322">
        <f>生データ!B430</f>
        <v>30</v>
      </c>
      <c r="C322">
        <f>生データ!C430</f>
        <v>38.369831897088261</v>
      </c>
      <c r="D322">
        <f>生データ!D430</f>
        <v>35.037619958440359</v>
      </c>
      <c r="E322">
        <f>生データ!E430</f>
        <v>0</v>
      </c>
      <c r="F322">
        <f>IF(生データ!E430="Wr",3000+生データ!F430,IF(生データ!E430="Wb",4000+生データ!F430,生データ!F430))</f>
        <v>205</v>
      </c>
      <c r="G322" t="str">
        <f>生データ!G430</f>
        <v>lc</v>
      </c>
      <c r="H322">
        <f>生データ!H430</f>
        <v>0</v>
      </c>
      <c r="I322">
        <f>生データ!I430</f>
        <v>2.41</v>
      </c>
      <c r="J322">
        <f>生データ!J430</f>
        <v>11.8</v>
      </c>
      <c r="K322">
        <f>生データ!K430</f>
        <v>0</v>
      </c>
      <c r="L322">
        <f>生データ!L430</f>
        <v>2.8</v>
      </c>
      <c r="M322">
        <f>生データ!M430</f>
        <v>0.9</v>
      </c>
      <c r="N322">
        <f>生データ!N430</f>
        <v>0</v>
      </c>
      <c r="O322">
        <f>生データ!O430</f>
        <v>0</v>
      </c>
      <c r="P322" t="str">
        <f>生データ!P430</f>
        <v>L</v>
      </c>
      <c r="Q322">
        <f>生データ!Q430</f>
        <v>0</v>
      </c>
      <c r="R322">
        <f>生データ!R430</f>
        <v>0</v>
      </c>
      <c r="S322">
        <f>生データ!S430</f>
        <v>0</v>
      </c>
      <c r="T322">
        <f>生データ!T430</f>
        <v>2.41</v>
      </c>
      <c r="U322">
        <f>生データ!U430</f>
        <v>3.7560566569687301</v>
      </c>
      <c r="V322">
        <f>COUNTIF(怪しいデータを手直し!F$2:F$701,Sheet5!F322)</f>
        <v>1</v>
      </c>
    </row>
    <row r="323" spans="1:22">
      <c r="A323">
        <f>生データ!A431</f>
        <v>30</v>
      </c>
      <c r="B323">
        <f>生データ!B431</f>
        <v>-20</v>
      </c>
      <c r="C323">
        <f>生データ!C431</f>
        <v>36.298987754977233</v>
      </c>
      <c r="D323">
        <f>生データ!D431</f>
        <v>-16.649406617299888</v>
      </c>
      <c r="E323">
        <f>生データ!E431</f>
        <v>0</v>
      </c>
      <c r="F323">
        <f>IF(生データ!E431="Wr",3000+生データ!F431,IF(生データ!E431="Wb",4000+生データ!F431,生データ!F431))</f>
        <v>521</v>
      </c>
      <c r="G323" t="str">
        <f>生データ!G431</f>
        <v>lc</v>
      </c>
      <c r="H323">
        <f>生データ!H431</f>
        <v>0</v>
      </c>
      <c r="I323">
        <f>生データ!I431</f>
        <v>2.41</v>
      </c>
      <c r="J323" t="str">
        <f>生データ!J431</f>
        <v>dead</v>
      </c>
      <c r="K323">
        <f>生データ!K431</f>
        <v>0</v>
      </c>
      <c r="L323">
        <f>生データ!L431</f>
        <v>3</v>
      </c>
      <c r="M323">
        <f>生データ!M431</f>
        <v>0</v>
      </c>
      <c r="N323">
        <f>生データ!N431</f>
        <v>0</v>
      </c>
      <c r="O323">
        <f>生データ!O431</f>
        <v>0</v>
      </c>
      <c r="P323" t="str">
        <f>生データ!P431</f>
        <v>L</v>
      </c>
      <c r="Q323">
        <f>生データ!Q431</f>
        <v>0</v>
      </c>
      <c r="R323">
        <f>生データ!R431</f>
        <v>0</v>
      </c>
      <c r="S323">
        <f>生データ!S431</f>
        <v>0</v>
      </c>
      <c r="T323">
        <f>生データ!T431</f>
        <v>2.41</v>
      </c>
      <c r="U323" t="str">
        <f>生データ!U431</f>
        <v>dead</v>
      </c>
      <c r="V323">
        <f>COUNTIF(怪しいデータを手直し!F$2:F$701,Sheet5!F323)</f>
        <v>1</v>
      </c>
    </row>
    <row r="324" spans="1:22">
      <c r="A324">
        <f>生データ!A432</f>
        <v>0</v>
      </c>
      <c r="B324">
        <f>生データ!B432</f>
        <v>0</v>
      </c>
      <c r="C324">
        <f>生データ!C432</f>
        <v>4.5733309832961941</v>
      </c>
      <c r="D324">
        <f>生データ!D432</f>
        <v>9.2373314067388428</v>
      </c>
      <c r="E324">
        <f>生データ!E432</f>
        <v>0</v>
      </c>
      <c r="F324">
        <f>IF(生データ!E432="Wr",3000+生データ!F432,IF(生データ!E432="Wb",4000+生データ!F432,生データ!F432))</f>
        <v>10</v>
      </c>
      <c r="G324" t="str">
        <f>生データ!G432</f>
        <v>bp</v>
      </c>
      <c r="H324">
        <f>生データ!H432</f>
        <v>0</v>
      </c>
      <c r="I324">
        <f>生データ!I432</f>
        <v>2.42</v>
      </c>
      <c r="J324">
        <f>生データ!J432</f>
        <v>7.6</v>
      </c>
      <c r="K324">
        <f>生データ!K432</f>
        <v>0</v>
      </c>
      <c r="L324">
        <f>生データ!L432</f>
        <v>4.0999999999999996</v>
      </c>
      <c r="M324">
        <f>生データ!M432</f>
        <v>0.7</v>
      </c>
      <c r="N324">
        <f>生データ!N432</f>
        <v>0</v>
      </c>
      <c r="O324">
        <f>生データ!O432</f>
        <v>0</v>
      </c>
      <c r="P324" t="str">
        <f>生データ!P432</f>
        <v>L</v>
      </c>
      <c r="Q324">
        <f>生データ!Q432</f>
        <v>0</v>
      </c>
      <c r="R324">
        <f>生データ!R432</f>
        <v>0</v>
      </c>
      <c r="S324">
        <f>生データ!S432</f>
        <v>0</v>
      </c>
      <c r="T324">
        <f>生データ!T432</f>
        <v>2.42</v>
      </c>
      <c r="U324">
        <f>生データ!U432</f>
        <v>2.4191551349968092</v>
      </c>
      <c r="V324">
        <f>COUNTIF(怪しいデータを手直し!F$2:F$701,Sheet5!F324)</f>
        <v>1</v>
      </c>
    </row>
    <row r="325" spans="1:22">
      <c r="A325">
        <f>生データ!A433</f>
        <v>40</v>
      </c>
      <c r="B325">
        <f>生データ!B433</f>
        <v>30</v>
      </c>
      <c r="C325">
        <f>生データ!C433</f>
        <v>48.775305826219046</v>
      </c>
      <c r="D325">
        <f>生データ!D433</f>
        <v>30.821344097270725</v>
      </c>
      <c r="E325">
        <f>生データ!E433</f>
        <v>0</v>
      </c>
      <c r="F325">
        <f>IF(生データ!E433="Wr",3000+生データ!F433,IF(生データ!E433="Wb",4000+生データ!F433,生データ!F433))</f>
        <v>333</v>
      </c>
      <c r="G325" t="str">
        <f>生データ!G433</f>
        <v>af</v>
      </c>
      <c r="H325">
        <f>生データ!H433</f>
        <v>0</v>
      </c>
      <c r="I325">
        <f>生データ!I433</f>
        <v>2.4300000000000002</v>
      </c>
      <c r="J325">
        <f>生データ!J433</f>
        <v>8.3000000000000007</v>
      </c>
      <c r="K325">
        <f>生データ!K433</f>
        <v>0</v>
      </c>
      <c r="L325">
        <f>生データ!L433</f>
        <v>3.5</v>
      </c>
      <c r="M325">
        <f>生データ!M433</f>
        <v>1.8</v>
      </c>
      <c r="N325">
        <f>生データ!N433</f>
        <v>0</v>
      </c>
      <c r="O325">
        <f>生データ!O433</f>
        <v>0</v>
      </c>
      <c r="P325" t="str">
        <f>生データ!P433</f>
        <v>L</v>
      </c>
      <c r="Q325">
        <f>生データ!Q433</f>
        <v>0</v>
      </c>
      <c r="R325">
        <f>生データ!R433</f>
        <v>0</v>
      </c>
      <c r="S325">
        <f>生データ!S433</f>
        <v>0</v>
      </c>
      <c r="T325">
        <f>生データ!T433</f>
        <v>2.4300000000000002</v>
      </c>
      <c r="U325">
        <f>生データ!U433</f>
        <v>2.6419720553254629</v>
      </c>
      <c r="V325">
        <f>COUNTIF(怪しいデータを手直し!F$2:F$701,Sheet5!F325)</f>
        <v>1</v>
      </c>
    </row>
    <row r="326" spans="1:22">
      <c r="A326">
        <f>生データ!A434</f>
        <v>20</v>
      </c>
      <c r="B326">
        <f>生データ!B434</f>
        <v>10</v>
      </c>
      <c r="C326">
        <f>生データ!C434</f>
        <v>29.693552363066686</v>
      </c>
      <c r="D326">
        <f>生データ!D434</f>
        <v>12.817173736221424</v>
      </c>
      <c r="E326">
        <f>生データ!E434</f>
        <v>0</v>
      </c>
      <c r="F326">
        <f>IF(生データ!E434="Wr",3000+生データ!F434,IF(生データ!E434="Wb",4000+生データ!F434,生データ!F434))</f>
        <v>161</v>
      </c>
      <c r="G326" t="str">
        <f>生データ!G434</f>
        <v>lc</v>
      </c>
      <c r="H326">
        <f>生データ!H434</f>
        <v>0</v>
      </c>
      <c r="I326">
        <f>生データ!I434</f>
        <v>2.4500000000000002</v>
      </c>
      <c r="J326" t="str">
        <f>生データ!J434</f>
        <v>dead</v>
      </c>
      <c r="K326">
        <f>生データ!K434</f>
        <v>0</v>
      </c>
      <c r="L326">
        <f>生データ!L434</f>
        <v>3.6</v>
      </c>
      <c r="M326">
        <f>生データ!M434</f>
        <v>0.1</v>
      </c>
      <c r="N326">
        <f>生データ!N434</f>
        <v>0</v>
      </c>
      <c r="O326">
        <f>生データ!O434</f>
        <v>0</v>
      </c>
      <c r="P326" t="str">
        <f>生データ!P434</f>
        <v>L</v>
      </c>
      <c r="Q326">
        <f>生データ!Q434</f>
        <v>0</v>
      </c>
      <c r="R326">
        <f>生データ!R434</f>
        <v>0</v>
      </c>
      <c r="S326">
        <f>生データ!S434</f>
        <v>0</v>
      </c>
      <c r="T326">
        <f>生データ!T434</f>
        <v>2.4500000000000002</v>
      </c>
      <c r="U326" t="str">
        <f>生データ!U434</f>
        <v>dead</v>
      </c>
      <c r="V326">
        <f>COUNTIF(怪しいデータを手直し!F$2:F$701,Sheet5!F326)</f>
        <v>1</v>
      </c>
    </row>
    <row r="327" spans="1:22">
      <c r="A327">
        <f>生データ!A435</f>
        <v>20</v>
      </c>
      <c r="B327">
        <f>生データ!B435</f>
        <v>10</v>
      </c>
      <c r="C327">
        <f>生データ!C435</f>
        <v>20.236305583160817</v>
      </c>
      <c r="D327">
        <f>生データ!D435</f>
        <v>13.537937792417537</v>
      </c>
      <c r="E327">
        <f>生データ!E435</f>
        <v>0</v>
      </c>
      <c r="F327">
        <f>IF(生データ!E435="Wr",3000+生データ!F435,IF(生データ!E435="Wb",4000+生データ!F435,生データ!F435))</f>
        <v>154</v>
      </c>
      <c r="G327" t="str">
        <f>生データ!G435</f>
        <v>lc</v>
      </c>
      <c r="H327">
        <f>生データ!H435</f>
        <v>0</v>
      </c>
      <c r="I327">
        <f>生データ!I435</f>
        <v>2.4700000000000002</v>
      </c>
      <c r="J327">
        <f>生データ!J435</f>
        <v>11.1</v>
      </c>
      <c r="K327">
        <f>生データ!K435</f>
        <v>0</v>
      </c>
      <c r="L327">
        <f>生データ!L435</f>
        <v>3</v>
      </c>
      <c r="M327">
        <f>生データ!M435</f>
        <v>0.2</v>
      </c>
      <c r="N327">
        <f>生データ!N435</f>
        <v>0</v>
      </c>
      <c r="O327">
        <f>生データ!O435</f>
        <v>0</v>
      </c>
      <c r="P327" t="str">
        <f>生データ!P435</f>
        <v>L</v>
      </c>
      <c r="Q327">
        <f>生データ!Q435</f>
        <v>0</v>
      </c>
      <c r="R327">
        <f>生データ!R435</f>
        <v>0</v>
      </c>
      <c r="S327">
        <f>生データ!S435</f>
        <v>0</v>
      </c>
      <c r="T327">
        <f>生データ!T435</f>
        <v>2.4700000000000002</v>
      </c>
      <c r="U327">
        <f>生データ!U435</f>
        <v>3.5332397366400765</v>
      </c>
      <c r="V327">
        <f>COUNTIF(怪しいデータを手直し!F$2:F$701,Sheet5!F327)</f>
        <v>1</v>
      </c>
    </row>
    <row r="328" spans="1:22">
      <c r="A328">
        <f>生データ!A436</f>
        <v>40</v>
      </c>
      <c r="B328">
        <f>生データ!B436</f>
        <v>20</v>
      </c>
      <c r="C328">
        <f>生データ!C436</f>
        <v>42.291153200946574</v>
      </c>
      <c r="D328">
        <f>生データ!D436</f>
        <v>29.228458863258844</v>
      </c>
      <c r="E328">
        <f>生データ!E436</f>
        <v>0</v>
      </c>
      <c r="F328">
        <f>IF(生データ!E436="Wr",3000+生データ!F436,IF(生データ!E436="Wb",4000+生データ!F436,生データ!F436))</f>
        <v>290</v>
      </c>
      <c r="G328" t="str">
        <f>生データ!G436</f>
        <v>bp</v>
      </c>
      <c r="H328">
        <f>生データ!H436</f>
        <v>0</v>
      </c>
      <c r="I328">
        <f>生データ!I436</f>
        <v>2.4900000000000002</v>
      </c>
      <c r="J328">
        <f>生データ!J436</f>
        <v>0</v>
      </c>
      <c r="K328">
        <f>生データ!K436</f>
        <v>8.6999999999999993</v>
      </c>
      <c r="L328">
        <f>生データ!L436</f>
        <v>3</v>
      </c>
      <c r="M328">
        <f>生データ!M436</f>
        <v>1</v>
      </c>
      <c r="N328">
        <f>生データ!N436</f>
        <v>0</v>
      </c>
      <c r="O328">
        <f>生データ!O436</f>
        <v>0</v>
      </c>
      <c r="P328" t="str">
        <f>生データ!P436</f>
        <v>L</v>
      </c>
      <c r="Q328">
        <f>生データ!Q436</f>
        <v>0</v>
      </c>
      <c r="R328">
        <f>生データ!R436</f>
        <v>0</v>
      </c>
      <c r="S328">
        <f>生データ!S436</f>
        <v>0</v>
      </c>
      <c r="T328">
        <f>生データ!T436</f>
        <v>2.4900000000000002</v>
      </c>
      <c r="U328">
        <f>生データ!U436</f>
        <v>8.6999999999999993</v>
      </c>
      <c r="V328">
        <f>COUNTIF(怪しいデータを手直し!F$2:F$701,Sheet5!F328)</f>
        <v>1</v>
      </c>
    </row>
    <row r="329" spans="1:22">
      <c r="A329">
        <f>生データ!A437</f>
        <v>30</v>
      </c>
      <c r="B329">
        <f>生データ!B437</f>
        <v>-20</v>
      </c>
      <c r="C329">
        <f>生データ!C437</f>
        <v>30.209660419134117</v>
      </c>
      <c r="D329">
        <f>生データ!D437</f>
        <v>-12.825836317151232</v>
      </c>
      <c r="E329">
        <f>生データ!E437</f>
        <v>0</v>
      </c>
      <c r="F329">
        <f>IF(生データ!E437="Wr",3000+生データ!F437,IF(生データ!E437="Wb",4000+生データ!F437,生データ!F437))</f>
        <v>532</v>
      </c>
      <c r="G329" t="str">
        <f>生データ!G437</f>
        <v>bp</v>
      </c>
      <c r="H329">
        <f>生データ!H437</f>
        <v>0</v>
      </c>
      <c r="I329">
        <f>生データ!I437</f>
        <v>2.4900000000000002</v>
      </c>
      <c r="J329">
        <f>生データ!J437</f>
        <v>0</v>
      </c>
      <c r="K329">
        <f>生データ!K437</f>
        <v>26.7</v>
      </c>
      <c r="L329">
        <f>生データ!L437</f>
        <v>2.6</v>
      </c>
      <c r="M329">
        <f>生データ!M437</f>
        <v>1</v>
      </c>
      <c r="N329">
        <f>生データ!N437</f>
        <v>0</v>
      </c>
      <c r="O329">
        <f>生データ!O437</f>
        <v>0</v>
      </c>
      <c r="P329" t="str">
        <f>生データ!P437</f>
        <v>L</v>
      </c>
      <c r="Q329">
        <f>生データ!Q437</f>
        <v>0</v>
      </c>
      <c r="R329" t="str">
        <f>生データ!R437</f>
        <v>Dead H=2.8</v>
      </c>
      <c r="S329">
        <f>生データ!S437</f>
        <v>0</v>
      </c>
      <c r="T329">
        <f>生データ!T437</f>
        <v>2.4900000000000002</v>
      </c>
      <c r="U329">
        <f>生データ!U437</f>
        <v>26.7</v>
      </c>
      <c r="V329">
        <f>COUNTIF(怪しいデータを手直し!F$2:F$701,Sheet5!F329)</f>
        <v>1</v>
      </c>
    </row>
    <row r="330" spans="1:22">
      <c r="A330">
        <f>生データ!A438</f>
        <v>0</v>
      </c>
      <c r="B330">
        <f>生データ!B438</f>
        <v>30</v>
      </c>
      <c r="C330">
        <f>生データ!C438</f>
        <v>4.3269168424163151</v>
      </c>
      <c r="D330">
        <f>生データ!D438</f>
        <v>39.67994640843348</v>
      </c>
      <c r="E330">
        <f>生データ!E438</f>
        <v>0</v>
      </c>
      <c r="F330">
        <f>IF(生データ!E438="Wr",3000+生データ!F438,IF(生データ!E438="Wb",4000+生データ!F438,生データ!F438))</f>
        <v>57</v>
      </c>
      <c r="G330" t="str">
        <f>生データ!G438</f>
        <v>lc</v>
      </c>
      <c r="H330">
        <f>生データ!H438</f>
        <v>0</v>
      </c>
      <c r="I330">
        <f>生データ!I438</f>
        <v>2.5</v>
      </c>
      <c r="J330" t="str">
        <f>生データ!J438</f>
        <v>dead</v>
      </c>
      <c r="K330">
        <f>生データ!K438</f>
        <v>0</v>
      </c>
      <c r="L330">
        <f>生データ!L438</f>
        <v>3.2</v>
      </c>
      <c r="M330">
        <f>生データ!M438</f>
        <v>0</v>
      </c>
      <c r="N330">
        <f>生データ!N438</f>
        <v>0</v>
      </c>
      <c r="O330">
        <f>生データ!O438</f>
        <v>0</v>
      </c>
      <c r="P330" t="str">
        <f>生データ!P438</f>
        <v>D</v>
      </c>
      <c r="Q330">
        <f>生データ!Q438</f>
        <v>0</v>
      </c>
      <c r="R330">
        <f>生データ!R438</f>
        <v>0</v>
      </c>
      <c r="S330" t="str">
        <f>生データ!S438</f>
        <v>倒れ</v>
      </c>
      <c r="T330">
        <f>生データ!T438</f>
        <v>2.5</v>
      </c>
      <c r="U330" t="str">
        <f>生データ!U438</f>
        <v>dead</v>
      </c>
      <c r="V330">
        <f>COUNTIF(怪しいデータを手直し!F$2:F$701,Sheet5!F330)</f>
        <v>1</v>
      </c>
    </row>
    <row r="331" spans="1:22">
      <c r="A331">
        <f>生データ!A439</f>
        <v>0</v>
      </c>
      <c r="B331">
        <f>生データ!B439</f>
        <v>-20</v>
      </c>
      <c r="C331">
        <f>生データ!C439</f>
        <v>3.7242049453762323</v>
      </c>
      <c r="D331">
        <f>生データ!D439</f>
        <v>-18.248199653550781</v>
      </c>
      <c r="E331">
        <f>生データ!E439</f>
        <v>0</v>
      </c>
      <c r="F331">
        <f>IF(生データ!E439="Wr",3000+生データ!F439,IF(生データ!E439="Wb",4000+生データ!F439,生データ!F439))</f>
        <v>584</v>
      </c>
      <c r="G331" t="str">
        <f>生データ!G439</f>
        <v>lc</v>
      </c>
      <c r="H331">
        <f>生データ!H439</f>
        <v>0</v>
      </c>
      <c r="I331">
        <f>生データ!I439</f>
        <v>2.5</v>
      </c>
      <c r="J331">
        <f>生データ!J439</f>
        <v>11</v>
      </c>
      <c r="K331">
        <f>生データ!K439</f>
        <v>0</v>
      </c>
      <c r="L331">
        <f>生データ!L439</f>
        <v>3.5</v>
      </c>
      <c r="M331">
        <f>生データ!M439</f>
        <v>0.1</v>
      </c>
      <c r="N331">
        <f>生データ!N439</f>
        <v>0</v>
      </c>
      <c r="O331">
        <f>生データ!O439</f>
        <v>0</v>
      </c>
      <c r="P331" t="str">
        <f>生データ!P439</f>
        <v>L</v>
      </c>
      <c r="Q331">
        <f>生データ!Q439</f>
        <v>0</v>
      </c>
      <c r="R331">
        <f>生データ!R439</f>
        <v>0</v>
      </c>
      <c r="S331" t="str">
        <f>生データ!S439</f>
        <v>New No757</v>
      </c>
      <c r="T331">
        <f>生データ!T439</f>
        <v>2.5</v>
      </c>
      <c r="U331">
        <f>生データ!U439</f>
        <v>3.5014087480216975</v>
      </c>
      <c r="V331">
        <f>COUNTIF(怪しいデータを手直し!F$2:F$701,Sheet5!F331)</f>
        <v>1</v>
      </c>
    </row>
    <row r="332" spans="1:22">
      <c r="A332">
        <f>生データ!A440</f>
        <v>20</v>
      </c>
      <c r="B332">
        <f>生データ!B440</f>
        <v>-30</v>
      </c>
      <c r="C332">
        <f>生データ!C440</f>
        <v>25.897818770092492</v>
      </c>
      <c r="D332">
        <f>生データ!D440</f>
        <v>-29.806579890919899</v>
      </c>
      <c r="E332">
        <f>生データ!E440</f>
        <v>0</v>
      </c>
      <c r="F332">
        <f>IF(生データ!E440="Wr",3000+生データ!F440,IF(生データ!E440="Wb",4000+生データ!F440,生データ!F440))</f>
        <v>651</v>
      </c>
      <c r="G332" t="str">
        <f>生データ!G440</f>
        <v>pt</v>
      </c>
      <c r="H332">
        <f>生データ!H440</f>
        <v>0</v>
      </c>
      <c r="I332">
        <f>生データ!I440</f>
        <v>2.5</v>
      </c>
      <c r="J332">
        <f>生データ!J440</f>
        <v>9.9</v>
      </c>
      <c r="K332">
        <f>生データ!K440</f>
        <v>0</v>
      </c>
      <c r="L332">
        <f>生データ!L440</f>
        <v>4</v>
      </c>
      <c r="M332">
        <f>生データ!M440</f>
        <v>0.9</v>
      </c>
      <c r="N332">
        <f>生データ!N440</f>
        <v>0</v>
      </c>
      <c r="O332">
        <f>生データ!O440</f>
        <v>0</v>
      </c>
      <c r="P332" t="str">
        <f>生データ!P440</f>
        <v>L</v>
      </c>
      <c r="Q332">
        <f>生データ!Q440</f>
        <v>0</v>
      </c>
      <c r="R332">
        <f>生データ!R440</f>
        <v>0</v>
      </c>
      <c r="S332" t="str">
        <f>生データ!S440</f>
        <v>New No769</v>
      </c>
      <c r="T332">
        <f>生データ!T440</f>
        <v>2.5</v>
      </c>
      <c r="U332">
        <f>生データ!U440</f>
        <v>3.1512678732195281</v>
      </c>
      <c r="V332">
        <f>COUNTIF(怪しいデータを手直し!F$2:F$701,Sheet5!F332)</f>
        <v>1</v>
      </c>
    </row>
    <row r="333" spans="1:22">
      <c r="A333">
        <f>生データ!A441</f>
        <v>0</v>
      </c>
      <c r="B333">
        <f>生データ!B441</f>
        <v>0</v>
      </c>
      <c r="C333">
        <f>生データ!C441</f>
        <v>4.289145621441091</v>
      </c>
      <c r="D333">
        <f>生データ!D441</f>
        <v>8.9312426529400941</v>
      </c>
      <c r="E333">
        <f>生データ!E441</f>
        <v>0</v>
      </c>
      <c r="F333">
        <f>IF(生データ!E441="Wr",3000+生データ!F441,IF(生データ!E441="Wb",4000+生データ!F441,生データ!F441))</f>
        <v>6</v>
      </c>
      <c r="G333" t="str">
        <f>生データ!G441</f>
        <v>bp</v>
      </c>
      <c r="H333">
        <f>生データ!H441</f>
        <v>0</v>
      </c>
      <c r="I333">
        <f>生データ!I441</f>
        <v>2.5099999999999998</v>
      </c>
      <c r="J333">
        <f>生データ!J441</f>
        <v>8.8000000000000007</v>
      </c>
      <c r="K333">
        <f>生データ!K441</f>
        <v>0</v>
      </c>
      <c r="L333">
        <f>生データ!L441</f>
        <v>5.3</v>
      </c>
      <c r="M333">
        <f>生データ!M441</f>
        <v>1.4</v>
      </c>
      <c r="N333">
        <f>生データ!N441</f>
        <v>0</v>
      </c>
      <c r="O333">
        <f>生データ!O441</f>
        <v>0</v>
      </c>
      <c r="P333" t="str">
        <f>生データ!P441</f>
        <v>L</v>
      </c>
      <c r="Q333">
        <f>生データ!Q441</f>
        <v>0</v>
      </c>
      <c r="R333">
        <f>生データ!R441</f>
        <v>0</v>
      </c>
      <c r="S333">
        <f>生データ!S441</f>
        <v>0</v>
      </c>
      <c r="T333">
        <f>生データ!T441</f>
        <v>2.5099999999999998</v>
      </c>
      <c r="U333">
        <f>生データ!U441</f>
        <v>2.8011269984173581</v>
      </c>
      <c r="V333">
        <f>COUNTIF(怪しいデータを手直し!F$2:F$701,Sheet5!F333)</f>
        <v>1</v>
      </c>
    </row>
    <row r="334" spans="1:22">
      <c r="A334">
        <f>生データ!A442</f>
        <v>10</v>
      </c>
      <c r="B334">
        <f>生データ!B442</f>
        <v>20</v>
      </c>
      <c r="C334">
        <f>生データ!C442</f>
        <v>19.494916087232173</v>
      </c>
      <c r="D334">
        <f>生データ!D442</f>
        <v>28.802292130563277</v>
      </c>
      <c r="E334">
        <f>生データ!E442</f>
        <v>0</v>
      </c>
      <c r="F334">
        <f>IF(生データ!E442="Wr",3000+生データ!F442,IF(生データ!E442="Wb",4000+生データ!F442,生データ!F442))</f>
        <v>88</v>
      </c>
      <c r="G334" t="str">
        <f>生データ!G442</f>
        <v>bp</v>
      </c>
      <c r="H334">
        <f>生データ!H442</f>
        <v>0</v>
      </c>
      <c r="I334">
        <f>生データ!I442</f>
        <v>2.5299999999999998</v>
      </c>
      <c r="J334">
        <f>生データ!J442</f>
        <v>8.3000000000000007</v>
      </c>
      <c r="K334">
        <f>生データ!K442</f>
        <v>0</v>
      </c>
      <c r="L334">
        <f>生データ!L442</f>
        <v>2.9</v>
      </c>
      <c r="M334">
        <f>生データ!M442</f>
        <v>0.5</v>
      </c>
      <c r="N334">
        <f>生データ!N442</f>
        <v>0</v>
      </c>
      <c r="O334">
        <f>生データ!O442</f>
        <v>0</v>
      </c>
      <c r="P334" t="str">
        <f>生データ!P442</f>
        <v>L</v>
      </c>
      <c r="Q334">
        <f>生データ!Q442</f>
        <v>0</v>
      </c>
      <c r="R334">
        <f>生データ!R442</f>
        <v>0</v>
      </c>
      <c r="S334">
        <f>生データ!S442</f>
        <v>0</v>
      </c>
      <c r="T334">
        <f>生データ!T442</f>
        <v>2.5299999999999998</v>
      </c>
      <c r="U334">
        <f>生データ!U442</f>
        <v>2.6419720553254629</v>
      </c>
      <c r="V334">
        <f>COUNTIF(怪しいデータを手直し!F$2:F$701,Sheet5!F334)</f>
        <v>1</v>
      </c>
    </row>
    <row r="335" spans="1:22">
      <c r="A335">
        <f>生データ!A443</f>
        <v>10</v>
      </c>
      <c r="B335">
        <f>生データ!B443</f>
        <v>-40</v>
      </c>
      <c r="C335">
        <f>生データ!C443</f>
        <v>16.03191023543113</v>
      </c>
      <c r="D335">
        <f>生データ!D443</f>
        <v>-32.98725739017172</v>
      </c>
      <c r="E335">
        <f>生データ!E443</f>
        <v>0</v>
      </c>
      <c r="F335">
        <f>IF(生データ!E443="Wr",3000+生データ!F443,IF(生データ!E443="Wb",4000+生データ!F443,生データ!F443))</f>
        <v>723</v>
      </c>
      <c r="G335" t="str">
        <f>生データ!G443</f>
        <v>lc</v>
      </c>
      <c r="H335">
        <f>生データ!H443</f>
        <v>0</v>
      </c>
      <c r="I335">
        <f>生データ!I443</f>
        <v>2.54</v>
      </c>
      <c r="J335" t="str">
        <f>生データ!J443</f>
        <v>dead</v>
      </c>
      <c r="K335">
        <f>生データ!K443</f>
        <v>0</v>
      </c>
      <c r="L335">
        <f>生データ!L443</f>
        <v>2.9</v>
      </c>
      <c r="M335">
        <f>生データ!M443</f>
        <v>0</v>
      </c>
      <c r="N335">
        <f>生データ!N443</f>
        <v>0</v>
      </c>
      <c r="O335">
        <f>生データ!O443</f>
        <v>0</v>
      </c>
      <c r="P335" t="str">
        <f>生データ!P443</f>
        <v>D</v>
      </c>
      <c r="Q335">
        <f>生データ!Q443</f>
        <v>0</v>
      </c>
      <c r="R335">
        <f>生データ!R443</f>
        <v>0</v>
      </c>
      <c r="S335">
        <f>生データ!S443</f>
        <v>0</v>
      </c>
      <c r="T335">
        <f>生データ!T443</f>
        <v>2.54</v>
      </c>
      <c r="U335" t="str">
        <f>生データ!U443</f>
        <v>dead</v>
      </c>
      <c r="V335">
        <f>COUNTIF(怪しいデータを手直し!F$2:F$701,Sheet5!F335)</f>
        <v>1</v>
      </c>
    </row>
    <row r="336" spans="1:22">
      <c r="A336">
        <f>生データ!A444</f>
        <v>20</v>
      </c>
      <c r="B336">
        <f>生データ!B444</f>
        <v>-20</v>
      </c>
      <c r="C336">
        <f>生データ!C444</f>
        <v>28.354822578651021</v>
      </c>
      <c r="D336">
        <f>生データ!D444</f>
        <v>-30.157632167601044</v>
      </c>
      <c r="E336">
        <f>生データ!E444</f>
        <v>0</v>
      </c>
      <c r="F336">
        <f>IF(生データ!E444="Wr",3000+生データ!F444,IF(生データ!E444="Wb",4000+生データ!F444,生データ!F444))</f>
        <v>715</v>
      </c>
      <c r="G336" t="str">
        <f>生データ!G444</f>
        <v>lc</v>
      </c>
      <c r="H336">
        <f>生データ!H444</f>
        <v>0</v>
      </c>
      <c r="I336">
        <f>生データ!I444</f>
        <v>2.5499999999999998</v>
      </c>
      <c r="J336" t="str">
        <f>生データ!J444</f>
        <v>dead</v>
      </c>
      <c r="K336">
        <f>生データ!K444</f>
        <v>0</v>
      </c>
      <c r="L336">
        <f>生データ!L444</f>
        <v>3.4</v>
      </c>
      <c r="M336">
        <f>生データ!M444</f>
        <v>0.2</v>
      </c>
      <c r="N336">
        <f>生データ!N444</f>
        <v>0</v>
      </c>
      <c r="O336">
        <f>生データ!O444</f>
        <v>0</v>
      </c>
      <c r="P336" t="str">
        <f>生データ!P444</f>
        <v>L</v>
      </c>
      <c r="Q336">
        <f>生データ!Q444</f>
        <v>0</v>
      </c>
      <c r="R336">
        <f>生データ!R444</f>
        <v>0</v>
      </c>
      <c r="S336">
        <f>生データ!S444</f>
        <v>0</v>
      </c>
      <c r="T336">
        <f>生データ!T444</f>
        <v>2.5499999999999998</v>
      </c>
      <c r="U336" t="str">
        <f>生データ!U444</f>
        <v>dead</v>
      </c>
      <c r="V336">
        <f>COUNTIF(怪しいデータを手直し!F$2:F$701,Sheet5!F336)</f>
        <v>1</v>
      </c>
    </row>
    <row r="337" spans="1:22">
      <c r="A337">
        <f>生データ!A445</f>
        <v>20</v>
      </c>
      <c r="B337">
        <f>生データ!B445</f>
        <v>-10</v>
      </c>
      <c r="C337">
        <f>生データ!C445</f>
        <v>21.74400471974932</v>
      </c>
      <c r="D337">
        <f>生データ!D445</f>
        <v>-9.6175914129299045</v>
      </c>
      <c r="E337">
        <f>生データ!E445</f>
        <v>0</v>
      </c>
      <c r="F337">
        <f>IF(生データ!E445="Wr",3000+生データ!F445,IF(生データ!E445="Wb",4000+生データ!F445,生データ!F445))</f>
        <v>410</v>
      </c>
      <c r="G337" t="str">
        <f>生データ!G445</f>
        <v>bp</v>
      </c>
      <c r="H337">
        <f>生データ!H445</f>
        <v>0</v>
      </c>
      <c r="I337">
        <f>生データ!I445</f>
        <v>2.59</v>
      </c>
      <c r="J337">
        <f>生データ!J445</f>
        <v>0</v>
      </c>
      <c r="K337">
        <f>生データ!K445</f>
        <v>28.5</v>
      </c>
      <c r="L337">
        <f>生データ!L445</f>
        <v>2.7</v>
      </c>
      <c r="M337">
        <f>生データ!M445</f>
        <v>1.4</v>
      </c>
      <c r="N337">
        <f>生データ!N445</f>
        <v>0</v>
      </c>
      <c r="O337">
        <f>生データ!O445</f>
        <v>0</v>
      </c>
      <c r="P337" t="str">
        <f>生データ!P445</f>
        <v>L</v>
      </c>
      <c r="Q337">
        <f>生データ!Q445</f>
        <v>0</v>
      </c>
      <c r="R337">
        <f>生データ!R445</f>
        <v>0</v>
      </c>
      <c r="S337">
        <f>生データ!S445</f>
        <v>0</v>
      </c>
      <c r="T337">
        <f>生データ!T445</f>
        <v>2.59</v>
      </c>
      <c r="U337">
        <f>生データ!U445</f>
        <v>28.5</v>
      </c>
      <c r="V337">
        <f>COUNTIF(怪しいデータを手直し!F$2:F$701,Sheet5!F337)</f>
        <v>1</v>
      </c>
    </row>
    <row r="338" spans="1:22">
      <c r="A338">
        <f>生データ!A446</f>
        <v>30</v>
      </c>
      <c r="B338">
        <f>生データ!B446</f>
        <v>-10</v>
      </c>
      <c r="C338">
        <f>生データ!C446</f>
        <v>38.935523972621638</v>
      </c>
      <c r="D338">
        <f>生データ!D446</f>
        <v>-4.0240656975551694</v>
      </c>
      <c r="E338">
        <f>生データ!E446</f>
        <v>0</v>
      </c>
      <c r="F338">
        <f>IF(生データ!E446="Wr",3000+生データ!F446,IF(生データ!E446="Wb",4000+生データ!F446,生データ!F446))</f>
        <v>443</v>
      </c>
      <c r="G338" t="str">
        <f>生データ!G446</f>
        <v>bp</v>
      </c>
      <c r="H338">
        <f>生データ!H446</f>
        <v>0</v>
      </c>
      <c r="I338">
        <f>生データ!I446</f>
        <v>2.59</v>
      </c>
      <c r="J338">
        <f>生データ!J446</f>
        <v>9.8000000000000007</v>
      </c>
      <c r="K338">
        <f>生データ!K446</f>
        <v>0</v>
      </c>
      <c r="L338">
        <f>生データ!L446</f>
        <v>3.4</v>
      </c>
      <c r="M338">
        <f>生データ!M446</f>
        <v>1.1000000000000001</v>
      </c>
      <c r="N338">
        <f>生データ!N446</f>
        <v>0</v>
      </c>
      <c r="O338">
        <f>生データ!O446</f>
        <v>0</v>
      </c>
      <c r="P338" t="str">
        <f>生データ!P446</f>
        <v>L</v>
      </c>
      <c r="Q338">
        <f>生データ!Q446</f>
        <v>0</v>
      </c>
      <c r="R338">
        <f>生データ!R446</f>
        <v>0</v>
      </c>
      <c r="S338">
        <f>生データ!S446</f>
        <v>0</v>
      </c>
      <c r="T338">
        <f>生データ!T446</f>
        <v>2.59</v>
      </c>
      <c r="U338">
        <f>生データ!U446</f>
        <v>3.1194368846011491</v>
      </c>
      <c r="V338">
        <f>COUNTIF(怪しいデータを手直し!F$2:F$701,Sheet5!F338)</f>
        <v>1</v>
      </c>
    </row>
    <row r="339" spans="1:22">
      <c r="A339">
        <f>生データ!A447</f>
        <v>10</v>
      </c>
      <c r="B339">
        <f>生データ!B447</f>
        <v>-30</v>
      </c>
      <c r="C339">
        <f>生データ!C447</f>
        <v>12.35821974330851</v>
      </c>
      <c r="D339">
        <f>生データ!D447</f>
        <v>-20.44350538737352</v>
      </c>
      <c r="E339">
        <f>生データ!E447</f>
        <v>0</v>
      </c>
      <c r="F339">
        <f>IF(生データ!E447="Wr",3000+生データ!F447,IF(生データ!E447="Wb",4000+生データ!F447,生データ!F447))</f>
        <v>619</v>
      </c>
      <c r="G339" t="str">
        <f>生データ!G447</f>
        <v>lc</v>
      </c>
      <c r="H339">
        <f>生データ!H447</f>
        <v>0</v>
      </c>
      <c r="I339">
        <f>生データ!I447</f>
        <v>2.6</v>
      </c>
      <c r="J339">
        <f>生データ!J447</f>
        <v>11</v>
      </c>
      <c r="K339">
        <f>生データ!K447</f>
        <v>0</v>
      </c>
      <c r="L339">
        <f>生データ!L447</f>
        <v>3.7</v>
      </c>
      <c r="M339">
        <f>生データ!M447</f>
        <v>0.1</v>
      </c>
      <c r="N339">
        <f>生データ!N447</f>
        <v>0</v>
      </c>
      <c r="O339">
        <f>生データ!O447</f>
        <v>0</v>
      </c>
      <c r="P339" t="str">
        <f>生データ!P447</f>
        <v>L</v>
      </c>
      <c r="Q339">
        <f>生データ!Q447</f>
        <v>0</v>
      </c>
      <c r="R339">
        <f>生データ!R447</f>
        <v>0</v>
      </c>
      <c r="S339">
        <f>生データ!S447</f>
        <v>0</v>
      </c>
      <c r="T339">
        <f>生データ!T447</f>
        <v>2.6</v>
      </c>
      <c r="U339">
        <f>生データ!U447</f>
        <v>3.5014087480216975</v>
      </c>
      <c r="V339">
        <f>COUNTIF(怪しいデータを手直し!F$2:F$701,Sheet5!F339)</f>
        <v>1</v>
      </c>
    </row>
    <row r="340" spans="1:22">
      <c r="A340">
        <f>生データ!A448</f>
        <v>40</v>
      </c>
      <c r="B340">
        <f>生データ!B448</f>
        <v>-40</v>
      </c>
      <c r="C340">
        <f>生データ!C448</f>
        <v>42.997273962603202</v>
      </c>
      <c r="D340">
        <f>生データ!D448</f>
        <v>-35.556358611104976</v>
      </c>
      <c r="E340">
        <f>生データ!E448</f>
        <v>0</v>
      </c>
      <c r="F340">
        <f>IF(生データ!E448="Wr",3000+生データ!F448,IF(生データ!E448="Wb",4000+生データ!F448,生データ!F448))</f>
        <v>707</v>
      </c>
      <c r="G340" t="str">
        <f>生データ!G448</f>
        <v>ss</v>
      </c>
      <c r="H340">
        <f>生データ!H448</f>
        <v>0</v>
      </c>
      <c r="I340">
        <f>生データ!I448</f>
        <v>2.61</v>
      </c>
      <c r="J340" t="str">
        <f>生データ!J448</f>
        <v>dead</v>
      </c>
      <c r="K340">
        <f>生データ!K448</f>
        <v>0</v>
      </c>
      <c r="L340">
        <f>生データ!L448</f>
        <v>2</v>
      </c>
      <c r="M340">
        <f>生データ!M448</f>
        <v>0</v>
      </c>
      <c r="N340">
        <f>生データ!N448</f>
        <v>0</v>
      </c>
      <c r="O340">
        <f>生データ!O448</f>
        <v>0</v>
      </c>
      <c r="P340" t="str">
        <f>生データ!P448</f>
        <v>D</v>
      </c>
      <c r="Q340">
        <f>生データ!Q448</f>
        <v>0</v>
      </c>
      <c r="R340" t="str">
        <f>生データ!R448</f>
        <v>broken</v>
      </c>
      <c r="S340">
        <f>生データ!S448</f>
        <v>0</v>
      </c>
      <c r="T340">
        <f>生データ!T448</f>
        <v>2.61</v>
      </c>
      <c r="U340" t="str">
        <f>生データ!U448</f>
        <v>dead</v>
      </c>
      <c r="V340">
        <f>COUNTIF(怪しいデータを手直し!F$2:F$701,Sheet5!F340)</f>
        <v>1</v>
      </c>
    </row>
    <row r="341" spans="1:22">
      <c r="A341">
        <f>生データ!A449</f>
        <v>20</v>
      </c>
      <c r="B341">
        <f>生データ!B449</f>
        <v>-10</v>
      </c>
      <c r="C341">
        <f>生データ!C449</f>
        <v>22.085349303121198</v>
      </c>
      <c r="D341">
        <f>生データ!D449</f>
        <v>-9.5621753675044623</v>
      </c>
      <c r="E341">
        <f>生データ!E449</f>
        <v>0</v>
      </c>
      <c r="F341">
        <f>IF(生データ!E449="Wr",3000+生データ!F449,IF(生データ!E449="Wb",4000+生データ!F449,生データ!F449))</f>
        <v>414</v>
      </c>
      <c r="G341" t="str">
        <f>生データ!G449</f>
        <v>bp</v>
      </c>
      <c r="H341">
        <f>生データ!H449</f>
        <v>0</v>
      </c>
      <c r="I341">
        <f>生データ!I449</f>
        <v>2.62</v>
      </c>
      <c r="J341">
        <f>生データ!J449</f>
        <v>0</v>
      </c>
      <c r="K341">
        <f>生データ!K449</f>
        <v>29.4</v>
      </c>
      <c r="L341">
        <f>生データ!L449</f>
        <v>3</v>
      </c>
      <c r="M341">
        <f>生データ!M449</f>
        <v>1.3</v>
      </c>
      <c r="N341">
        <f>生データ!N449</f>
        <v>0</v>
      </c>
      <c r="O341">
        <f>生データ!O449</f>
        <v>0</v>
      </c>
      <c r="P341" t="str">
        <f>生データ!P449</f>
        <v>L</v>
      </c>
      <c r="Q341">
        <f>生データ!Q449</f>
        <v>0</v>
      </c>
      <c r="R341">
        <f>生データ!R449</f>
        <v>0</v>
      </c>
      <c r="S341">
        <f>生データ!S449</f>
        <v>0</v>
      </c>
      <c r="T341">
        <f>生データ!T449</f>
        <v>2.62</v>
      </c>
      <c r="U341">
        <f>生データ!U449</f>
        <v>29.4</v>
      </c>
      <c r="V341">
        <f>COUNTIF(怪しいデータを手直し!F$2:F$701,Sheet5!F341)</f>
        <v>1</v>
      </c>
    </row>
    <row r="342" spans="1:22">
      <c r="A342">
        <f>生データ!A450</f>
        <v>40</v>
      </c>
      <c r="B342">
        <f>生データ!B450</f>
        <v>20</v>
      </c>
      <c r="C342">
        <f>生データ!C450</f>
        <v>42.218768942491181</v>
      </c>
      <c r="D342">
        <f>生データ!D450</f>
        <v>29.27455042198882</v>
      </c>
      <c r="E342">
        <f>生データ!E450</f>
        <v>0</v>
      </c>
      <c r="F342">
        <f>IF(生データ!E450="Wr",3000+生データ!F450,IF(生データ!E450="Wb",4000+生データ!F450,生データ!F450))</f>
        <v>293</v>
      </c>
      <c r="G342" t="str">
        <f>生データ!G450</f>
        <v>bp</v>
      </c>
      <c r="H342">
        <f>生データ!H450</f>
        <v>0</v>
      </c>
      <c r="I342">
        <f>生データ!I450</f>
        <v>2.65</v>
      </c>
      <c r="J342" t="str">
        <f>生データ!J450</f>
        <v>dead</v>
      </c>
      <c r="K342">
        <f>生データ!K450</f>
        <v>0</v>
      </c>
      <c r="L342">
        <f>生データ!L450</f>
        <v>2.9</v>
      </c>
      <c r="M342">
        <f>生データ!M450</f>
        <v>2</v>
      </c>
      <c r="N342">
        <f>生データ!N450</f>
        <v>0</v>
      </c>
      <c r="O342">
        <f>生データ!O450</f>
        <v>0</v>
      </c>
      <c r="P342" t="str">
        <f>生データ!P450</f>
        <v>L</v>
      </c>
      <c r="Q342">
        <f>生データ!Q450</f>
        <v>0</v>
      </c>
      <c r="R342">
        <f>生データ!R450</f>
        <v>0</v>
      </c>
      <c r="S342">
        <f>生データ!S450</f>
        <v>0</v>
      </c>
      <c r="T342">
        <f>生データ!T450</f>
        <v>2.65</v>
      </c>
      <c r="U342" t="str">
        <f>生データ!U450</f>
        <v>dead</v>
      </c>
      <c r="V342">
        <f>COUNTIF(怪しいデータを手直し!F$2:F$701,Sheet5!F342)</f>
        <v>1</v>
      </c>
    </row>
    <row r="343" spans="1:22">
      <c r="A343">
        <f>生データ!A451</f>
        <v>40</v>
      </c>
      <c r="B343">
        <f>生データ!B451</f>
        <v>-20</v>
      </c>
      <c r="C343">
        <f>生データ!C451</f>
        <v>49.449481850504085</v>
      </c>
      <c r="D343">
        <f>生データ!D451</f>
        <v>-10.098958359898518</v>
      </c>
      <c r="E343">
        <f>生データ!E451</f>
        <v>0</v>
      </c>
      <c r="F343">
        <f>IF(生データ!E451="Wr",3000+生データ!F451,IF(生データ!E451="Wb",4000+生データ!F451,生データ!F451))</f>
        <v>504</v>
      </c>
      <c r="G343" t="str">
        <f>生データ!G451</f>
        <v>bp</v>
      </c>
      <c r="H343">
        <f>生データ!H451</f>
        <v>0</v>
      </c>
      <c r="I343">
        <f>生データ!I451</f>
        <v>2.65</v>
      </c>
      <c r="J343">
        <f>生データ!J451</f>
        <v>0</v>
      </c>
      <c r="K343">
        <f>生データ!K451</f>
        <v>25.3</v>
      </c>
      <c r="L343">
        <f>生データ!L451</f>
        <v>3.2</v>
      </c>
      <c r="M343">
        <f>生データ!M451</f>
        <v>1.5</v>
      </c>
      <c r="N343">
        <f>生データ!N451</f>
        <v>0</v>
      </c>
      <c r="O343">
        <f>生データ!O451</f>
        <v>0</v>
      </c>
      <c r="P343" t="str">
        <f>生データ!P451</f>
        <v>L</v>
      </c>
      <c r="Q343">
        <f>生データ!Q451</f>
        <v>0</v>
      </c>
      <c r="R343">
        <f>生データ!R451</f>
        <v>0</v>
      </c>
      <c r="S343">
        <f>生データ!S451</f>
        <v>0</v>
      </c>
      <c r="T343">
        <f>生データ!T451</f>
        <v>2.65</v>
      </c>
      <c r="U343">
        <f>生データ!U451</f>
        <v>25.3</v>
      </c>
      <c r="V343">
        <f>COUNTIF(怪しいデータを手直し!F$2:F$701,Sheet5!F343)</f>
        <v>1</v>
      </c>
    </row>
    <row r="344" spans="1:22">
      <c r="A344">
        <f>生データ!A452</f>
        <v>20</v>
      </c>
      <c r="B344">
        <f>生データ!B452</f>
        <v>0</v>
      </c>
      <c r="C344">
        <f>生データ!C452</f>
        <v>29.525739770440893</v>
      </c>
      <c r="D344">
        <f>生データ!D452</f>
        <v>6.8449384092072521</v>
      </c>
      <c r="E344">
        <f>生データ!E452</f>
        <v>0</v>
      </c>
      <c r="F344">
        <f>IF(生データ!E452="Wr",3000+生データ!F452,IF(生データ!E452="Wb",4000+生データ!F452,生データ!F452))</f>
        <v>124</v>
      </c>
      <c r="G344" t="str">
        <f>生データ!G452</f>
        <v>lc</v>
      </c>
      <c r="H344">
        <f>生データ!H452</f>
        <v>0</v>
      </c>
      <c r="I344">
        <f>生データ!I452</f>
        <v>2.67</v>
      </c>
      <c r="J344">
        <f>生データ!J452</f>
        <v>12.2</v>
      </c>
      <c r="K344">
        <f>生データ!K452</f>
        <v>0</v>
      </c>
      <c r="L344">
        <f>生データ!L452</f>
        <v>3.2</v>
      </c>
      <c r="M344">
        <f>生データ!M452</f>
        <v>1.2</v>
      </c>
      <c r="N344">
        <f>生データ!N452</f>
        <v>0</v>
      </c>
      <c r="O344">
        <f>生データ!O452</f>
        <v>0</v>
      </c>
      <c r="P344" t="str">
        <f>生データ!P452</f>
        <v>L</v>
      </c>
      <c r="Q344">
        <f>生データ!Q452</f>
        <v>0</v>
      </c>
      <c r="R344">
        <f>生データ!R452</f>
        <v>0</v>
      </c>
      <c r="S344">
        <f>生データ!S452</f>
        <v>0</v>
      </c>
      <c r="T344">
        <f>生データ!T452</f>
        <v>2.67</v>
      </c>
      <c r="U344">
        <f>生データ!U452</f>
        <v>3.883380611442246</v>
      </c>
      <c r="V344">
        <f>COUNTIF(怪しいデータを手直し!F$2:F$701,Sheet5!F344)</f>
        <v>1</v>
      </c>
    </row>
    <row r="345" spans="1:22">
      <c r="A345">
        <f>生データ!A453</f>
        <v>40</v>
      </c>
      <c r="B345">
        <f>生データ!B453</f>
        <v>-10</v>
      </c>
      <c r="C345">
        <f>生データ!C453</f>
        <v>43.779331656060187</v>
      </c>
      <c r="D345">
        <f>生データ!D453</f>
        <v>-9.7158306253282198</v>
      </c>
      <c r="E345">
        <f>生データ!E453</f>
        <v>0</v>
      </c>
      <c r="F345">
        <f>IF(生データ!E453="Wr",3000+生データ!F453,IF(生データ!E453="Wb",4000+生データ!F453,生データ!F453))</f>
        <v>454</v>
      </c>
      <c r="G345" t="str">
        <f>生データ!G453</f>
        <v>bp</v>
      </c>
      <c r="H345">
        <f>生データ!H453</f>
        <v>0</v>
      </c>
      <c r="I345">
        <f>生データ!I453</f>
        <v>2.69</v>
      </c>
      <c r="J345">
        <f>生データ!J453</f>
        <v>9.6</v>
      </c>
      <c r="K345">
        <f>生データ!K453</f>
        <v>0</v>
      </c>
      <c r="L345">
        <f>生データ!L453</f>
        <v>2.2999999999999998</v>
      </c>
      <c r="M345">
        <f>生データ!M453</f>
        <v>1.3</v>
      </c>
      <c r="N345">
        <f>生データ!N453</f>
        <v>0</v>
      </c>
      <c r="O345">
        <f>生データ!O453</f>
        <v>0</v>
      </c>
      <c r="P345" t="str">
        <f>生データ!P453</f>
        <v>L</v>
      </c>
      <c r="Q345">
        <f>生データ!Q453</f>
        <v>0</v>
      </c>
      <c r="R345" t="str">
        <f>生データ!R453</f>
        <v>curved</v>
      </c>
      <c r="S345">
        <f>生データ!S453</f>
        <v>0</v>
      </c>
      <c r="T345">
        <f>生データ!T453</f>
        <v>2.69</v>
      </c>
      <c r="U345">
        <f>生データ!U453</f>
        <v>3.0557749073643903</v>
      </c>
      <c r="V345">
        <f>COUNTIF(怪しいデータを手直し!F$2:F$701,Sheet5!F345)</f>
        <v>1</v>
      </c>
    </row>
    <row r="346" spans="1:22">
      <c r="A346">
        <f>生データ!A454</f>
        <v>40</v>
      </c>
      <c r="B346">
        <f>生データ!B454</f>
        <v>0</v>
      </c>
      <c r="C346">
        <f>生データ!C454</f>
        <v>40.363569407803752</v>
      </c>
      <c r="D346">
        <f>生データ!D454</f>
        <v>7.678294315441935</v>
      </c>
      <c r="E346">
        <f>生データ!E454</f>
        <v>0</v>
      </c>
      <c r="F346">
        <f>IF(生データ!E454="Wr",3000+生データ!F454,IF(生データ!E454="Wb",4000+生データ!F454,生データ!F454))</f>
        <v>272</v>
      </c>
      <c r="G346" t="str">
        <f>生データ!G454</f>
        <v>lc</v>
      </c>
      <c r="H346">
        <f>生データ!H454</f>
        <v>0</v>
      </c>
      <c r="I346">
        <f>生データ!I454</f>
        <v>2.7</v>
      </c>
      <c r="J346">
        <f>生データ!J454</f>
        <v>12.3</v>
      </c>
      <c r="K346">
        <f>生データ!K454</f>
        <v>0</v>
      </c>
      <c r="L346">
        <f>生データ!L454</f>
        <v>3.5</v>
      </c>
      <c r="M346">
        <f>生データ!M454</f>
        <v>0.8</v>
      </c>
      <c r="N346">
        <f>生データ!N454</f>
        <v>0</v>
      </c>
      <c r="O346">
        <f>生データ!O454</f>
        <v>0</v>
      </c>
      <c r="P346" t="str">
        <f>生データ!P454</f>
        <v>L</v>
      </c>
      <c r="Q346">
        <f>生データ!Q454</f>
        <v>0</v>
      </c>
      <c r="R346">
        <f>生データ!R454</f>
        <v>0</v>
      </c>
      <c r="S346">
        <f>生データ!S454</f>
        <v>0</v>
      </c>
      <c r="T346">
        <f>生データ!T454</f>
        <v>2.7</v>
      </c>
      <c r="U346">
        <f>生データ!U454</f>
        <v>3.9152116000606259</v>
      </c>
      <c r="V346">
        <f>COUNTIF(怪しいデータを手直し!F$2:F$701,Sheet5!F346)</f>
        <v>1</v>
      </c>
    </row>
    <row r="347" spans="1:22">
      <c r="A347">
        <f>生データ!A455</f>
        <v>40</v>
      </c>
      <c r="B347">
        <f>生データ!B455</f>
        <v>30</v>
      </c>
      <c r="C347">
        <f>生データ!C455</f>
        <v>49.773513708524909</v>
      </c>
      <c r="D347">
        <f>生データ!D455</f>
        <v>30.732767189728435</v>
      </c>
      <c r="E347">
        <f>生データ!E455</f>
        <v>0</v>
      </c>
      <c r="F347">
        <f>IF(生データ!E455="Wr",3000+生データ!F455,IF(生データ!E455="Wb",4000+生データ!F455,生データ!F455))</f>
        <v>328</v>
      </c>
      <c r="G347" t="str">
        <f>生データ!G455</f>
        <v>af</v>
      </c>
      <c r="H347">
        <f>生データ!H455</f>
        <v>0</v>
      </c>
      <c r="I347">
        <f>生データ!I455</f>
        <v>2.71</v>
      </c>
      <c r="J347">
        <f>生データ!J455</f>
        <v>0</v>
      </c>
      <c r="K347">
        <f>生データ!K455</f>
        <v>10</v>
      </c>
      <c r="L347">
        <f>生データ!L455</f>
        <v>3.5</v>
      </c>
      <c r="M347">
        <f>生データ!M455</f>
        <v>1.3</v>
      </c>
      <c r="N347">
        <f>生データ!N455</f>
        <v>0</v>
      </c>
      <c r="O347">
        <f>生データ!O455</f>
        <v>0</v>
      </c>
      <c r="P347" t="str">
        <f>生データ!P455</f>
        <v>L</v>
      </c>
      <c r="Q347">
        <f>生データ!Q455</f>
        <v>0</v>
      </c>
      <c r="R347">
        <f>生データ!R455</f>
        <v>0</v>
      </c>
      <c r="S347">
        <f>生データ!S455</f>
        <v>0</v>
      </c>
      <c r="T347">
        <f>生データ!T455</f>
        <v>2.71</v>
      </c>
      <c r="U347">
        <f>生データ!U455</f>
        <v>10</v>
      </c>
      <c r="V347">
        <f>COUNTIF(怪しいデータを手直し!F$2:F$701,Sheet5!F347)</f>
        <v>1</v>
      </c>
    </row>
    <row r="348" spans="1:22">
      <c r="A348">
        <f>生データ!A456</f>
        <v>10</v>
      </c>
      <c r="B348">
        <f>生データ!B456</f>
        <v>40</v>
      </c>
      <c r="C348">
        <f>生データ!C456</f>
        <v>17.956442225570612</v>
      </c>
      <c r="D348">
        <f>生データ!D456</f>
        <v>43.611976138150581</v>
      </c>
      <c r="E348">
        <f>生データ!E456</f>
        <v>0</v>
      </c>
      <c r="F348">
        <f>IF(生データ!E456="Wr",3000+生データ!F456,IF(生データ!E456="Wb",4000+生データ!F456,生データ!F456))</f>
        <v>80</v>
      </c>
      <c r="G348" t="str">
        <f>生データ!G456</f>
        <v>lc</v>
      </c>
      <c r="H348">
        <f>生データ!H456</f>
        <v>0</v>
      </c>
      <c r="I348">
        <f>生データ!I456</f>
        <v>2.74</v>
      </c>
      <c r="J348" t="str">
        <f>生データ!J456</f>
        <v>dead</v>
      </c>
      <c r="K348">
        <f>生データ!K456</f>
        <v>0</v>
      </c>
      <c r="L348">
        <f>生データ!L456</f>
        <v>3.8</v>
      </c>
      <c r="M348">
        <f>生データ!M456</f>
        <v>0</v>
      </c>
      <c r="N348">
        <f>生データ!N456</f>
        <v>0</v>
      </c>
      <c r="O348">
        <f>生データ!O456</f>
        <v>0</v>
      </c>
      <c r="P348" t="str">
        <f>生データ!P456</f>
        <v>D</v>
      </c>
      <c r="Q348">
        <f>生データ!Q456</f>
        <v>0</v>
      </c>
      <c r="R348">
        <f>生データ!R456</f>
        <v>0</v>
      </c>
      <c r="S348" t="str">
        <f>生データ!S456</f>
        <v>倒れ</v>
      </c>
      <c r="T348">
        <f>生データ!T456</f>
        <v>2.74</v>
      </c>
      <c r="U348" t="str">
        <f>生データ!U456</f>
        <v>dead</v>
      </c>
      <c r="V348">
        <f>COUNTIF(怪しいデータを手直し!F$2:F$701,Sheet5!F348)</f>
        <v>1</v>
      </c>
    </row>
    <row r="349" spans="1:22">
      <c r="A349">
        <f>生データ!A457</f>
        <v>20</v>
      </c>
      <c r="B349">
        <f>生データ!B457</f>
        <v>-20</v>
      </c>
      <c r="C349">
        <f>生データ!C457</f>
        <v>29.713889649171939</v>
      </c>
      <c r="D349">
        <f>生データ!D457</f>
        <v>-12.910675840863741</v>
      </c>
      <c r="E349">
        <f>生データ!E457</f>
        <v>0</v>
      </c>
      <c r="F349">
        <f>IF(生データ!E457="Wr",3000+生データ!F457,IF(生データ!E457="Wb",4000+生データ!F457,生データ!F457))</f>
        <v>536</v>
      </c>
      <c r="G349" t="str">
        <f>生データ!G457</f>
        <v>bp</v>
      </c>
      <c r="H349">
        <f>生データ!H457</f>
        <v>0</v>
      </c>
      <c r="I349">
        <f>生データ!I457</f>
        <v>2.77</v>
      </c>
      <c r="J349">
        <f>生データ!J457</f>
        <v>9</v>
      </c>
      <c r="K349">
        <f>生データ!K457</f>
        <v>0</v>
      </c>
      <c r="L349">
        <f>生データ!L457</f>
        <v>2.4</v>
      </c>
      <c r="M349">
        <f>生データ!M457</f>
        <v>1.8</v>
      </c>
      <c r="N349">
        <f>生データ!N457</f>
        <v>0</v>
      </c>
      <c r="O349">
        <f>生データ!O457</f>
        <v>0</v>
      </c>
      <c r="P349" t="str">
        <f>生データ!P457</f>
        <v>L</v>
      </c>
      <c r="Q349">
        <f>生データ!Q457</f>
        <v>0</v>
      </c>
      <c r="R349">
        <f>生データ!R457</f>
        <v>0</v>
      </c>
      <c r="S349">
        <f>生データ!S457</f>
        <v>0</v>
      </c>
      <c r="T349">
        <f>生データ!T457</f>
        <v>2.77</v>
      </c>
      <c r="U349">
        <f>生データ!U457</f>
        <v>2.8647889756541161</v>
      </c>
      <c r="V349">
        <f>COUNTIF(怪しいデータを手直し!F$2:F$701,Sheet5!F349)</f>
        <v>1</v>
      </c>
    </row>
    <row r="350" spans="1:22">
      <c r="A350">
        <f>生データ!A458</f>
        <v>20</v>
      </c>
      <c r="B350">
        <f>生データ!B458</f>
        <v>-20</v>
      </c>
      <c r="C350">
        <f>生データ!C458</f>
        <v>26.831865447207264</v>
      </c>
      <c r="D350">
        <f>生データ!D458</f>
        <v>-13.479171223085471</v>
      </c>
      <c r="E350">
        <f>生データ!E458</f>
        <v>0</v>
      </c>
      <c r="F350">
        <f>IF(生データ!E458="Wr",3000+生データ!F458,IF(生データ!E458="Wb",4000+生データ!F458,生データ!F458))</f>
        <v>554</v>
      </c>
      <c r="G350" t="str">
        <f>生データ!G458</f>
        <v>bp</v>
      </c>
      <c r="H350">
        <f>生データ!H458</f>
        <v>0</v>
      </c>
      <c r="I350">
        <f>生データ!I458</f>
        <v>2.8</v>
      </c>
      <c r="J350">
        <f>生データ!J458</f>
        <v>10</v>
      </c>
      <c r="K350">
        <f>生データ!K458</f>
        <v>0</v>
      </c>
      <c r="L350">
        <f>生データ!L458</f>
        <v>4.2</v>
      </c>
      <c r="M350">
        <f>生データ!M458</f>
        <v>1.1000000000000001</v>
      </c>
      <c r="N350">
        <f>生データ!N458</f>
        <v>0</v>
      </c>
      <c r="O350">
        <f>生データ!O458</f>
        <v>0</v>
      </c>
      <c r="P350" t="str">
        <f>生データ!P458</f>
        <v>L</v>
      </c>
      <c r="Q350">
        <f>生データ!Q458</f>
        <v>0</v>
      </c>
      <c r="R350">
        <f>生データ!R458</f>
        <v>0</v>
      </c>
      <c r="S350">
        <f>生データ!S458</f>
        <v>0</v>
      </c>
      <c r="T350">
        <f>生データ!T458</f>
        <v>2.8</v>
      </c>
      <c r="U350">
        <f>生データ!U458</f>
        <v>3.183098861837907</v>
      </c>
      <c r="V350">
        <f>COUNTIF(怪しいデータを手直し!F$2:F$701,Sheet5!F350)</f>
        <v>1</v>
      </c>
    </row>
    <row r="351" spans="1:22">
      <c r="A351">
        <f>生データ!A459</f>
        <v>30</v>
      </c>
      <c r="B351">
        <f>生データ!B459</f>
        <v>0</v>
      </c>
      <c r="C351">
        <f>生データ!C459</f>
        <v>34.144984640554</v>
      </c>
      <c r="D351">
        <f>生データ!D459</f>
        <v>6.625994983282995</v>
      </c>
      <c r="E351">
        <f>生データ!E459</f>
        <v>0</v>
      </c>
      <c r="F351">
        <f>IF(生データ!E459="Wr",3000+生データ!F459,IF(生データ!E459="Wb",4000+生データ!F459,生データ!F459))</f>
        <v>256</v>
      </c>
      <c r="G351" t="str">
        <f>生データ!G459</f>
        <v>pt</v>
      </c>
      <c r="H351">
        <f>生データ!H459</f>
        <v>8.8000000000000007</v>
      </c>
      <c r="I351">
        <f>生データ!I459</f>
        <v>0</v>
      </c>
      <c r="J351">
        <f>生データ!J459</f>
        <v>10.7</v>
      </c>
      <c r="K351">
        <f>生データ!K459</f>
        <v>0</v>
      </c>
      <c r="L351">
        <f>生データ!L459</f>
        <v>4.0999999999999996</v>
      </c>
      <c r="M351">
        <f>生データ!M459</f>
        <v>1.3</v>
      </c>
      <c r="N351">
        <f>生データ!N459</f>
        <v>0</v>
      </c>
      <c r="O351">
        <f>生データ!O459</f>
        <v>0</v>
      </c>
      <c r="P351" t="str">
        <f>生データ!P459</f>
        <v>L</v>
      </c>
      <c r="Q351">
        <f>生データ!Q459</f>
        <v>0</v>
      </c>
      <c r="R351">
        <f>生データ!R459</f>
        <v>0</v>
      </c>
      <c r="S351">
        <f>生データ!S459</f>
        <v>0</v>
      </c>
      <c r="T351">
        <f>生データ!T459</f>
        <v>2.8011269984173581</v>
      </c>
      <c r="U351">
        <f>生データ!U459</f>
        <v>3.4059157821665602</v>
      </c>
      <c r="V351">
        <f>COUNTIF(怪しいデータを手直し!F$2:F$701,Sheet5!F351)</f>
        <v>1</v>
      </c>
    </row>
    <row r="352" spans="1:22">
      <c r="A352">
        <f>生データ!A460</f>
        <v>30</v>
      </c>
      <c r="B352">
        <f>生データ!B460</f>
        <v>10</v>
      </c>
      <c r="C352">
        <f>生データ!C460</f>
        <v>31.999387380366926</v>
      </c>
      <c r="D352">
        <f>生データ!D460</f>
        <v>17.176163938322645</v>
      </c>
      <c r="E352">
        <f>生データ!E460</f>
        <v>0</v>
      </c>
      <c r="F352">
        <f>IF(生データ!E460="Wr",3000+生データ!F460,IF(生データ!E460="Wb",4000+生データ!F460,生データ!F460))</f>
        <v>227</v>
      </c>
      <c r="G352" t="str">
        <f>生データ!G460</f>
        <v>bp</v>
      </c>
      <c r="H352">
        <f>生データ!H460</f>
        <v>8.9</v>
      </c>
      <c r="I352">
        <f>生データ!I460</f>
        <v>0</v>
      </c>
      <c r="J352">
        <f>生データ!J460</f>
        <v>9.3000000000000007</v>
      </c>
      <c r="K352">
        <f>生データ!K460</f>
        <v>0</v>
      </c>
      <c r="L352">
        <f>生データ!L460</f>
        <v>3.1</v>
      </c>
      <c r="M352">
        <f>生データ!M460</f>
        <v>1.1000000000000001</v>
      </c>
      <c r="N352">
        <f>生データ!N460</f>
        <v>0</v>
      </c>
      <c r="O352">
        <f>生データ!O460</f>
        <v>0</v>
      </c>
      <c r="P352" t="str">
        <f>生データ!P460</f>
        <v>L</v>
      </c>
      <c r="Q352">
        <f>生データ!Q460</f>
        <v>0</v>
      </c>
      <c r="R352">
        <f>生データ!R460</f>
        <v>0</v>
      </c>
      <c r="S352">
        <f>生データ!S460</f>
        <v>0</v>
      </c>
      <c r="T352">
        <f>生データ!T460</f>
        <v>2.8329579870357371</v>
      </c>
      <c r="U352">
        <f>生データ!U460</f>
        <v>2.9602819415092534</v>
      </c>
      <c r="V352">
        <f>COUNTIF(怪しいデータを手直し!F$2:F$701,Sheet5!F352)</f>
        <v>1</v>
      </c>
    </row>
    <row r="353" spans="1:22">
      <c r="A353">
        <f>生データ!A461</f>
        <v>0</v>
      </c>
      <c r="B353">
        <f>生データ!B461</f>
        <v>-30</v>
      </c>
      <c r="C353">
        <f>生データ!C461</f>
        <v>4.2577377029180168</v>
      </c>
      <c r="D353">
        <f>生データ!D461</f>
        <v>-22.874209476824216</v>
      </c>
      <c r="E353">
        <f>生データ!E461</f>
        <v>0</v>
      </c>
      <c r="F353">
        <f>IF(生データ!E461="Wr",3000+生データ!F461,IF(生データ!E461="Wb",4000+生データ!F461,生データ!F461))</f>
        <v>605</v>
      </c>
      <c r="G353" t="str">
        <f>生データ!G461</f>
        <v>lc</v>
      </c>
      <c r="H353">
        <f>生データ!H461</f>
        <v>8.9</v>
      </c>
      <c r="I353">
        <f>生データ!I461</f>
        <v>0</v>
      </c>
      <c r="J353">
        <f>生データ!J461</f>
        <v>10.7</v>
      </c>
      <c r="K353">
        <f>生データ!K461</f>
        <v>0</v>
      </c>
      <c r="L353">
        <f>生データ!L461</f>
        <v>3.1</v>
      </c>
      <c r="M353">
        <f>生データ!M461</f>
        <v>0.5</v>
      </c>
      <c r="N353">
        <f>生データ!N461</f>
        <v>0</v>
      </c>
      <c r="O353">
        <f>生データ!O461</f>
        <v>0</v>
      </c>
      <c r="P353" t="str">
        <f>生データ!P461</f>
        <v>L</v>
      </c>
      <c r="Q353">
        <f>生データ!Q461</f>
        <v>0</v>
      </c>
      <c r="R353">
        <f>生データ!R461</f>
        <v>0</v>
      </c>
      <c r="S353" t="str">
        <f>生データ!S461</f>
        <v>New No761</v>
      </c>
      <c r="T353">
        <f>生データ!T461</f>
        <v>2.8329579870357371</v>
      </c>
      <c r="U353">
        <f>生データ!U461</f>
        <v>3.4059157821665602</v>
      </c>
      <c r="V353">
        <f>COUNTIF(怪しいデータを手直し!F$2:F$701,Sheet5!F353)</f>
        <v>1</v>
      </c>
    </row>
    <row r="354" spans="1:22">
      <c r="A354">
        <f>生データ!A462</f>
        <v>0</v>
      </c>
      <c r="B354">
        <f>生データ!B462</f>
        <v>0</v>
      </c>
      <c r="C354">
        <f>生データ!C462</f>
        <v>4.3847909736452664</v>
      </c>
      <c r="D354">
        <f>生データ!D462</f>
        <v>9.0804742579218729</v>
      </c>
      <c r="E354">
        <f>生データ!E462</f>
        <v>0</v>
      </c>
      <c r="F354">
        <f>IF(生データ!E462="Wr",3000+生データ!F462,IF(生データ!E462="Wb",4000+生データ!F462,生データ!F462))</f>
        <v>8</v>
      </c>
      <c r="G354" t="str">
        <f>生データ!G462</f>
        <v>bp</v>
      </c>
      <c r="H354">
        <f>生データ!H462</f>
        <v>0</v>
      </c>
      <c r="I354">
        <f>生データ!I462</f>
        <v>2.84</v>
      </c>
      <c r="J354">
        <f>生データ!J462</f>
        <v>10.1</v>
      </c>
      <c r="K354">
        <f>生データ!K462</f>
        <v>0</v>
      </c>
      <c r="L354">
        <f>生データ!L462</f>
        <v>4</v>
      </c>
      <c r="M354">
        <f>生データ!M462</f>
        <v>1.6</v>
      </c>
      <c r="N354">
        <f>生データ!N462</f>
        <v>0</v>
      </c>
      <c r="O354">
        <f>生データ!O462</f>
        <v>0</v>
      </c>
      <c r="P354" t="str">
        <f>生データ!P462</f>
        <v>L</v>
      </c>
      <c r="Q354">
        <f>生データ!Q462</f>
        <v>0</v>
      </c>
      <c r="R354">
        <f>生データ!R462</f>
        <v>0</v>
      </c>
      <c r="S354">
        <f>生データ!S462</f>
        <v>0</v>
      </c>
      <c r="T354">
        <f>生データ!T462</f>
        <v>2.84</v>
      </c>
      <c r="U354">
        <f>生データ!U462</f>
        <v>3.214929850456286</v>
      </c>
      <c r="V354">
        <f>COUNTIF(怪しいデータを手直し!F$2:F$701,Sheet5!F354)</f>
        <v>1</v>
      </c>
    </row>
    <row r="355" spans="1:22">
      <c r="A355">
        <f>生データ!A463</f>
        <v>30</v>
      </c>
      <c r="B355">
        <f>生データ!B463</f>
        <v>-20</v>
      </c>
      <c r="C355">
        <f>生データ!C463</f>
        <v>34.082172203010693</v>
      </c>
      <c r="D355">
        <f>生データ!D463</f>
        <v>-14.205581311207848</v>
      </c>
      <c r="E355">
        <f>生データ!E463</f>
        <v>0</v>
      </c>
      <c r="F355">
        <f>IF(生データ!E463="Wr",3000+生データ!F463,IF(生データ!E463="Wb",4000+生データ!F463,生データ!F463))</f>
        <v>525</v>
      </c>
      <c r="G355" t="str">
        <f>生データ!G463</f>
        <v>lc</v>
      </c>
      <c r="H355">
        <f>生データ!H463</f>
        <v>0</v>
      </c>
      <c r="I355">
        <f>生データ!I463</f>
        <v>2.85</v>
      </c>
      <c r="J355" t="str">
        <f>生データ!J463</f>
        <v>dead</v>
      </c>
      <c r="K355">
        <f>生データ!K463</f>
        <v>0</v>
      </c>
      <c r="L355">
        <f>生データ!L463</f>
        <v>3.7</v>
      </c>
      <c r="M355">
        <f>生データ!M463</f>
        <v>0</v>
      </c>
      <c r="N355">
        <f>生データ!N463</f>
        <v>0</v>
      </c>
      <c r="O355">
        <f>生データ!O463</f>
        <v>0</v>
      </c>
      <c r="P355" t="str">
        <f>生データ!P463</f>
        <v>D</v>
      </c>
      <c r="Q355">
        <f>生データ!Q463</f>
        <v>0</v>
      </c>
      <c r="R355">
        <f>生データ!R463</f>
        <v>0</v>
      </c>
      <c r="S355">
        <f>生データ!S463</f>
        <v>0</v>
      </c>
      <c r="T355">
        <f>生データ!T463</f>
        <v>2.85</v>
      </c>
      <c r="U355" t="str">
        <f>生データ!U463</f>
        <v>dead</v>
      </c>
      <c r="V355">
        <f>COUNTIF(怪しいデータを手直し!F$2:F$701,Sheet5!F355)</f>
        <v>1</v>
      </c>
    </row>
    <row r="356" spans="1:22">
      <c r="A356">
        <f>生データ!A464</f>
        <v>40</v>
      </c>
      <c r="B356">
        <f>生データ!B464</f>
        <v>-20</v>
      </c>
      <c r="C356">
        <f>生データ!C464</f>
        <v>49.102832546654355</v>
      </c>
      <c r="D356">
        <f>生データ!D464</f>
        <v>-16.139938080108806</v>
      </c>
      <c r="E356">
        <f>生データ!E464</f>
        <v>0</v>
      </c>
      <c r="F356">
        <f>IF(生データ!E464="Wr",3000+生データ!F464,IF(生データ!E464="Wb",4000+生データ!F464,生データ!F464))</f>
        <v>508</v>
      </c>
      <c r="G356" t="str">
        <f>生データ!G464</f>
        <v>bp</v>
      </c>
      <c r="H356">
        <f>生データ!H464</f>
        <v>0</v>
      </c>
      <c r="I356">
        <f>生データ!I464</f>
        <v>2.89</v>
      </c>
      <c r="J356">
        <f>生データ!J464</f>
        <v>10.4</v>
      </c>
      <c r="K356">
        <f>生データ!K464</f>
        <v>0</v>
      </c>
      <c r="L356">
        <f>生データ!L464</f>
        <v>3.7</v>
      </c>
      <c r="M356">
        <f>生データ!M464</f>
        <v>1.3</v>
      </c>
      <c r="N356">
        <f>生データ!N464</f>
        <v>0</v>
      </c>
      <c r="O356">
        <f>生データ!O464</f>
        <v>0</v>
      </c>
      <c r="P356" t="str">
        <f>生データ!P464</f>
        <v>L</v>
      </c>
      <c r="Q356">
        <f>生データ!Q464</f>
        <v>0</v>
      </c>
      <c r="R356">
        <f>生データ!R464</f>
        <v>0</v>
      </c>
      <c r="S356">
        <f>生データ!S464</f>
        <v>0</v>
      </c>
      <c r="T356">
        <f>生データ!T464</f>
        <v>2.89</v>
      </c>
      <c r="U356">
        <f>生データ!U464</f>
        <v>3.3104228163114233</v>
      </c>
      <c r="V356">
        <f>COUNTIF(怪しいデータを手直し!F$2:F$701,Sheet5!F356)</f>
        <v>1</v>
      </c>
    </row>
    <row r="357" spans="1:22">
      <c r="A357">
        <f>生データ!A465</f>
        <v>0</v>
      </c>
      <c r="B357">
        <f>生データ!B465</f>
        <v>10</v>
      </c>
      <c r="C357">
        <f>生データ!C465</f>
        <v>6.9886929587789961</v>
      </c>
      <c r="D357">
        <f>生データ!D465</f>
        <v>17.927321735838202</v>
      </c>
      <c r="E357">
        <f>生データ!E465</f>
        <v>0</v>
      </c>
      <c r="F357">
        <f>IF(生データ!E465="Wr",3000+生データ!F465,IF(生データ!E465="Wb",4000+生データ!F465,生データ!F465))</f>
        <v>23</v>
      </c>
      <c r="G357" t="str">
        <f>生データ!G465</f>
        <v>bp</v>
      </c>
      <c r="H357">
        <f>生データ!H465</f>
        <v>9.1</v>
      </c>
      <c r="I357">
        <f>生データ!I465</f>
        <v>0</v>
      </c>
      <c r="J357">
        <f>生データ!J465</f>
        <v>9.3000000000000007</v>
      </c>
      <c r="K357">
        <f>生データ!K465</f>
        <v>0</v>
      </c>
      <c r="L357">
        <f>生データ!L465</f>
        <v>2.9</v>
      </c>
      <c r="M357">
        <f>生データ!M465</f>
        <v>1.1000000000000001</v>
      </c>
      <c r="N357">
        <f>生データ!N465</f>
        <v>0</v>
      </c>
      <c r="O357">
        <f>生データ!O465</f>
        <v>0</v>
      </c>
      <c r="P357" t="str">
        <f>生データ!P465</f>
        <v>L</v>
      </c>
      <c r="Q357">
        <f>生データ!Q465</f>
        <v>0</v>
      </c>
      <c r="R357">
        <f>生データ!R465</f>
        <v>0</v>
      </c>
      <c r="S357">
        <f>生データ!S465</f>
        <v>0</v>
      </c>
      <c r="T357">
        <f>生データ!T465</f>
        <v>2.896619964272495</v>
      </c>
      <c r="U357">
        <f>生データ!U465</f>
        <v>2.9602819415092534</v>
      </c>
      <c r="V357">
        <f>COUNTIF(怪しいデータを手直し!F$2:F$701,Sheet5!F357)</f>
        <v>1</v>
      </c>
    </row>
    <row r="358" spans="1:22">
      <c r="A358">
        <f>生データ!A466</f>
        <v>10</v>
      </c>
      <c r="B358">
        <f>生データ!B466</f>
        <v>40</v>
      </c>
      <c r="C358">
        <f>生データ!C466</f>
        <v>18.446376209973945</v>
      </c>
      <c r="D358">
        <f>生データ!D466</f>
        <v>46.095108950549211</v>
      </c>
      <c r="E358">
        <f>生データ!E466</f>
        <v>0</v>
      </c>
      <c r="F358">
        <f>IF(生データ!E466="Wr",3000+生データ!F466,IF(生データ!E466="Wb",4000+生データ!F466,生データ!F466))</f>
        <v>79</v>
      </c>
      <c r="G358" t="str">
        <f>生データ!G466</f>
        <v>lc</v>
      </c>
      <c r="H358">
        <f>生データ!H466</f>
        <v>9.1</v>
      </c>
      <c r="I358">
        <f>生データ!I466</f>
        <v>0</v>
      </c>
      <c r="J358">
        <f>生データ!J466</f>
        <v>12</v>
      </c>
      <c r="K358">
        <f>生データ!K466</f>
        <v>0</v>
      </c>
      <c r="L358">
        <f>生データ!L466</f>
        <v>3</v>
      </c>
      <c r="M358">
        <f>生データ!M466</f>
        <v>0.4</v>
      </c>
      <c r="N358">
        <f>生データ!N466</f>
        <v>0</v>
      </c>
      <c r="O358">
        <f>生データ!O466</f>
        <v>0</v>
      </c>
      <c r="P358" t="str">
        <f>生データ!P466</f>
        <v>L</v>
      </c>
      <c r="Q358">
        <f>生データ!Q466</f>
        <v>0</v>
      </c>
      <c r="R358">
        <f>生データ!R466</f>
        <v>0</v>
      </c>
      <c r="S358">
        <f>生データ!S466</f>
        <v>0</v>
      </c>
      <c r="T358">
        <f>生データ!T466</f>
        <v>2.896619964272495</v>
      </c>
      <c r="U358">
        <f>生データ!U466</f>
        <v>3.8197186342054881</v>
      </c>
      <c r="V358">
        <f>COUNTIF(怪しいデータを手直し!F$2:F$701,Sheet5!F358)</f>
        <v>1</v>
      </c>
    </row>
    <row r="359" spans="1:22">
      <c r="A359">
        <f>生データ!A467</f>
        <v>30</v>
      </c>
      <c r="B359">
        <f>生データ!B467</f>
        <v>0</v>
      </c>
      <c r="C359">
        <f>生データ!C467</f>
        <v>33.495999755650672</v>
      </c>
      <c r="D359">
        <f>生データ!D467</f>
        <v>9.0689354720097679</v>
      </c>
      <c r="E359">
        <f>生データ!E467</f>
        <v>0</v>
      </c>
      <c r="F359">
        <f>IF(生データ!E467="Wr",3000+生データ!F467,IF(生データ!E467="Wb",4000+生データ!F467,生データ!F467))</f>
        <v>251</v>
      </c>
      <c r="G359" t="str">
        <f>生データ!G467</f>
        <v>bp</v>
      </c>
      <c r="H359">
        <f>生データ!H467</f>
        <v>0</v>
      </c>
      <c r="I359">
        <f>生データ!I467</f>
        <v>2.9</v>
      </c>
      <c r="J359" t="str">
        <f>生データ!J467</f>
        <v>dead</v>
      </c>
      <c r="K359">
        <f>生データ!K467</f>
        <v>0</v>
      </c>
      <c r="L359">
        <f>生データ!L467</f>
        <v>1.4</v>
      </c>
      <c r="M359">
        <f>生データ!M467</f>
        <v>0</v>
      </c>
      <c r="N359">
        <f>生データ!N467</f>
        <v>0</v>
      </c>
      <c r="O359">
        <f>生データ!O467</f>
        <v>0</v>
      </c>
      <c r="P359" t="str">
        <f>生データ!P467</f>
        <v>D</v>
      </c>
      <c r="Q359">
        <f>生データ!Q467</f>
        <v>0</v>
      </c>
      <c r="R359">
        <f>生データ!R467</f>
        <v>0</v>
      </c>
      <c r="S359">
        <f>生データ!S467</f>
        <v>0</v>
      </c>
      <c r="T359">
        <f>生データ!T467</f>
        <v>2.9</v>
      </c>
      <c r="U359" t="str">
        <f>生データ!U467</f>
        <v>dead</v>
      </c>
      <c r="V359">
        <f>COUNTIF(怪しいデータを手直し!F$2:F$701,Sheet5!F359)</f>
        <v>1</v>
      </c>
    </row>
    <row r="360" spans="1:22">
      <c r="A360">
        <f>生データ!A468</f>
        <v>10</v>
      </c>
      <c r="B360">
        <f>生データ!B468</f>
        <v>20</v>
      </c>
      <c r="C360">
        <f>生データ!C468</f>
        <v>10.120495513001957</v>
      </c>
      <c r="D360">
        <f>生データ!D468</f>
        <v>24.04790940749756</v>
      </c>
      <c r="E360">
        <f>生データ!E468</f>
        <v>0</v>
      </c>
      <c r="F360">
        <f>IF(生データ!E468="Wr",3000+生データ!F468,IF(生データ!E468="Wb",4000+生データ!F468,生データ!F468))</f>
        <v>99</v>
      </c>
      <c r="G360" t="str">
        <f>生データ!G468</f>
        <v>lc</v>
      </c>
      <c r="H360">
        <f>生データ!H468</f>
        <v>9.1999999999999993</v>
      </c>
      <c r="I360">
        <f>生データ!I468</f>
        <v>0</v>
      </c>
      <c r="J360">
        <f>生データ!J468</f>
        <v>13.1</v>
      </c>
      <c r="K360">
        <f>生データ!K468</f>
        <v>0</v>
      </c>
      <c r="L360">
        <f>生データ!L468</f>
        <v>3.6</v>
      </c>
      <c r="M360">
        <f>生データ!M468</f>
        <v>0.2</v>
      </c>
      <c r="N360">
        <f>生データ!N468</f>
        <v>0</v>
      </c>
      <c r="O360">
        <f>生データ!O468</f>
        <v>0</v>
      </c>
      <c r="P360" t="str">
        <f>生データ!P468</f>
        <v>L</v>
      </c>
      <c r="Q360">
        <f>生データ!Q468</f>
        <v>0</v>
      </c>
      <c r="R360">
        <f>生データ!R468</f>
        <v>0</v>
      </c>
      <c r="S360">
        <f>生データ!S468</f>
        <v>0</v>
      </c>
      <c r="T360">
        <f>生データ!T468</f>
        <v>2.928450952890874</v>
      </c>
      <c r="U360">
        <f>生データ!U468</f>
        <v>4.169859509007658</v>
      </c>
      <c r="V360">
        <f>COUNTIF(怪しいデータを手直し!F$2:F$701,Sheet5!F360)</f>
        <v>1</v>
      </c>
    </row>
    <row r="361" spans="1:22">
      <c r="A361">
        <f>生データ!A469</f>
        <v>20</v>
      </c>
      <c r="B361">
        <f>生データ!B469</f>
        <v>40</v>
      </c>
      <c r="C361">
        <f>生データ!C469</f>
        <v>25.791475915445979</v>
      </c>
      <c r="D361">
        <f>生データ!D469</f>
        <v>46.638893486177437</v>
      </c>
      <c r="E361">
        <f>生データ!E469</f>
        <v>0</v>
      </c>
      <c r="F361">
        <f>IF(生データ!E469="Wr",3000+生データ!F469,IF(生データ!E469="Wb",4000+生データ!F469,生データ!F469))</f>
        <v>198</v>
      </c>
      <c r="G361" t="str">
        <f>生データ!G469</f>
        <v>bp</v>
      </c>
      <c r="H361">
        <f>生データ!H469</f>
        <v>9.1999999999999993</v>
      </c>
      <c r="I361">
        <f>生データ!I469</f>
        <v>0</v>
      </c>
      <c r="J361" t="str">
        <f>生データ!J469</f>
        <v>dead</v>
      </c>
      <c r="K361">
        <f>生データ!K469</f>
        <v>0</v>
      </c>
      <c r="L361">
        <f>生データ!L469</f>
        <v>2.8</v>
      </c>
      <c r="M361">
        <f>生データ!M469</f>
        <v>0</v>
      </c>
      <c r="N361">
        <f>生データ!N469</f>
        <v>0</v>
      </c>
      <c r="O361">
        <f>生データ!O469</f>
        <v>0</v>
      </c>
      <c r="P361" t="str">
        <f>生データ!P469</f>
        <v>D</v>
      </c>
      <c r="Q361">
        <f>生データ!Q469</f>
        <v>0</v>
      </c>
      <c r="R361">
        <f>生データ!R469</f>
        <v>0</v>
      </c>
      <c r="S361">
        <f>生データ!S469</f>
        <v>0</v>
      </c>
      <c r="T361">
        <f>生データ!T469</f>
        <v>2.928450952890874</v>
      </c>
      <c r="U361" t="str">
        <f>生データ!U469</f>
        <v>dead</v>
      </c>
      <c r="V361">
        <f>COUNTIF(怪しいデータを手直し!F$2:F$701,Sheet5!F361)</f>
        <v>1</v>
      </c>
    </row>
    <row r="362" spans="1:22">
      <c r="A362">
        <f>生データ!A470</f>
        <v>40</v>
      </c>
      <c r="B362">
        <f>生データ!B470</f>
        <v>-20</v>
      </c>
      <c r="C362">
        <f>生データ!C470</f>
        <v>47.913619609306409</v>
      </c>
      <c r="D362">
        <f>生データ!D470</f>
        <v>-10.317843796857876</v>
      </c>
      <c r="E362">
        <f>生データ!E470</f>
        <v>0</v>
      </c>
      <c r="F362">
        <f>IF(生データ!E470="Wr",3000+生データ!F470,IF(生データ!E470="Wb",4000+生データ!F470,生データ!F470))</f>
        <v>502</v>
      </c>
      <c r="G362" t="str">
        <f>生データ!G470</f>
        <v>bp</v>
      </c>
      <c r="H362">
        <f>生データ!H470</f>
        <v>9.1999999999999993</v>
      </c>
      <c r="I362">
        <f>生データ!I470</f>
        <v>0</v>
      </c>
      <c r="J362">
        <f>生データ!J470</f>
        <v>9.4</v>
      </c>
      <c r="K362">
        <f>生データ!K470</f>
        <v>0</v>
      </c>
      <c r="L362">
        <f>生データ!L470</f>
        <v>2.7</v>
      </c>
      <c r="M362">
        <f>生データ!M470</f>
        <v>1.7</v>
      </c>
      <c r="N362">
        <f>生データ!N470</f>
        <v>0</v>
      </c>
      <c r="O362">
        <f>生データ!O470</f>
        <v>0</v>
      </c>
      <c r="P362" t="str">
        <f>生データ!P470</f>
        <v>L</v>
      </c>
      <c r="Q362">
        <f>生データ!Q470</f>
        <v>0</v>
      </c>
      <c r="R362">
        <f>生データ!R470</f>
        <v>0</v>
      </c>
      <c r="S362">
        <f>生データ!S470</f>
        <v>0</v>
      </c>
      <c r="T362">
        <f>生データ!T470</f>
        <v>2.928450952890874</v>
      </c>
      <c r="U362">
        <f>生データ!U470</f>
        <v>2.9921129301276324</v>
      </c>
      <c r="V362">
        <f>COUNTIF(怪しいデータを手直し!F$2:F$701,Sheet5!F362)</f>
        <v>1</v>
      </c>
    </row>
    <row r="363" spans="1:22">
      <c r="A363">
        <f>生データ!A471</f>
        <v>30</v>
      </c>
      <c r="B363">
        <f>生データ!B471</f>
        <v>10</v>
      </c>
      <c r="C363">
        <f>生データ!C471</f>
        <v>32.324126605413987</v>
      </c>
      <c r="D363">
        <f>生データ!D471</f>
        <v>17.643193787769803</v>
      </c>
      <c r="E363">
        <f>生データ!E471</f>
        <v>0</v>
      </c>
      <c r="F363">
        <f>IF(生データ!E471="Wr",3000+生データ!F471,IF(生データ!E471="Wb",4000+生データ!F471,生データ!F471))</f>
        <v>219</v>
      </c>
      <c r="G363" t="str">
        <f>生データ!G471</f>
        <v>bp</v>
      </c>
      <c r="H363">
        <f>生データ!H471</f>
        <v>0</v>
      </c>
      <c r="I363">
        <f>生データ!I471</f>
        <v>2.93</v>
      </c>
      <c r="J363">
        <f>生データ!J471</f>
        <v>9.9</v>
      </c>
      <c r="K363">
        <f>生データ!K471</f>
        <v>0</v>
      </c>
      <c r="L363">
        <f>生データ!L471</f>
        <v>4.2</v>
      </c>
      <c r="M363">
        <f>生データ!M471</f>
        <v>1.7</v>
      </c>
      <c r="N363">
        <f>生データ!N471</f>
        <v>0</v>
      </c>
      <c r="O363">
        <f>生データ!O471</f>
        <v>0</v>
      </c>
      <c r="P363" t="str">
        <f>生データ!P471</f>
        <v>L</v>
      </c>
      <c r="Q363">
        <f>生データ!Q471</f>
        <v>0</v>
      </c>
      <c r="R363">
        <f>生データ!R471</f>
        <v>0</v>
      </c>
      <c r="S363">
        <f>生データ!S471</f>
        <v>0</v>
      </c>
      <c r="T363">
        <f>生データ!T471</f>
        <v>2.93</v>
      </c>
      <c r="U363">
        <f>生データ!U471</f>
        <v>3.1512678732195281</v>
      </c>
      <c r="V363">
        <f>COUNTIF(怪しいデータを手直し!F$2:F$701,Sheet5!F363)</f>
        <v>1</v>
      </c>
    </row>
    <row r="364" spans="1:22">
      <c r="A364">
        <f>生データ!A472</f>
        <v>30</v>
      </c>
      <c r="B364">
        <f>生データ!B472</f>
        <v>0</v>
      </c>
      <c r="C364">
        <f>生データ!C472</f>
        <v>33.861205161092634</v>
      </c>
      <c r="D364">
        <f>生データ!D472</f>
        <v>9.3143433199608303</v>
      </c>
      <c r="E364">
        <f>生データ!E472</f>
        <v>0</v>
      </c>
      <c r="F364">
        <f>IF(生データ!E472="Wr",3000+生データ!F472,IF(生データ!E472="Wb",4000+生データ!F472,生データ!F472))</f>
        <v>249</v>
      </c>
      <c r="G364" t="str">
        <f>生データ!G472</f>
        <v>bp</v>
      </c>
      <c r="H364">
        <f>生データ!H472</f>
        <v>0</v>
      </c>
      <c r="I364">
        <f>生データ!I472</f>
        <v>2.93</v>
      </c>
      <c r="J364">
        <f>生データ!J472</f>
        <v>9.9</v>
      </c>
      <c r="K364">
        <f>生データ!K472</f>
        <v>0</v>
      </c>
      <c r="L364">
        <f>生データ!L472</f>
        <v>3.8</v>
      </c>
      <c r="M364">
        <f>生データ!M472</f>
        <v>1.7</v>
      </c>
      <c r="N364">
        <f>生データ!N472</f>
        <v>0</v>
      </c>
      <c r="O364">
        <f>生データ!O472</f>
        <v>0</v>
      </c>
      <c r="P364" t="str">
        <f>生データ!P472</f>
        <v>L</v>
      </c>
      <c r="Q364">
        <f>生データ!Q472</f>
        <v>0</v>
      </c>
      <c r="R364">
        <f>生データ!R472</f>
        <v>0</v>
      </c>
      <c r="S364">
        <f>生データ!S472</f>
        <v>0</v>
      </c>
      <c r="T364">
        <f>生データ!T472</f>
        <v>2.93</v>
      </c>
      <c r="U364">
        <f>生データ!U472</f>
        <v>3.1512678732195281</v>
      </c>
      <c r="V364">
        <f>COUNTIF(怪しいデータを手直し!F$2:F$701,Sheet5!F364)</f>
        <v>1</v>
      </c>
    </row>
    <row r="365" spans="1:22">
      <c r="A365">
        <f>生データ!A473</f>
        <v>20</v>
      </c>
      <c r="B365">
        <f>生データ!B473</f>
        <v>-30</v>
      </c>
      <c r="C365">
        <f>生データ!C473</f>
        <v>21.358357107595999</v>
      </c>
      <c r="D365">
        <f>生データ!D473</f>
        <v>-22.250979369111008</v>
      </c>
      <c r="E365">
        <f>生データ!E473</f>
        <v>0</v>
      </c>
      <c r="F365">
        <f>IF(生データ!E473="Wr",3000+生データ!F473,IF(生データ!E473="Wb",4000+生データ!F473,生データ!F473))</f>
        <v>634</v>
      </c>
      <c r="G365" t="str">
        <f>生データ!G473</f>
        <v>lc</v>
      </c>
      <c r="H365">
        <f>生データ!H473</f>
        <v>0</v>
      </c>
      <c r="I365">
        <f>生データ!I473</f>
        <v>2.94</v>
      </c>
      <c r="J365" t="str">
        <f>生データ!J473</f>
        <v>dead</v>
      </c>
      <c r="K365">
        <f>生データ!K473</f>
        <v>0</v>
      </c>
      <c r="L365">
        <f>生データ!L473</f>
        <v>4.0999999999999996</v>
      </c>
      <c r="M365">
        <f>生データ!M473</f>
        <v>0.3</v>
      </c>
      <c r="N365">
        <f>生データ!N473</f>
        <v>0</v>
      </c>
      <c r="O365">
        <f>生データ!O473</f>
        <v>0</v>
      </c>
      <c r="P365" t="str">
        <f>生データ!P473</f>
        <v>L</v>
      </c>
      <c r="Q365">
        <f>生データ!Q473</f>
        <v>0</v>
      </c>
      <c r="R365">
        <f>生データ!R473</f>
        <v>0</v>
      </c>
      <c r="S365">
        <f>生データ!S473</f>
        <v>0</v>
      </c>
      <c r="T365">
        <f>生データ!T473</f>
        <v>2.94</v>
      </c>
      <c r="U365" t="str">
        <f>生データ!U473</f>
        <v>dead</v>
      </c>
      <c r="V365">
        <f>COUNTIF(怪しいデータを手直し!F$2:F$701,Sheet5!F365)</f>
        <v>1</v>
      </c>
    </row>
    <row r="366" spans="1:22">
      <c r="A366">
        <f>生データ!A474</f>
        <v>20</v>
      </c>
      <c r="B366">
        <f>生データ!B474</f>
        <v>-30</v>
      </c>
      <c r="C366">
        <f>生データ!C474</f>
        <v>24.416937663290781</v>
      </c>
      <c r="D366">
        <f>生データ!D474</f>
        <v>-26.422578527695791</v>
      </c>
      <c r="E366">
        <f>生データ!E474</f>
        <v>0</v>
      </c>
      <c r="F366">
        <f>IF(生データ!E474="Wr",3000+生データ!F474,IF(生データ!E474="Wb",4000+生データ!F474,生データ!F474))</f>
        <v>645</v>
      </c>
      <c r="G366" t="str">
        <f>生データ!G474</f>
        <v>bp</v>
      </c>
      <c r="H366">
        <f>生データ!H474</f>
        <v>0</v>
      </c>
      <c r="I366">
        <f>生データ!I474</f>
        <v>2.94</v>
      </c>
      <c r="J366">
        <f>生データ!J474</f>
        <v>10.4</v>
      </c>
      <c r="K366">
        <f>生データ!K474</f>
        <v>0</v>
      </c>
      <c r="L366">
        <f>生データ!L474</f>
        <v>5.4</v>
      </c>
      <c r="M366">
        <f>生データ!M474</f>
        <v>2.1</v>
      </c>
      <c r="N366">
        <f>生データ!N474</f>
        <v>0</v>
      </c>
      <c r="O366">
        <f>生データ!O474</f>
        <v>0</v>
      </c>
      <c r="P366" t="str">
        <f>生データ!P474</f>
        <v>L</v>
      </c>
      <c r="Q366">
        <f>生データ!Q474</f>
        <v>0</v>
      </c>
      <c r="R366">
        <f>生データ!R474</f>
        <v>0</v>
      </c>
      <c r="S366">
        <f>生データ!S474</f>
        <v>0</v>
      </c>
      <c r="T366">
        <f>生データ!T474</f>
        <v>2.94</v>
      </c>
      <c r="U366">
        <f>生データ!U474</f>
        <v>3.3104228163114233</v>
      </c>
      <c r="V366">
        <f>COUNTIF(怪しいデータを手直し!F$2:F$701,Sheet5!F366)</f>
        <v>1</v>
      </c>
    </row>
    <row r="367" spans="1:22">
      <c r="A367">
        <f>生データ!A475</f>
        <v>40</v>
      </c>
      <c r="B367">
        <f>生データ!B475</f>
        <v>-10</v>
      </c>
      <c r="C367">
        <f>生データ!C475</f>
        <v>48.306777815709822</v>
      </c>
      <c r="D367">
        <f>生データ!D475</f>
        <v>-3.1315489194051551</v>
      </c>
      <c r="E367">
        <f>生データ!E475</f>
        <v>0</v>
      </c>
      <c r="F367">
        <f>IF(生データ!E475="Wr",3000+生データ!F475,IF(生データ!E475="Wb",4000+生データ!F475,生データ!F475))</f>
        <v>468</v>
      </c>
      <c r="G367" t="str">
        <f>生データ!G475</f>
        <v>bp</v>
      </c>
      <c r="H367">
        <f>生データ!H475</f>
        <v>9.3000000000000007</v>
      </c>
      <c r="I367">
        <f>生データ!I475</f>
        <v>0</v>
      </c>
      <c r="J367">
        <f>生データ!J475</f>
        <v>10.199999999999999</v>
      </c>
      <c r="K367">
        <f>生データ!K475</f>
        <v>0</v>
      </c>
      <c r="L367">
        <f>生データ!L475</f>
        <v>4</v>
      </c>
      <c r="M367">
        <f>生データ!M475</f>
        <v>2.5</v>
      </c>
      <c r="N367">
        <f>生データ!N475</f>
        <v>0</v>
      </c>
      <c r="O367">
        <f>生データ!O475</f>
        <v>0</v>
      </c>
      <c r="P367" t="str">
        <f>生データ!P475</f>
        <v>L</v>
      </c>
      <c r="Q367">
        <f>生データ!Q475</f>
        <v>0</v>
      </c>
      <c r="R367">
        <f>生データ!R475</f>
        <v>0</v>
      </c>
      <c r="S367">
        <f>生データ!S475</f>
        <v>0</v>
      </c>
      <c r="T367">
        <f>生データ!T475</f>
        <v>2.9602819415092534</v>
      </c>
      <c r="U367">
        <f>生データ!U475</f>
        <v>3.246760839074665</v>
      </c>
      <c r="V367">
        <f>COUNTIF(怪しいデータを手直し!F$2:F$701,Sheet5!F367)</f>
        <v>1</v>
      </c>
    </row>
    <row r="368" spans="1:22">
      <c r="A368">
        <f>生データ!A476</f>
        <v>40</v>
      </c>
      <c r="B368">
        <f>生データ!B476</f>
        <v>-10</v>
      </c>
      <c r="C368">
        <f>生データ!C476</f>
        <v>48.401628678836474</v>
      </c>
      <c r="D368">
        <f>生データ!D476</f>
        <v>-3.0574023483476909</v>
      </c>
      <c r="E368">
        <f>生データ!E476</f>
        <v>0</v>
      </c>
      <c r="F368">
        <f>IF(生データ!E476="Wr",3000+生データ!F476,IF(生データ!E476="Wb",4000+生データ!F476,生データ!F476))</f>
        <v>469</v>
      </c>
      <c r="G368" t="str">
        <f>生データ!G476</f>
        <v>bp</v>
      </c>
      <c r="H368">
        <f>生データ!H476</f>
        <v>9.3000000000000007</v>
      </c>
      <c r="I368">
        <f>生データ!I476</f>
        <v>0</v>
      </c>
      <c r="J368">
        <f>生データ!J476</f>
        <v>9.1999999999999993</v>
      </c>
      <c r="K368">
        <f>生データ!K476</f>
        <v>0</v>
      </c>
      <c r="L368">
        <f>生データ!L476</f>
        <v>2.8</v>
      </c>
      <c r="M368">
        <f>生データ!M476</f>
        <v>1.6</v>
      </c>
      <c r="N368">
        <f>生データ!N476</f>
        <v>0</v>
      </c>
      <c r="O368">
        <f>生データ!O476</f>
        <v>0</v>
      </c>
      <c r="P368" t="str">
        <f>生データ!P476</f>
        <v>L</v>
      </c>
      <c r="Q368">
        <f>生データ!Q476</f>
        <v>0</v>
      </c>
      <c r="R368">
        <f>生データ!R476</f>
        <v>0</v>
      </c>
      <c r="S368">
        <f>生データ!S476</f>
        <v>0</v>
      </c>
      <c r="T368">
        <f>生データ!T476</f>
        <v>2.9602819415092534</v>
      </c>
      <c r="U368">
        <f>生データ!U476</f>
        <v>2.928450952890874</v>
      </c>
      <c r="V368">
        <f>COUNTIF(怪しいデータを手直し!F$2:F$701,Sheet5!F368)</f>
        <v>1</v>
      </c>
    </row>
    <row r="369" spans="1:22">
      <c r="A369">
        <f>生データ!A477</f>
        <v>20</v>
      </c>
      <c r="B369">
        <f>生データ!B477</f>
        <v>-30</v>
      </c>
      <c r="C369">
        <f>生データ!C477</f>
        <v>29.843176006222272</v>
      </c>
      <c r="D369">
        <f>生データ!D477</f>
        <v>-24.727399521404511</v>
      </c>
      <c r="E369">
        <f>生データ!E477</f>
        <v>0</v>
      </c>
      <c r="F369">
        <f>IF(生データ!E477="Wr",3000+生データ!F477,IF(生データ!E477="Wb",4000+生データ!F477,生データ!F477))</f>
        <v>659</v>
      </c>
      <c r="G369" t="str">
        <f>生データ!G477</f>
        <v>lc</v>
      </c>
      <c r="H369">
        <f>生データ!H477</f>
        <v>9.3000000000000007</v>
      </c>
      <c r="I369">
        <f>生データ!I477</f>
        <v>0</v>
      </c>
      <c r="J369" t="str">
        <f>生データ!J477</f>
        <v>dead</v>
      </c>
      <c r="K369">
        <f>生データ!K477</f>
        <v>0</v>
      </c>
      <c r="L369">
        <f>生データ!L477</f>
        <v>3.3</v>
      </c>
      <c r="M369">
        <f>生データ!M477</f>
        <v>0</v>
      </c>
      <c r="N369">
        <f>生データ!N477</f>
        <v>0</v>
      </c>
      <c r="O369">
        <f>生データ!O477</f>
        <v>0</v>
      </c>
      <c r="P369" t="str">
        <f>生データ!P477</f>
        <v>D</v>
      </c>
      <c r="Q369">
        <f>生データ!Q477</f>
        <v>0</v>
      </c>
      <c r="R369">
        <f>生データ!R477</f>
        <v>0</v>
      </c>
      <c r="S369">
        <f>生データ!S477</f>
        <v>0</v>
      </c>
      <c r="T369">
        <f>生データ!T477</f>
        <v>2.9602819415092534</v>
      </c>
      <c r="U369" t="str">
        <f>生データ!U477</f>
        <v>dead</v>
      </c>
      <c r="V369">
        <f>COUNTIF(怪しいデータを手直し!F$2:F$701,Sheet5!F369)</f>
        <v>1</v>
      </c>
    </row>
    <row r="370" spans="1:22">
      <c r="A370">
        <f>生データ!A478</f>
        <v>0</v>
      </c>
      <c r="B370">
        <f>生データ!B478</f>
        <v>20</v>
      </c>
      <c r="C370">
        <f>生データ!C478</f>
        <v>8.9167524089241592</v>
      </c>
      <c r="D370">
        <f>生データ!D478</f>
        <v>22.422628010641585</v>
      </c>
      <c r="E370">
        <f>生データ!E478</f>
        <v>0</v>
      </c>
      <c r="F370">
        <f>IF(生データ!E478="Wr",3000+生データ!F478,IF(生データ!E478="Wb",4000+生データ!F478,生データ!F478))</f>
        <v>36</v>
      </c>
      <c r="G370" t="str">
        <f>生データ!G478</f>
        <v>bp</v>
      </c>
      <c r="H370">
        <f>生データ!H478</f>
        <v>9.4</v>
      </c>
      <c r="I370">
        <f>生データ!I478</f>
        <v>0</v>
      </c>
      <c r="J370">
        <f>生データ!J478</f>
        <v>12.3</v>
      </c>
      <c r="K370">
        <f>生データ!K478</f>
        <v>0</v>
      </c>
      <c r="L370">
        <f>生データ!L478</f>
        <v>4.5</v>
      </c>
      <c r="M370">
        <f>生データ!M478</f>
        <v>0.9</v>
      </c>
      <c r="N370">
        <f>生データ!N478</f>
        <v>0</v>
      </c>
      <c r="O370">
        <f>生データ!O478</f>
        <v>0</v>
      </c>
      <c r="P370" t="str">
        <f>生データ!P478</f>
        <v>L</v>
      </c>
      <c r="Q370">
        <f>生データ!Q478</f>
        <v>0</v>
      </c>
      <c r="R370">
        <f>生データ!R478</f>
        <v>0</v>
      </c>
      <c r="S370">
        <f>生データ!S478</f>
        <v>0</v>
      </c>
      <c r="T370">
        <f>生データ!T478</f>
        <v>2.9921129301276324</v>
      </c>
      <c r="U370">
        <f>生データ!U478</f>
        <v>3.9152116000606259</v>
      </c>
      <c r="V370">
        <f>COUNTIF(怪しいデータを手直し!F$2:F$701,Sheet5!F370)</f>
        <v>1</v>
      </c>
    </row>
    <row r="371" spans="1:22">
      <c r="A371">
        <f>生データ!A479</f>
        <v>40</v>
      </c>
      <c r="B371">
        <f>生データ!B479</f>
        <v>40</v>
      </c>
      <c r="C371">
        <f>生データ!C479</f>
        <v>41.85837927428328</v>
      </c>
      <c r="D371">
        <f>生データ!D479</f>
        <v>49.432158393420885</v>
      </c>
      <c r="E371">
        <f>生データ!E479</f>
        <v>0</v>
      </c>
      <c r="F371">
        <f>IF(生データ!E479="Wr",3000+生データ!F479,IF(生データ!E479="Wb",4000+生データ!F479,生データ!F479))</f>
        <v>365</v>
      </c>
      <c r="G371" t="str">
        <f>生データ!G479</f>
        <v>bp</v>
      </c>
      <c r="H371">
        <f>生データ!H479</f>
        <v>9.4</v>
      </c>
      <c r="I371">
        <f>生データ!I479</f>
        <v>0</v>
      </c>
      <c r="J371">
        <f>生データ!J479</f>
        <v>9.8000000000000007</v>
      </c>
      <c r="K371">
        <f>生データ!K479</f>
        <v>0</v>
      </c>
      <c r="L371">
        <f>生データ!L479</f>
        <v>4.2</v>
      </c>
      <c r="M371">
        <f>生データ!M479</f>
        <v>1.4</v>
      </c>
      <c r="N371">
        <f>生データ!N479</f>
        <v>0</v>
      </c>
      <c r="O371">
        <f>生データ!O479</f>
        <v>0</v>
      </c>
      <c r="P371" t="str">
        <f>生データ!P479</f>
        <v>L</v>
      </c>
      <c r="Q371">
        <f>生データ!Q479</f>
        <v>0</v>
      </c>
      <c r="R371">
        <f>生データ!R479</f>
        <v>0</v>
      </c>
      <c r="S371">
        <f>生データ!S479</f>
        <v>0</v>
      </c>
      <c r="T371">
        <f>生データ!T479</f>
        <v>2.9921129301276324</v>
      </c>
      <c r="U371">
        <f>生データ!U479</f>
        <v>3.1194368846011491</v>
      </c>
      <c r="V371">
        <f>COUNTIF(怪しいデータを手直し!F$2:F$701,Sheet5!F371)</f>
        <v>1</v>
      </c>
    </row>
    <row r="372" spans="1:22">
      <c r="A372">
        <f>生データ!A480</f>
        <v>40</v>
      </c>
      <c r="B372">
        <f>生データ!B480</f>
        <v>-30</v>
      </c>
      <c r="C372">
        <f>生データ!C480</f>
        <v>41.859970636357168</v>
      </c>
      <c r="D372">
        <f>生データ!D480</f>
        <v>-25.656915812060998</v>
      </c>
      <c r="E372">
        <f>生データ!E480</f>
        <v>0</v>
      </c>
      <c r="F372">
        <f>IF(生データ!E480="Wr",3000+生データ!F480,IF(生データ!E480="Wb",4000+生データ!F480,生データ!F480))</f>
        <v>690</v>
      </c>
      <c r="G372" t="str">
        <f>生データ!G480</f>
        <v>bp</v>
      </c>
      <c r="H372">
        <f>生データ!H480</f>
        <v>9.5</v>
      </c>
      <c r="I372">
        <f>生データ!I480</f>
        <v>0</v>
      </c>
      <c r="J372" t="str">
        <f>生データ!J480</f>
        <v>dead</v>
      </c>
      <c r="K372">
        <f>生データ!K480</f>
        <v>0</v>
      </c>
      <c r="L372">
        <f>生データ!L480</f>
        <v>5</v>
      </c>
      <c r="M372">
        <f>生データ!M480</f>
        <v>0.2</v>
      </c>
      <c r="N372">
        <f>生データ!N480</f>
        <v>0</v>
      </c>
      <c r="O372">
        <f>生データ!O480</f>
        <v>0</v>
      </c>
      <c r="P372" t="str">
        <f>生データ!P480</f>
        <v>L</v>
      </c>
      <c r="Q372">
        <f>生データ!Q480</f>
        <v>0</v>
      </c>
      <c r="R372">
        <f>生データ!R480</f>
        <v>0</v>
      </c>
      <c r="S372">
        <f>生データ!S480</f>
        <v>0</v>
      </c>
      <c r="T372">
        <f>生データ!T480</f>
        <v>3.0239439187460113</v>
      </c>
      <c r="U372" t="str">
        <f>生データ!U480</f>
        <v>dead</v>
      </c>
      <c r="V372">
        <f>COUNTIF(怪しいデータを手直し!F$2:F$701,Sheet5!F372)</f>
        <v>1</v>
      </c>
    </row>
    <row r="373" spans="1:22">
      <c r="A373">
        <f>生データ!A481</f>
        <v>40</v>
      </c>
      <c r="B373">
        <f>生データ!B481</f>
        <v>20</v>
      </c>
      <c r="C373">
        <f>生データ!C481</f>
        <v>41.842468171835485</v>
      </c>
      <c r="D373">
        <f>生データ!D481</f>
        <v>29.62411282140144</v>
      </c>
      <c r="E373">
        <f>生データ!E481</f>
        <v>0</v>
      </c>
      <c r="F373">
        <f>IF(生データ!E481="Wr",3000+生データ!F481,IF(生データ!E481="Wb",4000+生データ!F481,生データ!F481))</f>
        <v>309</v>
      </c>
      <c r="G373" t="str">
        <f>生データ!G481</f>
        <v>bp</v>
      </c>
      <c r="H373">
        <f>生データ!H481</f>
        <v>0</v>
      </c>
      <c r="I373">
        <f>生データ!I481</f>
        <v>3.04</v>
      </c>
      <c r="J373">
        <f>生データ!J481</f>
        <v>10.1</v>
      </c>
      <c r="K373">
        <f>生データ!K481</f>
        <v>0</v>
      </c>
      <c r="L373">
        <f>生データ!L481</f>
        <v>5.0999999999999996</v>
      </c>
      <c r="M373">
        <f>生データ!M481</f>
        <v>2</v>
      </c>
      <c r="N373">
        <f>生データ!N481</f>
        <v>0</v>
      </c>
      <c r="O373">
        <f>生データ!O481</f>
        <v>0</v>
      </c>
      <c r="P373" t="str">
        <f>生データ!P481</f>
        <v>L</v>
      </c>
      <c r="Q373">
        <f>生データ!Q481</f>
        <v>0</v>
      </c>
      <c r="R373">
        <f>生データ!R481</f>
        <v>0</v>
      </c>
      <c r="S373">
        <f>生データ!S481</f>
        <v>0</v>
      </c>
      <c r="T373">
        <f>生データ!T481</f>
        <v>3.04</v>
      </c>
      <c r="U373">
        <f>生データ!U481</f>
        <v>3.214929850456286</v>
      </c>
      <c r="V373">
        <f>COUNTIF(怪しいデータを手直し!F$2:F$701,Sheet5!F373)</f>
        <v>1</v>
      </c>
    </row>
    <row r="374" spans="1:22">
      <c r="A374">
        <f>生データ!A482</f>
        <v>0</v>
      </c>
      <c r="B374">
        <f>生データ!B482</f>
        <v>-20</v>
      </c>
      <c r="C374">
        <f>生データ!C482</f>
        <v>1.5226557831048269</v>
      </c>
      <c r="D374">
        <f>生データ!D482</f>
        <v>-17.833384923912359</v>
      </c>
      <c r="E374">
        <f>生データ!E482</f>
        <v>0</v>
      </c>
      <c r="F374">
        <f>IF(生データ!E482="Wr",3000+生データ!F482,IF(生データ!E482="Wb",4000+生データ!F482,生データ!F482))</f>
        <v>587</v>
      </c>
      <c r="G374" t="str">
        <f>生データ!G482</f>
        <v>lc</v>
      </c>
      <c r="H374">
        <f>生データ!H482</f>
        <v>0</v>
      </c>
      <c r="I374">
        <f>生データ!I482</f>
        <v>3.04</v>
      </c>
      <c r="J374">
        <f>生データ!J482</f>
        <v>12.4</v>
      </c>
      <c r="K374">
        <f>生データ!K482</f>
        <v>0</v>
      </c>
      <c r="L374">
        <f>生データ!L482</f>
        <v>3.9</v>
      </c>
      <c r="M374">
        <f>生データ!M482</f>
        <v>0.7</v>
      </c>
      <c r="N374">
        <f>生データ!N482</f>
        <v>0</v>
      </c>
      <c r="O374">
        <f>生データ!O482</f>
        <v>0</v>
      </c>
      <c r="P374" t="str">
        <f>生データ!P482</f>
        <v>L</v>
      </c>
      <c r="Q374">
        <f>生データ!Q482</f>
        <v>0</v>
      </c>
      <c r="R374">
        <f>生データ!R482</f>
        <v>0</v>
      </c>
      <c r="S374">
        <f>生データ!S482</f>
        <v>0</v>
      </c>
      <c r="T374">
        <f>生データ!T482</f>
        <v>3.04</v>
      </c>
      <c r="U374">
        <f>生データ!U482</f>
        <v>3.9470425886790048</v>
      </c>
      <c r="V374">
        <f>COUNTIF(怪しいデータを手直し!F$2:F$701,Sheet5!F374)</f>
        <v>1</v>
      </c>
    </row>
    <row r="375" spans="1:22">
      <c r="A375">
        <f>生データ!A483</f>
        <v>20</v>
      </c>
      <c r="B375">
        <f>生データ!B483</f>
        <v>-20</v>
      </c>
      <c r="C375">
        <f>生データ!C483</f>
        <v>29.705651689543171</v>
      </c>
      <c r="D375">
        <f>生データ!D483</f>
        <v>-12.990784656740539</v>
      </c>
      <c r="E375">
        <f>生データ!E483</f>
        <v>0</v>
      </c>
      <c r="F375">
        <f>IF(生データ!E483="Wr",3000+生データ!F483,IF(生データ!E483="Wb",4000+生データ!F483,生データ!F483))</f>
        <v>537</v>
      </c>
      <c r="G375" t="str">
        <f>生データ!G483</f>
        <v>bp</v>
      </c>
      <c r="H375">
        <f>生データ!H483</f>
        <v>0</v>
      </c>
      <c r="I375">
        <f>生データ!I483</f>
        <v>3.08</v>
      </c>
      <c r="J375">
        <f>生データ!J483</f>
        <v>10.7</v>
      </c>
      <c r="K375">
        <f>生データ!K483</f>
        <v>0</v>
      </c>
      <c r="L375">
        <f>生データ!L483</f>
        <v>4.8</v>
      </c>
      <c r="M375">
        <f>生データ!M483</f>
        <v>2.2999999999999998</v>
      </c>
      <c r="N375">
        <f>生データ!N483</f>
        <v>0</v>
      </c>
      <c r="O375">
        <f>生データ!O483</f>
        <v>0</v>
      </c>
      <c r="P375" t="str">
        <f>生データ!P483</f>
        <v>L</v>
      </c>
      <c r="Q375">
        <f>生データ!Q483</f>
        <v>0</v>
      </c>
      <c r="R375">
        <f>生データ!R483</f>
        <v>0</v>
      </c>
      <c r="S375">
        <f>生データ!S483</f>
        <v>0</v>
      </c>
      <c r="T375">
        <f>生データ!T483</f>
        <v>3.08</v>
      </c>
      <c r="U375">
        <f>生データ!U483</f>
        <v>3.4059157821665602</v>
      </c>
      <c r="V375">
        <f>COUNTIF(怪しいデータを手直し!F$2:F$701,Sheet5!F375)</f>
        <v>1</v>
      </c>
    </row>
    <row r="376" spans="1:22">
      <c r="A376">
        <f>生データ!A484</f>
        <v>0</v>
      </c>
      <c r="B376">
        <f>生データ!B484</f>
        <v>40</v>
      </c>
      <c r="C376">
        <f>生データ!C484</f>
        <v>3.8092987432644398</v>
      </c>
      <c r="D376">
        <f>生データ!D484</f>
        <v>42.763471683479295</v>
      </c>
      <c r="E376">
        <f>生データ!E484</f>
        <v>0</v>
      </c>
      <c r="F376">
        <f>IF(生データ!E484="Wr",3000+生データ!F484,IF(生データ!E484="Wb",4000+生データ!F484,生データ!F484))</f>
        <v>67</v>
      </c>
      <c r="G376" t="str">
        <f>生データ!G484</f>
        <v>lc</v>
      </c>
      <c r="H376">
        <f>生データ!H484</f>
        <v>9.6999999999999993</v>
      </c>
      <c r="I376">
        <f>生データ!I484</f>
        <v>0</v>
      </c>
      <c r="J376" t="str">
        <f>生データ!J484</f>
        <v>dead</v>
      </c>
      <c r="K376">
        <f>生データ!K484</f>
        <v>0</v>
      </c>
      <c r="L376">
        <f>生データ!L484</f>
        <v>3.7</v>
      </c>
      <c r="M376">
        <f>生データ!M484</f>
        <v>0</v>
      </c>
      <c r="N376">
        <f>生データ!N484</f>
        <v>0</v>
      </c>
      <c r="O376">
        <f>生データ!O484</f>
        <v>0</v>
      </c>
      <c r="P376" t="str">
        <f>生データ!P484</f>
        <v>D</v>
      </c>
      <c r="Q376">
        <f>生データ!Q484</f>
        <v>0</v>
      </c>
      <c r="R376">
        <f>生データ!R484</f>
        <v>0</v>
      </c>
      <c r="S376">
        <f>生データ!S484</f>
        <v>0</v>
      </c>
      <c r="T376">
        <f>生データ!T484</f>
        <v>3.0876058959827692</v>
      </c>
      <c r="U376" t="str">
        <f>生データ!U484</f>
        <v>dead</v>
      </c>
      <c r="V376">
        <f>COUNTIF(怪しいデータを手直し!F$2:F$701,Sheet5!F376)</f>
        <v>1</v>
      </c>
    </row>
    <row r="377" spans="1:22">
      <c r="A377">
        <f>生データ!A485</f>
        <v>20</v>
      </c>
      <c r="B377">
        <f>生データ!B485</f>
        <v>30</v>
      </c>
      <c r="C377">
        <f>生データ!C485</f>
        <v>20.869370276898547</v>
      </c>
      <c r="D377">
        <f>生データ!D485</f>
        <v>33.306219653914141</v>
      </c>
      <c r="E377">
        <f>生データ!E485</f>
        <v>0</v>
      </c>
      <c r="F377">
        <f>IF(生データ!E485="Wr",3000+生データ!F485,IF(生データ!E485="Wb",4000+生データ!F485,生データ!F485))</f>
        <v>174</v>
      </c>
      <c r="G377" t="str">
        <f>生データ!G485</f>
        <v>bp</v>
      </c>
      <c r="H377">
        <f>生データ!H485</f>
        <v>9.8000000000000007</v>
      </c>
      <c r="I377">
        <f>生データ!I485</f>
        <v>0</v>
      </c>
      <c r="J377">
        <f>生データ!J485</f>
        <v>12.4</v>
      </c>
      <c r="K377">
        <f>生データ!K485</f>
        <v>0</v>
      </c>
      <c r="L377">
        <f>生データ!L485</f>
        <v>4.5999999999999996</v>
      </c>
      <c r="M377">
        <f>生データ!M485</f>
        <v>0.9</v>
      </c>
      <c r="N377">
        <f>生データ!N485</f>
        <v>0</v>
      </c>
      <c r="O377">
        <f>生データ!O485</f>
        <v>0</v>
      </c>
      <c r="P377" t="str">
        <f>生データ!P485</f>
        <v>L</v>
      </c>
      <c r="Q377">
        <f>生データ!Q485</f>
        <v>0</v>
      </c>
      <c r="R377">
        <f>生データ!R485</f>
        <v>0</v>
      </c>
      <c r="S377">
        <f>生データ!S485</f>
        <v>0</v>
      </c>
      <c r="T377">
        <f>生データ!T485</f>
        <v>3.1194368846011491</v>
      </c>
      <c r="U377">
        <f>生データ!U485</f>
        <v>3.9470425886790048</v>
      </c>
      <c r="V377">
        <f>COUNTIF(怪しいデータを手直し!F$2:F$701,Sheet5!F377)</f>
        <v>1</v>
      </c>
    </row>
    <row r="378" spans="1:22">
      <c r="A378">
        <f>生データ!A486</f>
        <v>50</v>
      </c>
      <c r="B378">
        <f>生データ!B486</f>
        <v>-30</v>
      </c>
      <c r="C378">
        <f>生データ!C486</f>
        <v>50.215139710240834</v>
      </c>
      <c r="D378">
        <f>生データ!D486</f>
        <v>-27.437723206428444</v>
      </c>
      <c r="E378">
        <f>生データ!E486</f>
        <v>0</v>
      </c>
      <c r="F378">
        <f>IF(生データ!E486="Wr",3000+生データ!F486,IF(生データ!E486="Wb",4000+生データ!F486,生データ!F486))</f>
        <v>2004</v>
      </c>
      <c r="G378" t="str">
        <f>生データ!G486</f>
        <v>bp</v>
      </c>
      <c r="H378">
        <f>生データ!H486</f>
        <v>9.8000000000000007</v>
      </c>
      <c r="I378">
        <f>生データ!I486</f>
        <v>0</v>
      </c>
      <c r="J378">
        <f>生データ!J486</f>
        <v>42</v>
      </c>
      <c r="K378">
        <f>生データ!K486</f>
        <v>0</v>
      </c>
      <c r="L378">
        <f>生データ!L486</f>
        <v>0</v>
      </c>
      <c r="M378">
        <f>生データ!M486</f>
        <v>0</v>
      </c>
      <c r="N378">
        <f>生データ!N486</f>
        <v>9.5</v>
      </c>
      <c r="O378" t="str">
        <f>生データ!O486</f>
        <v>dead</v>
      </c>
      <c r="P378">
        <f>生データ!P486</f>
        <v>0</v>
      </c>
      <c r="Q378">
        <f>生データ!Q486</f>
        <v>0</v>
      </c>
      <c r="R378" t="str">
        <f>生データ!R486</f>
        <v>701 same tree</v>
      </c>
      <c r="S378" t="str">
        <f>生データ!S486</f>
        <v>New No 607 White red　</v>
      </c>
      <c r="T378">
        <f>生データ!T486</f>
        <v>3.1194368846011491</v>
      </c>
      <c r="U378">
        <f>生データ!U486</f>
        <v>13.369015219719209</v>
      </c>
      <c r="V378">
        <f>COUNTIF(怪しいデータを手直し!F$2:F$701,Sheet5!F378)</f>
        <v>1</v>
      </c>
    </row>
    <row r="379" spans="1:22">
      <c r="A379">
        <f>生データ!A487</f>
        <v>20</v>
      </c>
      <c r="B379">
        <f>生データ!B487</f>
        <v>-30</v>
      </c>
      <c r="C379">
        <f>生データ!C487</f>
        <v>24.931124992627893</v>
      </c>
      <c r="D379">
        <f>生データ!D487</f>
        <v>-26.215054799407518</v>
      </c>
      <c r="E379">
        <f>生データ!E487</f>
        <v>0</v>
      </c>
      <c r="F379">
        <f>IF(生データ!E487="Wr",3000+生データ!F487,IF(生データ!E487="Wb",4000+生データ!F487,生データ!F487))</f>
        <v>648</v>
      </c>
      <c r="G379" t="str">
        <f>生データ!G487</f>
        <v>bp</v>
      </c>
      <c r="H379">
        <f>生データ!H487</f>
        <v>0</v>
      </c>
      <c r="I379">
        <f>生データ!I487</f>
        <v>3.13</v>
      </c>
      <c r="J379">
        <f>生データ!J487</f>
        <v>10.3</v>
      </c>
      <c r="K379">
        <f>生データ!K487</f>
        <v>0</v>
      </c>
      <c r="L379">
        <f>生データ!L487</f>
        <v>4.8</v>
      </c>
      <c r="M379">
        <f>生データ!M487</f>
        <v>1.7</v>
      </c>
      <c r="N379">
        <f>生データ!N487</f>
        <v>0</v>
      </c>
      <c r="O379">
        <f>生データ!O487</f>
        <v>0</v>
      </c>
      <c r="P379" t="str">
        <f>生データ!P487</f>
        <v>L</v>
      </c>
      <c r="Q379">
        <f>生データ!Q487</f>
        <v>0</v>
      </c>
      <c r="R379">
        <f>生データ!R487</f>
        <v>0</v>
      </c>
      <c r="S379">
        <f>生データ!S487</f>
        <v>0</v>
      </c>
      <c r="T379">
        <f>生データ!T487</f>
        <v>3.13</v>
      </c>
      <c r="U379">
        <f>生データ!U487</f>
        <v>3.2785918276930444</v>
      </c>
      <c r="V379">
        <f>COUNTIF(怪しいデータを手直し!F$2:F$701,Sheet5!F379)</f>
        <v>1</v>
      </c>
    </row>
    <row r="380" spans="1:22">
      <c r="A380">
        <f>生データ!A488</f>
        <v>20</v>
      </c>
      <c r="B380">
        <f>生データ!B488</f>
        <v>-10</v>
      </c>
      <c r="C380">
        <f>生データ!C488</f>
        <v>21.573591821388145</v>
      </c>
      <c r="D380">
        <f>生データ!D488</f>
        <v>-9.2921288004261342</v>
      </c>
      <c r="E380">
        <f>生データ!E488</f>
        <v>0</v>
      </c>
      <c r="F380">
        <f>IF(生データ!E488="Wr",3000+生データ!F488,IF(生データ!E488="Wb",4000+生データ!F488,生データ!F488))</f>
        <v>412</v>
      </c>
      <c r="G380" t="str">
        <f>生データ!G488</f>
        <v>bp</v>
      </c>
      <c r="H380">
        <f>生データ!H488</f>
        <v>9.9</v>
      </c>
      <c r="I380">
        <f>生データ!I488</f>
        <v>0</v>
      </c>
      <c r="J380">
        <f>生データ!J488</f>
        <v>10.199999999999999</v>
      </c>
      <c r="K380">
        <f>生データ!K488</f>
        <v>0</v>
      </c>
      <c r="L380">
        <f>生データ!L488</f>
        <v>2.6</v>
      </c>
      <c r="M380">
        <f>生データ!M488</f>
        <v>1.7</v>
      </c>
      <c r="N380">
        <f>生データ!N488</f>
        <v>0</v>
      </c>
      <c r="O380">
        <f>生データ!O488</f>
        <v>0</v>
      </c>
      <c r="P380" t="str">
        <f>生データ!P488</f>
        <v>L</v>
      </c>
      <c r="Q380">
        <f>生データ!Q488</f>
        <v>0</v>
      </c>
      <c r="R380">
        <f>生データ!R488</f>
        <v>0</v>
      </c>
      <c r="S380">
        <f>生データ!S488</f>
        <v>0</v>
      </c>
      <c r="T380">
        <f>生データ!T488</f>
        <v>3.1512678732195281</v>
      </c>
      <c r="U380">
        <f>生データ!U488</f>
        <v>3.246760839074665</v>
      </c>
      <c r="V380">
        <f>COUNTIF(怪しいデータを手直し!F$2:F$701,Sheet5!F380)</f>
        <v>1</v>
      </c>
    </row>
    <row r="381" spans="1:22">
      <c r="A381">
        <f>生データ!A489</f>
        <v>10</v>
      </c>
      <c r="B381">
        <f>生データ!B489</f>
        <v>20</v>
      </c>
      <c r="C381">
        <f>生データ!C489</f>
        <v>19.562907922607756</v>
      </c>
      <c r="D381">
        <f>生データ!D489</f>
        <v>28.425119204591159</v>
      </c>
      <c r="E381">
        <f>生データ!E489</f>
        <v>0</v>
      </c>
      <c r="F381">
        <f>IF(生データ!E489="Wr",3000+生データ!F489,IF(生データ!E489="Wb",4000+生データ!F489,生データ!F489))</f>
        <v>92</v>
      </c>
      <c r="G381" t="str">
        <f>生データ!G489</f>
        <v>bp</v>
      </c>
      <c r="H381">
        <f>生データ!H489</f>
        <v>0</v>
      </c>
      <c r="I381">
        <f>生データ!I489</f>
        <v>3.16</v>
      </c>
      <c r="J381">
        <f>生データ!J489</f>
        <v>11.5</v>
      </c>
      <c r="K381">
        <f>生データ!K489</f>
        <v>0</v>
      </c>
      <c r="L381">
        <f>生データ!L489</f>
        <v>3.7</v>
      </c>
      <c r="M381">
        <f>生データ!M489</f>
        <v>0.9</v>
      </c>
      <c r="N381">
        <f>生データ!N489</f>
        <v>0</v>
      </c>
      <c r="O381">
        <f>生データ!O489</f>
        <v>0</v>
      </c>
      <c r="P381" t="str">
        <f>生データ!P489</f>
        <v>L</v>
      </c>
      <c r="Q381">
        <f>生データ!Q489</f>
        <v>0</v>
      </c>
      <c r="R381">
        <f>生データ!R489</f>
        <v>0</v>
      </c>
      <c r="S381">
        <f>生データ!S489</f>
        <v>0</v>
      </c>
      <c r="T381">
        <f>生データ!T489</f>
        <v>3.16</v>
      </c>
      <c r="U381">
        <f>生データ!U489</f>
        <v>3.6605636911135928</v>
      </c>
      <c r="V381">
        <f>COUNTIF(怪しいデータを手直し!F$2:F$701,Sheet5!F381)</f>
        <v>1</v>
      </c>
    </row>
    <row r="382" spans="1:22">
      <c r="A382">
        <f>生データ!A490</f>
        <v>20</v>
      </c>
      <c r="B382">
        <f>生データ!B490</f>
        <v>-30</v>
      </c>
      <c r="C382">
        <f>生データ!C490</f>
        <v>28.195766850388548</v>
      </c>
      <c r="D382">
        <f>生データ!D490</f>
        <v>-22.557663531788954</v>
      </c>
      <c r="E382">
        <f>生データ!E490</f>
        <v>0</v>
      </c>
      <c r="F382">
        <f>IF(生データ!E490="Wr",3000+生データ!F490,IF(生データ!E490="Wb",4000+生データ!F490,生データ!F490))</f>
        <v>649</v>
      </c>
      <c r="G382" t="str">
        <f>生データ!G490</f>
        <v>sb</v>
      </c>
      <c r="H382">
        <f>生データ!H490</f>
        <v>0</v>
      </c>
      <c r="I382">
        <f>生データ!I490</f>
        <v>3.17</v>
      </c>
      <c r="J382">
        <f>生データ!J490</f>
        <v>10.199999999999999</v>
      </c>
      <c r="K382">
        <f>生データ!K490</f>
        <v>0</v>
      </c>
      <c r="L382">
        <f>生データ!L490</f>
        <v>4</v>
      </c>
      <c r="M382">
        <f>生データ!M490</f>
        <v>0</v>
      </c>
      <c r="N382">
        <f>生データ!N490</f>
        <v>0</v>
      </c>
      <c r="O382">
        <f>生データ!O490</f>
        <v>0</v>
      </c>
      <c r="P382" t="str">
        <f>生データ!P490</f>
        <v>D</v>
      </c>
      <c r="Q382">
        <f>生データ!Q490</f>
        <v>0</v>
      </c>
      <c r="R382">
        <f>生データ!R490</f>
        <v>0</v>
      </c>
      <c r="S382" t="str">
        <f>生データ!S490</f>
        <v>部分的に枯死</v>
      </c>
      <c r="T382">
        <f>生データ!T490</f>
        <v>3.17</v>
      </c>
      <c r="U382">
        <f>生データ!U490</f>
        <v>3.246760839074665</v>
      </c>
      <c r="V382">
        <f>COUNTIF(怪しいデータを手直し!F$2:F$701,Sheet5!F382)</f>
        <v>1</v>
      </c>
    </row>
    <row r="383" spans="1:22">
      <c r="A383">
        <f>生データ!A491</f>
        <v>40</v>
      </c>
      <c r="B383">
        <f>生データ!B491</f>
        <v>-10</v>
      </c>
      <c r="C383">
        <f>生データ!C491</f>
        <v>47.761100883618937</v>
      </c>
      <c r="D383">
        <f>生データ!D491</f>
        <v>-2.7549647450862382</v>
      </c>
      <c r="E383">
        <f>生データ!E491</f>
        <v>0</v>
      </c>
      <c r="F383">
        <f>IF(生データ!E491="Wr",3000+生データ!F491,IF(生データ!E491="Wb",4000+生データ!F491,生データ!F491))</f>
        <v>459</v>
      </c>
      <c r="G383" t="str">
        <f>生データ!G491</f>
        <v>bp</v>
      </c>
      <c r="H383">
        <f>生データ!H491</f>
        <v>10</v>
      </c>
      <c r="I383">
        <f>生データ!I491</f>
        <v>0</v>
      </c>
      <c r="J383">
        <f>生データ!J491</f>
        <v>10.199999999999999</v>
      </c>
      <c r="K383">
        <f>生データ!K491</f>
        <v>0</v>
      </c>
      <c r="L383">
        <f>生データ!L491</f>
        <v>2.9</v>
      </c>
      <c r="M383">
        <f>生データ!M491</f>
        <v>2.2000000000000002</v>
      </c>
      <c r="N383">
        <f>生データ!N491</f>
        <v>0</v>
      </c>
      <c r="O383">
        <f>生データ!O491</f>
        <v>0</v>
      </c>
      <c r="P383" t="str">
        <f>生データ!P491</f>
        <v>L</v>
      </c>
      <c r="Q383">
        <f>生データ!Q491</f>
        <v>0</v>
      </c>
      <c r="R383">
        <f>生データ!R491</f>
        <v>0</v>
      </c>
      <c r="S383">
        <f>生データ!S491</f>
        <v>0</v>
      </c>
      <c r="T383">
        <f>生データ!T491</f>
        <v>3.183098861837907</v>
      </c>
      <c r="U383">
        <f>生データ!U491</f>
        <v>3.246760839074665</v>
      </c>
      <c r="V383">
        <f>COUNTIF(怪しいデータを手直し!F$2:F$701,Sheet5!F383)</f>
        <v>1</v>
      </c>
    </row>
    <row r="384" spans="1:22">
      <c r="A384">
        <f>生データ!A492</f>
        <v>50</v>
      </c>
      <c r="B384">
        <f>生データ!B492</f>
        <v>-30</v>
      </c>
      <c r="C384">
        <f>生データ!C492</f>
        <v>50.215139710240834</v>
      </c>
      <c r="D384">
        <f>生データ!D492</f>
        <v>-27.437723206428444</v>
      </c>
      <c r="E384">
        <f>生データ!E492</f>
        <v>0</v>
      </c>
      <c r="F384">
        <f>IF(生データ!E492="Wr",3000+生データ!F492,IF(生データ!E492="Wb",4000+生データ!F492,生データ!F492))</f>
        <v>2009</v>
      </c>
      <c r="G384" t="str">
        <f>生データ!G492</f>
        <v>bp</v>
      </c>
      <c r="H384">
        <f>生データ!H492</f>
        <v>10</v>
      </c>
      <c r="I384">
        <f>生データ!I492</f>
        <v>0</v>
      </c>
      <c r="J384">
        <f>生データ!J492</f>
        <v>13.1</v>
      </c>
      <c r="K384">
        <f>生データ!K492</f>
        <v>0</v>
      </c>
      <c r="L384">
        <f>生データ!L492</f>
        <v>0</v>
      </c>
      <c r="M384">
        <f>生データ!M492</f>
        <v>0</v>
      </c>
      <c r="N384">
        <f>生データ!N492</f>
        <v>5.5</v>
      </c>
      <c r="O384">
        <f>生データ!O492</f>
        <v>1.8</v>
      </c>
      <c r="P384">
        <f>生データ!P492</f>
        <v>0</v>
      </c>
      <c r="Q384">
        <f>生データ!Q492</f>
        <v>0</v>
      </c>
      <c r="R384" t="str">
        <f>生データ!R492</f>
        <v>701 same tree</v>
      </c>
      <c r="S384" t="str">
        <f>生データ!S492</f>
        <v>New No612 White red</v>
      </c>
      <c r="T384">
        <f>生データ!T492</f>
        <v>3.183098861837907</v>
      </c>
      <c r="U384">
        <f>生データ!U492</f>
        <v>4.169859509007658</v>
      </c>
      <c r="V384">
        <f>COUNTIF(怪しいデータを手直し!F$2:F$701,Sheet5!F384)</f>
        <v>1</v>
      </c>
    </row>
    <row r="385" spans="1:22">
      <c r="A385">
        <f>生データ!A493</f>
        <v>20</v>
      </c>
      <c r="B385">
        <f>生データ!B493</f>
        <v>-20</v>
      </c>
      <c r="C385">
        <f>生データ!C493</f>
        <v>29.844011771160329</v>
      </c>
      <c r="D385">
        <f>生データ!D493</f>
        <v>-12.893009349392088</v>
      </c>
      <c r="E385">
        <f>生データ!E493</f>
        <v>0</v>
      </c>
      <c r="F385">
        <f>IF(生データ!E493="Wr",3000+生データ!F493,IF(生データ!E493="Wb",4000+生データ!F493,生データ!F493))</f>
        <v>535</v>
      </c>
      <c r="G385" t="str">
        <f>生データ!G493</f>
        <v>bp</v>
      </c>
      <c r="H385">
        <f>生データ!H493</f>
        <v>0</v>
      </c>
      <c r="I385">
        <f>生データ!I493</f>
        <v>3.19</v>
      </c>
      <c r="J385">
        <f>生データ!J493</f>
        <v>9.6999999999999993</v>
      </c>
      <c r="K385">
        <f>生データ!K493</f>
        <v>0</v>
      </c>
      <c r="L385">
        <f>生データ!L493</f>
        <v>4.2</v>
      </c>
      <c r="M385">
        <f>生データ!M493</f>
        <v>2.6</v>
      </c>
      <c r="N385">
        <f>生データ!N493</f>
        <v>0</v>
      </c>
      <c r="O385">
        <f>生データ!O493</f>
        <v>0</v>
      </c>
      <c r="P385" t="str">
        <f>生データ!P493</f>
        <v>L</v>
      </c>
      <c r="Q385">
        <f>生データ!Q493</f>
        <v>0</v>
      </c>
      <c r="R385">
        <f>生データ!R493</f>
        <v>0</v>
      </c>
      <c r="S385">
        <f>生データ!S493</f>
        <v>0</v>
      </c>
      <c r="T385">
        <f>生データ!T493</f>
        <v>3.19</v>
      </c>
      <c r="U385">
        <f>生データ!U493</f>
        <v>3.0876058959827692</v>
      </c>
      <c r="V385">
        <f>COUNTIF(怪しいデータを手直し!F$2:F$701,Sheet5!F385)</f>
        <v>1</v>
      </c>
    </row>
    <row r="386" spans="1:22">
      <c r="A386">
        <f>生データ!A494</f>
        <v>40</v>
      </c>
      <c r="B386">
        <f>生データ!B494</f>
        <v>20</v>
      </c>
      <c r="C386">
        <f>生データ!C494</f>
        <v>41.897873362675597</v>
      </c>
      <c r="D386">
        <f>生データ!D494</f>
        <v>29.362703105713361</v>
      </c>
      <c r="E386">
        <f>生データ!E494</f>
        <v>0</v>
      </c>
      <c r="F386">
        <f>IF(生データ!E494="Wr",3000+生データ!F494,IF(生データ!E494="Wb",4000+生データ!F494,生データ!F494))</f>
        <v>305</v>
      </c>
      <c r="G386" t="str">
        <f>生データ!G494</f>
        <v>bp</v>
      </c>
      <c r="H386">
        <f>生データ!H494</f>
        <v>0</v>
      </c>
      <c r="I386">
        <f>生データ!I494</f>
        <v>3.21</v>
      </c>
      <c r="J386">
        <f>生データ!J494</f>
        <v>10.8</v>
      </c>
      <c r="K386">
        <f>生データ!K494</f>
        <v>0</v>
      </c>
      <c r="L386">
        <f>生データ!L494</f>
        <v>4.2</v>
      </c>
      <c r="M386">
        <f>生データ!M494</f>
        <v>3.3</v>
      </c>
      <c r="N386">
        <f>生データ!N494</f>
        <v>0</v>
      </c>
      <c r="O386">
        <f>生データ!O494</f>
        <v>0</v>
      </c>
      <c r="P386" t="str">
        <f>生データ!P494</f>
        <v>L</v>
      </c>
      <c r="Q386">
        <f>生データ!Q494</f>
        <v>0</v>
      </c>
      <c r="R386">
        <f>生データ!R494</f>
        <v>0</v>
      </c>
      <c r="S386">
        <f>生データ!S494</f>
        <v>0</v>
      </c>
      <c r="T386">
        <f>生データ!T494</f>
        <v>3.21</v>
      </c>
      <c r="U386">
        <f>生データ!U494</f>
        <v>3.4377467707849396</v>
      </c>
      <c r="V386">
        <f>COUNTIF(怪しいデータを手直し!F$2:F$701,Sheet5!F386)</f>
        <v>1</v>
      </c>
    </row>
    <row r="387" spans="1:22">
      <c r="A387">
        <f>生データ!A495</f>
        <v>40</v>
      </c>
      <c r="B387">
        <f>生データ!B495</f>
        <v>40</v>
      </c>
      <c r="C387">
        <f>生データ!C495</f>
        <v>49.818309622430874</v>
      </c>
      <c r="D387">
        <f>生データ!D495</f>
        <v>45.476987183360826</v>
      </c>
      <c r="E387">
        <f>生データ!E495</f>
        <v>0</v>
      </c>
      <c r="F387">
        <f>IF(生データ!E495="Wr",3000+生データ!F495,IF(生データ!E495="Wb",4000+生データ!F495,生データ!F495))</f>
        <v>352</v>
      </c>
      <c r="G387" t="str">
        <f>生データ!G495</f>
        <v>bp</v>
      </c>
      <c r="H387">
        <f>生データ!H495</f>
        <v>10.1</v>
      </c>
      <c r="I387">
        <f>生データ!I495</f>
        <v>0</v>
      </c>
      <c r="J387">
        <f>生データ!J495</f>
        <v>11.3</v>
      </c>
      <c r="K387">
        <f>生データ!K495</f>
        <v>0</v>
      </c>
      <c r="L387">
        <f>生データ!L495</f>
        <v>4.7</v>
      </c>
      <c r="M387">
        <f>生データ!M495</f>
        <v>1.6</v>
      </c>
      <c r="N387">
        <f>生データ!N495</f>
        <v>0</v>
      </c>
      <c r="O387">
        <f>生データ!O495</f>
        <v>0</v>
      </c>
      <c r="P387" t="str">
        <f>生データ!P495</f>
        <v>L</v>
      </c>
      <c r="Q387">
        <f>生データ!Q495</f>
        <v>0</v>
      </c>
      <c r="R387">
        <f>生データ!R495</f>
        <v>0</v>
      </c>
      <c r="S387">
        <f>生データ!S495</f>
        <v>0</v>
      </c>
      <c r="T387">
        <f>生データ!T495</f>
        <v>3.214929850456286</v>
      </c>
      <c r="U387">
        <f>生データ!U495</f>
        <v>3.5969017138768349</v>
      </c>
      <c r="V387">
        <f>COUNTIF(怪しいデータを手直し!F$2:F$701,Sheet5!F387)</f>
        <v>1</v>
      </c>
    </row>
    <row r="388" spans="1:22">
      <c r="A388">
        <f>生データ!A496</f>
        <v>30</v>
      </c>
      <c r="B388">
        <f>生データ!B496</f>
        <v>-30</v>
      </c>
      <c r="C388">
        <f>生データ!C496</f>
        <v>33.239457199893131</v>
      </c>
      <c r="D388">
        <f>生データ!D496</f>
        <v>-29.354994230359555</v>
      </c>
      <c r="E388">
        <f>生データ!E496</f>
        <v>0</v>
      </c>
      <c r="F388">
        <f>IF(生データ!E496="Wr",3000+生データ!F496,IF(生データ!E496="Wb",4000+生データ!F496,生データ!F496))</f>
        <v>672</v>
      </c>
      <c r="G388" t="str">
        <f>生データ!G496</f>
        <v>lc</v>
      </c>
      <c r="H388">
        <f>生データ!H496</f>
        <v>10.1</v>
      </c>
      <c r="I388">
        <f>生データ!I496</f>
        <v>0</v>
      </c>
      <c r="J388">
        <f>生データ!J496</f>
        <v>14</v>
      </c>
      <c r="K388">
        <f>生データ!K496</f>
        <v>0</v>
      </c>
      <c r="L388">
        <f>生データ!L496</f>
        <v>3.8</v>
      </c>
      <c r="M388">
        <f>生データ!M496</f>
        <v>0.1</v>
      </c>
      <c r="N388">
        <f>生データ!N496</f>
        <v>0</v>
      </c>
      <c r="O388">
        <f>生データ!O496</f>
        <v>0</v>
      </c>
      <c r="P388" t="str">
        <f>生データ!P496</f>
        <v>L</v>
      </c>
      <c r="Q388">
        <f>生データ!Q496</f>
        <v>0</v>
      </c>
      <c r="R388">
        <f>生データ!R496</f>
        <v>0</v>
      </c>
      <c r="S388">
        <f>生データ!S496</f>
        <v>0</v>
      </c>
      <c r="T388">
        <f>生データ!T496</f>
        <v>3.214929850456286</v>
      </c>
      <c r="U388">
        <f>生データ!U496</f>
        <v>4.45633840657307</v>
      </c>
      <c r="V388">
        <f>COUNTIF(怪しいデータを手直し!F$2:F$701,Sheet5!F388)</f>
        <v>1</v>
      </c>
    </row>
    <row r="389" spans="1:22">
      <c r="A389">
        <f>生データ!A497</f>
        <v>20</v>
      </c>
      <c r="B389">
        <f>生データ!B497</f>
        <v>-30</v>
      </c>
      <c r="C389">
        <f>生データ!C497</f>
        <v>27.398101817478246</v>
      </c>
      <c r="D389">
        <f>生データ!D497</f>
        <v>-27.776253972690835</v>
      </c>
      <c r="E389">
        <f>生データ!E497</f>
        <v>0</v>
      </c>
      <c r="F389">
        <f>IF(生データ!E497="Wr",3000+生データ!F497,IF(生データ!E497="Wb",4000+生データ!F497,生データ!F497))</f>
        <v>656</v>
      </c>
      <c r="G389" t="str">
        <f>生データ!G497</f>
        <v>lc</v>
      </c>
      <c r="H389">
        <f>生データ!H497</f>
        <v>10.199999999999999</v>
      </c>
      <c r="I389">
        <f>生データ!I497</f>
        <v>0</v>
      </c>
      <c r="J389" t="str">
        <f>生データ!J497</f>
        <v>dead</v>
      </c>
      <c r="K389">
        <f>生データ!K497</f>
        <v>0</v>
      </c>
      <c r="L389">
        <f>生データ!L497</f>
        <v>5.0999999999999996</v>
      </c>
      <c r="M389">
        <f>生データ!M497</f>
        <v>0</v>
      </c>
      <c r="N389">
        <f>生データ!N497</f>
        <v>0</v>
      </c>
      <c r="O389">
        <f>生データ!O497</f>
        <v>0</v>
      </c>
      <c r="P389" t="str">
        <f>生データ!P497</f>
        <v>D</v>
      </c>
      <c r="Q389">
        <f>生データ!Q497</f>
        <v>0</v>
      </c>
      <c r="R389">
        <f>生データ!R497</f>
        <v>0</v>
      </c>
      <c r="S389">
        <f>生データ!S497</f>
        <v>0</v>
      </c>
      <c r="T389">
        <f>生データ!T497</f>
        <v>3.246760839074665</v>
      </c>
      <c r="U389" t="str">
        <f>生データ!U497</f>
        <v>dead</v>
      </c>
      <c r="V389">
        <f>COUNTIF(怪しいデータを手直し!F$2:F$701,Sheet5!F389)</f>
        <v>1</v>
      </c>
    </row>
    <row r="390" spans="1:22">
      <c r="A390">
        <f>生データ!A498</f>
        <v>40</v>
      </c>
      <c r="B390">
        <f>生データ!B498</f>
        <v>40</v>
      </c>
      <c r="C390">
        <f>生データ!C498</f>
        <v>41.820429060124383</v>
      </c>
      <c r="D390">
        <f>生データ!D498</f>
        <v>49.212872474941911</v>
      </c>
      <c r="E390">
        <f>生データ!E498</f>
        <v>0</v>
      </c>
      <c r="F390">
        <f>IF(生データ!E498="Wr",3000+生データ!F498,IF(生データ!E498="Wb",4000+生データ!F498,生データ!F498))</f>
        <v>362</v>
      </c>
      <c r="G390" t="str">
        <f>生データ!G498</f>
        <v>bp</v>
      </c>
      <c r="H390">
        <f>生データ!H498</f>
        <v>10.3</v>
      </c>
      <c r="I390">
        <f>生データ!I498</f>
        <v>0</v>
      </c>
      <c r="J390" t="str">
        <f>生データ!J498</f>
        <v>dead</v>
      </c>
      <c r="K390">
        <f>生データ!K498</f>
        <v>0</v>
      </c>
      <c r="L390">
        <f>生データ!L498</f>
        <v>3.8</v>
      </c>
      <c r="M390">
        <f>生データ!M498</f>
        <v>0</v>
      </c>
      <c r="N390">
        <f>生データ!N498</f>
        <v>0</v>
      </c>
      <c r="O390">
        <f>生データ!O498</f>
        <v>0</v>
      </c>
      <c r="P390" t="str">
        <f>生データ!P498</f>
        <v>D</v>
      </c>
      <c r="Q390">
        <f>生データ!Q498</f>
        <v>0</v>
      </c>
      <c r="R390">
        <f>生データ!R498</f>
        <v>0</v>
      </c>
      <c r="S390">
        <f>生データ!S498</f>
        <v>0</v>
      </c>
      <c r="T390">
        <f>生データ!T498</f>
        <v>3.2785918276930444</v>
      </c>
      <c r="U390" t="str">
        <f>生データ!U498</f>
        <v>dead</v>
      </c>
      <c r="V390">
        <f>COUNTIF(怪しいデータを手直し!F$2:F$701,Sheet5!F390)</f>
        <v>1</v>
      </c>
    </row>
    <row r="391" spans="1:22">
      <c r="A391">
        <f>生データ!A499</f>
        <v>20</v>
      </c>
      <c r="B391">
        <f>生データ!B499</f>
        <v>-20</v>
      </c>
      <c r="C391">
        <f>生データ!C499</f>
        <v>27.449991754626517</v>
      </c>
      <c r="D391">
        <f>生データ!D499</f>
        <v>-13.504025262616915</v>
      </c>
      <c r="E391">
        <f>生データ!E499</f>
        <v>0</v>
      </c>
      <c r="F391">
        <f>IF(生データ!E499="Wr",3000+生データ!F499,IF(生データ!E499="Wb",4000+生データ!F499,生データ!F499))</f>
        <v>548</v>
      </c>
      <c r="G391" t="str">
        <f>生データ!G499</f>
        <v>bp</v>
      </c>
      <c r="H391">
        <f>生データ!H499</f>
        <v>10.3</v>
      </c>
      <c r="I391">
        <f>生データ!I499</f>
        <v>0</v>
      </c>
      <c r="J391">
        <f>生データ!J499</f>
        <v>11.3</v>
      </c>
      <c r="K391">
        <f>生データ!K499</f>
        <v>0</v>
      </c>
      <c r="L391">
        <f>生データ!L499</f>
        <v>4</v>
      </c>
      <c r="M391">
        <f>生データ!M499</f>
        <v>2.1</v>
      </c>
      <c r="N391">
        <f>生データ!N499</f>
        <v>0</v>
      </c>
      <c r="O391">
        <f>生データ!O499</f>
        <v>0</v>
      </c>
      <c r="P391" t="str">
        <f>生データ!P499</f>
        <v>L</v>
      </c>
      <c r="Q391">
        <f>生データ!Q499</f>
        <v>0</v>
      </c>
      <c r="R391">
        <f>生データ!R499</f>
        <v>0</v>
      </c>
      <c r="S391">
        <f>生データ!S499</f>
        <v>0</v>
      </c>
      <c r="T391">
        <f>生データ!T499</f>
        <v>3.2785918276930444</v>
      </c>
      <c r="U391">
        <f>生データ!U499</f>
        <v>3.5969017138768349</v>
      </c>
      <c r="V391">
        <f>COUNTIF(怪しいデータを手直し!F$2:F$701,Sheet5!F391)</f>
        <v>1</v>
      </c>
    </row>
    <row r="392" spans="1:22">
      <c r="A392">
        <f>生データ!A500</f>
        <v>10</v>
      </c>
      <c r="B392">
        <f>生データ!B500</f>
        <v>-20</v>
      </c>
      <c r="C392">
        <f>生データ!C500</f>
        <v>11.343016541337331</v>
      </c>
      <c r="D392">
        <f>生データ!D500</f>
        <v>-19.135918177230341</v>
      </c>
      <c r="E392">
        <f>生データ!E500</f>
        <v>0</v>
      </c>
      <c r="F392">
        <f>IF(生データ!E500="Wr",3000+生データ!F500,IF(生データ!E500="Wb",4000+生データ!F500,生データ!F500))</f>
        <v>579</v>
      </c>
      <c r="G392" t="str">
        <f>生データ!G500</f>
        <v>lc</v>
      </c>
      <c r="H392">
        <f>生データ!H500</f>
        <v>10.3</v>
      </c>
      <c r="I392">
        <f>生データ!I500</f>
        <v>0</v>
      </c>
      <c r="J392">
        <f>生データ!J500</f>
        <v>12.8</v>
      </c>
      <c r="K392">
        <f>生データ!K500</f>
        <v>0</v>
      </c>
      <c r="L392">
        <f>生データ!L500</f>
        <v>4</v>
      </c>
      <c r="M392">
        <f>生データ!M500</f>
        <v>1.1000000000000001</v>
      </c>
      <c r="N392">
        <f>生データ!N500</f>
        <v>0</v>
      </c>
      <c r="O392">
        <f>生データ!O500</f>
        <v>0</v>
      </c>
      <c r="P392" t="str">
        <f>生データ!P500</f>
        <v>L</v>
      </c>
      <c r="Q392">
        <f>生データ!Q500</f>
        <v>0</v>
      </c>
      <c r="R392">
        <f>生データ!R500</f>
        <v>0</v>
      </c>
      <c r="S392">
        <f>生データ!S500</f>
        <v>0</v>
      </c>
      <c r="T392">
        <f>生データ!T500</f>
        <v>3.2785918276930444</v>
      </c>
      <c r="U392">
        <f>生データ!U500</f>
        <v>4.0743665431525207</v>
      </c>
      <c r="V392">
        <f>COUNTIF(怪しいデータを手直し!F$2:F$701,Sheet5!F392)</f>
        <v>1</v>
      </c>
    </row>
    <row r="393" spans="1:22">
      <c r="A393">
        <f>生データ!A501</f>
        <v>20</v>
      </c>
      <c r="B393">
        <f>生データ!B501</f>
        <v>40</v>
      </c>
      <c r="C393">
        <f>生データ!C501</f>
        <v>23.615371315622383</v>
      </c>
      <c r="D393">
        <f>生データ!D501</f>
        <v>41.380576057366952</v>
      </c>
      <c r="E393">
        <f>生データ!E501</f>
        <v>0</v>
      </c>
      <c r="F393">
        <f>IF(生データ!E501="Wr",3000+生データ!F501,IF(生データ!E501="Wb",4000+生データ!F501,生データ!F501))</f>
        <v>184</v>
      </c>
      <c r="G393" t="str">
        <f>生データ!G501</f>
        <v>lc</v>
      </c>
      <c r="H393">
        <f>生データ!H501</f>
        <v>10.4</v>
      </c>
      <c r="I393">
        <f>生データ!I501</f>
        <v>0</v>
      </c>
      <c r="J393">
        <f>生データ!J501</f>
        <v>14.5</v>
      </c>
      <c r="K393">
        <f>生データ!K501</f>
        <v>0</v>
      </c>
      <c r="L393">
        <f>生データ!L501</f>
        <v>4</v>
      </c>
      <c r="M393">
        <f>生データ!M501</f>
        <v>0.3</v>
      </c>
      <c r="N393">
        <f>生データ!N501</f>
        <v>0</v>
      </c>
      <c r="O393">
        <f>生データ!O501</f>
        <v>0</v>
      </c>
      <c r="P393" t="str">
        <f>生データ!P501</f>
        <v>L</v>
      </c>
      <c r="Q393">
        <f>生データ!Q501</f>
        <v>0</v>
      </c>
      <c r="R393">
        <f>生データ!R501</f>
        <v>0</v>
      </c>
      <c r="S393">
        <f>生データ!S501</f>
        <v>0</v>
      </c>
      <c r="T393">
        <f>生データ!T501</f>
        <v>3.3104228163114233</v>
      </c>
      <c r="U393">
        <f>生データ!U501</f>
        <v>4.6154933496649653</v>
      </c>
      <c r="V393">
        <f>COUNTIF(怪しいデータを手直し!F$2:F$701,Sheet5!F393)</f>
        <v>1</v>
      </c>
    </row>
    <row r="394" spans="1:22">
      <c r="A394">
        <f>生データ!A502</f>
        <v>10</v>
      </c>
      <c r="B394">
        <f>生データ!B502</f>
        <v>-20</v>
      </c>
      <c r="C394">
        <f>生データ!C502</f>
        <v>18.687857860928503</v>
      </c>
      <c r="D394">
        <f>生データ!D502</f>
        <v>-16.25311022221458</v>
      </c>
      <c r="E394">
        <f>生データ!E502</f>
        <v>0</v>
      </c>
      <c r="F394">
        <f>IF(生データ!E502="Wr",3000+生データ!F502,IF(生データ!E502="Wb",4000+生データ!F502,生データ!F502))</f>
        <v>570</v>
      </c>
      <c r="G394" t="str">
        <f>生データ!G502</f>
        <v>lc</v>
      </c>
      <c r="H394">
        <f>生データ!H502</f>
        <v>0</v>
      </c>
      <c r="I394">
        <f>生データ!I502</f>
        <v>3.34</v>
      </c>
      <c r="J394" t="str">
        <f>生データ!J502</f>
        <v>dead</v>
      </c>
      <c r="K394">
        <f>生データ!K502</f>
        <v>0</v>
      </c>
      <c r="L394">
        <f>生データ!L502</f>
        <v>3.7</v>
      </c>
      <c r="M394">
        <f>生データ!M502</f>
        <v>1</v>
      </c>
      <c r="N394">
        <f>生データ!N502</f>
        <v>0</v>
      </c>
      <c r="O394">
        <f>生データ!O502</f>
        <v>0</v>
      </c>
      <c r="P394" t="str">
        <f>生データ!P502</f>
        <v>L</v>
      </c>
      <c r="Q394">
        <f>生データ!Q502</f>
        <v>0</v>
      </c>
      <c r="R394">
        <f>生データ!R502</f>
        <v>0</v>
      </c>
      <c r="S394">
        <f>生データ!S502</f>
        <v>0</v>
      </c>
      <c r="T394">
        <f>生データ!T502</f>
        <v>3.34</v>
      </c>
      <c r="U394" t="str">
        <f>生データ!U502</f>
        <v>dead</v>
      </c>
      <c r="V394">
        <f>COUNTIF(怪しいデータを手直し!F$2:F$701,Sheet5!F394)</f>
        <v>1</v>
      </c>
    </row>
    <row r="395" spans="1:22">
      <c r="A395">
        <f>生データ!A503</f>
        <v>30</v>
      </c>
      <c r="B395">
        <f>生データ!B503</f>
        <v>0</v>
      </c>
      <c r="C395">
        <f>生データ!C503</f>
        <v>29.998157121216444</v>
      </c>
      <c r="D395">
        <f>生データ!D503</f>
        <v>0.19197442399690065</v>
      </c>
      <c r="E395">
        <f>生データ!E503</f>
        <v>0</v>
      </c>
      <c r="F395">
        <f>IF(生データ!E503="Wr",3000+生データ!F503,IF(生データ!E503="Wb",4000+生データ!F503,生データ!F503))</f>
        <v>118</v>
      </c>
      <c r="G395" t="str">
        <f>生データ!G503</f>
        <v>lc</v>
      </c>
      <c r="H395">
        <f>生データ!H503</f>
        <v>10.5</v>
      </c>
      <c r="I395">
        <f>生データ!I503</f>
        <v>0</v>
      </c>
      <c r="J395">
        <f>生データ!J503</f>
        <v>14.4</v>
      </c>
      <c r="K395">
        <f>生データ!K503</f>
        <v>0</v>
      </c>
      <c r="L395">
        <f>生データ!L503</f>
        <v>3.4</v>
      </c>
      <c r="M395">
        <f>生データ!M503</f>
        <v>0.3</v>
      </c>
      <c r="N395">
        <f>生データ!N503</f>
        <v>0</v>
      </c>
      <c r="O395">
        <f>生データ!O503</f>
        <v>0</v>
      </c>
      <c r="P395" t="str">
        <f>生データ!P503</f>
        <v>L</v>
      </c>
      <c r="Q395">
        <f>生データ!Q503</f>
        <v>0</v>
      </c>
      <c r="R395">
        <f>生データ!R503</f>
        <v>0</v>
      </c>
      <c r="S395">
        <f>生データ!S503</f>
        <v>0</v>
      </c>
      <c r="T395">
        <f>生データ!T503</f>
        <v>3.3422538049298023</v>
      </c>
      <c r="U395">
        <f>生データ!U503</f>
        <v>4.5836623610465859</v>
      </c>
      <c r="V395">
        <f>COUNTIF(怪しいデータを手直し!F$2:F$701,Sheet5!F395)</f>
        <v>1</v>
      </c>
    </row>
    <row r="396" spans="1:22">
      <c r="A396">
        <f>生データ!A504</f>
        <v>40</v>
      </c>
      <c r="B396">
        <f>生データ!B504</f>
        <v>40</v>
      </c>
      <c r="C396">
        <f>生データ!C504</f>
        <v>48.602251723417794</v>
      </c>
      <c r="D396">
        <f>生データ!D504</f>
        <v>41.659879439992999</v>
      </c>
      <c r="E396">
        <f>生データ!E504</f>
        <v>0</v>
      </c>
      <c r="F396">
        <f>IF(生データ!E504="Wr",3000+生データ!F504,IF(生データ!E504="Wb",4000+生データ!F504,生データ!F504))</f>
        <v>346</v>
      </c>
      <c r="G396" t="str">
        <f>生データ!G504</f>
        <v>bp</v>
      </c>
      <c r="H396">
        <f>生データ!H504</f>
        <v>10.5</v>
      </c>
      <c r="I396">
        <f>生データ!I504</f>
        <v>0</v>
      </c>
      <c r="J396">
        <f>生データ!J504</f>
        <v>10.3</v>
      </c>
      <c r="K396">
        <f>生データ!K504</f>
        <v>0</v>
      </c>
      <c r="L396">
        <f>生データ!L504</f>
        <v>3.3</v>
      </c>
      <c r="M396">
        <f>生データ!M504</f>
        <v>1.5</v>
      </c>
      <c r="N396">
        <f>生データ!N504</f>
        <v>0</v>
      </c>
      <c r="O396">
        <f>生データ!O504</f>
        <v>0</v>
      </c>
      <c r="P396" t="str">
        <f>生データ!P504</f>
        <v>L</v>
      </c>
      <c r="Q396">
        <f>生データ!Q504</f>
        <v>0</v>
      </c>
      <c r="R396">
        <f>生データ!R504</f>
        <v>0</v>
      </c>
      <c r="S396">
        <f>生データ!S504</f>
        <v>0</v>
      </c>
      <c r="T396">
        <f>生データ!T504</f>
        <v>3.3422538049298023</v>
      </c>
      <c r="U396">
        <f>生データ!U504</f>
        <v>3.2785918276930444</v>
      </c>
      <c r="V396">
        <f>COUNTIF(怪しいデータを手直し!F$2:F$701,Sheet5!F396)</f>
        <v>1</v>
      </c>
    </row>
    <row r="397" spans="1:22">
      <c r="A397">
        <f>生データ!A505</f>
        <v>30</v>
      </c>
      <c r="B397">
        <f>生データ!B505</f>
        <v>-10</v>
      </c>
      <c r="C397">
        <f>生データ!C505</f>
        <v>32.579202742904585</v>
      </c>
      <c r="D397">
        <f>生データ!D505</f>
        <v>-4.1813516974227438</v>
      </c>
      <c r="E397">
        <f>生データ!E505</f>
        <v>0</v>
      </c>
      <c r="F397">
        <f>IF(生データ!E505="Wr",3000+生データ!F505,IF(生データ!E505="Wb",4000+生データ!F505,生データ!F505))</f>
        <v>422</v>
      </c>
      <c r="G397" t="str">
        <f>生データ!G505</f>
        <v>bp</v>
      </c>
      <c r="H397">
        <f>生データ!H505</f>
        <v>10.5</v>
      </c>
      <c r="I397">
        <f>生データ!I505</f>
        <v>0</v>
      </c>
      <c r="J397">
        <f>生データ!J505</f>
        <v>11.9</v>
      </c>
      <c r="K397">
        <f>生データ!K505</f>
        <v>0</v>
      </c>
      <c r="L397">
        <f>生データ!L505</f>
        <v>4.0999999999999996</v>
      </c>
      <c r="M397">
        <f>生データ!M505</f>
        <v>1.8</v>
      </c>
      <c r="N397">
        <f>生データ!N505</f>
        <v>0</v>
      </c>
      <c r="O397">
        <f>生データ!O505</f>
        <v>0</v>
      </c>
      <c r="P397" t="str">
        <f>生データ!P505</f>
        <v>L</v>
      </c>
      <c r="Q397">
        <f>生データ!Q505</f>
        <v>0</v>
      </c>
      <c r="R397">
        <f>生データ!R505</f>
        <v>0</v>
      </c>
      <c r="S397">
        <f>生データ!S505</f>
        <v>0</v>
      </c>
      <c r="T397">
        <f>生データ!T505</f>
        <v>3.3422538049298023</v>
      </c>
      <c r="U397">
        <f>生データ!U505</f>
        <v>3.7878876455871091</v>
      </c>
      <c r="V397">
        <f>COUNTIF(怪しいデータを手直し!F$2:F$701,Sheet5!F397)</f>
        <v>1</v>
      </c>
    </row>
    <row r="398" spans="1:22">
      <c r="A398">
        <f>生データ!A506</f>
        <v>20</v>
      </c>
      <c r="B398">
        <f>生データ!B506</f>
        <v>0</v>
      </c>
      <c r="C398">
        <f>生データ!C506</f>
        <v>29.939609554551797</v>
      </c>
      <c r="D398">
        <f>生データ!D506</f>
        <v>1.0973431109104534</v>
      </c>
      <c r="E398">
        <f>生データ!E506</f>
        <v>0</v>
      </c>
      <c r="F398">
        <f>IF(生データ!E506="Wr",3000+生データ!F506,IF(生データ!E506="Wb",4000+生データ!F506,生データ!F506))</f>
        <v>119</v>
      </c>
      <c r="G398" t="str">
        <f>生データ!G506</f>
        <v>lc</v>
      </c>
      <c r="H398">
        <f>生データ!H506</f>
        <v>10.6</v>
      </c>
      <c r="I398">
        <f>生データ!I506</f>
        <v>0</v>
      </c>
      <c r="J398">
        <f>生データ!J506</f>
        <v>14</v>
      </c>
      <c r="K398">
        <f>生データ!K506</f>
        <v>0</v>
      </c>
      <c r="L398">
        <f>生データ!L506</f>
        <v>4.5</v>
      </c>
      <c r="M398">
        <f>生データ!M506</f>
        <v>0.2</v>
      </c>
      <c r="N398">
        <f>生データ!N506</f>
        <v>0</v>
      </c>
      <c r="O398">
        <f>生データ!O506</f>
        <v>0</v>
      </c>
      <c r="P398" t="str">
        <f>生データ!P506</f>
        <v>L</v>
      </c>
      <c r="Q398">
        <f>生データ!Q506</f>
        <v>0</v>
      </c>
      <c r="R398">
        <f>生データ!R506</f>
        <v>0</v>
      </c>
      <c r="S398">
        <f>生データ!S506</f>
        <v>0</v>
      </c>
      <c r="T398">
        <f>生データ!T506</f>
        <v>3.3740847935481812</v>
      </c>
      <c r="U398">
        <f>生データ!U506</f>
        <v>4.45633840657307</v>
      </c>
      <c r="V398">
        <f>COUNTIF(怪しいデータを手直し!F$2:F$701,Sheet5!F398)</f>
        <v>1</v>
      </c>
    </row>
    <row r="399" spans="1:22">
      <c r="A399">
        <f>生データ!A507</f>
        <v>40</v>
      </c>
      <c r="B399">
        <f>生データ!B507</f>
        <v>40</v>
      </c>
      <c r="C399">
        <f>生データ!C507</f>
        <v>41.65028445993098</v>
      </c>
      <c r="D399">
        <f>生データ!D507</f>
        <v>45.484737951801335</v>
      </c>
      <c r="E399">
        <f>生データ!E507</f>
        <v>0</v>
      </c>
      <c r="F399">
        <f>IF(生データ!E507="Wr",3000+生データ!F507,IF(生データ!E507="Wb",4000+生データ!F507,生データ!F507))</f>
        <v>357</v>
      </c>
      <c r="G399" t="str">
        <f>生データ!G507</f>
        <v>bp</v>
      </c>
      <c r="H399">
        <f>生データ!H507</f>
        <v>10.7</v>
      </c>
      <c r="I399">
        <f>生データ!I507</f>
        <v>0</v>
      </c>
      <c r="J399">
        <f>生データ!J507</f>
        <v>12</v>
      </c>
      <c r="K399">
        <f>生データ!K507</f>
        <v>0</v>
      </c>
      <c r="L399">
        <f>生データ!L507</f>
        <v>4.4000000000000004</v>
      </c>
      <c r="M399">
        <f>生データ!M507</f>
        <v>1.2</v>
      </c>
      <c r="N399">
        <f>生データ!N507</f>
        <v>0</v>
      </c>
      <c r="O399">
        <f>生データ!O507</f>
        <v>0</v>
      </c>
      <c r="P399" t="str">
        <f>生データ!P507</f>
        <v>L</v>
      </c>
      <c r="Q399">
        <f>生データ!Q507</f>
        <v>0</v>
      </c>
      <c r="R399">
        <f>生データ!R507</f>
        <v>0</v>
      </c>
      <c r="S399">
        <f>生データ!S507</f>
        <v>0</v>
      </c>
      <c r="T399">
        <f>生データ!T507</f>
        <v>3.4059157821665602</v>
      </c>
      <c r="U399">
        <f>生データ!U507</f>
        <v>3.8197186342054881</v>
      </c>
      <c r="V399">
        <f>COUNTIF(怪しいデータを手直し!F$2:F$701,Sheet5!F399)</f>
        <v>1</v>
      </c>
    </row>
    <row r="400" spans="1:22">
      <c r="A400">
        <f>生データ!A508</f>
        <v>40</v>
      </c>
      <c r="B400">
        <f>生データ!B508</f>
        <v>40</v>
      </c>
      <c r="C400">
        <f>生データ!C508</f>
        <v>41.480789789383856</v>
      </c>
      <c r="D400">
        <f>生データ!D508</f>
        <v>45.681606937067514</v>
      </c>
      <c r="E400">
        <f>生データ!E508</f>
        <v>0</v>
      </c>
      <c r="F400">
        <f>IF(生データ!E508="Wr",3000+生データ!F508,IF(生データ!E508="Wb",4000+生データ!F508,生データ!F508))</f>
        <v>359</v>
      </c>
      <c r="G400" t="str">
        <f>生データ!G508</f>
        <v>bp</v>
      </c>
      <c r="H400">
        <f>生データ!H508</f>
        <v>10.7</v>
      </c>
      <c r="I400">
        <f>生データ!I508</f>
        <v>0</v>
      </c>
      <c r="J400">
        <f>生データ!J508</f>
        <v>11.3</v>
      </c>
      <c r="K400">
        <f>生データ!K508</f>
        <v>0</v>
      </c>
      <c r="L400">
        <f>生データ!L508</f>
        <v>4.7</v>
      </c>
      <c r="M400">
        <f>生データ!M508</f>
        <v>2</v>
      </c>
      <c r="N400">
        <f>生データ!N508</f>
        <v>0</v>
      </c>
      <c r="O400">
        <f>生データ!O508</f>
        <v>0</v>
      </c>
      <c r="P400" t="str">
        <f>生データ!P508</f>
        <v>L</v>
      </c>
      <c r="Q400">
        <f>生データ!Q508</f>
        <v>0</v>
      </c>
      <c r="R400">
        <f>生データ!R508</f>
        <v>0</v>
      </c>
      <c r="S400">
        <f>生データ!S508</f>
        <v>0</v>
      </c>
      <c r="T400">
        <f>生データ!T508</f>
        <v>3.4059157821665602</v>
      </c>
      <c r="U400">
        <f>生データ!U508</f>
        <v>3.5969017138768349</v>
      </c>
      <c r="V400">
        <f>COUNTIF(怪しいデータを手直し!F$2:F$701,Sheet5!F400)</f>
        <v>1</v>
      </c>
    </row>
    <row r="401" spans="1:22">
      <c r="A401">
        <f>生データ!A509</f>
        <v>40</v>
      </c>
      <c r="B401">
        <f>生データ!B509</f>
        <v>-30</v>
      </c>
      <c r="C401">
        <f>生データ!C509</f>
        <v>42.307079585689536</v>
      </c>
      <c r="D401">
        <f>生データ!D509</f>
        <v>-26.109287362000902</v>
      </c>
      <c r="E401">
        <f>生データ!E509</f>
        <v>0</v>
      </c>
      <c r="F401">
        <f>IF(生データ!E509="Wr",3000+生データ!F509,IF(生データ!E509="Wb",4000+生データ!F509,生データ!F509))</f>
        <v>685</v>
      </c>
      <c r="G401" t="str">
        <f>生データ!G509</f>
        <v>bp</v>
      </c>
      <c r="H401">
        <f>生データ!H509</f>
        <v>0</v>
      </c>
      <c r="I401">
        <f>生データ!I509</f>
        <v>3.41</v>
      </c>
      <c r="J401">
        <f>生データ!J509</f>
        <v>10.8</v>
      </c>
      <c r="K401">
        <f>生データ!K509</f>
        <v>0</v>
      </c>
      <c r="L401">
        <f>生データ!L509</f>
        <v>1.7</v>
      </c>
      <c r="M401">
        <f>生データ!M509</f>
        <v>0.5</v>
      </c>
      <c r="N401">
        <f>生データ!N509</f>
        <v>0</v>
      </c>
      <c r="O401">
        <f>生データ!O509</f>
        <v>0</v>
      </c>
      <c r="P401" t="str">
        <f>生データ!P509</f>
        <v>L</v>
      </c>
      <c r="Q401">
        <f>生データ!Q509</f>
        <v>0</v>
      </c>
      <c r="R401" t="str">
        <f>生データ!R509</f>
        <v>L=5.8</v>
      </c>
      <c r="S401">
        <f>生データ!S509</f>
        <v>0</v>
      </c>
      <c r="T401">
        <f>生データ!T509</f>
        <v>3.41</v>
      </c>
      <c r="U401">
        <f>生データ!U509</f>
        <v>3.4377467707849396</v>
      </c>
      <c r="V401">
        <f>COUNTIF(怪しいデータを手直し!F$2:F$701,Sheet5!F401)</f>
        <v>1</v>
      </c>
    </row>
    <row r="402" spans="1:22">
      <c r="A402">
        <f>生データ!A510</f>
        <v>30</v>
      </c>
      <c r="B402">
        <f>生データ!B510</f>
        <v>10</v>
      </c>
      <c r="C402">
        <f>生データ!C510</f>
        <v>34.412191184356885</v>
      </c>
      <c r="D402">
        <f>生データ!D510</f>
        <v>18.734824536799977</v>
      </c>
      <c r="E402">
        <f>生データ!E510</f>
        <v>0</v>
      </c>
      <c r="F402">
        <f>IF(生データ!E510="Wr",3000+生データ!F510,IF(生データ!E510="Wb",4000+生データ!F510,生データ!F510))</f>
        <v>217</v>
      </c>
      <c r="G402" t="str">
        <f>生データ!G510</f>
        <v>lc</v>
      </c>
      <c r="H402">
        <f>生データ!H510</f>
        <v>10.8</v>
      </c>
      <c r="I402">
        <f>生データ!I510</f>
        <v>0</v>
      </c>
      <c r="J402" t="str">
        <f>生データ!J510</f>
        <v>dead</v>
      </c>
      <c r="K402">
        <f>生データ!K510</f>
        <v>0</v>
      </c>
      <c r="L402">
        <f>生データ!L510</f>
        <v>2.7</v>
      </c>
      <c r="M402">
        <f>生データ!M510</f>
        <v>0</v>
      </c>
      <c r="N402">
        <f>生データ!N510</f>
        <v>0</v>
      </c>
      <c r="O402">
        <f>生データ!O510</f>
        <v>0</v>
      </c>
      <c r="P402" t="str">
        <f>生データ!P510</f>
        <v>D</v>
      </c>
      <c r="Q402">
        <f>生データ!Q510</f>
        <v>0</v>
      </c>
      <c r="R402" t="str">
        <f>生データ!R510</f>
        <v>broken</v>
      </c>
      <c r="S402">
        <f>生データ!S510</f>
        <v>0</v>
      </c>
      <c r="T402">
        <f>生データ!T510</f>
        <v>3.4377467707849396</v>
      </c>
      <c r="U402" t="str">
        <f>生データ!U510</f>
        <v>dead</v>
      </c>
      <c r="V402">
        <f>COUNTIF(怪しいデータを手直し!F$2:F$701,Sheet5!F402)</f>
        <v>1</v>
      </c>
    </row>
    <row r="403" spans="1:22">
      <c r="A403">
        <f>生データ!A511</f>
        <v>40</v>
      </c>
      <c r="B403">
        <f>生データ!B511</f>
        <v>40</v>
      </c>
      <c r="C403">
        <f>生データ!C511</f>
        <v>41.910792172547048</v>
      </c>
      <c r="D403">
        <f>生データ!D511</f>
        <v>49.305569124146778</v>
      </c>
      <c r="E403">
        <f>生データ!E511</f>
        <v>0</v>
      </c>
      <c r="F403">
        <f>IF(生データ!E511="Wr",3000+生データ!F511,IF(生データ!E511="Wb",4000+生データ!F511,生データ!F511))</f>
        <v>366</v>
      </c>
      <c r="G403" t="str">
        <f>生データ!G511</f>
        <v>bp</v>
      </c>
      <c r="H403">
        <f>生データ!H511</f>
        <v>10.8</v>
      </c>
      <c r="I403">
        <f>生データ!I511</f>
        <v>0</v>
      </c>
      <c r="J403">
        <f>生データ!J511</f>
        <v>10.8</v>
      </c>
      <c r="K403">
        <f>生データ!K511</f>
        <v>0</v>
      </c>
      <c r="L403">
        <f>生データ!L511</f>
        <v>4.5</v>
      </c>
      <c r="M403">
        <f>生データ!M511</f>
        <v>2.1</v>
      </c>
      <c r="N403">
        <f>生データ!N511</f>
        <v>0</v>
      </c>
      <c r="O403">
        <f>生データ!O511</f>
        <v>0</v>
      </c>
      <c r="P403" t="str">
        <f>生データ!P511</f>
        <v>L</v>
      </c>
      <c r="Q403">
        <f>生データ!Q511</f>
        <v>0</v>
      </c>
      <c r="R403">
        <f>生データ!R511</f>
        <v>0</v>
      </c>
      <c r="S403">
        <f>生データ!S511</f>
        <v>0</v>
      </c>
      <c r="T403">
        <f>生データ!T511</f>
        <v>3.4377467707849396</v>
      </c>
      <c r="U403">
        <f>生データ!U511</f>
        <v>3.4377467707849396</v>
      </c>
      <c r="V403">
        <f>COUNTIF(怪しいデータを手直し!F$2:F$701,Sheet5!F403)</f>
        <v>1</v>
      </c>
    </row>
    <row r="404" spans="1:22">
      <c r="A404">
        <f>生データ!A512</f>
        <v>40</v>
      </c>
      <c r="B404">
        <f>生データ!B512</f>
        <v>-10</v>
      </c>
      <c r="C404">
        <f>生データ!C512</f>
        <v>43.455869235201362</v>
      </c>
      <c r="D404">
        <f>生データ!D512</f>
        <v>-9.8309797965071795</v>
      </c>
      <c r="E404">
        <f>生データ!E512</f>
        <v>0</v>
      </c>
      <c r="F404">
        <f>IF(生データ!E512="Wr",3000+生データ!F512,IF(生データ!E512="Wb",4000+生データ!F512,生データ!F512))</f>
        <v>451</v>
      </c>
      <c r="G404" t="str">
        <f>生データ!G512</f>
        <v>bp</v>
      </c>
      <c r="H404">
        <f>生データ!H512</f>
        <v>10.8</v>
      </c>
      <c r="I404">
        <f>生データ!I512</f>
        <v>0</v>
      </c>
      <c r="J404">
        <f>生データ!J512</f>
        <v>11.8</v>
      </c>
      <c r="K404">
        <f>生データ!K512</f>
        <v>0</v>
      </c>
      <c r="L404">
        <f>生データ!L512</f>
        <v>3.9</v>
      </c>
      <c r="M404">
        <f>生データ!M512</f>
        <v>2</v>
      </c>
      <c r="N404">
        <f>生データ!N512</f>
        <v>0</v>
      </c>
      <c r="O404">
        <f>生データ!O512</f>
        <v>0</v>
      </c>
      <c r="P404" t="str">
        <f>生データ!P512</f>
        <v>L</v>
      </c>
      <c r="Q404">
        <f>生データ!Q512</f>
        <v>0</v>
      </c>
      <c r="R404" t="str">
        <f>生データ!R512</f>
        <v>broken</v>
      </c>
      <c r="S404">
        <f>生データ!S512</f>
        <v>0</v>
      </c>
      <c r="T404">
        <f>生データ!T512</f>
        <v>3.4377467707849396</v>
      </c>
      <c r="U404">
        <f>生データ!U512</f>
        <v>3.7560566569687301</v>
      </c>
      <c r="V404">
        <f>COUNTIF(怪しいデータを手直し!F$2:F$701,Sheet5!F404)</f>
        <v>1</v>
      </c>
    </row>
    <row r="405" spans="1:22">
      <c r="A405">
        <f>生データ!A513</f>
        <v>40</v>
      </c>
      <c r="B405">
        <f>生データ!B513</f>
        <v>-30</v>
      </c>
      <c r="C405">
        <f>生データ!C513</f>
        <v>42.046818434004329</v>
      </c>
      <c r="D405">
        <f>生データ!D513</f>
        <v>-25.540917398602279</v>
      </c>
      <c r="E405">
        <f>生データ!E513</f>
        <v>0</v>
      </c>
      <c r="F405">
        <f>IF(生データ!E513="Wr",3000+生データ!F513,IF(生データ!E513="Wb",4000+生データ!F513,生データ!F513))</f>
        <v>692</v>
      </c>
      <c r="G405" t="str">
        <f>生データ!G513</f>
        <v>bp</v>
      </c>
      <c r="H405">
        <f>生データ!H513</f>
        <v>10.8</v>
      </c>
      <c r="I405">
        <f>生データ!I513</f>
        <v>0</v>
      </c>
      <c r="J405" t="str">
        <f>生データ!J513</f>
        <v>dead</v>
      </c>
      <c r="K405">
        <f>生データ!K513</f>
        <v>0</v>
      </c>
      <c r="L405">
        <f>生データ!L513</f>
        <v>3</v>
      </c>
      <c r="M405">
        <f>生データ!M513</f>
        <v>2.2999999999999998</v>
      </c>
      <c r="N405">
        <f>生データ!N513</f>
        <v>0</v>
      </c>
      <c r="O405">
        <f>生データ!O513</f>
        <v>0</v>
      </c>
      <c r="P405" t="str">
        <f>生データ!P513</f>
        <v>L</v>
      </c>
      <c r="Q405">
        <f>生データ!Q513</f>
        <v>0</v>
      </c>
      <c r="R405" t="str">
        <f>生データ!R513</f>
        <v>Dead H=3.6</v>
      </c>
      <c r="S405">
        <f>生データ!S513</f>
        <v>0</v>
      </c>
      <c r="T405">
        <f>生データ!T513</f>
        <v>3.4377467707849396</v>
      </c>
      <c r="U405" t="str">
        <f>生データ!U513</f>
        <v>dead</v>
      </c>
      <c r="V405">
        <f>COUNTIF(怪しいデータを手直し!F$2:F$701,Sheet5!F405)</f>
        <v>1</v>
      </c>
    </row>
    <row r="406" spans="1:22">
      <c r="A406">
        <f>生データ!A514</f>
        <v>20</v>
      </c>
      <c r="B406">
        <f>生データ!B514</f>
        <v>10</v>
      </c>
      <c r="C406">
        <f>生データ!C514</f>
        <v>21.785537686445696</v>
      </c>
      <c r="D406">
        <f>生データ!D514</f>
        <v>11.947311629411955</v>
      </c>
      <c r="E406">
        <f>生データ!E514</f>
        <v>0</v>
      </c>
      <c r="F406">
        <f>IF(生データ!E514="Wr",3000+生データ!F514,IF(生データ!E514="Wb",4000+生データ!F514,生データ!F514))</f>
        <v>148</v>
      </c>
      <c r="G406" t="str">
        <f>生データ!G514</f>
        <v>bp</v>
      </c>
      <c r="H406">
        <f>生データ!H514</f>
        <v>10.9</v>
      </c>
      <c r="I406">
        <f>生データ!I514</f>
        <v>0</v>
      </c>
      <c r="J406">
        <f>生データ!J514</f>
        <v>11</v>
      </c>
      <c r="K406">
        <f>生データ!K514</f>
        <v>0</v>
      </c>
      <c r="L406">
        <f>生データ!L514</f>
        <v>4.5999999999999996</v>
      </c>
      <c r="M406">
        <f>生データ!M514</f>
        <v>1.5</v>
      </c>
      <c r="N406">
        <f>生データ!N514</f>
        <v>0</v>
      </c>
      <c r="O406">
        <f>生データ!O514</f>
        <v>0</v>
      </c>
      <c r="P406" t="str">
        <f>生データ!P514</f>
        <v>L</v>
      </c>
      <c r="Q406">
        <f>生データ!Q514</f>
        <v>0</v>
      </c>
      <c r="R406">
        <f>生データ!R514</f>
        <v>0</v>
      </c>
      <c r="S406">
        <f>生データ!S514</f>
        <v>0</v>
      </c>
      <c r="T406">
        <f>生データ!T514</f>
        <v>3.4695777594033186</v>
      </c>
      <c r="U406">
        <f>生データ!U514</f>
        <v>3.5014087480216975</v>
      </c>
      <c r="V406">
        <f>COUNTIF(怪しいデータを手直し!F$2:F$701,Sheet5!F406)</f>
        <v>1</v>
      </c>
    </row>
    <row r="407" spans="1:22">
      <c r="A407">
        <f>生データ!A515</f>
        <v>20</v>
      </c>
      <c r="B407">
        <f>生データ!B515</f>
        <v>40</v>
      </c>
      <c r="C407">
        <f>生データ!C515</f>
        <v>26.924600108357865</v>
      </c>
      <c r="D407">
        <f>生データ!D515</f>
        <v>46.948813808077624</v>
      </c>
      <c r="E407">
        <f>生データ!E515</f>
        <v>0</v>
      </c>
      <c r="F407">
        <f>IF(生データ!E515="Wr",3000+生データ!F515,IF(生データ!E515="Wb",4000+生データ!F515,生データ!F515))</f>
        <v>192</v>
      </c>
      <c r="G407" t="str">
        <f>生データ!G515</f>
        <v>bp</v>
      </c>
      <c r="H407">
        <f>生データ!H515</f>
        <v>10.9</v>
      </c>
      <c r="I407">
        <f>生データ!I515</f>
        <v>0</v>
      </c>
      <c r="J407" t="str">
        <f>生データ!J515</f>
        <v>dead</v>
      </c>
      <c r="K407">
        <f>生データ!K515</f>
        <v>0</v>
      </c>
      <c r="L407">
        <f>生データ!L515</f>
        <v>3.5</v>
      </c>
      <c r="M407">
        <f>生データ!M515</f>
        <v>0</v>
      </c>
      <c r="N407">
        <f>生データ!N515</f>
        <v>0</v>
      </c>
      <c r="O407">
        <f>生データ!O515</f>
        <v>0</v>
      </c>
      <c r="P407" t="str">
        <f>生データ!P515</f>
        <v>D</v>
      </c>
      <c r="Q407">
        <f>生データ!Q515</f>
        <v>0</v>
      </c>
      <c r="R407">
        <f>生データ!R515</f>
        <v>0</v>
      </c>
      <c r="S407">
        <f>生データ!S515</f>
        <v>0</v>
      </c>
      <c r="T407">
        <f>生データ!T515</f>
        <v>3.4695777594033186</v>
      </c>
      <c r="U407" t="str">
        <f>生データ!U515</f>
        <v>dead</v>
      </c>
      <c r="V407">
        <f>COUNTIF(怪しいデータを手直し!F$2:F$701,Sheet5!F407)</f>
        <v>1</v>
      </c>
    </row>
    <row r="408" spans="1:22">
      <c r="A408">
        <f>生データ!A516</f>
        <v>20</v>
      </c>
      <c r="B408">
        <f>生データ!B516</f>
        <v>10</v>
      </c>
      <c r="C408">
        <f>生データ!C516</f>
        <v>22.185225695543657</v>
      </c>
      <c r="D408">
        <f>生データ!D516</f>
        <v>12.144973802340447</v>
      </c>
      <c r="E408">
        <f>生データ!E516</f>
        <v>0</v>
      </c>
      <c r="F408">
        <f>IF(生データ!E516="Wr",3000+生データ!F516,IF(生データ!E516="Wb",4000+生データ!F516,生データ!F516))</f>
        <v>151</v>
      </c>
      <c r="G408" t="str">
        <f>生データ!G516</f>
        <v>bp</v>
      </c>
      <c r="H408">
        <f>生データ!H516</f>
        <v>11</v>
      </c>
      <c r="I408">
        <f>生データ!I516</f>
        <v>0</v>
      </c>
      <c r="J408">
        <f>生データ!J516</f>
        <v>11.6</v>
      </c>
      <c r="K408">
        <f>生データ!K516</f>
        <v>0</v>
      </c>
      <c r="L408">
        <f>生データ!L516</f>
        <v>4.9000000000000004</v>
      </c>
      <c r="M408">
        <f>生データ!M516</f>
        <v>1.4</v>
      </c>
      <c r="N408">
        <f>生データ!N516</f>
        <v>0</v>
      </c>
      <c r="O408">
        <f>生データ!O516</f>
        <v>0</v>
      </c>
      <c r="P408" t="str">
        <f>生データ!P516</f>
        <v>L</v>
      </c>
      <c r="Q408">
        <f>生データ!Q516</f>
        <v>0</v>
      </c>
      <c r="R408">
        <f>生データ!R516</f>
        <v>0</v>
      </c>
      <c r="S408">
        <f>生データ!S516</f>
        <v>0</v>
      </c>
      <c r="T408">
        <f>生データ!T516</f>
        <v>3.5014087480216975</v>
      </c>
      <c r="U408">
        <f>生データ!U516</f>
        <v>3.6923946797319718</v>
      </c>
      <c r="V408">
        <f>COUNTIF(怪しいデータを手直し!F$2:F$701,Sheet5!F408)</f>
        <v>1</v>
      </c>
    </row>
    <row r="409" spans="1:22">
      <c r="A409">
        <f>生データ!A517</f>
        <v>40</v>
      </c>
      <c r="B409">
        <f>生データ!B517</f>
        <v>30</v>
      </c>
      <c r="C409">
        <f>生データ!C517</f>
        <v>49.095619109009078</v>
      </c>
      <c r="D409">
        <f>生データ!D517</f>
        <v>30.432649520164404</v>
      </c>
      <c r="E409">
        <f>生データ!E517</f>
        <v>0</v>
      </c>
      <c r="F409">
        <f>IF(生データ!E517="Wr",3000+生データ!F517,IF(生データ!E517="Wb",4000+生データ!F517,生データ!F517))</f>
        <v>320</v>
      </c>
      <c r="G409" t="str">
        <f>生データ!G517</f>
        <v>af</v>
      </c>
      <c r="H409">
        <f>生データ!H517</f>
        <v>11</v>
      </c>
      <c r="I409">
        <f>生データ!I517</f>
        <v>0</v>
      </c>
      <c r="J409">
        <f>生データ!J517</f>
        <v>11.5</v>
      </c>
      <c r="K409">
        <f>生データ!K517</f>
        <v>0</v>
      </c>
      <c r="L409">
        <f>生データ!L517</f>
        <v>3.8</v>
      </c>
      <c r="M409">
        <f>生データ!M517</f>
        <v>0.3</v>
      </c>
      <c r="N409">
        <f>生データ!N517</f>
        <v>0</v>
      </c>
      <c r="O409">
        <f>生データ!O517</f>
        <v>0</v>
      </c>
      <c r="P409" t="str">
        <f>生データ!P517</f>
        <v>L</v>
      </c>
      <c r="Q409">
        <f>生データ!Q517</f>
        <v>0</v>
      </c>
      <c r="R409">
        <f>生データ!R517</f>
        <v>0</v>
      </c>
      <c r="S409">
        <f>生データ!S517</f>
        <v>0</v>
      </c>
      <c r="T409">
        <f>生データ!T517</f>
        <v>3.5014087480216975</v>
      </c>
      <c r="U409">
        <f>生データ!U517</f>
        <v>3.6605636911135928</v>
      </c>
      <c r="V409">
        <f>COUNTIF(怪しいデータを手直し!F$2:F$701,Sheet5!F409)</f>
        <v>1</v>
      </c>
    </row>
    <row r="410" spans="1:22">
      <c r="A410">
        <f>生データ!A518</f>
        <v>20</v>
      </c>
      <c r="B410">
        <f>生データ!B518</f>
        <v>-20</v>
      </c>
      <c r="C410">
        <f>生データ!C518</f>
        <v>27.646310495894554</v>
      </c>
      <c r="D410">
        <f>生データ!D518</f>
        <v>-18.975480802506063</v>
      </c>
      <c r="E410">
        <f>生データ!E518</f>
        <v>0</v>
      </c>
      <c r="F410">
        <f>IF(生データ!E518="Wr",3000+生データ!F518,IF(生データ!E518="Wb",4000+生データ!F518,生データ!F518))</f>
        <v>563</v>
      </c>
      <c r="G410" t="str">
        <f>生データ!G518</f>
        <v>bp</v>
      </c>
      <c r="H410">
        <f>生データ!H518</f>
        <v>11</v>
      </c>
      <c r="I410">
        <f>生データ!I518</f>
        <v>0</v>
      </c>
      <c r="J410">
        <f>生データ!J518</f>
        <v>11.3</v>
      </c>
      <c r="K410">
        <f>生データ!K518</f>
        <v>0</v>
      </c>
      <c r="L410">
        <f>生データ!L518</f>
        <v>3.8</v>
      </c>
      <c r="M410">
        <f>生データ!M518</f>
        <v>1.4</v>
      </c>
      <c r="N410">
        <f>生データ!N518</f>
        <v>0</v>
      </c>
      <c r="O410">
        <f>生データ!O518</f>
        <v>0</v>
      </c>
      <c r="P410" t="str">
        <f>生データ!P518</f>
        <v>L</v>
      </c>
      <c r="Q410">
        <f>生データ!Q518</f>
        <v>0</v>
      </c>
      <c r="R410">
        <f>生データ!R518</f>
        <v>0</v>
      </c>
      <c r="S410">
        <f>生データ!S518</f>
        <v>0</v>
      </c>
      <c r="T410">
        <f>生データ!T518</f>
        <v>3.5014087480216975</v>
      </c>
      <c r="U410">
        <f>生データ!U518</f>
        <v>3.5969017138768349</v>
      </c>
      <c r="V410">
        <f>COUNTIF(怪しいデータを手直し!F$2:F$701,Sheet5!F410)</f>
        <v>1</v>
      </c>
    </row>
    <row r="411" spans="1:22">
      <c r="A411">
        <f>生データ!A519</f>
        <v>20</v>
      </c>
      <c r="B411">
        <f>生データ!B519</f>
        <v>20</v>
      </c>
      <c r="C411">
        <f>生データ!C519</f>
        <v>26.105063208120857</v>
      </c>
      <c r="D411">
        <f>生データ!D519</f>
        <v>23.112840326777921</v>
      </c>
      <c r="E411">
        <f>生データ!E519</f>
        <v>0</v>
      </c>
      <c r="F411">
        <f>IF(生データ!E519="Wr",3000+生データ!F519,IF(生データ!E519="Wb",4000+生データ!F519,生データ!F519))</f>
        <v>165</v>
      </c>
      <c r="G411" t="str">
        <f>生データ!G519</f>
        <v>lc</v>
      </c>
      <c r="H411">
        <f>生データ!H519</f>
        <v>11.1</v>
      </c>
      <c r="I411">
        <f>生データ!I519</f>
        <v>0</v>
      </c>
      <c r="J411" t="str">
        <f>生データ!J519</f>
        <v>dead</v>
      </c>
      <c r="K411">
        <f>生データ!K519</f>
        <v>0</v>
      </c>
      <c r="L411">
        <f>生データ!L519</f>
        <v>3.7</v>
      </c>
      <c r="M411">
        <f>生データ!M519</f>
        <v>0</v>
      </c>
      <c r="N411">
        <f>生データ!N519</f>
        <v>0</v>
      </c>
      <c r="O411">
        <f>生データ!O519</f>
        <v>0</v>
      </c>
      <c r="P411" t="str">
        <f>生データ!P519</f>
        <v>D</v>
      </c>
      <c r="Q411">
        <f>生データ!Q519</f>
        <v>0</v>
      </c>
      <c r="R411">
        <f>生データ!R519</f>
        <v>0</v>
      </c>
      <c r="S411">
        <f>生データ!S519</f>
        <v>0</v>
      </c>
      <c r="T411">
        <f>生データ!T519</f>
        <v>3.5332397366400765</v>
      </c>
      <c r="U411" t="str">
        <f>生データ!U519</f>
        <v>dead</v>
      </c>
      <c r="V411">
        <f>COUNTIF(怪しいデータを手直し!F$2:F$701,Sheet5!F411)</f>
        <v>1</v>
      </c>
    </row>
    <row r="412" spans="1:22">
      <c r="A412">
        <f>生データ!A520</f>
        <v>20</v>
      </c>
      <c r="B412">
        <f>生データ!B520</f>
        <v>-10</v>
      </c>
      <c r="C412">
        <f>生データ!C520</f>
        <v>22.256082481683858</v>
      </c>
      <c r="D412">
        <f>生データ!D520</f>
        <v>-9.5353591675352476</v>
      </c>
      <c r="E412">
        <f>生データ!E520</f>
        <v>0</v>
      </c>
      <c r="F412">
        <f>IF(生データ!E520="Wr",3000+生データ!F520,IF(生データ!E520="Wb",4000+生データ!F520,生データ!F520))</f>
        <v>415</v>
      </c>
      <c r="G412" t="str">
        <f>生データ!G520</f>
        <v>bp</v>
      </c>
      <c r="H412">
        <f>生データ!H520</f>
        <v>11.2</v>
      </c>
      <c r="I412">
        <f>生データ!I520</f>
        <v>0</v>
      </c>
      <c r="J412">
        <f>生データ!J520</f>
        <v>12.1</v>
      </c>
      <c r="K412">
        <f>生データ!K520</f>
        <v>0</v>
      </c>
      <c r="L412">
        <f>生データ!L520</f>
        <v>3.4</v>
      </c>
      <c r="M412">
        <f>生データ!M520</f>
        <v>1.8</v>
      </c>
      <c r="N412">
        <f>生データ!N520</f>
        <v>0</v>
      </c>
      <c r="O412">
        <f>生データ!O520</f>
        <v>0</v>
      </c>
      <c r="P412" t="str">
        <f>生データ!P520</f>
        <v>L</v>
      </c>
      <c r="Q412">
        <f>生データ!Q520</f>
        <v>0</v>
      </c>
      <c r="R412">
        <f>生データ!R520</f>
        <v>0</v>
      </c>
      <c r="S412">
        <f>生データ!S520</f>
        <v>0</v>
      </c>
      <c r="T412">
        <f>生データ!T520</f>
        <v>3.5650707252584555</v>
      </c>
      <c r="U412">
        <f>生データ!U520</f>
        <v>3.851549622823867</v>
      </c>
      <c r="V412">
        <f>COUNTIF(怪しいデータを手直し!F$2:F$701,Sheet5!F412)</f>
        <v>1</v>
      </c>
    </row>
    <row r="413" spans="1:22">
      <c r="A413">
        <f>生データ!A521</f>
        <v>40</v>
      </c>
      <c r="B413">
        <f>生データ!B521</f>
        <v>20</v>
      </c>
      <c r="C413">
        <f>生データ!C521</f>
        <v>42.394823115933988</v>
      </c>
      <c r="D413">
        <f>生データ!D521</f>
        <v>29.340169159319785</v>
      </c>
      <c r="E413">
        <f>生データ!E521</f>
        <v>0</v>
      </c>
      <c r="F413">
        <f>IF(生データ!E521="Wr",3000+生データ!F521,IF(生データ!E521="Wb",4000+生データ!F521,生データ!F521))</f>
        <v>292</v>
      </c>
      <c r="G413" t="str">
        <f>生データ!G521</f>
        <v>bp</v>
      </c>
      <c r="H413">
        <f>生データ!H521</f>
        <v>0</v>
      </c>
      <c r="I413">
        <f>生データ!I521</f>
        <v>3.59</v>
      </c>
      <c r="J413">
        <f>生データ!J521</f>
        <v>0</v>
      </c>
      <c r="K413">
        <f>生データ!K521</f>
        <v>11.4</v>
      </c>
      <c r="L413">
        <f>生データ!L521</f>
        <v>5.0999999999999996</v>
      </c>
      <c r="M413">
        <f>生データ!M521</f>
        <v>2.4</v>
      </c>
      <c r="N413">
        <f>生データ!N521</f>
        <v>0</v>
      </c>
      <c r="O413">
        <f>生データ!O521</f>
        <v>0</v>
      </c>
      <c r="P413" t="str">
        <f>生データ!P521</f>
        <v>L</v>
      </c>
      <c r="Q413">
        <f>生データ!Q521</f>
        <v>0</v>
      </c>
      <c r="R413">
        <f>生データ!R521</f>
        <v>0</v>
      </c>
      <c r="S413">
        <f>生データ!S521</f>
        <v>0</v>
      </c>
      <c r="T413">
        <f>生データ!T521</f>
        <v>3.59</v>
      </c>
      <c r="U413">
        <f>生データ!U521</f>
        <v>11.4</v>
      </c>
      <c r="V413">
        <f>COUNTIF(怪しいデータを手直し!F$2:F$701,Sheet5!F413)</f>
        <v>1</v>
      </c>
    </row>
    <row r="414" spans="1:22">
      <c r="A414">
        <f>生データ!A522</f>
        <v>0</v>
      </c>
      <c r="B414">
        <f>生データ!B522</f>
        <v>0</v>
      </c>
      <c r="C414">
        <f>生データ!C522</f>
        <v>4.6490501176979064</v>
      </c>
      <c r="D414">
        <f>生データ!D522</f>
        <v>8.685680648742018</v>
      </c>
      <c r="E414">
        <f>生データ!E522</f>
        <v>0</v>
      </c>
      <c r="F414">
        <f>IF(生データ!E522="Wr",3000+生データ!F522,IF(生データ!E522="Wb",4000+生データ!F522,生データ!F522))</f>
        <v>3</v>
      </c>
      <c r="G414" t="str">
        <f>生データ!G522</f>
        <v>bp</v>
      </c>
      <c r="H414">
        <f>生データ!H522</f>
        <v>11.3</v>
      </c>
      <c r="I414">
        <f>生データ!I522</f>
        <v>0</v>
      </c>
      <c r="J414">
        <f>生データ!J522</f>
        <v>11.1</v>
      </c>
      <c r="K414">
        <f>生データ!K522</f>
        <v>0</v>
      </c>
      <c r="L414">
        <f>生データ!L522</f>
        <v>3.1</v>
      </c>
      <c r="M414">
        <f>生データ!M522</f>
        <v>2.1</v>
      </c>
      <c r="N414">
        <f>生データ!N522</f>
        <v>0</v>
      </c>
      <c r="O414">
        <f>生データ!O522</f>
        <v>0</v>
      </c>
      <c r="P414" t="str">
        <f>生データ!P522</f>
        <v>L</v>
      </c>
      <c r="Q414">
        <f>生データ!Q522</f>
        <v>0</v>
      </c>
      <c r="R414">
        <f>生データ!R522</f>
        <v>0</v>
      </c>
      <c r="S414">
        <f>生データ!S522</f>
        <v>0</v>
      </c>
      <c r="T414">
        <f>生データ!T522</f>
        <v>3.5969017138768349</v>
      </c>
      <c r="U414">
        <f>生データ!U522</f>
        <v>3.5332397366400765</v>
      </c>
      <c r="V414">
        <f>COUNTIF(怪しいデータを手直し!F$2:F$701,Sheet5!F414)</f>
        <v>1</v>
      </c>
    </row>
    <row r="415" spans="1:22">
      <c r="A415">
        <f>生データ!A523</f>
        <v>30</v>
      </c>
      <c r="B415">
        <f>生データ!B523</f>
        <v>-30</v>
      </c>
      <c r="C415">
        <f>生データ!C523</f>
        <v>32.358209900513103</v>
      </c>
      <c r="D415">
        <f>生データ!D523</f>
        <v>-25.057197451664507</v>
      </c>
      <c r="E415">
        <f>生データ!E523</f>
        <v>0</v>
      </c>
      <c r="F415">
        <f>IF(生データ!E523="Wr",3000+生データ!F523,IF(生データ!E523="Wb",4000+生データ!F523,生データ!F523))</f>
        <v>663</v>
      </c>
      <c r="G415" t="str">
        <f>生データ!G523</f>
        <v>lc</v>
      </c>
      <c r="H415">
        <f>生データ!H523</f>
        <v>11.3</v>
      </c>
      <c r="I415">
        <f>生データ!I523</f>
        <v>0</v>
      </c>
      <c r="J415" t="str">
        <f>生データ!J523</f>
        <v>dead</v>
      </c>
      <c r="K415">
        <f>生データ!K523</f>
        <v>0</v>
      </c>
      <c r="L415">
        <f>生データ!L523</f>
        <v>4.5999999999999996</v>
      </c>
      <c r="M415">
        <f>生データ!M523</f>
        <v>0</v>
      </c>
      <c r="N415">
        <f>生データ!N523</f>
        <v>0</v>
      </c>
      <c r="O415">
        <f>生データ!O523</f>
        <v>0</v>
      </c>
      <c r="P415" t="str">
        <f>生データ!P523</f>
        <v>D</v>
      </c>
      <c r="Q415">
        <f>生データ!Q523</f>
        <v>0</v>
      </c>
      <c r="R415">
        <f>生データ!R523</f>
        <v>0</v>
      </c>
      <c r="S415">
        <f>生データ!S523</f>
        <v>0</v>
      </c>
      <c r="T415">
        <f>生データ!T523</f>
        <v>3.5969017138768349</v>
      </c>
      <c r="U415" t="str">
        <f>生データ!U523</f>
        <v>dead</v>
      </c>
      <c r="V415">
        <f>COUNTIF(怪しいデータを手直し!F$2:F$701,Sheet5!F415)</f>
        <v>1</v>
      </c>
    </row>
    <row r="416" spans="1:22">
      <c r="A416">
        <f>生データ!A524</f>
        <v>20</v>
      </c>
      <c r="B416">
        <f>生データ!B524</f>
        <v>-20</v>
      </c>
      <c r="C416">
        <f>生データ!C524</f>
        <v>26.880206616637487</v>
      </c>
      <c r="D416">
        <f>生データ!D524</f>
        <v>-13.466398935188682</v>
      </c>
      <c r="E416">
        <f>生データ!E524</f>
        <v>0</v>
      </c>
      <c r="F416">
        <f>IF(生データ!E524="Wr",3000+生データ!F524,IF(生データ!E524="Wb",4000+生データ!F524,生データ!F524))</f>
        <v>555</v>
      </c>
      <c r="G416" t="str">
        <f>生データ!G524</f>
        <v>bp</v>
      </c>
      <c r="H416">
        <f>生データ!H524</f>
        <v>0</v>
      </c>
      <c r="I416">
        <f>生データ!I524</f>
        <v>3.6</v>
      </c>
      <c r="J416">
        <f>生データ!J524</f>
        <v>12.1</v>
      </c>
      <c r="K416">
        <f>生データ!K524</f>
        <v>0</v>
      </c>
      <c r="L416">
        <f>生データ!L524</f>
        <v>2.2000000000000002</v>
      </c>
      <c r="M416">
        <f>生データ!M524</f>
        <v>0.9</v>
      </c>
      <c r="N416">
        <f>生データ!N524</f>
        <v>0</v>
      </c>
      <c r="O416">
        <f>生データ!O524</f>
        <v>0</v>
      </c>
      <c r="P416" t="str">
        <f>生データ!P524</f>
        <v>L</v>
      </c>
      <c r="Q416">
        <f>生データ!Q524</f>
        <v>0</v>
      </c>
      <c r="R416">
        <f>生データ!R524</f>
        <v>0</v>
      </c>
      <c r="S416">
        <f>生データ!S524</f>
        <v>0</v>
      </c>
      <c r="T416">
        <f>生データ!T524</f>
        <v>3.6</v>
      </c>
      <c r="U416">
        <f>生データ!U524</f>
        <v>3.851549622823867</v>
      </c>
      <c r="V416">
        <f>COUNTIF(怪しいデータを手直し!F$2:F$701,Sheet5!F416)</f>
        <v>1</v>
      </c>
    </row>
    <row r="417" spans="1:22">
      <c r="A417">
        <f>生データ!A525</f>
        <v>50</v>
      </c>
      <c r="B417">
        <f>生データ!B525</f>
        <v>-30</v>
      </c>
      <c r="C417">
        <f>生データ!C525</f>
        <v>50.215139710240834</v>
      </c>
      <c r="D417">
        <f>生データ!D525</f>
        <v>-27.437723206428444</v>
      </c>
      <c r="E417">
        <f>生データ!E525</f>
        <v>0</v>
      </c>
      <c r="F417">
        <f>IF(生データ!E525="Wr",3000+生データ!F525,IF(生データ!E525="Wb",4000+生データ!F525,生データ!F525))</f>
        <v>701</v>
      </c>
      <c r="G417" t="str">
        <f>生データ!G525</f>
        <v>bp</v>
      </c>
      <c r="H417">
        <f>生データ!H525</f>
        <v>0</v>
      </c>
      <c r="I417">
        <f>生データ!I525</f>
        <v>3.61</v>
      </c>
      <c r="J417">
        <f>生データ!J525</f>
        <v>13</v>
      </c>
      <c r="K417">
        <f>生データ!K525</f>
        <v>0</v>
      </c>
      <c r="L417">
        <f>生データ!L525</f>
        <v>5.2</v>
      </c>
      <c r="M417">
        <f>生データ!M525</f>
        <v>1.8</v>
      </c>
      <c r="N417">
        <f>生データ!N525</f>
        <v>0</v>
      </c>
      <c r="O417">
        <f>生データ!O525</f>
        <v>0</v>
      </c>
      <c r="P417" t="str">
        <f>生データ!P525</f>
        <v>L</v>
      </c>
      <c r="Q417">
        <f>生データ!Q525</f>
        <v>0</v>
      </c>
      <c r="R417">
        <f>生データ!R525</f>
        <v>0</v>
      </c>
      <c r="S417">
        <f>生データ!S525</f>
        <v>0</v>
      </c>
      <c r="T417">
        <f>生データ!T525</f>
        <v>3.61</v>
      </c>
      <c r="U417">
        <f>生データ!U525</f>
        <v>4.1380285203892786</v>
      </c>
      <c r="V417">
        <f>COUNTIF(怪しいデータを手直し!F$2:F$701,Sheet5!F417)</f>
        <v>1</v>
      </c>
    </row>
    <row r="418" spans="1:22">
      <c r="A418">
        <f>生データ!A526</f>
        <v>10</v>
      </c>
      <c r="B418">
        <f>生データ!B526</f>
        <v>20</v>
      </c>
      <c r="C418">
        <f>生データ!C526</f>
        <v>19.699163756212034</v>
      </c>
      <c r="D418">
        <f>生データ!D526</f>
        <v>20.653488566037861</v>
      </c>
      <c r="E418">
        <f>生データ!E526</f>
        <v>0</v>
      </c>
      <c r="F418">
        <f>IF(生データ!E526="Wr",3000+生データ!F526,IF(生データ!E526="Wb",4000+生データ!F526,生データ!F526))</f>
        <v>105</v>
      </c>
      <c r="G418" t="str">
        <f>生データ!G526</f>
        <v>bp</v>
      </c>
      <c r="H418">
        <f>生データ!H526</f>
        <v>11.4</v>
      </c>
      <c r="I418">
        <f>生データ!I526</f>
        <v>0</v>
      </c>
      <c r="J418">
        <f>生データ!J526</f>
        <v>11.8</v>
      </c>
      <c r="K418">
        <f>生データ!K526</f>
        <v>0</v>
      </c>
      <c r="L418">
        <f>生データ!L526</f>
        <v>3.5</v>
      </c>
      <c r="M418">
        <f>生データ!M526</f>
        <v>1</v>
      </c>
      <c r="N418">
        <f>生データ!N526</f>
        <v>0</v>
      </c>
      <c r="O418">
        <f>生データ!O526</f>
        <v>0</v>
      </c>
      <c r="P418" t="str">
        <f>生データ!P526</f>
        <v>L</v>
      </c>
      <c r="Q418">
        <f>生データ!Q526</f>
        <v>0</v>
      </c>
      <c r="R418">
        <f>生データ!R526</f>
        <v>0</v>
      </c>
      <c r="S418">
        <f>生データ!S526</f>
        <v>0</v>
      </c>
      <c r="T418">
        <f>生データ!T526</f>
        <v>3.6287327024952138</v>
      </c>
      <c r="U418">
        <f>生データ!U526</f>
        <v>3.7560566569687301</v>
      </c>
      <c r="V418">
        <f>COUNTIF(怪しいデータを手直し!F$2:F$701,Sheet5!F418)</f>
        <v>1</v>
      </c>
    </row>
    <row r="419" spans="1:22">
      <c r="A419">
        <f>生データ!A527</f>
        <v>40</v>
      </c>
      <c r="B419">
        <f>生データ!B527</f>
        <v>-20</v>
      </c>
      <c r="C419">
        <f>生データ!C527</f>
        <v>48.947736636769655</v>
      </c>
      <c r="D419">
        <f>生データ!D527</f>
        <v>-16.311933862059238</v>
      </c>
      <c r="E419">
        <f>生データ!E527</f>
        <v>0</v>
      </c>
      <c r="F419">
        <f>IF(生データ!E527="Wr",3000+生データ!F527,IF(生データ!E527="Wb",4000+生データ!F527,生データ!F527))</f>
        <v>506</v>
      </c>
      <c r="G419" t="str">
        <f>生データ!G527</f>
        <v>bp</v>
      </c>
      <c r="H419">
        <f>生データ!H527</f>
        <v>11.5</v>
      </c>
      <c r="I419">
        <f>生データ!I527</f>
        <v>0</v>
      </c>
      <c r="J419">
        <f>生データ!J527</f>
        <v>0</v>
      </c>
      <c r="K419">
        <f>生データ!K527</f>
        <v>17.100000000000001</v>
      </c>
      <c r="L419">
        <f>生データ!L527</f>
        <v>2.8</v>
      </c>
      <c r="M419">
        <f>生データ!M527</f>
        <v>1.5</v>
      </c>
      <c r="N419">
        <f>生データ!N527</f>
        <v>0</v>
      </c>
      <c r="O419">
        <f>生データ!O527</f>
        <v>0</v>
      </c>
      <c r="P419" t="str">
        <f>生データ!P527</f>
        <v>L</v>
      </c>
      <c r="Q419">
        <f>生データ!Q527</f>
        <v>0</v>
      </c>
      <c r="R419">
        <f>生データ!R527</f>
        <v>0</v>
      </c>
      <c r="S419" t="str">
        <f>生データ!S527</f>
        <v>2001 DBH=11.5?</v>
      </c>
      <c r="T419">
        <f>生データ!T527</f>
        <v>3.6605636911135928</v>
      </c>
      <c r="U419">
        <f>生データ!U527</f>
        <v>17.100000000000001</v>
      </c>
      <c r="V419">
        <f>COUNTIF(怪しいデータを手直し!F$2:F$701,Sheet5!F419)</f>
        <v>1</v>
      </c>
    </row>
    <row r="420" spans="1:22">
      <c r="A420">
        <f>生データ!A528</f>
        <v>0</v>
      </c>
      <c r="B420">
        <f>生データ!B528</f>
        <v>-30</v>
      </c>
      <c r="C420">
        <f>生データ!C528</f>
        <v>9.2331769958039427</v>
      </c>
      <c r="D420">
        <f>生データ!D528</f>
        <v>-22.944436741865474</v>
      </c>
      <c r="E420">
        <f>生データ!E528</f>
        <v>0</v>
      </c>
      <c r="F420">
        <f>IF(生データ!E528="Wr",3000+生データ!F528,IF(生データ!E528="Wb",4000+生データ!F528,生データ!F528))</f>
        <v>610</v>
      </c>
      <c r="G420" t="str">
        <f>生データ!G528</f>
        <v>bp</v>
      </c>
      <c r="H420">
        <f>生データ!H528</f>
        <v>11.6</v>
      </c>
      <c r="I420">
        <f>生データ!I528</f>
        <v>0</v>
      </c>
      <c r="J420">
        <f>生データ!J528</f>
        <v>13.3</v>
      </c>
      <c r="K420">
        <f>生データ!K528</f>
        <v>0</v>
      </c>
      <c r="L420">
        <f>生データ!L528</f>
        <v>4.7</v>
      </c>
      <c r="M420">
        <f>生データ!M528</f>
        <v>1.6</v>
      </c>
      <c r="N420">
        <f>生データ!N528</f>
        <v>0</v>
      </c>
      <c r="O420">
        <f>生データ!O528</f>
        <v>0</v>
      </c>
      <c r="P420" t="str">
        <f>生データ!P528</f>
        <v>L</v>
      </c>
      <c r="Q420">
        <f>生データ!Q528</f>
        <v>0</v>
      </c>
      <c r="R420">
        <f>生データ!R528</f>
        <v>0</v>
      </c>
      <c r="S420">
        <f>生データ!S528</f>
        <v>0</v>
      </c>
      <c r="T420">
        <f>生データ!T528</f>
        <v>3.6923946797319718</v>
      </c>
      <c r="U420">
        <f>生データ!U528</f>
        <v>4.2335214862444159</v>
      </c>
      <c r="V420">
        <f>COUNTIF(怪しいデータを手直し!F$2:F$701,Sheet5!F420)</f>
        <v>1</v>
      </c>
    </row>
    <row r="421" spans="1:22">
      <c r="A421">
        <f>生データ!A529</f>
        <v>20</v>
      </c>
      <c r="B421">
        <f>生データ!B529</f>
        <v>-20</v>
      </c>
      <c r="C421">
        <f>生データ!C529</f>
        <v>27.221745045931094</v>
      </c>
      <c r="D421">
        <f>生データ!D529</f>
        <v>-13.615881680698827</v>
      </c>
      <c r="E421">
        <f>生データ!E529</f>
        <v>0</v>
      </c>
      <c r="F421">
        <f>IF(生データ!E529="Wr",3000+生データ!F529,IF(生データ!E529="Wb",4000+生データ!F529,生データ!F529))</f>
        <v>549</v>
      </c>
      <c r="G421" t="str">
        <f>生データ!G529</f>
        <v>bp</v>
      </c>
      <c r="H421">
        <f>生データ!H529</f>
        <v>11.7</v>
      </c>
      <c r="I421">
        <f>生データ!I529</f>
        <v>0</v>
      </c>
      <c r="J421">
        <f>生データ!J529</f>
        <v>11.7</v>
      </c>
      <c r="K421">
        <f>生データ!K529</f>
        <v>0</v>
      </c>
      <c r="L421">
        <f>生データ!L529</f>
        <v>4.2</v>
      </c>
      <c r="M421">
        <f>生データ!M529</f>
        <v>2.6</v>
      </c>
      <c r="N421">
        <f>生データ!N529</f>
        <v>0</v>
      </c>
      <c r="O421">
        <f>生データ!O529</f>
        <v>0</v>
      </c>
      <c r="P421" t="str">
        <f>生データ!P529</f>
        <v>L</v>
      </c>
      <c r="Q421">
        <f>生データ!Q529</f>
        <v>0</v>
      </c>
      <c r="R421">
        <f>生データ!R529</f>
        <v>0</v>
      </c>
      <c r="S421">
        <f>生データ!S529</f>
        <v>0</v>
      </c>
      <c r="T421">
        <f>生データ!T529</f>
        <v>3.7242256683503507</v>
      </c>
      <c r="U421">
        <f>生データ!U529</f>
        <v>3.7242256683503507</v>
      </c>
      <c r="V421">
        <f>COUNTIF(怪しいデータを手直し!F$2:F$701,Sheet5!F421)</f>
        <v>1</v>
      </c>
    </row>
    <row r="422" spans="1:22">
      <c r="A422">
        <f>生データ!A530</f>
        <v>20</v>
      </c>
      <c r="B422">
        <f>生データ!B530</f>
        <v>40</v>
      </c>
      <c r="C422">
        <f>生データ!C530</f>
        <v>22.110566473137055</v>
      </c>
      <c r="D422">
        <f>生データ!D530</f>
        <v>42.311365216159018</v>
      </c>
      <c r="E422">
        <f>生データ!E530</f>
        <v>0</v>
      </c>
      <c r="F422">
        <f>IF(生データ!E530="Wr",3000+生データ!F530,IF(生データ!E530="Wb",4000+生データ!F530,生データ!F530))</f>
        <v>183</v>
      </c>
      <c r="G422" t="str">
        <f>生データ!G530</f>
        <v>lc</v>
      </c>
      <c r="H422">
        <f>生データ!H530</f>
        <v>11.8</v>
      </c>
      <c r="I422">
        <f>生データ!I530</f>
        <v>0</v>
      </c>
      <c r="J422" t="str">
        <f>生データ!J530</f>
        <v>dead</v>
      </c>
      <c r="K422">
        <f>生データ!K530</f>
        <v>0</v>
      </c>
      <c r="L422">
        <f>生データ!L530</f>
        <v>4.2</v>
      </c>
      <c r="M422">
        <f>生データ!M530</f>
        <v>0</v>
      </c>
      <c r="N422">
        <f>生データ!N530</f>
        <v>0</v>
      </c>
      <c r="O422">
        <f>生データ!O530</f>
        <v>0</v>
      </c>
      <c r="P422" t="str">
        <f>生データ!P530</f>
        <v>D</v>
      </c>
      <c r="Q422">
        <f>生データ!Q530</f>
        <v>0</v>
      </c>
      <c r="R422">
        <f>生データ!R530</f>
        <v>0</v>
      </c>
      <c r="S422">
        <f>生データ!S530</f>
        <v>0</v>
      </c>
      <c r="T422">
        <f>生データ!T530</f>
        <v>3.7560566569687301</v>
      </c>
      <c r="U422" t="str">
        <f>生データ!U530</f>
        <v>dead</v>
      </c>
      <c r="V422">
        <f>COUNTIF(怪しいデータを手直し!F$2:F$701,Sheet5!F422)</f>
        <v>1</v>
      </c>
    </row>
    <row r="423" spans="1:22">
      <c r="A423">
        <f>生データ!A531</f>
        <v>0</v>
      </c>
      <c r="B423">
        <f>生データ!B531</f>
        <v>-30</v>
      </c>
      <c r="C423">
        <f>生データ!C531</f>
        <v>5.2992375060011847</v>
      </c>
      <c r="D423">
        <f>生データ!D531</f>
        <v>-21.210623615793651</v>
      </c>
      <c r="E423">
        <f>生データ!E531</f>
        <v>0</v>
      </c>
      <c r="F423">
        <f>IF(生データ!E531="Wr",3000+生データ!F531,IF(生データ!E531="Wb",4000+生データ!F531,生データ!F531))</f>
        <v>604</v>
      </c>
      <c r="G423" t="str">
        <f>生データ!G531</f>
        <v>lc</v>
      </c>
      <c r="H423">
        <f>生データ!H531</f>
        <v>11.8</v>
      </c>
      <c r="I423">
        <f>生データ!I531</f>
        <v>0</v>
      </c>
      <c r="J423">
        <f>生データ!J531</f>
        <v>15.3</v>
      </c>
      <c r="K423">
        <f>生データ!K531</f>
        <v>0</v>
      </c>
      <c r="L423">
        <f>生データ!L531</f>
        <v>4.4000000000000004</v>
      </c>
      <c r="M423">
        <f>生データ!M531</f>
        <v>0.5</v>
      </c>
      <c r="N423">
        <f>生データ!N531</f>
        <v>0</v>
      </c>
      <c r="O423">
        <f>生データ!O531</f>
        <v>0</v>
      </c>
      <c r="P423" t="str">
        <f>生データ!P531</f>
        <v>L</v>
      </c>
      <c r="Q423">
        <f>生データ!Q531</f>
        <v>0</v>
      </c>
      <c r="R423">
        <f>生データ!R531</f>
        <v>0</v>
      </c>
      <c r="S423" t="str">
        <f>生データ!S531</f>
        <v>New No759</v>
      </c>
      <c r="T423">
        <f>生データ!T531</f>
        <v>3.7560566569687301</v>
      </c>
      <c r="U423">
        <f>生データ!U531</f>
        <v>4.8701412586119979</v>
      </c>
      <c r="V423">
        <f>COUNTIF(怪しいデータを手直し!F$2:F$701,Sheet5!F423)</f>
        <v>1</v>
      </c>
    </row>
    <row r="424" spans="1:22">
      <c r="A424">
        <f>生データ!A532</f>
        <v>0</v>
      </c>
      <c r="B424">
        <f>生データ!B532</f>
        <v>10</v>
      </c>
      <c r="C424">
        <f>生データ!C532</f>
        <v>1.739478099313315</v>
      </c>
      <c r="D424">
        <f>生データ!D532</f>
        <v>16.785269186132236</v>
      </c>
      <c r="E424">
        <f>生データ!E532</f>
        <v>0</v>
      </c>
      <c r="F424">
        <f>IF(生データ!E532="Wr",3000+生データ!F532,IF(生データ!E532="Wb",4000+生データ!F532,生データ!F532))</f>
        <v>26</v>
      </c>
      <c r="G424" t="str">
        <f>生データ!G532</f>
        <v>lc</v>
      </c>
      <c r="H424">
        <f>生データ!H532</f>
        <v>11.9</v>
      </c>
      <c r="I424">
        <f>生データ!I532</f>
        <v>0</v>
      </c>
      <c r="J424">
        <f>生データ!J532</f>
        <v>15.4</v>
      </c>
      <c r="K424">
        <f>生データ!K532</f>
        <v>0</v>
      </c>
      <c r="L424">
        <f>生データ!L532</f>
        <v>4.0999999999999996</v>
      </c>
      <c r="M424">
        <f>生データ!M532</f>
        <v>0.3</v>
      </c>
      <c r="N424">
        <f>生データ!N532</f>
        <v>0</v>
      </c>
      <c r="O424">
        <f>生データ!O532</f>
        <v>0</v>
      </c>
      <c r="P424" t="str">
        <f>生データ!P532</f>
        <v>L</v>
      </c>
      <c r="Q424">
        <f>生データ!Q532</f>
        <v>0</v>
      </c>
      <c r="R424">
        <f>生データ!R532</f>
        <v>0</v>
      </c>
      <c r="S424">
        <f>生データ!S532</f>
        <v>0</v>
      </c>
      <c r="T424">
        <f>生データ!T532</f>
        <v>3.7878876455871091</v>
      </c>
      <c r="U424">
        <f>生データ!U532</f>
        <v>4.9019722472303764</v>
      </c>
      <c r="V424">
        <f>COUNTIF(怪しいデータを手直し!F$2:F$701,Sheet5!F424)</f>
        <v>1</v>
      </c>
    </row>
    <row r="425" spans="1:22">
      <c r="A425">
        <f>生データ!A533</f>
        <v>20</v>
      </c>
      <c r="B425">
        <f>生データ!B533</f>
        <v>10</v>
      </c>
      <c r="C425">
        <f>生データ!C533</f>
        <v>24.483757051699371</v>
      </c>
      <c r="D425">
        <f>生データ!D533</f>
        <v>11.324677598118903</v>
      </c>
      <c r="E425">
        <f>生データ!E533</f>
        <v>0</v>
      </c>
      <c r="F425">
        <f>IF(生データ!E533="Wr",3000+生データ!F533,IF(生データ!E533="Wb",4000+生データ!F533,生データ!F533))</f>
        <v>134</v>
      </c>
      <c r="G425" t="str">
        <f>生データ!G533</f>
        <v>bp</v>
      </c>
      <c r="H425">
        <f>生データ!H533</f>
        <v>11.9</v>
      </c>
      <c r="I425">
        <f>生データ!I533</f>
        <v>0</v>
      </c>
      <c r="J425">
        <f>生データ!J533</f>
        <v>12.9</v>
      </c>
      <c r="K425">
        <f>生データ!K533</f>
        <v>0</v>
      </c>
      <c r="L425">
        <f>生データ!L533</f>
        <v>4.0999999999999996</v>
      </c>
      <c r="M425">
        <f>生データ!M533</f>
        <v>1.4</v>
      </c>
      <c r="N425">
        <f>生データ!N533</f>
        <v>0</v>
      </c>
      <c r="O425">
        <f>生データ!O533</f>
        <v>0</v>
      </c>
      <c r="P425" t="str">
        <f>生データ!P533</f>
        <v>L</v>
      </c>
      <c r="Q425">
        <f>生データ!Q533</f>
        <v>0</v>
      </c>
      <c r="R425">
        <f>生データ!R533</f>
        <v>0</v>
      </c>
      <c r="S425">
        <f>生データ!S533</f>
        <v>0</v>
      </c>
      <c r="T425">
        <f>生データ!T533</f>
        <v>3.7878876455871091</v>
      </c>
      <c r="U425">
        <f>生データ!U533</f>
        <v>4.1061975317709001</v>
      </c>
      <c r="V425">
        <f>COUNTIF(怪しいデータを手直し!F$2:F$701,Sheet5!F425)</f>
        <v>1</v>
      </c>
    </row>
    <row r="426" spans="1:22">
      <c r="A426">
        <f>生データ!A534</f>
        <v>20</v>
      </c>
      <c r="B426">
        <f>生データ!B534</f>
        <v>40</v>
      </c>
      <c r="C426">
        <f>生データ!C534</f>
        <v>27.401715058725056</v>
      </c>
      <c r="D426">
        <f>生データ!D534</f>
        <v>42.122407639790886</v>
      </c>
      <c r="E426">
        <f>生データ!E534</f>
        <v>0</v>
      </c>
      <c r="F426">
        <f>IF(生データ!E534="Wr",3000+生データ!F534,IF(生データ!E534="Wb",4000+生データ!F534,生データ!F534))</f>
        <v>185</v>
      </c>
      <c r="G426" t="str">
        <f>生データ!G534</f>
        <v>lc</v>
      </c>
      <c r="H426">
        <f>生データ!H534</f>
        <v>11.9</v>
      </c>
      <c r="I426">
        <f>生データ!I534</f>
        <v>0</v>
      </c>
      <c r="J426" t="str">
        <f>生データ!J534</f>
        <v>dead</v>
      </c>
      <c r="K426">
        <f>生データ!K534</f>
        <v>0</v>
      </c>
      <c r="L426">
        <f>生データ!L534</f>
        <v>4.4000000000000004</v>
      </c>
      <c r="M426">
        <f>生データ!M534</f>
        <v>0.8</v>
      </c>
      <c r="N426">
        <f>生データ!N534</f>
        <v>0</v>
      </c>
      <c r="O426">
        <f>生データ!O534</f>
        <v>0</v>
      </c>
      <c r="P426" t="str">
        <f>生データ!P534</f>
        <v>L</v>
      </c>
      <c r="Q426">
        <f>生データ!Q534</f>
        <v>0</v>
      </c>
      <c r="R426">
        <f>生データ!R534</f>
        <v>0</v>
      </c>
      <c r="S426">
        <f>生データ!S534</f>
        <v>0</v>
      </c>
      <c r="T426">
        <f>生データ!T534</f>
        <v>3.7878876455871091</v>
      </c>
      <c r="U426" t="str">
        <f>生データ!U534</f>
        <v>dead</v>
      </c>
      <c r="V426">
        <f>COUNTIF(怪しいデータを手直し!F$2:F$701,Sheet5!F426)</f>
        <v>1</v>
      </c>
    </row>
    <row r="427" spans="1:22">
      <c r="A427">
        <f>生データ!A535</f>
        <v>40</v>
      </c>
      <c r="B427">
        <f>生データ!B535</f>
        <v>40</v>
      </c>
      <c r="C427">
        <f>生データ!C535</f>
        <v>49.32416780950124</v>
      </c>
      <c r="D427">
        <f>生データ!D535</f>
        <v>42.156583142446785</v>
      </c>
      <c r="E427">
        <f>生データ!E535</f>
        <v>0</v>
      </c>
      <c r="F427">
        <f>IF(生データ!E535="Wr",3000+生データ!F535,IF(生データ!E535="Wb",4000+生データ!F535,生データ!F535))</f>
        <v>348</v>
      </c>
      <c r="G427" t="str">
        <f>生データ!G535</f>
        <v>bp</v>
      </c>
      <c r="H427">
        <f>生データ!H535</f>
        <v>11.9</v>
      </c>
      <c r="I427">
        <f>生データ!I535</f>
        <v>0</v>
      </c>
      <c r="J427">
        <f>生データ!J535</f>
        <v>12.3</v>
      </c>
      <c r="K427">
        <f>生データ!K535</f>
        <v>0</v>
      </c>
      <c r="L427">
        <f>生データ!L535</f>
        <v>5.4</v>
      </c>
      <c r="M427">
        <f>生データ!M535</f>
        <v>2.5</v>
      </c>
      <c r="N427">
        <f>生データ!N535</f>
        <v>0</v>
      </c>
      <c r="O427">
        <f>生データ!O535</f>
        <v>0</v>
      </c>
      <c r="P427" t="str">
        <f>生データ!P535</f>
        <v>L</v>
      </c>
      <c r="Q427">
        <f>生データ!Q535</f>
        <v>0</v>
      </c>
      <c r="R427">
        <f>生データ!R535</f>
        <v>0</v>
      </c>
      <c r="S427">
        <f>生データ!S535</f>
        <v>0</v>
      </c>
      <c r="T427">
        <f>生データ!T535</f>
        <v>3.7878876455871091</v>
      </c>
      <c r="U427">
        <f>生データ!U535</f>
        <v>3.9152116000606259</v>
      </c>
      <c r="V427">
        <f>COUNTIF(怪しいデータを手直し!F$2:F$701,Sheet5!F427)</f>
        <v>1</v>
      </c>
    </row>
    <row r="428" spans="1:22">
      <c r="A428">
        <f>生データ!A536</f>
        <v>40</v>
      </c>
      <c r="B428">
        <f>生データ!B536</f>
        <v>-10</v>
      </c>
      <c r="C428">
        <f>生データ!C536</f>
        <v>48.14</v>
      </c>
      <c r="D428">
        <f>生データ!D536</f>
        <v>-3.2216145020781122</v>
      </c>
      <c r="E428">
        <f>生データ!E536</f>
        <v>0</v>
      </c>
      <c r="F428">
        <f>IF(生データ!E536="Wr",3000+生データ!F536,IF(生データ!E536="Wb",4000+生データ!F536,生データ!F536))</f>
        <v>465</v>
      </c>
      <c r="G428" t="str">
        <f>生データ!G536</f>
        <v>bp</v>
      </c>
      <c r="H428">
        <f>生データ!H536</f>
        <v>11.9</v>
      </c>
      <c r="I428">
        <f>生データ!I536</f>
        <v>0</v>
      </c>
      <c r="J428">
        <f>生データ!J536</f>
        <v>11.7</v>
      </c>
      <c r="K428">
        <f>生データ!K536</f>
        <v>0</v>
      </c>
      <c r="L428">
        <f>生データ!L536</f>
        <v>4.3</v>
      </c>
      <c r="M428">
        <f>生データ!M536</f>
        <v>2.5</v>
      </c>
      <c r="N428">
        <f>生データ!N536</f>
        <v>0</v>
      </c>
      <c r="O428">
        <f>生データ!O536</f>
        <v>0</v>
      </c>
      <c r="P428" t="str">
        <f>生データ!P536</f>
        <v>L</v>
      </c>
      <c r="Q428">
        <f>生データ!Q536</f>
        <v>0</v>
      </c>
      <c r="R428">
        <f>生データ!R536</f>
        <v>0</v>
      </c>
      <c r="S428">
        <f>生データ!S536</f>
        <v>0</v>
      </c>
      <c r="T428">
        <f>生データ!T536</f>
        <v>3.7878876455871091</v>
      </c>
      <c r="U428">
        <f>生データ!U536</f>
        <v>3.7242256683503507</v>
      </c>
      <c r="V428">
        <f>COUNTIF(怪しいデータを手直し!F$2:F$701,Sheet5!F428)</f>
        <v>1</v>
      </c>
    </row>
    <row r="429" spans="1:22">
      <c r="A429">
        <f>生データ!A537</f>
        <v>20</v>
      </c>
      <c r="B429">
        <f>生データ!B537</f>
        <v>-30</v>
      </c>
      <c r="C429">
        <f>生データ!C537</f>
        <v>25.2559620379226</v>
      </c>
      <c r="D429">
        <f>生データ!D537</f>
        <v>-26.725102513298108</v>
      </c>
      <c r="E429">
        <f>生データ!E537</f>
        <v>0</v>
      </c>
      <c r="F429">
        <f>IF(生データ!E537="Wr",3000+生データ!F537,IF(生データ!E537="Wb",4000+生データ!F537,生データ!F537))</f>
        <v>650</v>
      </c>
      <c r="G429" t="str">
        <f>生データ!G537</f>
        <v>sb</v>
      </c>
      <c r="H429">
        <f>生データ!H537</f>
        <v>0</v>
      </c>
      <c r="I429">
        <f>生データ!I537</f>
        <v>3.88</v>
      </c>
      <c r="J429">
        <f>生データ!J537</f>
        <v>13.5</v>
      </c>
      <c r="K429">
        <f>生データ!K537</f>
        <v>0</v>
      </c>
      <c r="L429">
        <f>生データ!L537</f>
        <v>4.7</v>
      </c>
      <c r="M429">
        <f>生データ!M537</f>
        <v>2.2999999999999998</v>
      </c>
      <c r="N429">
        <f>生データ!N537</f>
        <v>0</v>
      </c>
      <c r="O429">
        <f>生データ!O537</f>
        <v>0</v>
      </c>
      <c r="P429" t="str">
        <f>生データ!P537</f>
        <v>L</v>
      </c>
      <c r="Q429">
        <f>生データ!Q537</f>
        <v>0</v>
      </c>
      <c r="R429">
        <f>生データ!R537</f>
        <v>0</v>
      </c>
      <c r="S429">
        <f>生データ!S537</f>
        <v>0</v>
      </c>
      <c r="T429">
        <f>生データ!T537</f>
        <v>3.88</v>
      </c>
      <c r="U429">
        <f>生データ!U537</f>
        <v>4.2971834634811739</v>
      </c>
      <c r="V429">
        <f>COUNTIF(怪しいデータを手直し!F$2:F$701,Sheet5!F429)</f>
        <v>1</v>
      </c>
    </row>
    <row r="430" spans="1:22">
      <c r="A430">
        <f>生データ!A538</f>
        <v>30</v>
      </c>
      <c r="B430">
        <f>生データ!B538</f>
        <v>-10</v>
      </c>
      <c r="C430">
        <f>生データ!C538</f>
        <v>33.758862366994734</v>
      </c>
      <c r="D430">
        <f>生データ!D538</f>
        <v>-1.9829056980795468</v>
      </c>
      <c r="E430">
        <f>生データ!E538</f>
        <v>0</v>
      </c>
      <c r="F430">
        <f>IF(生データ!E538="Wr",3000+生データ!F538,IF(生データ!E538="Wb",4000+生データ!F538,生データ!F538))</f>
        <v>426</v>
      </c>
      <c r="G430" t="str">
        <f>生データ!G538</f>
        <v>bp</v>
      </c>
      <c r="H430">
        <f>生データ!H538</f>
        <v>12.2</v>
      </c>
      <c r="I430">
        <f>生データ!I538</f>
        <v>0</v>
      </c>
      <c r="J430">
        <f>生データ!J538</f>
        <v>12.8</v>
      </c>
      <c r="K430">
        <f>生データ!K538</f>
        <v>0</v>
      </c>
      <c r="L430">
        <f>生データ!L538</f>
        <v>4.7</v>
      </c>
      <c r="M430">
        <f>生データ!M538</f>
        <v>1.5</v>
      </c>
      <c r="N430">
        <f>生データ!N538</f>
        <v>0</v>
      </c>
      <c r="O430">
        <f>生データ!O538</f>
        <v>0</v>
      </c>
      <c r="P430" t="str">
        <f>生データ!P538</f>
        <v>L</v>
      </c>
      <c r="Q430">
        <f>生データ!Q538</f>
        <v>0</v>
      </c>
      <c r="R430">
        <f>生データ!R538</f>
        <v>0</v>
      </c>
      <c r="S430">
        <f>生データ!S538</f>
        <v>0</v>
      </c>
      <c r="T430">
        <f>生データ!T538</f>
        <v>3.883380611442246</v>
      </c>
      <c r="U430">
        <f>生データ!U538</f>
        <v>4.0743665431525207</v>
      </c>
      <c r="V430">
        <f>COUNTIF(怪しいデータを手直し!F$2:F$701,Sheet5!F430)</f>
        <v>1</v>
      </c>
    </row>
    <row r="431" spans="1:22">
      <c r="A431">
        <f>生データ!A539</f>
        <v>20</v>
      </c>
      <c r="B431">
        <f>生データ!B539</f>
        <v>40</v>
      </c>
      <c r="C431">
        <f>生データ!C539</f>
        <v>26.356224715782488</v>
      </c>
      <c r="D431">
        <f>生データ!D539</f>
        <v>46.816216499090665</v>
      </c>
      <c r="E431">
        <f>生データ!E539</f>
        <v>0</v>
      </c>
      <c r="F431">
        <f>IF(生データ!E539="Wr",3000+生データ!F539,IF(生データ!E539="Wb",4000+生データ!F539,生データ!F539))</f>
        <v>189</v>
      </c>
      <c r="G431" t="str">
        <f>生データ!G539</f>
        <v>bp</v>
      </c>
      <c r="H431">
        <f>生データ!H539</f>
        <v>12.3</v>
      </c>
      <c r="I431">
        <f>生データ!I539</f>
        <v>0</v>
      </c>
      <c r="J431">
        <f>生データ!J539</f>
        <v>12.6</v>
      </c>
      <c r="K431">
        <f>生データ!K539</f>
        <v>0</v>
      </c>
      <c r="L431">
        <f>生データ!L539</f>
        <v>4.5999999999999996</v>
      </c>
      <c r="M431">
        <f>生データ!M539</f>
        <v>3.3</v>
      </c>
      <c r="N431">
        <f>生データ!N539</f>
        <v>0</v>
      </c>
      <c r="O431">
        <f>生データ!O539</f>
        <v>0</v>
      </c>
      <c r="P431" t="str">
        <f>生データ!P539</f>
        <v>L</v>
      </c>
      <c r="Q431">
        <f>生データ!Q539</f>
        <v>0</v>
      </c>
      <c r="R431">
        <f>生データ!R539</f>
        <v>0</v>
      </c>
      <c r="S431">
        <f>生データ!S539</f>
        <v>0</v>
      </c>
      <c r="T431">
        <f>生データ!T539</f>
        <v>3.9152116000606259</v>
      </c>
      <c r="U431">
        <f>生データ!U539</f>
        <v>4.0107045659157627</v>
      </c>
      <c r="V431">
        <f>COUNTIF(怪しいデータを手直し!F$2:F$701,Sheet5!F431)</f>
        <v>1</v>
      </c>
    </row>
    <row r="432" spans="1:22">
      <c r="A432">
        <f>生データ!A540</f>
        <v>30</v>
      </c>
      <c r="B432">
        <f>生データ!B540</f>
        <v>-30</v>
      </c>
      <c r="C432">
        <f>生データ!C540</f>
        <v>34.480309169145954</v>
      </c>
      <c r="D432">
        <f>生データ!D540</f>
        <v>-28.149652124407929</v>
      </c>
      <c r="E432">
        <f>生データ!E540</f>
        <v>0</v>
      </c>
      <c r="F432">
        <f>IF(生データ!E540="Wr",3000+生データ!F540,IF(生データ!E540="Wb",4000+生データ!F540,生データ!F540))</f>
        <v>673</v>
      </c>
      <c r="G432" t="str">
        <f>生データ!G540</f>
        <v>pt</v>
      </c>
      <c r="H432">
        <f>生データ!H540</f>
        <v>12.3</v>
      </c>
      <c r="I432">
        <f>生データ!I540</f>
        <v>0</v>
      </c>
      <c r="J432">
        <f>生データ!J540</f>
        <v>13.7</v>
      </c>
      <c r="K432">
        <f>生データ!K540</f>
        <v>0</v>
      </c>
      <c r="L432">
        <f>生データ!L540</f>
        <v>5.4</v>
      </c>
      <c r="M432">
        <f>生データ!M540</f>
        <v>1.9</v>
      </c>
      <c r="N432">
        <f>生データ!N540</f>
        <v>0</v>
      </c>
      <c r="O432">
        <f>生データ!O540</f>
        <v>0</v>
      </c>
      <c r="P432" t="str">
        <f>生データ!P540</f>
        <v>L</v>
      </c>
      <c r="Q432">
        <f>生データ!Q540</f>
        <v>0</v>
      </c>
      <c r="R432">
        <f>生データ!R540</f>
        <v>0</v>
      </c>
      <c r="S432" t="str">
        <f>生データ!S540</f>
        <v>NewNo 775</v>
      </c>
      <c r="T432">
        <f>生データ!T540</f>
        <v>3.9152116000606259</v>
      </c>
      <c r="U432">
        <f>生データ!U540</f>
        <v>4.3608454407179318</v>
      </c>
      <c r="V432">
        <f>COUNTIF(怪しいデータを手直し!F$2:F$701,Sheet5!F432)</f>
        <v>1</v>
      </c>
    </row>
    <row r="433" spans="1:22">
      <c r="A433">
        <f>生データ!A541</f>
        <v>40</v>
      </c>
      <c r="B433">
        <f>生データ!B541</f>
        <v>-30</v>
      </c>
      <c r="C433">
        <f>生データ!C541</f>
        <v>41.913207673811556</v>
      </c>
      <c r="D433">
        <f>生データ!D541</f>
        <v>-25.707852741674184</v>
      </c>
      <c r="E433">
        <f>生データ!E541</f>
        <v>0</v>
      </c>
      <c r="F433">
        <f>IF(生データ!E541="Wr",3000+生データ!F541,IF(生データ!E541="Wb",4000+生データ!F541,生データ!F541))</f>
        <v>689</v>
      </c>
      <c r="G433" t="str">
        <f>生データ!G541</f>
        <v>bp</v>
      </c>
      <c r="H433">
        <f>生データ!H541</f>
        <v>12.4</v>
      </c>
      <c r="I433">
        <f>生データ!I541</f>
        <v>0</v>
      </c>
      <c r="J433" t="str">
        <f>生データ!J541</f>
        <v>dead</v>
      </c>
      <c r="K433">
        <f>生データ!K541</f>
        <v>0</v>
      </c>
      <c r="L433">
        <f>生データ!L541</f>
        <v>0</v>
      </c>
      <c r="M433">
        <f>生データ!M541</f>
        <v>0</v>
      </c>
      <c r="N433">
        <f>生データ!N541</f>
        <v>0</v>
      </c>
      <c r="O433">
        <f>生データ!O541</f>
        <v>0</v>
      </c>
      <c r="P433" t="str">
        <f>生データ!P541</f>
        <v>L</v>
      </c>
      <c r="Q433">
        <f>生データ!Q541</f>
        <v>0</v>
      </c>
      <c r="R433" t="str">
        <f>生データ!R541</f>
        <v>L=5.8</v>
      </c>
      <c r="S433">
        <f>生データ!S541</f>
        <v>0</v>
      </c>
      <c r="T433">
        <f>生データ!T541</f>
        <v>3.9470425886790048</v>
      </c>
      <c r="U433" t="str">
        <f>生データ!U541</f>
        <v>dead</v>
      </c>
      <c r="V433">
        <f>COUNTIF(怪しいデータを手直し!F$2:F$701,Sheet5!F433)</f>
        <v>1</v>
      </c>
    </row>
    <row r="434" spans="1:22">
      <c r="A434">
        <f>生データ!A542</f>
        <v>50</v>
      </c>
      <c r="B434">
        <f>生データ!B542</f>
        <v>-30</v>
      </c>
      <c r="C434">
        <f>生データ!C542</f>
        <v>50.215139710240834</v>
      </c>
      <c r="D434">
        <f>生データ!D542</f>
        <v>-27.437723206428444</v>
      </c>
      <c r="E434">
        <f>生データ!E542</f>
        <v>0</v>
      </c>
      <c r="F434">
        <f>IF(生データ!E542="Wr",3000+生データ!F542,IF(生データ!E542="Wb",4000+生データ!F542,生データ!F542))</f>
        <v>2005</v>
      </c>
      <c r="G434" t="str">
        <f>生データ!G542</f>
        <v>bp</v>
      </c>
      <c r="H434">
        <f>生データ!H542</f>
        <v>12.4</v>
      </c>
      <c r="I434">
        <f>生データ!I542</f>
        <v>0</v>
      </c>
      <c r="J434">
        <f>生データ!J542</f>
        <v>16</v>
      </c>
      <c r="K434">
        <f>生データ!K542</f>
        <v>0</v>
      </c>
      <c r="L434">
        <f>生データ!L542</f>
        <v>0</v>
      </c>
      <c r="M434">
        <f>生データ!M542</f>
        <v>0</v>
      </c>
      <c r="N434">
        <f>生データ!N542</f>
        <v>7.5</v>
      </c>
      <c r="O434">
        <f>生データ!O542</f>
        <v>2.2999999999999998</v>
      </c>
      <c r="P434">
        <f>生データ!P542</f>
        <v>0</v>
      </c>
      <c r="Q434">
        <f>生データ!Q542</f>
        <v>0</v>
      </c>
      <c r="R434" t="str">
        <f>生データ!R542</f>
        <v>701 same tree</v>
      </c>
      <c r="S434" t="str">
        <f>生データ!S542</f>
        <v>New No608 White red</v>
      </c>
      <c r="T434">
        <f>生データ!T542</f>
        <v>3.9470425886790048</v>
      </c>
      <c r="U434">
        <f>生データ!U542</f>
        <v>5.0929581789406511</v>
      </c>
      <c r="V434">
        <f>COUNTIF(怪しいデータを手直し!F$2:F$701,Sheet5!F434)</f>
        <v>1</v>
      </c>
    </row>
    <row r="435" spans="1:22">
      <c r="A435">
        <f>生データ!A543</f>
        <v>20</v>
      </c>
      <c r="B435">
        <f>生データ!B543</f>
        <v>10</v>
      </c>
      <c r="C435">
        <f>生データ!C543</f>
        <v>23.776821029099263</v>
      </c>
      <c r="D435">
        <f>生データ!D543</f>
        <v>11.15813707184822</v>
      </c>
      <c r="E435">
        <f>生データ!E543</f>
        <v>0</v>
      </c>
      <c r="F435">
        <f>IF(生データ!E543="Wr",3000+生データ!F543,IF(生データ!E543="Wb",4000+生データ!F543,生データ!F543))</f>
        <v>142</v>
      </c>
      <c r="G435" t="str">
        <f>生データ!G543</f>
        <v>bp</v>
      </c>
      <c r="H435">
        <f>生データ!H543</f>
        <v>12.5</v>
      </c>
      <c r="I435">
        <f>生データ!I543</f>
        <v>0</v>
      </c>
      <c r="J435">
        <f>生データ!J543</f>
        <v>13</v>
      </c>
      <c r="K435">
        <f>生データ!K543</f>
        <v>0</v>
      </c>
      <c r="L435">
        <f>生データ!L543</f>
        <v>4.8</v>
      </c>
      <c r="M435">
        <f>生データ!M543</f>
        <v>1.5</v>
      </c>
      <c r="N435">
        <f>生データ!N543</f>
        <v>0</v>
      </c>
      <c r="O435">
        <f>生データ!O543</f>
        <v>0</v>
      </c>
      <c r="P435" t="str">
        <f>生データ!P543</f>
        <v>L</v>
      </c>
      <c r="Q435">
        <f>生データ!Q543</f>
        <v>0</v>
      </c>
      <c r="R435">
        <f>生データ!R543</f>
        <v>0</v>
      </c>
      <c r="S435">
        <f>生データ!S543</f>
        <v>0</v>
      </c>
      <c r="T435">
        <f>生データ!T543</f>
        <v>3.9788735772973833</v>
      </c>
      <c r="U435">
        <f>生データ!U543</f>
        <v>4.1380285203892786</v>
      </c>
      <c r="V435">
        <f>COUNTIF(怪しいデータを手直し!F$2:F$701,Sheet5!F435)</f>
        <v>1</v>
      </c>
    </row>
    <row r="436" spans="1:22">
      <c r="A436">
        <f>生データ!A544</f>
        <v>40</v>
      </c>
      <c r="B436">
        <f>生データ!B544</f>
        <v>30</v>
      </c>
      <c r="C436">
        <f>生データ!C544</f>
        <v>41.87688214569787</v>
      </c>
      <c r="D436">
        <f>生データ!D544</f>
        <v>35.680861622369804</v>
      </c>
      <c r="E436">
        <f>生データ!E544</f>
        <v>0</v>
      </c>
      <c r="F436">
        <f>IF(生データ!E544="Wr",3000+生データ!F544,IF(生データ!E544="Wb",4000+生データ!F544,生データ!F544))</f>
        <v>343</v>
      </c>
      <c r="G436" t="str">
        <f>生データ!G544</f>
        <v>lc</v>
      </c>
      <c r="H436">
        <f>生データ!H544</f>
        <v>12.7</v>
      </c>
      <c r="I436">
        <f>生データ!I544</f>
        <v>0</v>
      </c>
      <c r="J436" t="str">
        <f>生データ!J544</f>
        <v>dead</v>
      </c>
      <c r="K436">
        <f>生データ!K544</f>
        <v>0</v>
      </c>
      <c r="L436">
        <f>生データ!L544</f>
        <v>4.5</v>
      </c>
      <c r="M436">
        <f>生データ!M544</f>
        <v>0</v>
      </c>
      <c r="N436">
        <f>生データ!N544</f>
        <v>0</v>
      </c>
      <c r="O436">
        <f>生データ!O544</f>
        <v>0</v>
      </c>
      <c r="P436" t="str">
        <f>生データ!P544</f>
        <v>D</v>
      </c>
      <c r="Q436">
        <f>生データ!Q544</f>
        <v>0</v>
      </c>
      <c r="R436">
        <f>生データ!R544</f>
        <v>0</v>
      </c>
      <c r="S436">
        <f>生データ!S544</f>
        <v>0</v>
      </c>
      <c r="T436">
        <f>生データ!T544</f>
        <v>4.0425355545341413</v>
      </c>
      <c r="U436" t="str">
        <f>生データ!U544</f>
        <v>dead</v>
      </c>
      <c r="V436">
        <f>COUNTIF(怪しいデータを手直し!F$2:F$701,Sheet5!F436)</f>
        <v>1</v>
      </c>
    </row>
    <row r="437" spans="1:22">
      <c r="A437">
        <f>生データ!A545</f>
        <v>40</v>
      </c>
      <c r="B437">
        <f>生データ!B545</f>
        <v>40</v>
      </c>
      <c r="C437">
        <f>生データ!C545</f>
        <v>41.6247498349016</v>
      </c>
      <c r="D437">
        <f>生データ!D545</f>
        <v>49.400174714973076</v>
      </c>
      <c r="E437">
        <f>生データ!E545</f>
        <v>0</v>
      </c>
      <c r="F437">
        <f>IF(生データ!E545="Wr",3000+生データ!F545,IF(生データ!E545="Wb",4000+生データ!F545,生データ!F545))</f>
        <v>363</v>
      </c>
      <c r="G437" t="str">
        <f>生データ!G545</f>
        <v>bp</v>
      </c>
      <c r="H437">
        <f>生データ!H545</f>
        <v>12.7</v>
      </c>
      <c r="I437">
        <f>生データ!I545</f>
        <v>0</v>
      </c>
      <c r="J437">
        <f>生データ!J545</f>
        <v>13.2</v>
      </c>
      <c r="K437">
        <f>生データ!K545</f>
        <v>0</v>
      </c>
      <c r="L437">
        <f>生データ!L545</f>
        <v>4.7</v>
      </c>
      <c r="M437">
        <f>生データ!M545</f>
        <v>1.2</v>
      </c>
      <c r="N437">
        <f>生データ!N545</f>
        <v>0</v>
      </c>
      <c r="O437">
        <f>生データ!O545</f>
        <v>0</v>
      </c>
      <c r="P437" t="str">
        <f>生データ!P545</f>
        <v>L</v>
      </c>
      <c r="Q437">
        <f>生データ!Q545</f>
        <v>0</v>
      </c>
      <c r="R437">
        <f>生データ!R545</f>
        <v>0</v>
      </c>
      <c r="S437">
        <f>生データ!S545</f>
        <v>0</v>
      </c>
      <c r="T437">
        <f>生データ!T545</f>
        <v>4.0425355545341413</v>
      </c>
      <c r="U437">
        <f>生データ!U545</f>
        <v>4.2016904976260365</v>
      </c>
      <c r="V437">
        <f>COUNTIF(怪しいデータを手直し!F$2:F$701,Sheet5!F437)</f>
        <v>1</v>
      </c>
    </row>
    <row r="438" spans="1:22">
      <c r="A438">
        <f>生データ!A546</f>
        <v>30</v>
      </c>
      <c r="B438">
        <f>生データ!B546</f>
        <v>-10</v>
      </c>
      <c r="C438">
        <f>生データ!C546</f>
        <v>33.766064591840596</v>
      </c>
      <c r="D438">
        <f>生データ!D546</f>
        <v>-6.9729636066118257</v>
      </c>
      <c r="E438">
        <f>生データ!E546</f>
        <v>0</v>
      </c>
      <c r="F438">
        <f>IF(生データ!E546="Wr",3000+生データ!F546,IF(生データ!E546="Wb",4000+生データ!F546,生データ!F546))</f>
        <v>429</v>
      </c>
      <c r="G438" t="str">
        <f>生データ!G546</f>
        <v>bp</v>
      </c>
      <c r="H438">
        <f>生データ!H546</f>
        <v>12.8</v>
      </c>
      <c r="I438">
        <f>生データ!I546</f>
        <v>0</v>
      </c>
      <c r="J438">
        <f>生データ!J546</f>
        <v>13.4</v>
      </c>
      <c r="K438">
        <f>生データ!K546</f>
        <v>0</v>
      </c>
      <c r="L438">
        <f>生データ!L546</f>
        <v>4.7</v>
      </c>
      <c r="M438">
        <f>生データ!M546</f>
        <v>1.8</v>
      </c>
      <c r="N438">
        <f>生データ!N546</f>
        <v>0</v>
      </c>
      <c r="O438">
        <f>生データ!O546</f>
        <v>0</v>
      </c>
      <c r="P438" t="str">
        <f>生データ!P546</f>
        <v>L</v>
      </c>
      <c r="Q438">
        <f>生データ!Q546</f>
        <v>0</v>
      </c>
      <c r="R438">
        <f>生データ!R546</f>
        <v>0</v>
      </c>
      <c r="S438">
        <f>生データ!S546</f>
        <v>0</v>
      </c>
      <c r="T438">
        <f>生データ!T546</f>
        <v>4.0743665431525207</v>
      </c>
      <c r="U438">
        <f>生データ!U546</f>
        <v>4.2653524748627953</v>
      </c>
      <c r="V438">
        <f>COUNTIF(怪しいデータを手直し!F$2:F$701,Sheet5!F438)</f>
        <v>1</v>
      </c>
    </row>
    <row r="439" spans="1:22">
      <c r="A439">
        <f>生データ!A547</f>
        <v>20</v>
      </c>
      <c r="B439">
        <f>生データ!B547</f>
        <v>-20</v>
      </c>
      <c r="C439">
        <f>生データ!C547</f>
        <v>26.978042096895663</v>
      </c>
      <c r="D439">
        <f>生データ!D547</f>
        <v>-13.635795974718397</v>
      </c>
      <c r="E439">
        <f>生データ!E547</f>
        <v>0</v>
      </c>
      <c r="F439">
        <f>IF(生データ!E547="Wr",3000+生データ!F547,IF(生データ!E547="Wb",4000+生データ!F547,生データ!F547))</f>
        <v>550</v>
      </c>
      <c r="G439" t="str">
        <f>生データ!G547</f>
        <v>bp</v>
      </c>
      <c r="H439">
        <f>生データ!H547</f>
        <v>12.8</v>
      </c>
      <c r="I439">
        <f>生データ!I547</f>
        <v>0</v>
      </c>
      <c r="J439">
        <f>生データ!J547</f>
        <v>13.3</v>
      </c>
      <c r="K439">
        <f>生データ!K547</f>
        <v>0</v>
      </c>
      <c r="L439">
        <f>生データ!L547</f>
        <v>4.2</v>
      </c>
      <c r="M439">
        <f>生データ!M547</f>
        <v>3</v>
      </c>
      <c r="N439">
        <f>生データ!N547</f>
        <v>0</v>
      </c>
      <c r="O439">
        <f>生データ!O547</f>
        <v>0</v>
      </c>
      <c r="P439" t="str">
        <f>生データ!P547</f>
        <v>L</v>
      </c>
      <c r="Q439">
        <f>生データ!Q547</f>
        <v>0</v>
      </c>
      <c r="R439">
        <f>生データ!R547</f>
        <v>0</v>
      </c>
      <c r="S439">
        <f>生データ!S547</f>
        <v>0</v>
      </c>
      <c r="T439">
        <f>生データ!T547</f>
        <v>4.0743665431525207</v>
      </c>
      <c r="U439">
        <f>生データ!U547</f>
        <v>4.2335214862444159</v>
      </c>
      <c r="V439">
        <f>COUNTIF(怪しいデータを手直し!F$2:F$701,Sheet5!F439)</f>
        <v>1</v>
      </c>
    </row>
    <row r="440" spans="1:22">
      <c r="A440">
        <f>生データ!A548</f>
        <v>10</v>
      </c>
      <c r="B440">
        <f>生データ!B548</f>
        <v>-20</v>
      </c>
      <c r="C440">
        <f>生データ!C548</f>
        <v>16.298395004410601</v>
      </c>
      <c r="D440">
        <f>生データ!D548</f>
        <v>-11.763555350964374</v>
      </c>
      <c r="E440">
        <f>生データ!E548</f>
        <v>0</v>
      </c>
      <c r="F440">
        <f>IF(生データ!E548="Wr",3000+生データ!F548,IF(生データ!E548="Wb",4000+生データ!F548,生データ!F548))</f>
        <v>573</v>
      </c>
      <c r="G440" t="str">
        <f>生データ!G548</f>
        <v>bp</v>
      </c>
      <c r="H440">
        <f>生データ!H548</f>
        <v>12.8</v>
      </c>
      <c r="I440">
        <f>生データ!I548</f>
        <v>0</v>
      </c>
      <c r="J440">
        <f>生データ!J548</f>
        <v>13</v>
      </c>
      <c r="K440">
        <f>生データ!K548</f>
        <v>0</v>
      </c>
      <c r="L440">
        <f>生データ!L548</f>
        <v>2.9</v>
      </c>
      <c r="M440">
        <f>生データ!M548</f>
        <v>1.8</v>
      </c>
      <c r="N440">
        <f>生データ!N548</f>
        <v>0</v>
      </c>
      <c r="O440">
        <f>生データ!O548</f>
        <v>0</v>
      </c>
      <c r="P440" t="str">
        <f>生データ!P548</f>
        <v>L</v>
      </c>
      <c r="Q440">
        <f>生データ!Q548</f>
        <v>0</v>
      </c>
      <c r="R440">
        <f>生データ!R548</f>
        <v>0</v>
      </c>
      <c r="S440">
        <f>生データ!S548</f>
        <v>0</v>
      </c>
      <c r="T440">
        <f>生データ!T548</f>
        <v>4.0743665431525207</v>
      </c>
      <c r="U440">
        <f>生データ!U548</f>
        <v>4.1380285203892786</v>
      </c>
      <c r="V440">
        <f>COUNTIF(怪しいデータを手直し!F$2:F$701,Sheet5!F440)</f>
        <v>1</v>
      </c>
    </row>
    <row r="441" spans="1:22">
      <c r="A441">
        <f>生データ!A549</f>
        <v>0</v>
      </c>
      <c r="B441">
        <f>生データ!B549</f>
        <v>-30</v>
      </c>
      <c r="C441">
        <f>生データ!C549</f>
        <v>9.3944202602946802</v>
      </c>
      <c r="D441">
        <f>生データ!D549</f>
        <v>-23.025684932968588</v>
      </c>
      <c r="E441">
        <f>生データ!E549</f>
        <v>0</v>
      </c>
      <c r="F441">
        <f>IF(生データ!E549="Wr",3000+生データ!F549,IF(生データ!E549="Wb",4000+生データ!F549,生データ!F549))</f>
        <v>611</v>
      </c>
      <c r="G441" t="str">
        <f>生データ!G549</f>
        <v>bp</v>
      </c>
      <c r="H441">
        <f>生データ!H549</f>
        <v>12.8</v>
      </c>
      <c r="I441">
        <f>生データ!I549</f>
        <v>0</v>
      </c>
      <c r="J441">
        <f>生データ!J549</f>
        <v>13.5</v>
      </c>
      <c r="K441">
        <f>生データ!K549</f>
        <v>0</v>
      </c>
      <c r="L441">
        <f>生データ!L549</f>
        <v>4.8</v>
      </c>
      <c r="M441">
        <f>生データ!M549</f>
        <v>1.5</v>
      </c>
      <c r="N441">
        <f>生データ!N549</f>
        <v>0</v>
      </c>
      <c r="O441">
        <f>生データ!O549</f>
        <v>0</v>
      </c>
      <c r="P441" t="str">
        <f>生データ!P549</f>
        <v>L</v>
      </c>
      <c r="Q441">
        <f>生データ!Q549</f>
        <v>0</v>
      </c>
      <c r="R441">
        <f>生データ!R549</f>
        <v>0</v>
      </c>
      <c r="S441" t="str">
        <f>生データ!S549</f>
        <v>New No762</v>
      </c>
      <c r="T441">
        <f>生データ!T549</f>
        <v>4.0743665431525207</v>
      </c>
      <c r="U441">
        <f>生データ!U549</f>
        <v>4.2971834634811739</v>
      </c>
      <c r="V441">
        <f>COUNTIF(怪しいデータを手直し!F$2:F$701,Sheet5!F441)</f>
        <v>1</v>
      </c>
    </row>
    <row r="442" spans="1:22">
      <c r="A442">
        <f>生データ!A550</f>
        <v>20</v>
      </c>
      <c r="B442">
        <f>生データ!B550</f>
        <v>-30</v>
      </c>
      <c r="C442">
        <f>生データ!C550</f>
        <v>27.351125010598636</v>
      </c>
      <c r="D442">
        <f>生データ!D550</f>
        <v>-29.237724897967244</v>
      </c>
      <c r="E442">
        <f>生データ!E550</f>
        <v>0</v>
      </c>
      <c r="F442">
        <f>IF(生データ!E550="Wr",3000+生データ!F550,IF(生データ!E550="Wb",4000+生データ!F550,生データ!F550))</f>
        <v>652</v>
      </c>
      <c r="G442" t="str">
        <f>生データ!G550</f>
        <v>lc</v>
      </c>
      <c r="H442">
        <f>生データ!H550</f>
        <v>12.8</v>
      </c>
      <c r="I442">
        <f>生データ!I550</f>
        <v>0</v>
      </c>
      <c r="J442" t="str">
        <f>生データ!J550</f>
        <v>dead</v>
      </c>
      <c r="K442">
        <f>生データ!K550</f>
        <v>0</v>
      </c>
      <c r="L442">
        <f>生データ!L550</f>
        <v>4.5</v>
      </c>
      <c r="M442">
        <f>生データ!M550</f>
        <v>0</v>
      </c>
      <c r="N442">
        <f>生データ!N550</f>
        <v>0</v>
      </c>
      <c r="O442">
        <f>生データ!O550</f>
        <v>0</v>
      </c>
      <c r="P442" t="str">
        <f>生データ!P550</f>
        <v>D</v>
      </c>
      <c r="Q442">
        <f>生データ!Q550</f>
        <v>0</v>
      </c>
      <c r="R442">
        <f>生データ!R550</f>
        <v>0</v>
      </c>
      <c r="S442">
        <f>生データ!S550</f>
        <v>0</v>
      </c>
      <c r="T442">
        <f>生データ!T550</f>
        <v>4.0743665431525207</v>
      </c>
      <c r="U442" t="str">
        <f>生データ!U550</f>
        <v>dead</v>
      </c>
      <c r="V442">
        <f>COUNTIF(怪しいデータを手直し!F$2:F$701,Sheet5!F442)</f>
        <v>1</v>
      </c>
    </row>
    <row r="443" spans="1:22">
      <c r="A443">
        <f>生データ!A551</f>
        <v>40</v>
      </c>
      <c r="B443">
        <f>生データ!B551</f>
        <v>20</v>
      </c>
      <c r="C443">
        <f>生データ!C551</f>
        <v>42.033215261247165</v>
      </c>
      <c r="D443">
        <f>生データ!D551</f>
        <v>29.849072569358412</v>
      </c>
      <c r="E443">
        <f>生データ!E551</f>
        <v>0</v>
      </c>
      <c r="F443">
        <f>IF(生データ!E551="Wr",3000+生データ!F551,IF(生データ!E551="Wb",4000+生データ!F551,生データ!F551))</f>
        <v>316</v>
      </c>
      <c r="G443" t="str">
        <f>生データ!G551</f>
        <v>bp</v>
      </c>
      <c r="H443">
        <f>生データ!H551</f>
        <v>12.9</v>
      </c>
      <c r="I443">
        <f>生データ!I551</f>
        <v>0</v>
      </c>
      <c r="J443">
        <f>生データ!J551</f>
        <v>13.6</v>
      </c>
      <c r="K443">
        <f>生データ!K551</f>
        <v>0</v>
      </c>
      <c r="L443">
        <f>生データ!L551</f>
        <v>5.2</v>
      </c>
      <c r="M443">
        <f>生データ!M551</f>
        <v>2.2999999999999998</v>
      </c>
      <c r="N443">
        <f>生データ!N551</f>
        <v>0</v>
      </c>
      <c r="O443">
        <f>生データ!O551</f>
        <v>0</v>
      </c>
      <c r="P443" t="str">
        <f>生データ!P551</f>
        <v>L</v>
      </c>
      <c r="Q443">
        <f>生データ!Q551</f>
        <v>0</v>
      </c>
      <c r="R443">
        <f>生データ!R551</f>
        <v>0</v>
      </c>
      <c r="S443">
        <f>生データ!S551</f>
        <v>0</v>
      </c>
      <c r="T443">
        <f>生データ!T551</f>
        <v>4.1061975317709001</v>
      </c>
      <c r="U443">
        <f>生データ!U551</f>
        <v>4.3290144520995533</v>
      </c>
      <c r="V443">
        <f>COUNTIF(怪しいデータを手直し!F$2:F$701,Sheet5!F443)</f>
        <v>1</v>
      </c>
    </row>
    <row r="444" spans="1:22">
      <c r="A444">
        <f>生データ!A552</f>
        <v>40</v>
      </c>
      <c r="B444">
        <f>生データ!B552</f>
        <v>40</v>
      </c>
      <c r="C444">
        <f>生データ!C552</f>
        <v>41.490106932122359</v>
      </c>
      <c r="D444">
        <f>生データ!D552</f>
        <v>45.568717982919232</v>
      </c>
      <c r="E444">
        <f>生データ!E552</f>
        <v>0</v>
      </c>
      <c r="F444">
        <f>IF(生データ!E552="Wr",3000+生データ!F552,IF(生データ!E552="Wb",4000+生データ!F552,生データ!F552))</f>
        <v>358</v>
      </c>
      <c r="G444" t="str">
        <f>生データ!G552</f>
        <v>bp</v>
      </c>
      <c r="H444">
        <f>生データ!H552</f>
        <v>12.9</v>
      </c>
      <c r="I444">
        <f>生データ!I552</f>
        <v>0</v>
      </c>
      <c r="J444" t="str">
        <f>生データ!J552</f>
        <v>dead</v>
      </c>
      <c r="K444">
        <f>生データ!K552</f>
        <v>0</v>
      </c>
      <c r="L444">
        <f>生データ!L552</f>
        <v>1.6</v>
      </c>
      <c r="M444">
        <f>生データ!M552</f>
        <v>0</v>
      </c>
      <c r="N444">
        <f>生データ!N552</f>
        <v>0</v>
      </c>
      <c r="O444">
        <f>生データ!O552</f>
        <v>0</v>
      </c>
      <c r="P444" t="str">
        <f>生データ!P552</f>
        <v>D</v>
      </c>
      <c r="Q444">
        <f>生データ!Q552</f>
        <v>0</v>
      </c>
      <c r="R444">
        <f>生データ!R552</f>
        <v>0</v>
      </c>
      <c r="S444">
        <f>生データ!S552</f>
        <v>0</v>
      </c>
      <c r="T444">
        <f>生データ!T552</f>
        <v>4.1061975317709001</v>
      </c>
      <c r="U444" t="str">
        <f>生データ!U552</f>
        <v>dead</v>
      </c>
      <c r="V444">
        <f>COUNTIF(怪しいデータを手直し!F$2:F$701,Sheet5!F444)</f>
        <v>1</v>
      </c>
    </row>
    <row r="445" spans="1:22">
      <c r="A445">
        <f>生データ!A553</f>
        <v>20</v>
      </c>
      <c r="B445">
        <f>生データ!B553</f>
        <v>-20</v>
      </c>
      <c r="C445">
        <f>生データ!C553</f>
        <v>27.731279138370269</v>
      </c>
      <c r="D445">
        <f>生データ!D553</f>
        <v>-18.751193542563861</v>
      </c>
      <c r="E445">
        <f>生データ!E553</f>
        <v>0</v>
      </c>
      <c r="F445">
        <f>IF(生データ!E553="Wr",3000+生データ!F553,IF(生データ!E553="Wb",4000+生データ!F553,生データ!F553))</f>
        <v>561</v>
      </c>
      <c r="G445" t="str">
        <f>生データ!G553</f>
        <v>bp</v>
      </c>
      <c r="H445">
        <f>生データ!H553</f>
        <v>12.9</v>
      </c>
      <c r="I445">
        <f>生データ!I553</f>
        <v>0</v>
      </c>
      <c r="J445">
        <f>生データ!J553</f>
        <v>13</v>
      </c>
      <c r="K445">
        <f>生データ!K553</f>
        <v>0</v>
      </c>
      <c r="L445">
        <f>生データ!L553</f>
        <v>4.4000000000000004</v>
      </c>
      <c r="M445">
        <f>生データ!M553</f>
        <v>2.5</v>
      </c>
      <c r="N445">
        <f>生データ!N553</f>
        <v>0</v>
      </c>
      <c r="O445">
        <f>生データ!O553</f>
        <v>0</v>
      </c>
      <c r="P445" t="str">
        <f>生データ!P553</f>
        <v>L</v>
      </c>
      <c r="Q445">
        <f>生データ!Q553</f>
        <v>0</v>
      </c>
      <c r="R445">
        <f>生データ!R553</f>
        <v>0</v>
      </c>
      <c r="S445">
        <f>生データ!S553</f>
        <v>0</v>
      </c>
      <c r="T445">
        <f>生データ!T553</f>
        <v>4.1061975317709001</v>
      </c>
      <c r="U445">
        <f>生データ!U553</f>
        <v>4.1380285203892786</v>
      </c>
      <c r="V445">
        <f>COUNTIF(怪しいデータを手直し!F$2:F$701,Sheet5!F445)</f>
        <v>1</v>
      </c>
    </row>
    <row r="446" spans="1:22">
      <c r="A446">
        <f>生データ!A554</f>
        <v>30</v>
      </c>
      <c r="B446">
        <f>生データ!B554</f>
        <v>10</v>
      </c>
      <c r="C446">
        <f>生データ!C554</f>
        <v>35.175231914701541</v>
      </c>
      <c r="D446">
        <f>生データ!D554</f>
        <v>13.031544315341126</v>
      </c>
      <c r="E446">
        <f>生データ!E554</f>
        <v>0</v>
      </c>
      <c r="F446">
        <f>IF(生データ!E554="Wr",3000+生データ!F554,IF(生データ!E554="Wb",4000+生データ!F554,生データ!F554))</f>
        <v>233</v>
      </c>
      <c r="G446" t="str">
        <f>生データ!G554</f>
        <v>lc</v>
      </c>
      <c r="H446">
        <f>生データ!H554</f>
        <v>13</v>
      </c>
      <c r="I446">
        <f>生データ!I554</f>
        <v>0</v>
      </c>
      <c r="J446">
        <f>生データ!J554</f>
        <v>17</v>
      </c>
      <c r="K446">
        <f>生データ!K554</f>
        <v>0</v>
      </c>
      <c r="L446">
        <f>生データ!L554</f>
        <v>4.5</v>
      </c>
      <c r="M446">
        <f>生データ!M554</f>
        <v>0.5</v>
      </c>
      <c r="N446">
        <f>生データ!N554</f>
        <v>0</v>
      </c>
      <c r="O446">
        <f>生データ!O554</f>
        <v>0</v>
      </c>
      <c r="P446" t="str">
        <f>生データ!P554</f>
        <v>L</v>
      </c>
      <c r="Q446">
        <f>生データ!Q554</f>
        <v>0</v>
      </c>
      <c r="R446">
        <f>生データ!R554</f>
        <v>0</v>
      </c>
      <c r="S446">
        <f>生データ!S554</f>
        <v>0</v>
      </c>
      <c r="T446">
        <f>生データ!T554</f>
        <v>4.1380285203892786</v>
      </c>
      <c r="U446">
        <f>生データ!U554</f>
        <v>5.4112680651244416</v>
      </c>
      <c r="V446">
        <f>COUNTIF(怪しいデータを手直し!F$2:F$701,Sheet5!F446)</f>
        <v>1</v>
      </c>
    </row>
    <row r="447" spans="1:22">
      <c r="A447">
        <f>生データ!A555</f>
        <v>40</v>
      </c>
      <c r="B447">
        <f>生データ!B555</f>
        <v>20</v>
      </c>
      <c r="C447">
        <f>生データ!C555</f>
        <v>42.576651627563287</v>
      </c>
      <c r="D447">
        <f>生データ!D555</f>
        <v>29.825957146197499</v>
      </c>
      <c r="E447">
        <f>生データ!E555</f>
        <v>0</v>
      </c>
      <c r="F447">
        <f>IF(生データ!E555="Wr",3000+生データ!F555,IF(生データ!E555="Wb",4000+生データ!F555,生データ!F555))</f>
        <v>300</v>
      </c>
      <c r="G447" t="str">
        <f>生データ!G555</f>
        <v>bp</v>
      </c>
      <c r="H447">
        <f>生データ!H555</f>
        <v>13.1</v>
      </c>
      <c r="I447">
        <f>生データ!I555</f>
        <v>0</v>
      </c>
      <c r="J447">
        <f>生データ!J555</f>
        <v>13.4</v>
      </c>
      <c r="K447">
        <f>生データ!K555</f>
        <v>0</v>
      </c>
      <c r="L447">
        <f>生データ!L555</f>
        <v>5.5</v>
      </c>
      <c r="M447">
        <f>生データ!M555</f>
        <v>1.7</v>
      </c>
      <c r="N447">
        <f>生データ!N555</f>
        <v>0</v>
      </c>
      <c r="O447">
        <f>生データ!O555</f>
        <v>0</v>
      </c>
      <c r="P447" t="str">
        <f>生データ!P555</f>
        <v>L</v>
      </c>
      <c r="Q447">
        <f>生データ!Q555</f>
        <v>0</v>
      </c>
      <c r="R447">
        <f>生データ!R555</f>
        <v>0</v>
      </c>
      <c r="S447">
        <f>生データ!S555</f>
        <v>0</v>
      </c>
      <c r="T447">
        <f>生データ!T555</f>
        <v>4.169859509007658</v>
      </c>
      <c r="U447">
        <f>生データ!U555</f>
        <v>4.2653524748627953</v>
      </c>
      <c r="V447">
        <f>COUNTIF(怪しいデータを手直し!F$2:F$701,Sheet5!F447)</f>
        <v>1</v>
      </c>
    </row>
    <row r="448" spans="1:22">
      <c r="A448">
        <f>生データ!A556</f>
        <v>50</v>
      </c>
      <c r="B448">
        <f>生データ!B556</f>
        <v>-30</v>
      </c>
      <c r="C448">
        <f>生データ!C556</f>
        <v>50.215139710240834</v>
      </c>
      <c r="D448">
        <f>生データ!D556</f>
        <v>-27.437723206428444</v>
      </c>
      <c r="E448">
        <f>生データ!E556</f>
        <v>0</v>
      </c>
      <c r="F448">
        <f>IF(生データ!E556="Wr",3000+生データ!F556,IF(生データ!E556="Wb",4000+生データ!F556,生データ!F556))</f>
        <v>2001</v>
      </c>
      <c r="G448" t="str">
        <f>生データ!G556</f>
        <v>bp</v>
      </c>
      <c r="H448">
        <f>生データ!H556</f>
        <v>13.1</v>
      </c>
      <c r="I448">
        <f>生データ!I556</f>
        <v>0</v>
      </c>
      <c r="J448">
        <f>生データ!J556</f>
        <v>0</v>
      </c>
      <c r="K448">
        <f>生データ!K556</f>
        <v>15.6</v>
      </c>
      <c r="L448">
        <f>生データ!L556</f>
        <v>0</v>
      </c>
      <c r="M448">
        <f>生データ!M556</f>
        <v>0</v>
      </c>
      <c r="N448">
        <f>生データ!N556</f>
        <v>2.4</v>
      </c>
      <c r="O448">
        <f>生データ!O556</f>
        <v>1</v>
      </c>
      <c r="P448">
        <f>生データ!P556</f>
        <v>0</v>
      </c>
      <c r="Q448">
        <f>生データ!Q556</f>
        <v>0</v>
      </c>
      <c r="R448" t="str">
        <f>生データ!R556</f>
        <v>701 same tree</v>
      </c>
      <c r="S448" t="str">
        <f>生データ!S556</f>
        <v>New No 604 White red</v>
      </c>
      <c r="T448">
        <f>生データ!T556</f>
        <v>4.169859509007658</v>
      </c>
      <c r="U448">
        <f>生データ!U556</f>
        <v>15.6</v>
      </c>
      <c r="V448">
        <f>COUNTIF(怪しいデータを手直し!F$2:F$701,Sheet5!F448)</f>
        <v>1</v>
      </c>
    </row>
    <row r="449" spans="1:22">
      <c r="A449">
        <f>生データ!A557</f>
        <v>40</v>
      </c>
      <c r="B449">
        <f>生データ!B557</f>
        <v>-10</v>
      </c>
      <c r="C449">
        <f>生データ!C557</f>
        <v>47.95645499176517</v>
      </c>
      <c r="D449">
        <f>生データ!D557</f>
        <v>-2.6922711229217842</v>
      </c>
      <c r="E449">
        <f>生データ!E557</f>
        <v>0</v>
      </c>
      <c r="F449">
        <f>IF(生データ!E557="Wr",3000+生データ!F557,IF(生データ!E557="Wb",4000+生データ!F557,生データ!F557))</f>
        <v>461</v>
      </c>
      <c r="G449" t="str">
        <f>生データ!G557</f>
        <v>bp</v>
      </c>
      <c r="H449">
        <f>生データ!H557</f>
        <v>13.2</v>
      </c>
      <c r="I449">
        <f>生データ!I557</f>
        <v>0</v>
      </c>
      <c r="J449" t="str">
        <f>生データ!J557</f>
        <v>dead</v>
      </c>
      <c r="K449">
        <f>生データ!K557</f>
        <v>0</v>
      </c>
      <c r="L449">
        <f>生データ!L557</f>
        <v>4.7</v>
      </c>
      <c r="M449">
        <f>生データ!M557</f>
        <v>0</v>
      </c>
      <c r="N449">
        <f>生データ!N557</f>
        <v>0</v>
      </c>
      <c r="O449">
        <f>生データ!O557</f>
        <v>0</v>
      </c>
      <c r="P449" t="str">
        <f>生データ!P557</f>
        <v>D</v>
      </c>
      <c r="Q449">
        <f>生データ!Q557</f>
        <v>0</v>
      </c>
      <c r="R449">
        <f>生データ!R557</f>
        <v>0</v>
      </c>
      <c r="S449">
        <f>生データ!S557</f>
        <v>0</v>
      </c>
      <c r="T449">
        <f>生データ!T557</f>
        <v>4.2016904976260365</v>
      </c>
      <c r="U449" t="str">
        <f>生データ!U557</f>
        <v>dead</v>
      </c>
      <c r="V449">
        <f>COUNTIF(怪しいデータを手直し!F$2:F$701,Sheet5!F449)</f>
        <v>1</v>
      </c>
    </row>
    <row r="450" spans="1:22">
      <c r="A450">
        <f>生データ!A558</f>
        <v>20</v>
      </c>
      <c r="B450">
        <f>生データ!B558</f>
        <v>30</v>
      </c>
      <c r="C450">
        <f>生データ!C558</f>
        <v>25.433323914882696</v>
      </c>
      <c r="D450">
        <f>生データ!D558</f>
        <v>34.334182209427858</v>
      </c>
      <c r="E450">
        <f>生データ!E558</f>
        <v>0</v>
      </c>
      <c r="F450">
        <f>IF(生データ!E558="Wr",3000+生データ!F558,IF(生データ!E558="Wb",4000+生データ!F558,生データ!F558))</f>
        <v>171</v>
      </c>
      <c r="G450" t="str">
        <f>生データ!G558</f>
        <v>bp</v>
      </c>
      <c r="H450">
        <f>生データ!H558</f>
        <v>13.3</v>
      </c>
      <c r="I450">
        <f>生データ!I558</f>
        <v>0</v>
      </c>
      <c r="J450">
        <f>生データ!J558</f>
        <v>13.8</v>
      </c>
      <c r="K450">
        <f>生データ!K558</f>
        <v>0</v>
      </c>
      <c r="L450">
        <f>生データ!L558</f>
        <v>3.7</v>
      </c>
      <c r="M450">
        <f>生データ!M558</f>
        <v>1.7</v>
      </c>
      <c r="N450">
        <f>生データ!N558</f>
        <v>0</v>
      </c>
      <c r="O450">
        <f>生データ!O558</f>
        <v>0</v>
      </c>
      <c r="P450" t="str">
        <f>生データ!P558</f>
        <v>L</v>
      </c>
      <c r="Q450">
        <f>生データ!Q558</f>
        <v>0</v>
      </c>
      <c r="R450" t="str">
        <f>生データ!R558</f>
        <v>gbh at 1.2m-H</v>
      </c>
      <c r="S450">
        <f>生データ!S558</f>
        <v>0</v>
      </c>
      <c r="T450">
        <f>生データ!T558</f>
        <v>4.2335214862444159</v>
      </c>
      <c r="U450">
        <f>生データ!U558</f>
        <v>4.3926764293363121</v>
      </c>
      <c r="V450">
        <f>COUNTIF(怪しいデータを手直し!F$2:F$701,Sheet5!F450)</f>
        <v>1</v>
      </c>
    </row>
    <row r="451" spans="1:22">
      <c r="A451">
        <f>生データ!A559</f>
        <v>20</v>
      </c>
      <c r="B451">
        <f>生データ!B559</f>
        <v>30</v>
      </c>
      <c r="C451">
        <f>生データ!C559</f>
        <v>21.776802246029185</v>
      </c>
      <c r="D451">
        <f>生データ!D559</f>
        <v>38.060960604189376</v>
      </c>
      <c r="E451">
        <f>生データ!E559</f>
        <v>0</v>
      </c>
      <c r="F451">
        <f>IF(生データ!E559="Wr",3000+生データ!F559,IF(生データ!E559="Wb",4000+生データ!F559,生データ!F559))</f>
        <v>181</v>
      </c>
      <c r="G451" t="str">
        <f>生データ!G559</f>
        <v>lc</v>
      </c>
      <c r="H451">
        <f>生データ!H559</f>
        <v>13.3</v>
      </c>
      <c r="I451">
        <f>生データ!I559</f>
        <v>0</v>
      </c>
      <c r="J451" t="str">
        <f>生データ!J559</f>
        <v>dead</v>
      </c>
      <c r="K451">
        <f>生データ!K559</f>
        <v>0</v>
      </c>
      <c r="L451">
        <f>生データ!L559</f>
        <v>4.3</v>
      </c>
      <c r="M451">
        <f>生データ!M559</f>
        <v>0.2</v>
      </c>
      <c r="N451">
        <f>生データ!N559</f>
        <v>0</v>
      </c>
      <c r="O451">
        <f>生データ!O559</f>
        <v>0</v>
      </c>
      <c r="P451" t="str">
        <f>生データ!P559</f>
        <v>L</v>
      </c>
      <c r="Q451">
        <f>生データ!Q559</f>
        <v>0</v>
      </c>
      <c r="R451">
        <f>生データ!R559</f>
        <v>0</v>
      </c>
      <c r="S451">
        <f>生データ!S559</f>
        <v>0</v>
      </c>
      <c r="T451">
        <f>生データ!T559</f>
        <v>4.2335214862444159</v>
      </c>
      <c r="U451" t="str">
        <f>生データ!U559</f>
        <v>dead</v>
      </c>
      <c r="V451">
        <f>COUNTIF(怪しいデータを手直し!F$2:F$701,Sheet5!F451)</f>
        <v>1</v>
      </c>
    </row>
    <row r="452" spans="1:22">
      <c r="A452">
        <f>生データ!A560</f>
        <v>10</v>
      </c>
      <c r="B452">
        <f>生データ!B560</f>
        <v>10</v>
      </c>
      <c r="C452">
        <f>生データ!C560</f>
        <v>19.450592034892743</v>
      </c>
      <c r="D452">
        <f>生データ!D560</f>
        <v>13.837487484021526</v>
      </c>
      <c r="E452">
        <f>生データ!E560</f>
        <v>0</v>
      </c>
      <c r="F452">
        <f>IF(生データ!E560="Wr",3000+生データ!F560,IF(生データ!E560="Wb",4000+生データ!F560,生データ!F560))</f>
        <v>111</v>
      </c>
      <c r="G452" t="str">
        <f>生データ!G560</f>
        <v>bp</v>
      </c>
      <c r="H452">
        <f>生データ!H560</f>
        <v>13.4</v>
      </c>
      <c r="I452">
        <f>生データ!I560</f>
        <v>0</v>
      </c>
      <c r="J452">
        <f>生データ!J560</f>
        <v>0</v>
      </c>
      <c r="K452">
        <f>生データ!K560</f>
        <v>14.1</v>
      </c>
      <c r="L452">
        <f>生データ!L560</f>
        <v>4.9000000000000004</v>
      </c>
      <c r="M452">
        <f>生データ!M560</f>
        <v>2.6</v>
      </c>
      <c r="N452">
        <f>生データ!N560</f>
        <v>0</v>
      </c>
      <c r="O452">
        <f>生データ!O560</f>
        <v>0</v>
      </c>
      <c r="P452" t="str">
        <f>生データ!P560</f>
        <v>L</v>
      </c>
      <c r="Q452">
        <f>生データ!Q560</f>
        <v>0</v>
      </c>
      <c r="R452">
        <f>生データ!R560</f>
        <v>0</v>
      </c>
      <c r="S452">
        <f>生データ!S560</f>
        <v>0</v>
      </c>
      <c r="T452">
        <f>生データ!T560</f>
        <v>4.2653524748627953</v>
      </c>
      <c r="U452">
        <f>生データ!U560</f>
        <v>14.1</v>
      </c>
      <c r="V452">
        <f>COUNTIF(怪しいデータを手直し!F$2:F$701,Sheet5!F452)</f>
        <v>1</v>
      </c>
    </row>
    <row r="453" spans="1:22">
      <c r="A453">
        <f>生データ!A561</f>
        <v>0</v>
      </c>
      <c r="B453">
        <f>生データ!B561</f>
        <v>10</v>
      </c>
      <c r="C453">
        <f>生データ!C561</f>
        <v>6.8907652746479302</v>
      </c>
      <c r="D453">
        <f>生データ!D561</f>
        <v>17.695625992904336</v>
      </c>
      <c r="E453">
        <f>生データ!E561</f>
        <v>0</v>
      </c>
      <c r="F453">
        <f>IF(生データ!E561="Wr",3000+生データ!F561,IF(生データ!E561="Wb",4000+生データ!F561,生データ!F561))</f>
        <v>21</v>
      </c>
      <c r="G453" t="str">
        <f>生データ!G561</f>
        <v>bp</v>
      </c>
      <c r="H453">
        <f>生データ!H561</f>
        <v>13.5</v>
      </c>
      <c r="I453">
        <f>生データ!I561</f>
        <v>0</v>
      </c>
      <c r="J453">
        <f>生データ!J561</f>
        <v>14.3</v>
      </c>
      <c r="K453">
        <f>生データ!K561</f>
        <v>0</v>
      </c>
      <c r="L453">
        <f>生データ!L561</f>
        <v>5.5</v>
      </c>
      <c r="M453">
        <f>生データ!M561</f>
        <v>1.6</v>
      </c>
      <c r="N453">
        <f>生データ!N561</f>
        <v>0</v>
      </c>
      <c r="O453">
        <f>生データ!O561</f>
        <v>0</v>
      </c>
      <c r="P453" t="str">
        <f>生データ!P561</f>
        <v>L</v>
      </c>
      <c r="Q453">
        <f>生データ!Q561</f>
        <v>0</v>
      </c>
      <c r="R453">
        <f>生データ!R561</f>
        <v>0</v>
      </c>
      <c r="S453">
        <f>生データ!S561</f>
        <v>0</v>
      </c>
      <c r="T453">
        <f>生データ!T561</f>
        <v>4.2971834634811739</v>
      </c>
      <c r="U453">
        <f>生データ!U561</f>
        <v>4.5518313724282073</v>
      </c>
      <c r="V453">
        <f>COUNTIF(怪しいデータを手直し!F$2:F$701,Sheet5!F453)</f>
        <v>1</v>
      </c>
    </row>
    <row r="454" spans="1:22">
      <c r="A454">
        <f>生データ!A562</f>
        <v>0</v>
      </c>
      <c r="B454">
        <f>生データ!B562</f>
        <v>20</v>
      </c>
      <c r="C454">
        <f>生データ!C562</f>
        <v>8.4184890926716029</v>
      </c>
      <c r="D454">
        <f>生データ!D562</f>
        <v>22.114578302302672</v>
      </c>
      <c r="E454">
        <f>生データ!E562</f>
        <v>0</v>
      </c>
      <c r="F454">
        <f>IF(生データ!E562="Wr",3000+生データ!F562,IF(生データ!E562="Wb",4000+生データ!F562,生データ!F562))</f>
        <v>31</v>
      </c>
      <c r="G454" t="str">
        <f>生データ!G562</f>
        <v>bp</v>
      </c>
      <c r="H454">
        <f>生データ!H562</f>
        <v>13.5</v>
      </c>
      <c r="I454">
        <f>生データ!I562</f>
        <v>0</v>
      </c>
      <c r="J454">
        <f>生データ!J562</f>
        <v>24.5</v>
      </c>
      <c r="K454">
        <f>生データ!K562</f>
        <v>0</v>
      </c>
      <c r="L454">
        <f>生データ!L562</f>
        <v>3.7</v>
      </c>
      <c r="M454">
        <f>生データ!M562</f>
        <v>1.2</v>
      </c>
      <c r="N454">
        <f>生データ!N562</f>
        <v>0</v>
      </c>
      <c r="O454">
        <f>生データ!O562</f>
        <v>0</v>
      </c>
      <c r="P454" t="str">
        <f>生データ!P562</f>
        <v>L</v>
      </c>
      <c r="Q454">
        <f>生データ!Q562</f>
        <v>0</v>
      </c>
      <c r="R454">
        <f>生データ!R562</f>
        <v>0</v>
      </c>
      <c r="S454">
        <f>生データ!S562</f>
        <v>0</v>
      </c>
      <c r="T454">
        <f>生データ!T562</f>
        <v>4.2971834634811739</v>
      </c>
      <c r="U454">
        <f>生データ!U562</f>
        <v>7.7985922115028714</v>
      </c>
      <c r="V454">
        <f>COUNTIF(怪しいデータを手直し!F$2:F$701,Sheet5!F454)</f>
        <v>1</v>
      </c>
    </row>
    <row r="455" spans="1:22">
      <c r="A455">
        <f>生データ!A563</f>
        <v>0</v>
      </c>
      <c r="B455">
        <f>生データ!B563</f>
        <v>30</v>
      </c>
      <c r="C455">
        <f>生データ!C563</f>
        <v>3.3916017940016192</v>
      </c>
      <c r="D455">
        <f>生データ!D563</f>
        <v>37.779399238189264</v>
      </c>
      <c r="E455">
        <f>生データ!E563</f>
        <v>0</v>
      </c>
      <c r="F455">
        <f>IF(生データ!E563="Wr",3000+生データ!F563,IF(生データ!E563="Wb",4000+生データ!F563,生データ!F563))</f>
        <v>53</v>
      </c>
      <c r="G455" t="str">
        <f>生データ!G563</f>
        <v>lc</v>
      </c>
      <c r="H455">
        <f>生データ!H563</f>
        <v>13.6</v>
      </c>
      <c r="I455">
        <f>生データ!I563</f>
        <v>0</v>
      </c>
      <c r="J455" t="str">
        <f>生データ!J563</f>
        <v>dead</v>
      </c>
      <c r="K455">
        <f>生データ!K563</f>
        <v>0</v>
      </c>
      <c r="L455">
        <f>生データ!L563</f>
        <v>2.1</v>
      </c>
      <c r="M455">
        <f>生データ!M563</f>
        <v>0</v>
      </c>
      <c r="N455">
        <f>生データ!N563</f>
        <v>0</v>
      </c>
      <c r="O455">
        <f>生データ!O563</f>
        <v>0</v>
      </c>
      <c r="P455" t="str">
        <f>生データ!P563</f>
        <v>D</v>
      </c>
      <c r="Q455">
        <f>生データ!Q563</f>
        <v>0</v>
      </c>
      <c r="R455">
        <f>生データ!R563</f>
        <v>0</v>
      </c>
      <c r="S455">
        <f>生データ!S563</f>
        <v>0</v>
      </c>
      <c r="T455">
        <f>生データ!T563</f>
        <v>4.3290144520995533</v>
      </c>
      <c r="U455" t="str">
        <f>生データ!U563</f>
        <v>dead</v>
      </c>
      <c r="V455">
        <f>COUNTIF(怪しいデータを手直し!F$2:F$701,Sheet5!F455)</f>
        <v>1</v>
      </c>
    </row>
    <row r="456" spans="1:22">
      <c r="A456">
        <f>生データ!A564</f>
        <v>20</v>
      </c>
      <c r="B456">
        <f>生データ!B564</f>
        <v>-10</v>
      </c>
      <c r="C456">
        <f>生データ!C564</f>
        <v>28.216300026749987</v>
      </c>
      <c r="D456">
        <f>生データ!D564</f>
        <v>-4.6050009323052059</v>
      </c>
      <c r="E456">
        <f>生データ!E564</f>
        <v>0</v>
      </c>
      <c r="F456">
        <f>IF(生データ!E564="Wr",3000+生データ!F564,IF(生データ!E564="Wb",4000+生データ!F564,生データ!F564))</f>
        <v>419</v>
      </c>
      <c r="G456" t="str">
        <f>生データ!G564</f>
        <v>bp</v>
      </c>
      <c r="H456">
        <f>生データ!H564</f>
        <v>13.7</v>
      </c>
      <c r="I456">
        <f>生データ!I564</f>
        <v>0</v>
      </c>
      <c r="J456">
        <f>生データ!J564</f>
        <v>15.6</v>
      </c>
      <c r="K456">
        <f>生データ!K564</f>
        <v>0</v>
      </c>
      <c r="L456">
        <f>生データ!L564</f>
        <v>4.7</v>
      </c>
      <c r="M456">
        <f>生データ!M564</f>
        <v>1.4</v>
      </c>
      <c r="N456">
        <f>生データ!N564</f>
        <v>0</v>
      </c>
      <c r="O456">
        <f>生データ!O564</f>
        <v>0</v>
      </c>
      <c r="P456" t="str">
        <f>生データ!P564</f>
        <v>L</v>
      </c>
      <c r="Q456">
        <f>生データ!Q564</f>
        <v>0</v>
      </c>
      <c r="R456">
        <f>生データ!R564</f>
        <v>0</v>
      </c>
      <c r="S456">
        <f>生データ!S564</f>
        <v>0</v>
      </c>
      <c r="T456">
        <f>生データ!T564</f>
        <v>4.3608454407179318</v>
      </c>
      <c r="U456">
        <f>生データ!U564</f>
        <v>4.9656342244671343</v>
      </c>
      <c r="V456">
        <f>COUNTIF(怪しいデータを手直し!F$2:F$701,Sheet5!F456)</f>
        <v>1</v>
      </c>
    </row>
    <row r="457" spans="1:22">
      <c r="A457">
        <f>生データ!A565</f>
        <v>0</v>
      </c>
      <c r="B457">
        <f>生データ!B565</f>
        <v>10</v>
      </c>
      <c r="C457">
        <f>生データ!C565</f>
        <v>6.8333337259313778</v>
      </c>
      <c r="D457">
        <f>生データ!D565</f>
        <v>17.877329795601831</v>
      </c>
      <c r="E457">
        <f>生データ!E565</f>
        <v>0</v>
      </c>
      <c r="F457">
        <f>IF(生データ!E565="Wr",3000+生データ!F565,IF(生データ!E565="Wb",4000+生データ!F565,生データ!F565))</f>
        <v>22</v>
      </c>
      <c r="G457" t="str">
        <f>生データ!G565</f>
        <v>bp</v>
      </c>
      <c r="H457">
        <f>生データ!H565</f>
        <v>14</v>
      </c>
      <c r="I457">
        <f>生データ!I565</f>
        <v>0</v>
      </c>
      <c r="J457">
        <f>生データ!J565</f>
        <v>14.5</v>
      </c>
      <c r="K457">
        <f>生データ!K565</f>
        <v>0</v>
      </c>
      <c r="L457">
        <f>生データ!L565</f>
        <v>4</v>
      </c>
      <c r="M457">
        <f>生データ!M565</f>
        <v>2.6</v>
      </c>
      <c r="N457">
        <f>生データ!N565</f>
        <v>0</v>
      </c>
      <c r="O457">
        <f>生データ!O565</f>
        <v>0</v>
      </c>
      <c r="P457" t="str">
        <f>生データ!P565</f>
        <v>L</v>
      </c>
      <c r="Q457">
        <f>生データ!Q565</f>
        <v>0</v>
      </c>
      <c r="R457">
        <f>生データ!R565</f>
        <v>0</v>
      </c>
      <c r="S457">
        <f>生データ!S565</f>
        <v>0</v>
      </c>
      <c r="T457">
        <f>生データ!T565</f>
        <v>4.45633840657307</v>
      </c>
      <c r="U457">
        <f>生データ!U565</f>
        <v>4.6154933496649653</v>
      </c>
      <c r="V457">
        <f>COUNTIF(怪しいデータを手直し!F$2:F$701,Sheet5!F457)</f>
        <v>1</v>
      </c>
    </row>
    <row r="458" spans="1:22">
      <c r="A458">
        <f>生データ!A566</f>
        <v>0</v>
      </c>
      <c r="B458">
        <f>生データ!B566</f>
        <v>20</v>
      </c>
      <c r="C458">
        <f>生データ!C566</f>
        <v>6.7606422029613356</v>
      </c>
      <c r="D458">
        <f>生データ!D566</f>
        <v>30.023064252190451</v>
      </c>
      <c r="E458">
        <f>生データ!E566</f>
        <v>0</v>
      </c>
      <c r="F458">
        <f>IF(生データ!E566="Wr",3000+生データ!F566,IF(生データ!E566="Wb",4000+生データ!F566,生データ!F566))</f>
        <v>44</v>
      </c>
      <c r="G458" t="str">
        <f>生データ!G566</f>
        <v>lc</v>
      </c>
      <c r="H458">
        <f>生データ!H566</f>
        <v>14</v>
      </c>
      <c r="I458">
        <f>生データ!I566</f>
        <v>0</v>
      </c>
      <c r="J458" t="str">
        <f>生データ!J566</f>
        <v>dead</v>
      </c>
      <c r="K458">
        <f>生データ!K566</f>
        <v>0</v>
      </c>
      <c r="L458">
        <f>生データ!L566</f>
        <v>4.2</v>
      </c>
      <c r="M458">
        <f>生データ!M566</f>
        <v>0.2</v>
      </c>
      <c r="N458">
        <f>生データ!N566</f>
        <v>0</v>
      </c>
      <c r="O458">
        <f>生データ!O566</f>
        <v>0</v>
      </c>
      <c r="P458" t="str">
        <f>生データ!P566</f>
        <v>L</v>
      </c>
      <c r="Q458">
        <f>生データ!Q566</f>
        <v>0</v>
      </c>
      <c r="R458">
        <f>生データ!R566</f>
        <v>0</v>
      </c>
      <c r="S458">
        <f>生データ!S566</f>
        <v>0</v>
      </c>
      <c r="T458">
        <f>生データ!T566</f>
        <v>4.45633840657307</v>
      </c>
      <c r="U458" t="str">
        <f>生データ!U566</f>
        <v>dead</v>
      </c>
      <c r="V458">
        <f>COUNTIF(怪しいデータを手直し!F$2:F$701,Sheet5!F458)</f>
        <v>1</v>
      </c>
    </row>
    <row r="459" spans="1:22">
      <c r="A459">
        <f>生データ!A567</f>
        <v>30</v>
      </c>
      <c r="B459">
        <f>生データ!B567</f>
        <v>0</v>
      </c>
      <c r="C459">
        <f>生データ!C567</f>
        <v>33.991864086035775</v>
      </c>
      <c r="D459">
        <f>生データ!D567</f>
        <v>8.9138005024738085</v>
      </c>
      <c r="E459">
        <f>生データ!E567</f>
        <v>0</v>
      </c>
      <c r="F459">
        <f>IF(生データ!E567="Wr",3000+生データ!F567,IF(生データ!E567="Wb",4000+生データ!F567,生データ!F567))</f>
        <v>253</v>
      </c>
      <c r="G459" t="str">
        <f>生データ!G567</f>
        <v>bp</v>
      </c>
      <c r="H459">
        <f>生データ!H567</f>
        <v>14</v>
      </c>
      <c r="I459">
        <f>生データ!I567</f>
        <v>0</v>
      </c>
      <c r="J459">
        <f>生データ!J567</f>
        <v>14.5</v>
      </c>
      <c r="K459">
        <f>生データ!K567</f>
        <v>0</v>
      </c>
      <c r="L459">
        <f>生データ!L567</f>
        <v>4</v>
      </c>
      <c r="M459">
        <f>生データ!M567</f>
        <v>2.1</v>
      </c>
      <c r="N459">
        <f>生データ!N567</f>
        <v>0</v>
      </c>
      <c r="O459">
        <f>生データ!O567</f>
        <v>0</v>
      </c>
      <c r="P459" t="str">
        <f>生データ!P567</f>
        <v>L</v>
      </c>
      <c r="Q459">
        <f>生データ!Q567</f>
        <v>0</v>
      </c>
      <c r="R459">
        <f>生データ!R567</f>
        <v>0</v>
      </c>
      <c r="S459">
        <f>生データ!S567</f>
        <v>0</v>
      </c>
      <c r="T459">
        <f>生データ!T567</f>
        <v>4.45633840657307</v>
      </c>
      <c r="U459">
        <f>生データ!U567</f>
        <v>4.6154933496649653</v>
      </c>
      <c r="V459">
        <f>COUNTIF(怪しいデータを手直し!F$2:F$701,Sheet5!F459)</f>
        <v>1</v>
      </c>
    </row>
    <row r="460" spans="1:22">
      <c r="A460">
        <f>生データ!A568</f>
        <v>40</v>
      </c>
      <c r="B460">
        <f>生データ!B568</f>
        <v>-10</v>
      </c>
      <c r="C460">
        <f>生データ!C568</f>
        <v>48.531267151121057</v>
      </c>
      <c r="D460">
        <f>生データ!D568</f>
        <v>-2.6387921135671051</v>
      </c>
      <c r="E460">
        <f>生データ!E568</f>
        <v>0</v>
      </c>
      <c r="F460">
        <f>IF(生データ!E568="Wr",3000+生データ!F568,IF(生データ!E568="Wb",4000+生データ!F568,生データ!F568))</f>
        <v>471</v>
      </c>
      <c r="G460" t="str">
        <f>生データ!G568</f>
        <v>bp</v>
      </c>
      <c r="H460">
        <f>生データ!H568</f>
        <v>14</v>
      </c>
      <c r="I460">
        <f>生データ!I568</f>
        <v>0</v>
      </c>
      <c r="J460">
        <f>生データ!J568</f>
        <v>14.1</v>
      </c>
      <c r="K460">
        <f>生データ!K568</f>
        <v>0</v>
      </c>
      <c r="L460">
        <f>生データ!L568</f>
        <v>3.8</v>
      </c>
      <c r="M460">
        <f>生データ!M568</f>
        <v>2.1</v>
      </c>
      <c r="N460">
        <f>生データ!N568</f>
        <v>0</v>
      </c>
      <c r="O460">
        <f>生データ!O568</f>
        <v>0</v>
      </c>
      <c r="P460" t="str">
        <f>生データ!P568</f>
        <v>L</v>
      </c>
      <c r="Q460">
        <f>生データ!Q568</f>
        <v>0</v>
      </c>
      <c r="R460">
        <f>生データ!R568</f>
        <v>0</v>
      </c>
      <c r="S460">
        <f>生データ!S568</f>
        <v>0</v>
      </c>
      <c r="T460">
        <f>生データ!T568</f>
        <v>4.45633840657307</v>
      </c>
      <c r="U460">
        <f>生データ!U568</f>
        <v>4.4881693951914485</v>
      </c>
      <c r="V460">
        <f>COUNTIF(怪しいデータを手直し!F$2:F$701,Sheet5!F460)</f>
        <v>1</v>
      </c>
    </row>
    <row r="461" spans="1:22">
      <c r="A461">
        <f>生データ!A569</f>
        <v>10</v>
      </c>
      <c r="B461">
        <f>生データ!B569</f>
        <v>30</v>
      </c>
      <c r="C461">
        <f>生データ!C569</f>
        <v>13.816394323818171</v>
      </c>
      <c r="D461">
        <f>生データ!D569</f>
        <v>30.41139990053043</v>
      </c>
      <c r="E461">
        <f>生データ!E569</f>
        <v>0</v>
      </c>
      <c r="F461">
        <f>IF(生データ!E569="Wr",3000+生データ!F569,IF(生データ!E569="Wb",4000+生データ!F569,生データ!F569))</f>
        <v>85</v>
      </c>
      <c r="G461" t="str">
        <f>生データ!G569</f>
        <v>lc</v>
      </c>
      <c r="H461">
        <f>生データ!H569</f>
        <v>14.2</v>
      </c>
      <c r="I461">
        <f>生データ!I569</f>
        <v>0</v>
      </c>
      <c r="J461" t="str">
        <f>生データ!J569</f>
        <v>dead</v>
      </c>
      <c r="K461">
        <f>生データ!K569</f>
        <v>0</v>
      </c>
      <c r="L461">
        <f>生データ!L569</f>
        <v>5</v>
      </c>
      <c r="M461">
        <f>生データ!M569</f>
        <v>0</v>
      </c>
      <c r="N461">
        <f>生データ!N569</f>
        <v>0</v>
      </c>
      <c r="O461">
        <f>生データ!O569</f>
        <v>0</v>
      </c>
      <c r="P461" t="str">
        <f>生データ!P569</f>
        <v>D</v>
      </c>
      <c r="Q461">
        <f>生データ!Q569</f>
        <v>0</v>
      </c>
      <c r="R461">
        <f>生データ!R569</f>
        <v>0</v>
      </c>
      <c r="S461">
        <f>生データ!S569</f>
        <v>0</v>
      </c>
      <c r="T461">
        <f>生データ!T569</f>
        <v>4.520000383809827</v>
      </c>
      <c r="U461" t="str">
        <f>生データ!U569</f>
        <v>dead</v>
      </c>
      <c r="V461">
        <f>COUNTIF(怪しいデータを手直し!F$2:F$701,Sheet5!F461)</f>
        <v>1</v>
      </c>
    </row>
    <row r="462" spans="1:22">
      <c r="A462">
        <f>生データ!A570</f>
        <v>20</v>
      </c>
      <c r="B462">
        <f>生データ!B570</f>
        <v>40</v>
      </c>
      <c r="C462">
        <f>生データ!C570</f>
        <v>26.088068052261637</v>
      </c>
      <c r="D462">
        <f>生データ!D570</f>
        <v>46.326438760553302</v>
      </c>
      <c r="E462">
        <f>生データ!E570</f>
        <v>0</v>
      </c>
      <c r="F462">
        <f>IF(生データ!E570="Wr",3000+生データ!F570,IF(生データ!E570="Wb",4000+生データ!F570,生データ!F570))</f>
        <v>186</v>
      </c>
      <c r="G462" t="str">
        <f>生データ!G570</f>
        <v>bp</v>
      </c>
      <c r="H462">
        <f>生データ!H570</f>
        <v>14.3</v>
      </c>
      <c r="I462">
        <f>生データ!I570</f>
        <v>0</v>
      </c>
      <c r="J462">
        <f>生データ!J570</f>
        <v>15.2</v>
      </c>
      <c r="K462">
        <f>生データ!K570</f>
        <v>0</v>
      </c>
      <c r="L462">
        <f>生データ!L570</f>
        <v>5</v>
      </c>
      <c r="M462">
        <f>生データ!M570</f>
        <v>2</v>
      </c>
      <c r="N462">
        <f>生データ!N570</f>
        <v>0</v>
      </c>
      <c r="O462">
        <f>生データ!O570</f>
        <v>0</v>
      </c>
      <c r="P462" t="str">
        <f>生データ!P570</f>
        <v>L</v>
      </c>
      <c r="Q462">
        <f>生データ!Q570</f>
        <v>0</v>
      </c>
      <c r="R462">
        <f>生データ!R570</f>
        <v>0</v>
      </c>
      <c r="S462">
        <f>生データ!S570</f>
        <v>0</v>
      </c>
      <c r="T462">
        <f>生データ!T570</f>
        <v>4.5518313724282073</v>
      </c>
      <c r="U462">
        <f>生データ!U570</f>
        <v>4.8383102699936185</v>
      </c>
      <c r="V462">
        <f>COUNTIF(怪しいデータを手直し!F$2:F$701,Sheet5!F462)</f>
        <v>1</v>
      </c>
    </row>
    <row r="463" spans="1:22">
      <c r="A463">
        <f>生データ!A571</f>
        <v>10</v>
      </c>
      <c r="B463">
        <f>生データ!B571</f>
        <v>40</v>
      </c>
      <c r="C463">
        <f>生データ!C571</f>
        <v>12.358481639250277</v>
      </c>
      <c r="D463">
        <f>生データ!D571</f>
        <v>45.370549054084215</v>
      </c>
      <c r="E463">
        <f>生データ!E571</f>
        <v>0</v>
      </c>
      <c r="F463">
        <f>IF(生データ!E571="Wr",3000+生データ!F571,IF(生データ!E571="Wb",4000+生データ!F571,生データ!F571))</f>
        <v>75</v>
      </c>
      <c r="G463" t="str">
        <f>生データ!G571</f>
        <v>lc</v>
      </c>
      <c r="H463">
        <f>生データ!H571</f>
        <v>14.4</v>
      </c>
      <c r="I463">
        <f>生データ!I571</f>
        <v>0</v>
      </c>
      <c r="J463">
        <f>生データ!J571</f>
        <v>17.399999999999999</v>
      </c>
      <c r="K463">
        <f>生データ!K571</f>
        <v>0</v>
      </c>
      <c r="L463">
        <f>生データ!L571</f>
        <v>3.7</v>
      </c>
      <c r="M463">
        <f>生データ!M571</f>
        <v>0.8</v>
      </c>
      <c r="N463">
        <f>生データ!N571</f>
        <v>0</v>
      </c>
      <c r="O463">
        <f>生データ!O571</f>
        <v>0</v>
      </c>
      <c r="P463" t="str">
        <f>生データ!P571</f>
        <v>L</v>
      </c>
      <c r="Q463">
        <f>生データ!Q571</f>
        <v>0</v>
      </c>
      <c r="R463">
        <f>生データ!R571</f>
        <v>0</v>
      </c>
      <c r="S463">
        <f>生データ!S571</f>
        <v>0</v>
      </c>
      <c r="T463">
        <f>生データ!T571</f>
        <v>4.5836623610465859</v>
      </c>
      <c r="U463">
        <f>生データ!U571</f>
        <v>5.5385920195979574</v>
      </c>
      <c r="V463">
        <f>COUNTIF(怪しいデータを手直し!F$2:F$701,Sheet5!F463)</f>
        <v>1</v>
      </c>
    </row>
    <row r="464" spans="1:22">
      <c r="A464">
        <f>生データ!A572</f>
        <v>50</v>
      </c>
      <c r="B464">
        <f>生データ!B572</f>
        <v>-30</v>
      </c>
      <c r="C464">
        <f>生データ!C572</f>
        <v>50.215139710240834</v>
      </c>
      <c r="D464">
        <f>生データ!D572</f>
        <v>-27.437723206428444</v>
      </c>
      <c r="E464">
        <f>生データ!E572</f>
        <v>0</v>
      </c>
      <c r="F464">
        <f>IF(生データ!E572="Wr",3000+生データ!F572,IF(生データ!E572="Wb",4000+生データ!F572,生データ!F572))</f>
        <v>2007</v>
      </c>
      <c r="G464" t="str">
        <f>生データ!G572</f>
        <v>bp</v>
      </c>
      <c r="H464">
        <f>生データ!H572</f>
        <v>14.4</v>
      </c>
      <c r="I464">
        <f>生データ!I572</f>
        <v>0</v>
      </c>
      <c r="J464">
        <f>生データ!J572</f>
        <v>10.5</v>
      </c>
      <c r="K464">
        <f>生データ!K572</f>
        <v>0</v>
      </c>
      <c r="L464">
        <f>生データ!L572</f>
        <v>0</v>
      </c>
      <c r="M464">
        <f>生データ!M572</f>
        <v>0</v>
      </c>
      <c r="N464">
        <f>生データ!N572</f>
        <v>3.5</v>
      </c>
      <c r="O464">
        <f>生データ!O572</f>
        <v>1.9</v>
      </c>
      <c r="P464">
        <f>生データ!P572</f>
        <v>0</v>
      </c>
      <c r="Q464">
        <f>生データ!Q572</f>
        <v>0</v>
      </c>
      <c r="R464" t="str">
        <f>生データ!R572</f>
        <v>701 same tree</v>
      </c>
      <c r="S464" t="str">
        <f>生データ!S572</f>
        <v>New No610 White red</v>
      </c>
      <c r="T464">
        <f>生データ!T572</f>
        <v>4.5836623610465859</v>
      </c>
      <c r="U464">
        <f>生データ!U572</f>
        <v>3.3422538049298023</v>
      </c>
      <c r="V464">
        <f>COUNTIF(怪しいデータを手直し!F$2:F$701,Sheet5!F464)</f>
        <v>1</v>
      </c>
    </row>
    <row r="465" spans="1:22">
      <c r="A465">
        <f>生データ!A573</f>
        <v>20</v>
      </c>
      <c r="B465">
        <f>生データ!B573</f>
        <v>30</v>
      </c>
      <c r="C465">
        <f>生データ!C573</f>
        <v>21.331866296913631</v>
      </c>
      <c r="D465">
        <f>生データ!D573</f>
        <v>38.494599001214105</v>
      </c>
      <c r="E465">
        <f>生データ!E573</f>
        <v>0</v>
      </c>
      <c r="F465">
        <f>IF(生データ!E573="Wr",3000+生データ!F573,IF(生データ!E573="Wb",4000+生データ!F573,生データ!F573))</f>
        <v>182</v>
      </c>
      <c r="G465" t="str">
        <f>生データ!G573</f>
        <v>lc</v>
      </c>
      <c r="H465">
        <f>生データ!H573</f>
        <v>14.6</v>
      </c>
      <c r="I465">
        <f>生データ!I573</f>
        <v>0</v>
      </c>
      <c r="J465">
        <f>生データ!J573</f>
        <v>18.399999999999999</v>
      </c>
      <c r="K465">
        <f>生データ!K573</f>
        <v>0</v>
      </c>
      <c r="L465">
        <f>生データ!L573</f>
        <v>5.2</v>
      </c>
      <c r="M465">
        <f>生データ!M573</f>
        <v>0.2</v>
      </c>
      <c r="N465">
        <f>生データ!N573</f>
        <v>0</v>
      </c>
      <c r="O465">
        <f>生データ!O573</f>
        <v>0</v>
      </c>
      <c r="P465" t="str">
        <f>生データ!P573</f>
        <v>L</v>
      </c>
      <c r="Q465">
        <f>生データ!Q573</f>
        <v>0</v>
      </c>
      <c r="R465">
        <f>生データ!R573</f>
        <v>0</v>
      </c>
      <c r="S465">
        <f>生データ!S573</f>
        <v>0</v>
      </c>
      <c r="T465">
        <f>生データ!T573</f>
        <v>4.6473243382833438</v>
      </c>
      <c r="U465">
        <f>生データ!U573</f>
        <v>5.856901905781748</v>
      </c>
      <c r="V465">
        <f>COUNTIF(怪しいデータを手直し!F$2:F$701,Sheet5!F465)</f>
        <v>1</v>
      </c>
    </row>
    <row r="466" spans="1:22">
      <c r="A466">
        <f>生データ!A574</f>
        <v>30</v>
      </c>
      <c r="B466">
        <f>生データ!B574</f>
        <v>-20</v>
      </c>
      <c r="C466">
        <f>生データ!C574</f>
        <v>49.938192270330752</v>
      </c>
      <c r="D466">
        <f>生データ!D574</f>
        <v>-27.773576332121721</v>
      </c>
      <c r="E466">
        <f>生データ!E574</f>
        <v>0</v>
      </c>
      <c r="F466">
        <f>IF(生データ!E574="Wr",3000+生データ!F574,IF(生データ!E574="Wb",4000+生データ!F574,生データ!F574))</f>
        <v>706</v>
      </c>
      <c r="G466" t="str">
        <f>生データ!G574</f>
        <v>bp</v>
      </c>
      <c r="H466">
        <f>生データ!H574</f>
        <v>14.6</v>
      </c>
      <c r="I466">
        <f>生データ!I574</f>
        <v>0</v>
      </c>
      <c r="J466">
        <f>生データ!J574</f>
        <v>16.3</v>
      </c>
      <c r="K466">
        <f>生データ!K574</f>
        <v>0</v>
      </c>
      <c r="L466">
        <f>生データ!L574</f>
        <v>5.2</v>
      </c>
      <c r="M466">
        <f>生データ!M574</f>
        <v>1.6</v>
      </c>
      <c r="N466">
        <f>生データ!N574</f>
        <v>0</v>
      </c>
      <c r="O466">
        <f>生データ!O574</f>
        <v>0</v>
      </c>
      <c r="P466" t="str">
        <f>生データ!P574</f>
        <v>L</v>
      </c>
      <c r="Q466">
        <f>生データ!Q574</f>
        <v>0</v>
      </c>
      <c r="R466">
        <f>生データ!R574</f>
        <v>0</v>
      </c>
      <c r="S466" t="str">
        <f>生データ!S574</f>
        <v>New No603　white　red</v>
      </c>
      <c r="T466">
        <f>生データ!T574</f>
        <v>4.6473243382833438</v>
      </c>
      <c r="U466">
        <f>生データ!U574</f>
        <v>5.1884511447957884</v>
      </c>
      <c r="V466">
        <f>COUNTIF(怪しいデータを手直し!F$2:F$701,Sheet5!F466)</f>
        <v>1</v>
      </c>
    </row>
    <row r="467" spans="1:22">
      <c r="A467">
        <f>生データ!A575</f>
        <v>0</v>
      </c>
      <c r="B467">
        <f>生データ!B575</f>
        <v>20</v>
      </c>
      <c r="C467">
        <f>生データ!C575</f>
        <v>9.0445474699669113</v>
      </c>
      <c r="D467">
        <f>生データ!D575</f>
        <v>22.938751616505748</v>
      </c>
      <c r="E467">
        <f>生データ!E575</f>
        <v>0</v>
      </c>
      <c r="F467">
        <f>IF(生データ!E575="Wr",3000+生データ!F575,IF(生データ!E575="Wb",4000+生データ!F575,生データ!F575))</f>
        <v>38</v>
      </c>
      <c r="G467" t="str">
        <f>生データ!G575</f>
        <v>bp</v>
      </c>
      <c r="H467">
        <f>生データ!H575</f>
        <v>14.7</v>
      </c>
      <c r="I467">
        <f>生データ!I575</f>
        <v>0</v>
      </c>
      <c r="J467" t="str">
        <f>生データ!J575</f>
        <v>dead</v>
      </c>
      <c r="K467">
        <f>生データ!K575</f>
        <v>0</v>
      </c>
      <c r="L467">
        <f>生データ!L575</f>
        <v>1.7</v>
      </c>
      <c r="M467">
        <f>生データ!M575</f>
        <v>1</v>
      </c>
      <c r="N467">
        <f>生データ!N575</f>
        <v>0</v>
      </c>
      <c r="O467">
        <f>生データ!O575</f>
        <v>0</v>
      </c>
      <c r="P467" t="str">
        <f>生データ!P575</f>
        <v>L</v>
      </c>
      <c r="Q467">
        <f>生データ!Q575</f>
        <v>0</v>
      </c>
      <c r="R467" t="str">
        <f>生データ!R575</f>
        <v xml:space="preserve">dead Ht=3.2 </v>
      </c>
      <c r="S467" t="str">
        <f>生データ!S575</f>
        <v>38cm sprout</v>
      </c>
      <c r="T467">
        <f>生データ!T575</f>
        <v>4.6791553269017232</v>
      </c>
      <c r="U467" t="str">
        <f>生データ!U575</f>
        <v>dead</v>
      </c>
      <c r="V467">
        <f>COUNTIF(怪しいデータを手直し!F$2:F$701,Sheet5!F467)</f>
        <v>1</v>
      </c>
    </row>
    <row r="468" spans="1:22">
      <c r="A468">
        <f>生データ!A576</f>
        <v>20</v>
      </c>
      <c r="B468">
        <f>生データ!B576</f>
        <v>0</v>
      </c>
      <c r="C468">
        <f>生データ!C576</f>
        <v>27.062223874983264</v>
      </c>
      <c r="D468">
        <f>生データ!D576</f>
        <v>8.9744857200630914</v>
      </c>
      <c r="E468">
        <f>生データ!E576</f>
        <v>0</v>
      </c>
      <c r="F468">
        <f>IF(生データ!E576="Wr",3000+生データ!F576,IF(生データ!E576="Wb",4000+生データ!F576,生データ!F576))</f>
        <v>132</v>
      </c>
      <c r="G468" t="str">
        <f>生データ!G576</f>
        <v>pt</v>
      </c>
      <c r="H468">
        <f>生データ!H576</f>
        <v>14.7</v>
      </c>
      <c r="I468">
        <f>生データ!I576</f>
        <v>0</v>
      </c>
      <c r="J468">
        <f>生データ!J576</f>
        <v>15.4</v>
      </c>
      <c r="K468">
        <f>生データ!K576</f>
        <v>0</v>
      </c>
      <c r="L468">
        <f>生データ!L576</f>
        <v>6</v>
      </c>
      <c r="M468">
        <f>生データ!M576</f>
        <v>2.5</v>
      </c>
      <c r="N468">
        <f>生データ!N576</f>
        <v>0</v>
      </c>
      <c r="O468">
        <f>生データ!O576</f>
        <v>0</v>
      </c>
      <c r="P468" t="str">
        <f>生データ!P576</f>
        <v>L</v>
      </c>
      <c r="Q468">
        <f>生データ!Q576</f>
        <v>0</v>
      </c>
      <c r="R468">
        <f>生データ!R576</f>
        <v>0</v>
      </c>
      <c r="S468">
        <f>生データ!S576</f>
        <v>0</v>
      </c>
      <c r="T468">
        <f>生データ!T576</f>
        <v>4.6791553269017232</v>
      </c>
      <c r="U468">
        <f>生データ!U576</f>
        <v>4.9019722472303764</v>
      </c>
      <c r="V468">
        <f>COUNTIF(怪しいデータを手直し!F$2:F$701,Sheet5!F468)</f>
        <v>1</v>
      </c>
    </row>
    <row r="469" spans="1:22">
      <c r="A469">
        <f>生データ!A577</f>
        <v>10</v>
      </c>
      <c r="B469">
        <f>生データ!B577</f>
        <v>-20</v>
      </c>
      <c r="C469">
        <f>生データ!C577</f>
        <v>14.058492422108468</v>
      </c>
      <c r="D469">
        <f>生データ!D577</f>
        <v>-19.417430088437879</v>
      </c>
      <c r="E469">
        <f>生データ!E577</f>
        <v>0</v>
      </c>
      <c r="F469">
        <f>IF(生データ!E577="Wr",3000+生データ!F577,IF(生データ!E577="Wb",4000+生データ!F577,生データ!F577))</f>
        <v>576</v>
      </c>
      <c r="G469" t="str">
        <f>生データ!G577</f>
        <v>lc</v>
      </c>
      <c r="H469">
        <f>生データ!H577</f>
        <v>14.7</v>
      </c>
      <c r="I469">
        <f>生データ!I577</f>
        <v>0</v>
      </c>
      <c r="J469">
        <f>生データ!J577</f>
        <v>18</v>
      </c>
      <c r="K469">
        <f>生データ!K577</f>
        <v>0</v>
      </c>
      <c r="L469">
        <f>生データ!L577</f>
        <v>4.9000000000000004</v>
      </c>
      <c r="M469">
        <f>生データ!M577</f>
        <v>0.1</v>
      </c>
      <c r="N469">
        <f>生データ!N577</f>
        <v>0</v>
      </c>
      <c r="O469">
        <f>生データ!O577</f>
        <v>0</v>
      </c>
      <c r="P469" t="str">
        <f>生データ!P577</f>
        <v>L</v>
      </c>
      <c r="Q469">
        <f>生データ!Q577</f>
        <v>0</v>
      </c>
      <c r="R469">
        <f>生データ!R577</f>
        <v>0</v>
      </c>
      <c r="S469">
        <f>生データ!S577</f>
        <v>0</v>
      </c>
      <c r="T469">
        <f>生データ!T577</f>
        <v>4.6791553269017232</v>
      </c>
      <c r="U469">
        <f>生データ!U577</f>
        <v>5.7295779513082321</v>
      </c>
      <c r="V469">
        <f>COUNTIF(怪しいデータを手直し!F$2:F$701,Sheet5!F469)</f>
        <v>1</v>
      </c>
    </row>
    <row r="470" spans="1:22">
      <c r="A470">
        <f>生データ!A578</f>
        <v>0</v>
      </c>
      <c r="B470">
        <f>生データ!B578</f>
        <v>0</v>
      </c>
      <c r="C470">
        <f>生データ!C578</f>
        <v>4.5347512748652568</v>
      </c>
      <c r="D470">
        <f>生データ!D578</f>
        <v>8.6069255682437298</v>
      </c>
      <c r="E470">
        <f>生データ!E578</f>
        <v>0</v>
      </c>
      <c r="F470">
        <f>IF(生データ!E578="Wr",3000+生データ!F578,IF(生データ!E578="Wb",4000+生データ!F578,生データ!F578))</f>
        <v>2</v>
      </c>
      <c r="G470" t="str">
        <f>生データ!G578</f>
        <v>bp</v>
      </c>
      <c r="H470">
        <f>生データ!H578</f>
        <v>14.8</v>
      </c>
      <c r="I470">
        <f>生データ!I578</f>
        <v>0</v>
      </c>
      <c r="J470">
        <f>生データ!J578</f>
        <v>15.6</v>
      </c>
      <c r="K470">
        <f>生データ!K578</f>
        <v>0</v>
      </c>
      <c r="L470">
        <f>生データ!L578</f>
        <v>3.8</v>
      </c>
      <c r="M470">
        <f>生データ!M578</f>
        <v>2.2000000000000002</v>
      </c>
      <c r="N470">
        <f>生データ!N578</f>
        <v>0</v>
      </c>
      <c r="O470">
        <f>生データ!O578</f>
        <v>0</v>
      </c>
      <c r="P470" t="str">
        <f>生データ!P578</f>
        <v>L</v>
      </c>
      <c r="Q470">
        <f>生データ!Q578</f>
        <v>0</v>
      </c>
      <c r="R470">
        <f>生データ!R578</f>
        <v>0</v>
      </c>
      <c r="S470">
        <f>生データ!S578</f>
        <v>0</v>
      </c>
      <c r="T470">
        <f>生データ!T578</f>
        <v>4.7109863155201026</v>
      </c>
      <c r="U470">
        <f>生データ!U578</f>
        <v>4.9656342244671343</v>
      </c>
      <c r="V470">
        <f>COUNTIF(怪しいデータを手直し!F$2:F$701,Sheet5!F470)</f>
        <v>1</v>
      </c>
    </row>
    <row r="471" spans="1:22">
      <c r="A471">
        <f>生データ!A579</f>
        <v>30</v>
      </c>
      <c r="B471">
        <f>生データ!B579</f>
        <v>10</v>
      </c>
      <c r="C471">
        <f>生データ!C579</f>
        <v>37.160972634049095</v>
      </c>
      <c r="D471">
        <f>生データ!D579</f>
        <v>18.582089236094202</v>
      </c>
      <c r="E471">
        <f>生データ!E579</f>
        <v>0</v>
      </c>
      <c r="F471">
        <f>IF(生データ!E579="Wr",3000+生データ!F579,IF(生データ!E579="Wb",4000+生データ!F579,生データ!F579))</f>
        <v>213</v>
      </c>
      <c r="G471" t="str">
        <f>生データ!G579</f>
        <v>lc</v>
      </c>
      <c r="H471">
        <f>生データ!H579</f>
        <v>14.8</v>
      </c>
      <c r="I471">
        <f>生データ!I579</f>
        <v>0</v>
      </c>
      <c r="J471">
        <f>生データ!J579</f>
        <v>18.2</v>
      </c>
      <c r="K471">
        <f>生データ!K579</f>
        <v>0</v>
      </c>
      <c r="L471">
        <f>生データ!L579</f>
        <v>5.0999999999999996</v>
      </c>
      <c r="M471">
        <f>生データ!M579</f>
        <v>0.1</v>
      </c>
      <c r="N471">
        <f>生データ!N579</f>
        <v>0</v>
      </c>
      <c r="O471">
        <f>生データ!O579</f>
        <v>0</v>
      </c>
      <c r="P471" t="str">
        <f>生データ!P579</f>
        <v>L</v>
      </c>
      <c r="Q471">
        <f>生データ!Q579</f>
        <v>0</v>
      </c>
      <c r="R471">
        <f>生データ!R579</f>
        <v>0</v>
      </c>
      <c r="S471">
        <f>生データ!S579</f>
        <v>0</v>
      </c>
      <c r="T471">
        <f>生データ!T579</f>
        <v>4.7109863155201026</v>
      </c>
      <c r="U471">
        <f>生データ!U579</f>
        <v>5.79323992854499</v>
      </c>
      <c r="V471">
        <f>COUNTIF(怪しいデータを手直し!F$2:F$701,Sheet5!F471)</f>
        <v>1</v>
      </c>
    </row>
    <row r="472" spans="1:22">
      <c r="A472">
        <f>生データ!A580</f>
        <v>40</v>
      </c>
      <c r="B472">
        <f>生データ!B580</f>
        <v>-10</v>
      </c>
      <c r="C472">
        <f>生データ!C580</f>
        <v>48.209032601146284</v>
      </c>
      <c r="D472">
        <f>生データ!D580</f>
        <v>-3.3401400833263204</v>
      </c>
      <c r="E472">
        <f>生データ!E580</f>
        <v>0</v>
      </c>
      <c r="F472">
        <f>IF(生データ!E580="Wr",3000+生データ!F580,IF(生データ!E580="Wb",4000+生データ!F580,生データ!F580))</f>
        <v>466</v>
      </c>
      <c r="G472" t="str">
        <f>生データ!G580</f>
        <v>bp</v>
      </c>
      <c r="H472">
        <f>生データ!H580</f>
        <v>14.8</v>
      </c>
      <c r="I472">
        <f>生データ!I580</f>
        <v>0</v>
      </c>
      <c r="J472">
        <f>生データ!J580</f>
        <v>15.7</v>
      </c>
      <c r="K472">
        <f>生データ!K580</f>
        <v>0</v>
      </c>
      <c r="L472">
        <f>生データ!L580</f>
        <v>4.0999999999999996</v>
      </c>
      <c r="M472">
        <f>生データ!M580</f>
        <v>1.6</v>
      </c>
      <c r="N472">
        <f>生データ!N580</f>
        <v>0</v>
      </c>
      <c r="O472">
        <f>生データ!O580</f>
        <v>0</v>
      </c>
      <c r="P472" t="str">
        <f>生データ!P580</f>
        <v>L</v>
      </c>
      <c r="Q472">
        <f>生データ!Q580</f>
        <v>0</v>
      </c>
      <c r="R472">
        <f>生データ!R580</f>
        <v>0</v>
      </c>
      <c r="S472">
        <f>生データ!S580</f>
        <v>0</v>
      </c>
      <c r="T472">
        <f>生データ!T580</f>
        <v>4.7109863155201026</v>
      </c>
      <c r="U472">
        <f>生データ!U580</f>
        <v>4.9974652130855137</v>
      </c>
      <c r="V472">
        <f>COUNTIF(怪しいデータを手直し!F$2:F$701,Sheet5!F472)</f>
        <v>1</v>
      </c>
    </row>
    <row r="473" spans="1:22">
      <c r="A473">
        <f>生データ!A581</f>
        <v>40</v>
      </c>
      <c r="B473">
        <f>生データ!B581</f>
        <v>-10</v>
      </c>
      <c r="C473">
        <f>生データ!C581</f>
        <v>48.343280774778137</v>
      </c>
      <c r="D473">
        <f>生データ!D581</f>
        <v>-3.1961353864910453</v>
      </c>
      <c r="E473">
        <f>生データ!E581</f>
        <v>0</v>
      </c>
      <c r="F473">
        <f>IF(生データ!E581="Wr",3000+生データ!F581,IF(生データ!E581="Wb",4000+生データ!F581,生データ!F581))</f>
        <v>467</v>
      </c>
      <c r="G473" t="str">
        <f>生データ!G581</f>
        <v>bp</v>
      </c>
      <c r="H473">
        <f>生データ!H581</f>
        <v>15.2</v>
      </c>
      <c r="I473">
        <f>生データ!I581</f>
        <v>0</v>
      </c>
      <c r="J473">
        <f>生データ!J581</f>
        <v>15.9</v>
      </c>
      <c r="K473">
        <f>生データ!K581</f>
        <v>0</v>
      </c>
      <c r="L473">
        <f>生データ!L581</f>
        <v>5</v>
      </c>
      <c r="M473">
        <f>生データ!M581</f>
        <v>2.5</v>
      </c>
      <c r="N473">
        <f>生データ!N581</f>
        <v>0</v>
      </c>
      <c r="O473">
        <f>生データ!O581</f>
        <v>0</v>
      </c>
      <c r="P473" t="str">
        <f>生データ!P581</f>
        <v>L</v>
      </c>
      <c r="Q473">
        <f>生データ!Q581</f>
        <v>0</v>
      </c>
      <c r="R473">
        <f>生データ!R581</f>
        <v>0</v>
      </c>
      <c r="S473">
        <f>生データ!S581</f>
        <v>0</v>
      </c>
      <c r="T473">
        <f>生データ!T581</f>
        <v>4.8383102699936185</v>
      </c>
      <c r="U473">
        <f>生データ!U581</f>
        <v>5.0611271903222717</v>
      </c>
      <c r="V473">
        <f>COUNTIF(怪しいデータを手直し!F$2:F$701,Sheet5!F473)</f>
        <v>1</v>
      </c>
    </row>
    <row r="474" spans="1:22">
      <c r="A474">
        <f>生データ!A582</f>
        <v>20</v>
      </c>
      <c r="B474">
        <f>生データ!B582</f>
        <v>40</v>
      </c>
      <c r="C474">
        <f>生データ!C582</f>
        <v>26.58482899694452</v>
      </c>
      <c r="D474">
        <f>生データ!D582</f>
        <v>47.338911845839178</v>
      </c>
      <c r="E474">
        <f>生データ!E582</f>
        <v>0</v>
      </c>
      <c r="F474">
        <f>IF(生データ!E582="Wr",3000+生データ!F582,IF(生データ!E582="Wb",4000+生データ!F582,生データ!F582))</f>
        <v>193</v>
      </c>
      <c r="G474" t="str">
        <f>生データ!G582</f>
        <v>bp</v>
      </c>
      <c r="H474">
        <f>生データ!H582</f>
        <v>15.3</v>
      </c>
      <c r="I474">
        <f>生データ!I582</f>
        <v>0</v>
      </c>
      <c r="J474">
        <f>生データ!J582</f>
        <v>13.8</v>
      </c>
      <c r="K474">
        <f>生データ!K582</f>
        <v>0</v>
      </c>
      <c r="L474">
        <f>生データ!L582</f>
        <v>4.4000000000000004</v>
      </c>
      <c r="M474">
        <f>生データ!M582</f>
        <v>2.6</v>
      </c>
      <c r="N474">
        <f>生データ!N582</f>
        <v>0</v>
      </c>
      <c r="O474">
        <f>生データ!O582</f>
        <v>0</v>
      </c>
      <c r="P474" t="str">
        <f>生データ!P582</f>
        <v>L</v>
      </c>
      <c r="Q474">
        <f>生データ!Q582</f>
        <v>0</v>
      </c>
      <c r="R474">
        <f>生データ!R582</f>
        <v>0</v>
      </c>
      <c r="S474">
        <f>生データ!S582</f>
        <v>0</v>
      </c>
      <c r="T474">
        <f>生データ!T582</f>
        <v>4.8701412586119979</v>
      </c>
      <c r="U474">
        <f>生データ!U582</f>
        <v>4.3926764293363121</v>
      </c>
      <c r="V474">
        <f>COUNTIF(怪しいデータを手直し!F$2:F$701,Sheet5!F474)</f>
        <v>1</v>
      </c>
    </row>
    <row r="475" spans="1:22">
      <c r="A475">
        <f>生データ!A583</f>
        <v>20</v>
      </c>
      <c r="B475">
        <f>生データ!B583</f>
        <v>10</v>
      </c>
      <c r="C475">
        <f>生データ!C583</f>
        <v>24.319680469471667</v>
      </c>
      <c r="D475">
        <f>生データ!D583</f>
        <v>11.740547714722046</v>
      </c>
      <c r="E475">
        <f>生データ!E583</f>
        <v>0</v>
      </c>
      <c r="F475">
        <f>IF(生データ!E583="Wr",3000+生データ!F583,IF(生データ!E583="Wb",4000+生データ!F583,生データ!F583))</f>
        <v>144</v>
      </c>
      <c r="G475" t="str">
        <f>生データ!G583</f>
        <v>bp</v>
      </c>
      <c r="H475">
        <f>生データ!H583</f>
        <v>15.4</v>
      </c>
      <c r="I475">
        <f>生データ!I583</f>
        <v>0</v>
      </c>
      <c r="J475">
        <f>生データ!J583</f>
        <v>16.8</v>
      </c>
      <c r="K475">
        <f>生データ!K583</f>
        <v>0</v>
      </c>
      <c r="L475">
        <f>生データ!L583</f>
        <v>3.3</v>
      </c>
      <c r="M475">
        <f>生データ!M583</f>
        <v>1.5</v>
      </c>
      <c r="N475">
        <f>生データ!N583</f>
        <v>0</v>
      </c>
      <c r="O475">
        <f>生データ!O583</f>
        <v>0</v>
      </c>
      <c r="P475" t="str">
        <f>生データ!P583</f>
        <v>L</v>
      </c>
      <c r="Q475">
        <f>生データ!Q583</f>
        <v>0</v>
      </c>
      <c r="R475">
        <f>生データ!R583</f>
        <v>0</v>
      </c>
      <c r="S475">
        <f>生データ!S583</f>
        <v>0</v>
      </c>
      <c r="T475">
        <f>生データ!T583</f>
        <v>4.9019722472303764</v>
      </c>
      <c r="U475">
        <f>生データ!U583</f>
        <v>5.3476060878876837</v>
      </c>
      <c r="V475">
        <f>COUNTIF(怪しいデータを手直し!F$2:F$701,Sheet5!F475)</f>
        <v>1</v>
      </c>
    </row>
    <row r="476" spans="1:22">
      <c r="A476">
        <f>生データ!A584</f>
        <v>30</v>
      </c>
      <c r="B476">
        <f>生データ!B584</f>
        <v>10</v>
      </c>
      <c r="C476">
        <f>生データ!C584</f>
        <v>31.891796831328939</v>
      </c>
      <c r="D476">
        <f>生データ!D584</f>
        <v>17.247418530002466</v>
      </c>
      <c r="E476">
        <f>生データ!E584</f>
        <v>0</v>
      </c>
      <c r="F476">
        <f>IF(生データ!E584="Wr",3000+生データ!F584,IF(生データ!E584="Wb",4000+生データ!F584,生データ!F584))</f>
        <v>225</v>
      </c>
      <c r="G476" t="str">
        <f>生データ!G584</f>
        <v>bp</v>
      </c>
      <c r="H476">
        <f>生データ!H584</f>
        <v>15.4</v>
      </c>
      <c r="I476">
        <f>生データ!I584</f>
        <v>0</v>
      </c>
      <c r="J476">
        <f>生データ!J584</f>
        <v>16.3</v>
      </c>
      <c r="K476">
        <f>生データ!K584</f>
        <v>0</v>
      </c>
      <c r="L476">
        <f>生データ!L584</f>
        <v>4.3</v>
      </c>
      <c r="M476">
        <f>生データ!M584</f>
        <v>2</v>
      </c>
      <c r="N476">
        <f>生データ!N584</f>
        <v>0</v>
      </c>
      <c r="O476">
        <f>生データ!O584</f>
        <v>0</v>
      </c>
      <c r="P476" t="str">
        <f>生データ!P584</f>
        <v>L</v>
      </c>
      <c r="Q476">
        <f>生データ!Q584</f>
        <v>0</v>
      </c>
      <c r="R476">
        <f>生データ!R584</f>
        <v>0</v>
      </c>
      <c r="S476">
        <f>生データ!S584</f>
        <v>0</v>
      </c>
      <c r="T476">
        <f>生データ!T584</f>
        <v>4.9019722472303764</v>
      </c>
      <c r="U476">
        <f>生データ!U584</f>
        <v>5.1884511447957884</v>
      </c>
      <c r="V476">
        <f>COUNTIF(怪しいデータを手直し!F$2:F$701,Sheet5!F476)</f>
        <v>1</v>
      </c>
    </row>
    <row r="477" spans="1:22">
      <c r="A477">
        <f>生データ!A585</f>
        <v>40</v>
      </c>
      <c r="B477">
        <f>生データ!B585</f>
        <v>0</v>
      </c>
      <c r="C477">
        <f>生データ!C585</f>
        <v>40.677648474707539</v>
      </c>
      <c r="D477">
        <f>生データ!D585</f>
        <v>5.5715473870970973</v>
      </c>
      <c r="E477">
        <f>生データ!E585</f>
        <v>0</v>
      </c>
      <c r="F477">
        <f>IF(生データ!E585="Wr",3000+生データ!F585,IF(生データ!E585="Wb",4000+生データ!F585,生データ!F585))</f>
        <v>268</v>
      </c>
      <c r="G477" t="str">
        <f>生データ!G585</f>
        <v>bp</v>
      </c>
      <c r="H477">
        <f>生データ!H585</f>
        <v>15.4</v>
      </c>
      <c r="I477">
        <f>生データ!I585</f>
        <v>0</v>
      </c>
      <c r="J477">
        <f>生データ!J585</f>
        <v>15.9</v>
      </c>
      <c r="K477">
        <f>生データ!K585</f>
        <v>0</v>
      </c>
      <c r="L477">
        <f>生データ!L585</f>
        <v>4.9000000000000004</v>
      </c>
      <c r="M477">
        <f>生データ!M585</f>
        <v>1.7</v>
      </c>
      <c r="N477">
        <f>生データ!N585</f>
        <v>0</v>
      </c>
      <c r="O477">
        <f>生データ!O585</f>
        <v>0</v>
      </c>
      <c r="P477" t="str">
        <f>生データ!P585</f>
        <v>L</v>
      </c>
      <c r="Q477">
        <f>生データ!Q585</f>
        <v>0</v>
      </c>
      <c r="R477">
        <f>生データ!R585</f>
        <v>0</v>
      </c>
      <c r="S477">
        <f>生データ!S585</f>
        <v>0</v>
      </c>
      <c r="T477">
        <f>生データ!T585</f>
        <v>4.9019722472303764</v>
      </c>
      <c r="U477">
        <f>生データ!U585</f>
        <v>5.0611271903222717</v>
      </c>
      <c r="V477">
        <f>COUNTIF(怪しいデータを手直し!F$2:F$701,Sheet5!F477)</f>
        <v>1</v>
      </c>
    </row>
    <row r="478" spans="1:22">
      <c r="A478">
        <f>生データ!A586</f>
        <v>40</v>
      </c>
      <c r="B478">
        <f>生データ!B586</f>
        <v>30</v>
      </c>
      <c r="C478">
        <f>生データ!C586</f>
        <v>48.806686210966056</v>
      </c>
      <c r="D478">
        <f>生データ!D586</f>
        <v>30.211197469555618</v>
      </c>
      <c r="E478">
        <f>生データ!E586</f>
        <v>0</v>
      </c>
      <c r="F478">
        <f>IF(生データ!E586="Wr",3000+生データ!F586,IF(生データ!E586="Wb",4000+生データ!F586,生データ!F586))</f>
        <v>289</v>
      </c>
      <c r="G478" t="str">
        <f>生データ!G586</f>
        <v>af</v>
      </c>
      <c r="H478">
        <f>生データ!H586</f>
        <v>15.4</v>
      </c>
      <c r="I478">
        <f>生データ!I586</f>
        <v>0</v>
      </c>
      <c r="J478" t="str">
        <f>生データ!J586</f>
        <v>dead</v>
      </c>
      <c r="K478">
        <f>生データ!K586</f>
        <v>0</v>
      </c>
      <c r="L478">
        <f>生データ!L586</f>
        <v>3</v>
      </c>
      <c r="M478">
        <f>生データ!M586</f>
        <v>0</v>
      </c>
      <c r="N478">
        <f>生データ!N586</f>
        <v>0</v>
      </c>
      <c r="O478">
        <f>生データ!O586</f>
        <v>0</v>
      </c>
      <c r="P478" t="str">
        <f>生データ!P586</f>
        <v>D</v>
      </c>
      <c r="Q478">
        <f>生データ!Q586</f>
        <v>0</v>
      </c>
      <c r="R478" t="str">
        <f>生データ!R586</f>
        <v>broken</v>
      </c>
      <c r="S478">
        <f>生データ!S586</f>
        <v>0</v>
      </c>
      <c r="T478">
        <f>生データ!T586</f>
        <v>4.9019722472303764</v>
      </c>
      <c r="U478" t="str">
        <f>生データ!U586</f>
        <v>dead</v>
      </c>
      <c r="V478">
        <f>COUNTIF(怪しいデータを手直し!F$2:F$701,Sheet5!F478)</f>
        <v>1</v>
      </c>
    </row>
    <row r="479" spans="1:22">
      <c r="A479">
        <f>生データ!A587</f>
        <v>30</v>
      </c>
      <c r="B479">
        <f>生データ!B587</f>
        <v>-20</v>
      </c>
      <c r="C479">
        <f>生データ!C587</f>
        <v>31.979589225403007</v>
      </c>
      <c r="D479">
        <f>生データ!D587</f>
        <v>-31.226808384339172</v>
      </c>
      <c r="E479">
        <f>生データ!E587</f>
        <v>0</v>
      </c>
      <c r="F479">
        <f>IF(生データ!E587="Wr",3000+生データ!F587,IF(生データ!E587="Wb",4000+生データ!F587,生データ!F587))</f>
        <v>712</v>
      </c>
      <c r="G479" t="str">
        <f>生データ!G587</f>
        <v>lc</v>
      </c>
      <c r="H479">
        <f>生データ!H587</f>
        <v>15.4</v>
      </c>
      <c r="I479">
        <f>生データ!I587</f>
        <v>0</v>
      </c>
      <c r="J479">
        <f>生データ!J587</f>
        <v>18.7</v>
      </c>
      <c r="K479">
        <f>生データ!K587</f>
        <v>0</v>
      </c>
      <c r="L479">
        <f>生データ!L587</f>
        <v>4.9000000000000004</v>
      </c>
      <c r="M479">
        <f>生データ!M587</f>
        <v>0.7</v>
      </c>
      <c r="N479">
        <f>生データ!N587</f>
        <v>0</v>
      </c>
      <c r="O479">
        <f>生データ!O587</f>
        <v>0</v>
      </c>
      <c r="P479" t="str">
        <f>生データ!P587</f>
        <v>L</v>
      </c>
      <c r="Q479">
        <f>生データ!Q587</f>
        <v>0</v>
      </c>
      <c r="R479">
        <f>生データ!R587</f>
        <v>0</v>
      </c>
      <c r="S479">
        <f>生データ!S587</f>
        <v>0</v>
      </c>
      <c r="T479">
        <f>生データ!T587</f>
        <v>4.9019722472303764</v>
      </c>
      <c r="U479">
        <f>生データ!U587</f>
        <v>5.9523948716368853</v>
      </c>
      <c r="V479">
        <f>COUNTIF(怪しいデータを手直し!F$2:F$701,Sheet5!F479)</f>
        <v>1</v>
      </c>
    </row>
    <row r="480" spans="1:22">
      <c r="A480">
        <f>生データ!A588</f>
        <v>40</v>
      </c>
      <c r="B480">
        <f>生データ!B588</f>
        <v>-40</v>
      </c>
      <c r="C480">
        <f>生データ!C588</f>
        <v>42.983024702777627</v>
      </c>
      <c r="D480">
        <f>生データ!D588</f>
        <v>-35.691965224998938</v>
      </c>
      <c r="E480">
        <f>生データ!E588</f>
        <v>0</v>
      </c>
      <c r="F480">
        <f>IF(生データ!E588="Wr",3000+生データ!F588,IF(生データ!E588="Wb",4000+生データ!F588,生データ!F588))</f>
        <v>705</v>
      </c>
      <c r="G480" t="str">
        <f>生データ!G588</f>
        <v>ss</v>
      </c>
      <c r="H480">
        <f>生データ!H588</f>
        <v>15.6</v>
      </c>
      <c r="I480">
        <f>生データ!I588</f>
        <v>0</v>
      </c>
      <c r="J480" t="str">
        <f>生データ!J588</f>
        <v>dead</v>
      </c>
      <c r="K480">
        <f>生データ!K588</f>
        <v>0</v>
      </c>
      <c r="L480">
        <f>生データ!L588</f>
        <v>0</v>
      </c>
      <c r="M480">
        <f>生データ!M588</f>
        <v>0</v>
      </c>
      <c r="N480">
        <f>生データ!N588</f>
        <v>0</v>
      </c>
      <c r="O480">
        <f>生データ!O588</f>
        <v>0</v>
      </c>
      <c r="P480" t="str">
        <f>生データ!P588</f>
        <v>L</v>
      </c>
      <c r="Q480">
        <f>生データ!Q588</f>
        <v>0</v>
      </c>
      <c r="R480" t="str">
        <f>生データ!R588</f>
        <v>L=3.3</v>
      </c>
      <c r="S480">
        <f>生データ!S588</f>
        <v>0</v>
      </c>
      <c r="T480">
        <f>生データ!T588</f>
        <v>4.9656342244671343</v>
      </c>
      <c r="U480" t="str">
        <f>生データ!U588</f>
        <v>dead</v>
      </c>
      <c r="V480">
        <f>COUNTIF(怪しいデータを手直し!F$2:F$701,Sheet5!F480)</f>
        <v>1</v>
      </c>
    </row>
    <row r="481" spans="1:22">
      <c r="A481">
        <f>生データ!A589</f>
        <v>20</v>
      </c>
      <c r="B481">
        <f>生データ!B589</f>
        <v>10</v>
      </c>
      <c r="C481">
        <f>生データ!C589</f>
        <v>23.822225534738159</v>
      </c>
      <c r="D481">
        <f>生データ!D589</f>
        <v>11.163807234165036</v>
      </c>
      <c r="E481">
        <f>生データ!E589</f>
        <v>0</v>
      </c>
      <c r="F481">
        <f>IF(生データ!E589="Wr",3000+生データ!F589,IF(生データ!E589="Wb",4000+生データ!F589,生データ!F589))</f>
        <v>143</v>
      </c>
      <c r="G481" t="str">
        <f>生データ!G589</f>
        <v>bp</v>
      </c>
      <c r="H481">
        <f>生データ!H589</f>
        <v>15.8</v>
      </c>
      <c r="I481">
        <f>生データ!I589</f>
        <v>0</v>
      </c>
      <c r="J481">
        <f>生データ!J589</f>
        <v>17</v>
      </c>
      <c r="K481">
        <f>生データ!K589</f>
        <v>0</v>
      </c>
      <c r="L481">
        <f>生データ!L589</f>
        <v>5.5</v>
      </c>
      <c r="M481">
        <f>生データ!M589</f>
        <v>1.6</v>
      </c>
      <c r="N481">
        <f>生データ!N589</f>
        <v>0</v>
      </c>
      <c r="O481">
        <f>生データ!O589</f>
        <v>0</v>
      </c>
      <c r="P481" t="str">
        <f>生データ!P589</f>
        <v>L</v>
      </c>
      <c r="Q481">
        <f>生データ!Q589</f>
        <v>0</v>
      </c>
      <c r="R481">
        <f>生データ!R589</f>
        <v>0</v>
      </c>
      <c r="S481">
        <f>生データ!S589</f>
        <v>0</v>
      </c>
      <c r="T481">
        <f>生データ!T589</f>
        <v>5.0292962017038931</v>
      </c>
      <c r="U481">
        <f>生データ!U589</f>
        <v>5.4112680651244416</v>
      </c>
      <c r="V481">
        <f>COUNTIF(怪しいデータを手直し!F$2:F$701,Sheet5!F481)</f>
        <v>1</v>
      </c>
    </row>
    <row r="482" spans="1:22">
      <c r="A482">
        <f>生データ!A590</f>
        <v>20</v>
      </c>
      <c r="B482">
        <f>生データ!B590</f>
        <v>-10</v>
      </c>
      <c r="C482">
        <f>生データ!C590</f>
        <v>21.622350838410512</v>
      </c>
      <c r="D482">
        <f>生データ!D590</f>
        <v>-9.3261221968864305</v>
      </c>
      <c r="E482">
        <f>生データ!E590</f>
        <v>0</v>
      </c>
      <c r="F482">
        <f>IF(生データ!E590="Wr",3000+生データ!F590,IF(生データ!E590="Wb",4000+生データ!F590,生データ!F590))</f>
        <v>413</v>
      </c>
      <c r="G482" t="str">
        <f>生データ!G590</f>
        <v>bp</v>
      </c>
      <c r="H482">
        <f>生データ!H590</f>
        <v>15.8</v>
      </c>
      <c r="I482">
        <f>生データ!I590</f>
        <v>0</v>
      </c>
      <c r="J482">
        <f>生データ!J590</f>
        <v>16.2</v>
      </c>
      <c r="K482">
        <f>生データ!K590</f>
        <v>0</v>
      </c>
      <c r="L482">
        <f>生データ!L590</f>
        <v>5.7</v>
      </c>
      <c r="M482">
        <f>生データ!M590</f>
        <v>1.5</v>
      </c>
      <c r="N482">
        <f>生データ!N590</f>
        <v>0</v>
      </c>
      <c r="O482">
        <f>生データ!O590</f>
        <v>0</v>
      </c>
      <c r="P482" t="str">
        <f>生データ!P590</f>
        <v>L</v>
      </c>
      <c r="Q482">
        <f>生データ!Q590</f>
        <v>0</v>
      </c>
      <c r="R482">
        <f>生データ!R590</f>
        <v>0</v>
      </c>
      <c r="S482">
        <f>生データ!S590</f>
        <v>0</v>
      </c>
      <c r="T482">
        <f>生データ!T590</f>
        <v>5.0292962017038931</v>
      </c>
      <c r="U482">
        <f>生データ!U590</f>
        <v>5.156620156177409</v>
      </c>
      <c r="V482">
        <f>COUNTIF(怪しいデータを手直し!F$2:F$701,Sheet5!F482)</f>
        <v>1</v>
      </c>
    </row>
    <row r="483" spans="1:22">
      <c r="A483">
        <f>生データ!A591</f>
        <v>40</v>
      </c>
      <c r="B483">
        <f>生データ!B591</f>
        <v>-30</v>
      </c>
      <c r="C483">
        <f>生データ!C591</f>
        <v>42.086746232082206</v>
      </c>
      <c r="D483">
        <f>生データ!D591</f>
        <v>-25.305710651858675</v>
      </c>
      <c r="E483">
        <f>生データ!E591</f>
        <v>0</v>
      </c>
      <c r="F483">
        <f>IF(生データ!E591="Wr",3000+生データ!F591,IF(生データ!E591="Wb",4000+生データ!F591,生データ!F591))</f>
        <v>676</v>
      </c>
      <c r="G483" t="str">
        <f>生データ!G591</f>
        <v>bp</v>
      </c>
      <c r="H483">
        <f>生データ!H591</f>
        <v>15.8</v>
      </c>
      <c r="I483">
        <f>生データ!I591</f>
        <v>0</v>
      </c>
      <c r="J483">
        <f>生データ!J591</f>
        <v>17.2</v>
      </c>
      <c r="K483">
        <f>生データ!K591</f>
        <v>0</v>
      </c>
      <c r="L483">
        <f>生データ!L591</f>
        <v>5.8</v>
      </c>
      <c r="M483">
        <f>生データ!M591</f>
        <v>2.5</v>
      </c>
      <c r="N483">
        <f>生データ!N591</f>
        <v>0</v>
      </c>
      <c r="O483">
        <f>生データ!O591</f>
        <v>0</v>
      </c>
      <c r="P483" t="str">
        <f>生データ!P591</f>
        <v>L</v>
      </c>
      <c r="Q483">
        <f>生データ!Q591</f>
        <v>0</v>
      </c>
      <c r="R483">
        <f>生データ!R591</f>
        <v>0</v>
      </c>
      <c r="S483" t="str">
        <f>生データ!S591</f>
        <v>NewNo 780</v>
      </c>
      <c r="T483">
        <f>生データ!T591</f>
        <v>5.0292962017038931</v>
      </c>
      <c r="U483">
        <f>生データ!U591</f>
        <v>5.4749300423611995</v>
      </c>
      <c r="V483">
        <f>COUNTIF(怪しいデータを手直し!F$2:F$701,Sheet5!F483)</f>
        <v>1</v>
      </c>
    </row>
    <row r="484" spans="1:22">
      <c r="A484">
        <f>生データ!A592</f>
        <v>0</v>
      </c>
      <c r="B484">
        <f>生データ!B592</f>
        <v>30</v>
      </c>
      <c r="C484">
        <f>生データ!C592</f>
        <v>2.3642066204640333</v>
      </c>
      <c r="D484">
        <f>生データ!D592</f>
        <v>35.450159450819726</v>
      </c>
      <c r="E484">
        <f>生データ!E592</f>
        <v>0</v>
      </c>
      <c r="F484">
        <f>IF(生データ!E592="Wr",3000+生データ!F592,IF(生データ!E592="Wb",4000+生データ!F592,生データ!F592))</f>
        <v>52</v>
      </c>
      <c r="G484" t="str">
        <f>生データ!G592</f>
        <v>lc</v>
      </c>
      <c r="H484">
        <f>生データ!H592</f>
        <v>16</v>
      </c>
      <c r="I484">
        <f>生データ!I592</f>
        <v>0</v>
      </c>
      <c r="J484" t="str">
        <f>生データ!J592</f>
        <v>dead</v>
      </c>
      <c r="K484">
        <f>生データ!K592</f>
        <v>0</v>
      </c>
      <c r="L484">
        <f>生データ!L592</f>
        <v>5.0999999999999996</v>
      </c>
      <c r="M484">
        <f>生データ!M592</f>
        <v>0.3</v>
      </c>
      <c r="N484">
        <f>生データ!N592</f>
        <v>0</v>
      </c>
      <c r="O484">
        <f>生データ!O592</f>
        <v>0</v>
      </c>
      <c r="P484" t="str">
        <f>生データ!P592</f>
        <v>L</v>
      </c>
      <c r="Q484">
        <f>生データ!Q592</f>
        <v>0</v>
      </c>
      <c r="R484">
        <f>生データ!R592</f>
        <v>0</v>
      </c>
      <c r="S484">
        <f>生データ!S592</f>
        <v>0</v>
      </c>
      <c r="T484">
        <f>生データ!T592</f>
        <v>5.0929581789406511</v>
      </c>
      <c r="U484" t="str">
        <f>生データ!U592</f>
        <v>dead</v>
      </c>
      <c r="V484">
        <f>COUNTIF(怪しいデータを手直し!F$2:F$701,Sheet5!F484)</f>
        <v>1</v>
      </c>
    </row>
    <row r="485" spans="1:22">
      <c r="A485">
        <f>生データ!A593</f>
        <v>40</v>
      </c>
      <c r="B485">
        <f>生データ!B593</f>
        <v>-10</v>
      </c>
      <c r="C485">
        <f>生データ!C593</f>
        <v>48.415466708767497</v>
      </c>
      <c r="D485">
        <f>生データ!D593</f>
        <v>-2.6060994319050623</v>
      </c>
      <c r="E485">
        <f>生データ!E593</f>
        <v>0</v>
      </c>
      <c r="F485">
        <f>IF(生データ!E593="Wr",3000+生データ!F593,IF(生データ!E593="Wb",4000+生データ!F593,生データ!F593))</f>
        <v>464</v>
      </c>
      <c r="G485" t="str">
        <f>生データ!G593</f>
        <v>bp</v>
      </c>
      <c r="H485">
        <f>生データ!H593</f>
        <v>16</v>
      </c>
      <c r="I485">
        <f>生データ!I593</f>
        <v>0</v>
      </c>
      <c r="J485">
        <f>生データ!J593</f>
        <v>17.600000000000001</v>
      </c>
      <c r="K485">
        <f>生データ!K593</f>
        <v>0</v>
      </c>
      <c r="L485">
        <f>生データ!L593</f>
        <v>5.0999999999999996</v>
      </c>
      <c r="M485">
        <f>生データ!M593</f>
        <v>1</v>
      </c>
      <c r="N485">
        <f>生データ!N593</f>
        <v>0</v>
      </c>
      <c r="O485">
        <f>生データ!O593</f>
        <v>0</v>
      </c>
      <c r="P485" t="str">
        <f>生データ!P593</f>
        <v>L</v>
      </c>
      <c r="Q485">
        <f>生データ!Q593</f>
        <v>0</v>
      </c>
      <c r="R485">
        <f>生データ!R593</f>
        <v>0</v>
      </c>
      <c r="S485">
        <f>生データ!S593</f>
        <v>0</v>
      </c>
      <c r="T485">
        <f>生データ!T593</f>
        <v>5.0929581789406511</v>
      </c>
      <c r="U485">
        <f>生データ!U593</f>
        <v>5.6022539968347163</v>
      </c>
      <c r="V485">
        <f>COUNTIF(怪しいデータを手直し!F$2:F$701,Sheet5!F485)</f>
        <v>1</v>
      </c>
    </row>
    <row r="486" spans="1:22">
      <c r="A486">
        <f>生データ!A594</f>
        <v>0</v>
      </c>
      <c r="B486">
        <f>生データ!B594</f>
        <v>40</v>
      </c>
      <c r="C486">
        <f>生データ!C594</f>
        <v>7.3835974736291741</v>
      </c>
      <c r="D486">
        <f>生データ!D594</f>
        <v>42.457339298042783</v>
      </c>
      <c r="E486">
        <f>生データ!E594</f>
        <v>0</v>
      </c>
      <c r="F486">
        <f>IF(生データ!E594="Wr",3000+生データ!F594,IF(生データ!E594="Wb",4000+生データ!F594,生データ!F594))</f>
        <v>65</v>
      </c>
      <c r="G486" t="str">
        <f>生データ!G594</f>
        <v>lc</v>
      </c>
      <c r="H486">
        <f>生データ!H594</f>
        <v>16.100000000000001</v>
      </c>
      <c r="I486">
        <f>生データ!I594</f>
        <v>0</v>
      </c>
      <c r="J486" t="str">
        <f>生データ!J594</f>
        <v>dead</v>
      </c>
      <c r="K486">
        <f>生データ!K594</f>
        <v>0</v>
      </c>
      <c r="L486">
        <f>生データ!L594</f>
        <v>5.0999999999999996</v>
      </c>
      <c r="M486">
        <f>生データ!M594</f>
        <v>0.4</v>
      </c>
      <c r="N486">
        <f>生データ!N594</f>
        <v>0</v>
      </c>
      <c r="O486">
        <f>生データ!O594</f>
        <v>0</v>
      </c>
      <c r="P486" t="str">
        <f>生データ!P594</f>
        <v>L</v>
      </c>
      <c r="Q486">
        <f>生データ!Q594</f>
        <v>0</v>
      </c>
      <c r="R486">
        <f>生データ!R594</f>
        <v>0</v>
      </c>
      <c r="S486">
        <f>生データ!S594</f>
        <v>0</v>
      </c>
      <c r="T486">
        <f>生データ!T594</f>
        <v>5.1247891675590305</v>
      </c>
      <c r="U486" t="str">
        <f>生データ!U594</f>
        <v>dead</v>
      </c>
      <c r="V486">
        <f>COUNTIF(怪しいデータを手直し!F$2:F$701,Sheet5!F486)</f>
        <v>1</v>
      </c>
    </row>
    <row r="487" spans="1:22">
      <c r="A487">
        <f>生データ!A595</f>
        <v>0</v>
      </c>
      <c r="B487">
        <f>生データ!B595</f>
        <v>0</v>
      </c>
      <c r="C487">
        <f>生データ!C595</f>
        <v>4.4670921285436664</v>
      </c>
      <c r="D487">
        <f>生データ!D595</f>
        <v>9.0144389993630316</v>
      </c>
      <c r="E487">
        <f>生データ!E595</f>
        <v>0</v>
      </c>
      <c r="F487">
        <f>IF(生データ!E595="Wr",3000+生データ!F595,IF(生データ!E595="Wb",4000+生データ!F595,生データ!F595))</f>
        <v>9</v>
      </c>
      <c r="G487" t="str">
        <f>生データ!G595</f>
        <v>bp</v>
      </c>
      <c r="H487">
        <f>生データ!H595</f>
        <v>16.2</v>
      </c>
      <c r="I487">
        <f>生データ!I595</f>
        <v>0</v>
      </c>
      <c r="J487">
        <f>生データ!J595</f>
        <v>17</v>
      </c>
      <c r="K487">
        <f>生データ!K595</f>
        <v>0</v>
      </c>
      <c r="L487">
        <f>生データ!L595</f>
        <v>6</v>
      </c>
      <c r="M487">
        <f>生データ!M595</f>
        <v>2.2000000000000002</v>
      </c>
      <c r="N487">
        <f>生データ!N595</f>
        <v>0</v>
      </c>
      <c r="O487">
        <f>生データ!O595</f>
        <v>0</v>
      </c>
      <c r="P487" t="str">
        <f>生データ!P595</f>
        <v>L</v>
      </c>
      <c r="Q487">
        <f>生データ!Q595</f>
        <v>0</v>
      </c>
      <c r="R487" t="str">
        <f>生データ!R595</f>
        <v>above node</v>
      </c>
      <c r="S487">
        <f>生データ!S595</f>
        <v>0</v>
      </c>
      <c r="T487">
        <f>生データ!T595</f>
        <v>5.156620156177409</v>
      </c>
      <c r="U487">
        <f>生データ!U595</f>
        <v>5.4112680651244416</v>
      </c>
      <c r="V487">
        <f>COUNTIF(怪しいデータを手直し!F$2:F$701,Sheet5!F487)</f>
        <v>1</v>
      </c>
    </row>
    <row r="488" spans="1:22">
      <c r="A488">
        <f>生データ!A596</f>
        <v>20</v>
      </c>
      <c r="B488">
        <f>生データ!B596</f>
        <v>-30</v>
      </c>
      <c r="C488">
        <f>生データ!C596</f>
        <v>24.934351111620828</v>
      </c>
      <c r="D488">
        <f>生データ!D596</f>
        <v>-25.745850793369321</v>
      </c>
      <c r="E488">
        <f>生データ!E596</f>
        <v>0</v>
      </c>
      <c r="F488">
        <f>IF(生データ!E596="Wr",3000+生データ!F596,IF(生データ!E596="Wb",4000+生データ!F596,生データ!F596))</f>
        <v>641</v>
      </c>
      <c r="G488" t="str">
        <f>生データ!G596</f>
        <v>bp</v>
      </c>
      <c r="H488">
        <f>生データ!H596</f>
        <v>16.2</v>
      </c>
      <c r="I488">
        <f>生データ!I596</f>
        <v>0</v>
      </c>
      <c r="J488">
        <f>生データ!J596</f>
        <v>16.3</v>
      </c>
      <c r="K488">
        <f>生データ!K596</f>
        <v>0</v>
      </c>
      <c r="L488">
        <f>生データ!L596</f>
        <v>6.4</v>
      </c>
      <c r="M488">
        <f>生データ!M596</f>
        <v>2</v>
      </c>
      <c r="N488">
        <f>生データ!N596</f>
        <v>0</v>
      </c>
      <c r="O488">
        <f>生データ!O596</f>
        <v>0</v>
      </c>
      <c r="P488" t="str">
        <f>生データ!P596</f>
        <v>L</v>
      </c>
      <c r="Q488">
        <f>生データ!Q596</f>
        <v>0</v>
      </c>
      <c r="R488">
        <f>生データ!R596</f>
        <v>0</v>
      </c>
      <c r="S488">
        <f>生データ!S596</f>
        <v>0</v>
      </c>
      <c r="T488">
        <f>生データ!T596</f>
        <v>5.156620156177409</v>
      </c>
      <c r="U488">
        <f>生データ!U596</f>
        <v>5.1884511447957884</v>
      </c>
      <c r="V488">
        <f>COUNTIF(怪しいデータを手直し!F$2:F$701,Sheet5!F488)</f>
        <v>1</v>
      </c>
    </row>
    <row r="489" spans="1:22">
      <c r="A489">
        <f>生データ!A597</f>
        <v>0</v>
      </c>
      <c r="B489">
        <f>生データ!B597</f>
        <v>40</v>
      </c>
      <c r="C489">
        <f>生データ!C597</f>
        <v>3.513090536807443</v>
      </c>
      <c r="D489">
        <f>生データ!D597</f>
        <v>47.808975077844821</v>
      </c>
      <c r="E489">
        <f>生データ!E597</f>
        <v>0</v>
      </c>
      <c r="F489">
        <f>IF(生データ!E597="Wr",3000+生データ!F597,IF(生データ!E597="Wb",4000+生データ!F597,生データ!F597))</f>
        <v>69</v>
      </c>
      <c r="G489" t="str">
        <f>生データ!G597</f>
        <v>lc</v>
      </c>
      <c r="H489">
        <f>生データ!H597</f>
        <v>16.3</v>
      </c>
      <c r="I489">
        <f>生データ!I597</f>
        <v>0</v>
      </c>
      <c r="J489">
        <f>生データ!J597</f>
        <v>19.600000000000001</v>
      </c>
      <c r="K489">
        <f>生データ!K597</f>
        <v>0</v>
      </c>
      <c r="L489">
        <f>生データ!L597</f>
        <v>5.4</v>
      </c>
      <c r="M489">
        <f>生データ!M597</f>
        <v>0.4</v>
      </c>
      <c r="N489">
        <f>生データ!N597</f>
        <v>0</v>
      </c>
      <c r="O489">
        <f>生データ!O597</f>
        <v>0</v>
      </c>
      <c r="P489" t="str">
        <f>生データ!P597</f>
        <v>L</v>
      </c>
      <c r="Q489">
        <f>生データ!Q597</f>
        <v>0</v>
      </c>
      <c r="R489">
        <f>生データ!R597</f>
        <v>0</v>
      </c>
      <c r="S489">
        <f>生データ!S597</f>
        <v>0</v>
      </c>
      <c r="T489">
        <f>生データ!T597</f>
        <v>5.1884511447957884</v>
      </c>
      <c r="U489">
        <f>生データ!U597</f>
        <v>6.2388737692022982</v>
      </c>
      <c r="V489">
        <f>COUNTIF(怪しいデータを手直し!F$2:F$701,Sheet5!F489)</f>
        <v>1</v>
      </c>
    </row>
    <row r="490" spans="1:22">
      <c r="A490">
        <f>生データ!A598</f>
        <v>40</v>
      </c>
      <c r="B490">
        <f>生データ!B598</f>
        <v>20</v>
      </c>
      <c r="C490">
        <f>生データ!C598</f>
        <v>41.946733044397213</v>
      </c>
      <c r="D490">
        <f>生データ!D598</f>
        <v>29.300277929498005</v>
      </c>
      <c r="E490">
        <f>生データ!E598</f>
        <v>0</v>
      </c>
      <c r="F490">
        <f>IF(生データ!E598="Wr",3000+生データ!F598,IF(生データ!E598="Wb",4000+生データ!F598,生データ!F598))</f>
        <v>304</v>
      </c>
      <c r="G490" t="str">
        <f>生データ!G598</f>
        <v>bp</v>
      </c>
      <c r="H490">
        <f>生データ!H598</f>
        <v>16.3</v>
      </c>
      <c r="I490">
        <f>生データ!I598</f>
        <v>0</v>
      </c>
      <c r="J490">
        <f>生データ!J598</f>
        <v>17.5</v>
      </c>
      <c r="K490">
        <f>生データ!K598</f>
        <v>0</v>
      </c>
      <c r="L490">
        <f>生データ!L598</f>
        <v>6.6</v>
      </c>
      <c r="M490">
        <f>生データ!M598</f>
        <v>2.5</v>
      </c>
      <c r="N490">
        <f>生データ!N598</f>
        <v>0</v>
      </c>
      <c r="O490">
        <f>生データ!O598</f>
        <v>0</v>
      </c>
      <c r="P490" t="str">
        <f>生データ!P598</f>
        <v>L</v>
      </c>
      <c r="Q490">
        <f>生データ!Q598</f>
        <v>0</v>
      </c>
      <c r="R490">
        <f>生データ!R598</f>
        <v>0</v>
      </c>
      <c r="S490">
        <f>生データ!S598</f>
        <v>0</v>
      </c>
      <c r="T490">
        <f>生データ!T598</f>
        <v>5.1884511447957884</v>
      </c>
      <c r="U490">
        <f>生データ!U598</f>
        <v>5.5704230082163368</v>
      </c>
      <c r="V490">
        <f>COUNTIF(怪しいデータを手直し!F$2:F$701,Sheet5!F490)</f>
        <v>1</v>
      </c>
    </row>
    <row r="491" spans="1:22">
      <c r="A491">
        <f>生データ!A599</f>
        <v>20</v>
      </c>
      <c r="B491">
        <f>生データ!B599</f>
        <v>-20</v>
      </c>
      <c r="C491">
        <f>生データ!C599</f>
        <v>27.802826060536908</v>
      </c>
      <c r="D491">
        <f>生データ!D599</f>
        <v>-18.540553137267075</v>
      </c>
      <c r="E491">
        <f>生データ!E599</f>
        <v>0</v>
      </c>
      <c r="F491">
        <f>IF(生データ!E599="Wr",3000+生データ!F599,IF(生データ!E599="Wb",4000+生データ!F599,生データ!F599))</f>
        <v>560</v>
      </c>
      <c r="G491" t="str">
        <f>生データ!G599</f>
        <v>bp</v>
      </c>
      <c r="H491">
        <f>生データ!H599</f>
        <v>16.399999999999999</v>
      </c>
      <c r="I491">
        <f>生データ!I599</f>
        <v>0</v>
      </c>
      <c r="J491">
        <f>生データ!J599</f>
        <v>17.8</v>
      </c>
      <c r="K491">
        <f>生データ!K599</f>
        <v>0</v>
      </c>
      <c r="L491">
        <f>生データ!L599</f>
        <v>6</v>
      </c>
      <c r="M491">
        <f>生データ!M599</f>
        <v>1.4</v>
      </c>
      <c r="N491">
        <f>生データ!N599</f>
        <v>0</v>
      </c>
      <c r="O491">
        <f>生データ!O599</f>
        <v>0</v>
      </c>
      <c r="P491" t="str">
        <f>生データ!P599</f>
        <v>L</v>
      </c>
      <c r="Q491">
        <f>生データ!Q599</f>
        <v>0</v>
      </c>
      <c r="R491">
        <f>生データ!R599</f>
        <v>0</v>
      </c>
      <c r="S491">
        <f>生データ!S599</f>
        <v>0</v>
      </c>
      <c r="T491">
        <f>生データ!T599</f>
        <v>5.2202821334141669</v>
      </c>
      <c r="U491">
        <f>生データ!U599</f>
        <v>5.6659159740714742</v>
      </c>
      <c r="V491">
        <f>COUNTIF(怪しいデータを手直し!F$2:F$701,Sheet5!F491)</f>
        <v>1</v>
      </c>
    </row>
    <row r="492" spans="1:22">
      <c r="A492">
        <f>生データ!A600</f>
        <v>40</v>
      </c>
      <c r="B492">
        <f>生データ!B600</f>
        <v>-20</v>
      </c>
      <c r="C492">
        <f>生データ!C600</f>
        <v>48.78592455891193</v>
      </c>
      <c r="D492">
        <f>生データ!D600</f>
        <v>-16.38334783989626</v>
      </c>
      <c r="E492">
        <f>生データ!E600</f>
        <v>0</v>
      </c>
      <c r="F492">
        <f>IF(生データ!E600="Wr",3000+生データ!F600,IF(生データ!E600="Wb",4000+生データ!F600,生データ!F600))</f>
        <v>505</v>
      </c>
      <c r="G492" t="str">
        <f>生データ!G600</f>
        <v>bp</v>
      </c>
      <c r="H492">
        <f>生データ!H600</f>
        <v>16.5</v>
      </c>
      <c r="I492">
        <f>生データ!I600</f>
        <v>0</v>
      </c>
      <c r="J492">
        <f>生データ!J600</f>
        <v>17.5</v>
      </c>
      <c r="K492">
        <f>生データ!K600</f>
        <v>0</v>
      </c>
      <c r="L492">
        <f>生データ!L600</f>
        <v>5.6</v>
      </c>
      <c r="M492">
        <f>生データ!M600</f>
        <v>2.2999999999999998</v>
      </c>
      <c r="N492">
        <f>生データ!N600</f>
        <v>0</v>
      </c>
      <c r="O492">
        <f>生データ!O600</f>
        <v>0</v>
      </c>
      <c r="P492" t="str">
        <f>生データ!P600</f>
        <v>L</v>
      </c>
      <c r="Q492">
        <f>生データ!Q600</f>
        <v>0</v>
      </c>
      <c r="R492">
        <f>生データ!R600</f>
        <v>0</v>
      </c>
      <c r="S492">
        <f>生データ!S600</f>
        <v>0</v>
      </c>
      <c r="T492">
        <f>生データ!T600</f>
        <v>5.2521131220325463</v>
      </c>
      <c r="U492">
        <f>生データ!U600</f>
        <v>5.5704230082163368</v>
      </c>
      <c r="V492">
        <f>COUNTIF(怪しいデータを手直し!F$2:F$701,Sheet5!F492)</f>
        <v>1</v>
      </c>
    </row>
    <row r="493" spans="1:22">
      <c r="A493">
        <f>生データ!A601</f>
        <v>20</v>
      </c>
      <c r="B493">
        <f>生データ!B601</f>
        <v>-30</v>
      </c>
      <c r="C493">
        <f>生データ!C601</f>
        <v>28.221146721837993</v>
      </c>
      <c r="D493">
        <f>生データ!D601</f>
        <v>-27.58417965338192</v>
      </c>
      <c r="E493">
        <f>生データ!E601</f>
        <v>0</v>
      </c>
      <c r="F493">
        <f>IF(生データ!E601="Wr",3000+生データ!F601,IF(生データ!E601="Wb",4000+生データ!F601,生データ!F601))</f>
        <v>657</v>
      </c>
      <c r="G493" t="str">
        <f>生データ!G601</f>
        <v>lc</v>
      </c>
      <c r="H493">
        <f>生データ!H601</f>
        <v>16.5</v>
      </c>
      <c r="I493">
        <f>生データ!I601</f>
        <v>0</v>
      </c>
      <c r="J493">
        <f>生データ!J601</f>
        <v>21.7</v>
      </c>
      <c r="K493">
        <f>生データ!K601</f>
        <v>0</v>
      </c>
      <c r="L493">
        <f>生データ!L601</f>
        <v>6.5</v>
      </c>
      <c r="M493">
        <f>生データ!M601</f>
        <v>0.7</v>
      </c>
      <c r="N493">
        <f>生データ!N601</f>
        <v>0</v>
      </c>
      <c r="O493">
        <f>生データ!O601</f>
        <v>0</v>
      </c>
      <c r="P493" t="str">
        <f>生データ!P601</f>
        <v>L</v>
      </c>
      <c r="Q493">
        <f>生データ!Q601</f>
        <v>0</v>
      </c>
      <c r="R493">
        <f>生データ!R601</f>
        <v>0</v>
      </c>
      <c r="S493" t="str">
        <f>生データ!S601</f>
        <v>New No770</v>
      </c>
      <c r="T493">
        <f>生データ!T601</f>
        <v>5.2521131220325463</v>
      </c>
      <c r="U493">
        <f>生データ!U601</f>
        <v>6.9073245301882578</v>
      </c>
      <c r="V493">
        <f>COUNTIF(怪しいデータを手直し!F$2:F$701,Sheet5!F493)</f>
        <v>1</v>
      </c>
    </row>
    <row r="494" spans="1:22">
      <c r="A494">
        <f>生データ!A602</f>
        <v>40</v>
      </c>
      <c r="B494">
        <f>生データ!B602</f>
        <v>0</v>
      </c>
      <c r="C494">
        <f>生データ!C602</f>
        <v>40.777857411188769</v>
      </c>
      <c r="D494">
        <f>生データ!D602</f>
        <v>5.4966859039304499</v>
      </c>
      <c r="E494">
        <f>生データ!E602</f>
        <v>0</v>
      </c>
      <c r="F494">
        <f>IF(生データ!E602="Wr",3000+生データ!F602,IF(生データ!E602="Wb",4000+生データ!F602,生データ!F602))</f>
        <v>269</v>
      </c>
      <c r="G494" t="str">
        <f>生データ!G602</f>
        <v>bp</v>
      </c>
      <c r="H494">
        <f>生データ!H602</f>
        <v>16.7</v>
      </c>
      <c r="I494">
        <f>生データ!I602</f>
        <v>0</v>
      </c>
      <c r="J494">
        <f>生データ!J602</f>
        <v>17.399999999999999</v>
      </c>
      <c r="K494">
        <f>生データ!K602</f>
        <v>0</v>
      </c>
      <c r="L494">
        <f>生データ!L602</f>
        <v>5.0999999999999996</v>
      </c>
      <c r="M494">
        <f>生データ!M602</f>
        <v>1.9</v>
      </c>
      <c r="N494">
        <f>生データ!N602</f>
        <v>0</v>
      </c>
      <c r="O494">
        <f>生データ!O602</f>
        <v>0</v>
      </c>
      <c r="P494" t="str">
        <f>生データ!P602</f>
        <v>L</v>
      </c>
      <c r="Q494">
        <f>生データ!Q602</f>
        <v>0</v>
      </c>
      <c r="R494">
        <f>生データ!R602</f>
        <v>0</v>
      </c>
      <c r="S494">
        <f>生データ!S602</f>
        <v>0</v>
      </c>
      <c r="T494">
        <f>生データ!T602</f>
        <v>5.3157750992693042</v>
      </c>
      <c r="U494">
        <f>生データ!U602</f>
        <v>5.5385920195979574</v>
      </c>
      <c r="V494">
        <f>COUNTIF(怪しいデータを手直し!F$2:F$701,Sheet5!F494)</f>
        <v>1</v>
      </c>
    </row>
    <row r="495" spans="1:22">
      <c r="A495">
        <f>生データ!A603</f>
        <v>30</v>
      </c>
      <c r="B495">
        <f>生データ!B603</f>
        <v>-10</v>
      </c>
      <c r="C495">
        <f>生データ!C603</f>
        <v>33.65070084480169</v>
      </c>
      <c r="D495">
        <f>生データ!D603</f>
        <v>-1.9024386240178419</v>
      </c>
      <c r="E495">
        <f>生データ!E603</f>
        <v>0</v>
      </c>
      <c r="F495">
        <f>IF(生データ!E603="Wr",3000+生データ!F603,IF(生データ!E603="Wb",4000+生データ!F603,生データ!F603))</f>
        <v>427</v>
      </c>
      <c r="G495" t="str">
        <f>生データ!G603</f>
        <v>bp</v>
      </c>
      <c r="H495">
        <f>生データ!H603</f>
        <v>16.8</v>
      </c>
      <c r="I495">
        <f>生データ!I603</f>
        <v>0</v>
      </c>
      <c r="J495">
        <f>生データ!J603</f>
        <v>17.8</v>
      </c>
      <c r="K495">
        <f>生データ!K603</f>
        <v>0</v>
      </c>
      <c r="L495">
        <f>生データ!L603</f>
        <v>5.7</v>
      </c>
      <c r="M495">
        <f>生データ!M603</f>
        <v>1.8</v>
      </c>
      <c r="N495">
        <f>生データ!N603</f>
        <v>0</v>
      </c>
      <c r="O495">
        <f>生データ!O603</f>
        <v>0</v>
      </c>
      <c r="P495" t="str">
        <f>生データ!P603</f>
        <v>L</v>
      </c>
      <c r="Q495">
        <f>生データ!Q603</f>
        <v>0</v>
      </c>
      <c r="R495">
        <f>生データ!R603</f>
        <v>0</v>
      </c>
      <c r="S495">
        <f>生データ!S603</f>
        <v>0</v>
      </c>
      <c r="T495">
        <f>生データ!T603</f>
        <v>5.3476060878876837</v>
      </c>
      <c r="U495">
        <f>生データ!U603</f>
        <v>5.6659159740714742</v>
      </c>
      <c r="V495">
        <f>COUNTIF(怪しいデータを手直し!F$2:F$701,Sheet5!F495)</f>
        <v>1</v>
      </c>
    </row>
    <row r="496" spans="1:22">
      <c r="A496">
        <f>生データ!A604</f>
        <v>40</v>
      </c>
      <c r="B496">
        <f>生データ!B604</f>
        <v>30</v>
      </c>
      <c r="C496">
        <f>生データ!C604</f>
        <v>48.274236971404648</v>
      </c>
      <c r="D496">
        <f>生データ!D604</f>
        <v>30.59705673902403</v>
      </c>
      <c r="E496">
        <f>生データ!E604</f>
        <v>0</v>
      </c>
      <c r="F496">
        <f>IF(生データ!E604="Wr",3000+生データ!F604,IF(生データ!E604="Wb",4000+生データ!F604,生データ!F604))</f>
        <v>338</v>
      </c>
      <c r="G496" t="str">
        <f>生データ!G604</f>
        <v>af</v>
      </c>
      <c r="H496">
        <f>生データ!H604</f>
        <v>17.2</v>
      </c>
      <c r="I496">
        <f>生データ!I604</f>
        <v>0</v>
      </c>
      <c r="J496" t="str">
        <f>生データ!J604</f>
        <v>dead</v>
      </c>
      <c r="K496">
        <f>生データ!K604</f>
        <v>0</v>
      </c>
      <c r="L496">
        <f>生データ!L604</f>
        <v>3.4</v>
      </c>
      <c r="M496">
        <f>生データ!M604</f>
        <v>1.8</v>
      </c>
      <c r="N496">
        <f>生データ!N604</f>
        <v>0</v>
      </c>
      <c r="O496">
        <f>生データ!O604</f>
        <v>0</v>
      </c>
      <c r="P496" t="str">
        <f>生データ!P604</f>
        <v>L</v>
      </c>
      <c r="Q496">
        <f>生データ!Q604</f>
        <v>0</v>
      </c>
      <c r="R496" t="str">
        <f>生データ!R604</f>
        <v>dead Ht=4.5</v>
      </c>
      <c r="S496">
        <f>生データ!S604</f>
        <v>0</v>
      </c>
      <c r="T496">
        <f>生データ!T604</f>
        <v>5.4749300423611995</v>
      </c>
      <c r="U496" t="str">
        <f>生データ!U604</f>
        <v>dead</v>
      </c>
      <c r="V496">
        <f>COUNTIF(怪しいデータを手直し!F$2:F$701,Sheet5!F496)</f>
        <v>1</v>
      </c>
    </row>
    <row r="497" spans="1:22">
      <c r="A497">
        <f>生データ!A605</f>
        <v>40</v>
      </c>
      <c r="B497">
        <f>生データ!B605</f>
        <v>-10</v>
      </c>
      <c r="C497">
        <f>生データ!C605</f>
        <v>47.207444046148773</v>
      </c>
      <c r="D497">
        <f>生データ!D605</f>
        <v>-0.39246814470738367</v>
      </c>
      <c r="E497">
        <f>生データ!E605</f>
        <v>0</v>
      </c>
      <c r="F497">
        <f>IF(生データ!E605="Wr",3000+生データ!F605,IF(生データ!E605="Wb",4000+生データ!F605,生データ!F605))</f>
        <v>456</v>
      </c>
      <c r="G497" t="str">
        <f>生データ!G605</f>
        <v>lc</v>
      </c>
      <c r="H497">
        <f>生データ!H605</f>
        <v>17.2</v>
      </c>
      <c r="I497">
        <f>生データ!I605</f>
        <v>0</v>
      </c>
      <c r="J497" t="str">
        <f>生データ!J605</f>
        <v>dead</v>
      </c>
      <c r="K497">
        <f>生データ!K605</f>
        <v>0</v>
      </c>
      <c r="L497">
        <f>生データ!L605</f>
        <v>5.01</v>
      </c>
      <c r="M497">
        <f>生データ!M605</f>
        <v>0</v>
      </c>
      <c r="N497">
        <f>生データ!N605</f>
        <v>0</v>
      </c>
      <c r="O497">
        <f>生データ!O605</f>
        <v>0</v>
      </c>
      <c r="P497" t="str">
        <f>生データ!P605</f>
        <v>D</v>
      </c>
      <c r="Q497">
        <f>生データ!Q605</f>
        <v>0</v>
      </c>
      <c r="R497">
        <f>生データ!R605</f>
        <v>0</v>
      </c>
      <c r="S497">
        <f>生データ!S605</f>
        <v>0</v>
      </c>
      <c r="T497">
        <f>生データ!T605</f>
        <v>5.4749300423611995</v>
      </c>
      <c r="U497" t="str">
        <f>生データ!U605</f>
        <v>dead</v>
      </c>
      <c r="V497">
        <f>COUNTIF(怪しいデータを手直し!F$2:F$701,Sheet5!F497)</f>
        <v>1</v>
      </c>
    </row>
    <row r="498" spans="1:22">
      <c r="A498">
        <f>生データ!A606</f>
        <v>20</v>
      </c>
      <c r="B498">
        <f>生データ!B606</f>
        <v>20</v>
      </c>
      <c r="C498">
        <f>生データ!C606</f>
        <v>26.023388160580492</v>
      </c>
      <c r="D498">
        <f>生データ!D606</f>
        <v>28.859083961886746</v>
      </c>
      <c r="E498">
        <f>生データ!E606</f>
        <v>0</v>
      </c>
      <c r="F498">
        <f>IF(生データ!E606="Wr",3000+生データ!F606,IF(生データ!E606="Wb",4000+生データ!F606,生データ!F606))</f>
        <v>168</v>
      </c>
      <c r="G498" t="str">
        <f>生データ!G606</f>
        <v>lc</v>
      </c>
      <c r="H498">
        <f>生データ!H606</f>
        <v>17.3</v>
      </c>
      <c r="I498">
        <f>生データ!I606</f>
        <v>0</v>
      </c>
      <c r="J498" t="str">
        <f>生データ!J606</f>
        <v>dead</v>
      </c>
      <c r="K498">
        <f>生データ!K606</f>
        <v>0</v>
      </c>
      <c r="L498">
        <f>生データ!L606</f>
        <v>3.7</v>
      </c>
      <c r="M498">
        <f>生データ!M606</f>
        <v>0</v>
      </c>
      <c r="N498">
        <f>生データ!N606</f>
        <v>0</v>
      </c>
      <c r="O498">
        <f>生データ!O606</f>
        <v>0</v>
      </c>
      <c r="P498" t="str">
        <f>生データ!P606</f>
        <v>D</v>
      </c>
      <c r="Q498">
        <f>生データ!Q606</f>
        <v>0</v>
      </c>
      <c r="R498" t="str">
        <f>生データ!R606</f>
        <v>broken</v>
      </c>
      <c r="S498">
        <f>生データ!S606</f>
        <v>0</v>
      </c>
      <c r="T498">
        <f>生データ!T606</f>
        <v>5.5067610309795789</v>
      </c>
      <c r="U498" t="str">
        <f>生データ!U606</f>
        <v>dead</v>
      </c>
      <c r="V498">
        <f>COUNTIF(怪しいデータを手直し!F$2:F$701,Sheet5!F498)</f>
        <v>1</v>
      </c>
    </row>
    <row r="499" spans="1:22">
      <c r="A499">
        <f>生データ!A607</f>
        <v>30</v>
      </c>
      <c r="B499">
        <f>生データ!B607</f>
        <v>10</v>
      </c>
      <c r="C499">
        <f>生データ!C607</f>
        <v>32.410464545492722</v>
      </c>
      <c r="D499">
        <f>生データ!D607</f>
        <v>17.503890892824881</v>
      </c>
      <c r="E499">
        <f>生データ!E607</f>
        <v>0</v>
      </c>
      <c r="F499">
        <f>IF(生データ!E607="Wr",3000+生データ!F607,IF(生データ!E607="Wb",4000+生データ!F607,生データ!F607))</f>
        <v>220</v>
      </c>
      <c r="G499" t="str">
        <f>生データ!G607</f>
        <v>bp</v>
      </c>
      <c r="H499">
        <f>生データ!H607</f>
        <v>17.3</v>
      </c>
      <c r="I499">
        <f>生データ!I607</f>
        <v>0</v>
      </c>
      <c r="J499">
        <f>生データ!J607</f>
        <v>18.7</v>
      </c>
      <c r="K499">
        <f>生データ!K607</f>
        <v>0</v>
      </c>
      <c r="L499">
        <f>生データ!L607</f>
        <v>5.6</v>
      </c>
      <c r="M499">
        <f>生データ!M607</f>
        <v>2.2999999999999998</v>
      </c>
      <c r="N499">
        <f>生データ!N607</f>
        <v>0</v>
      </c>
      <c r="O499">
        <f>生データ!O607</f>
        <v>0</v>
      </c>
      <c r="P499" t="str">
        <f>生データ!P607</f>
        <v>L</v>
      </c>
      <c r="Q499">
        <f>生データ!Q607</f>
        <v>0</v>
      </c>
      <c r="R499">
        <f>生データ!R607</f>
        <v>0</v>
      </c>
      <c r="S499">
        <f>生データ!S607</f>
        <v>0</v>
      </c>
      <c r="T499">
        <f>生データ!T607</f>
        <v>5.5067610309795789</v>
      </c>
      <c r="U499">
        <f>生データ!U607</f>
        <v>5.9523948716368853</v>
      </c>
      <c r="V499">
        <f>COUNTIF(怪しいデータを手直し!F$2:F$701,Sheet5!F499)</f>
        <v>1</v>
      </c>
    </row>
    <row r="500" spans="1:22">
      <c r="A500">
        <f>生データ!A608</f>
        <v>30</v>
      </c>
      <c r="B500">
        <f>生データ!B608</f>
        <v>10</v>
      </c>
      <c r="C500">
        <f>生データ!C608</f>
        <v>39.735868630954577</v>
      </c>
      <c r="D500">
        <f>生データ!D608</f>
        <v>10.432588542307032</v>
      </c>
      <c r="E500">
        <f>生データ!E608</f>
        <v>0</v>
      </c>
      <c r="F500">
        <f>IF(生データ!E608="Wr",3000+生データ!F608,IF(生データ!E608="Wb",4000+生データ!F608,生データ!F608))</f>
        <v>240</v>
      </c>
      <c r="G500" t="str">
        <f>生データ!G608</f>
        <v>lc</v>
      </c>
      <c r="H500">
        <f>生データ!H608</f>
        <v>17.399999999999999</v>
      </c>
      <c r="I500">
        <f>生データ!I608</f>
        <v>0</v>
      </c>
      <c r="J500" t="str">
        <f>生データ!J608</f>
        <v>dead</v>
      </c>
      <c r="K500">
        <f>生データ!K608</f>
        <v>0</v>
      </c>
      <c r="L500">
        <f>生データ!L608</f>
        <v>5.0999999999999996</v>
      </c>
      <c r="M500">
        <f>生データ!M608</f>
        <v>0.3</v>
      </c>
      <c r="N500">
        <f>生データ!N608</f>
        <v>0</v>
      </c>
      <c r="O500">
        <f>生データ!O608</f>
        <v>0</v>
      </c>
      <c r="P500" t="str">
        <f>生データ!P608</f>
        <v>L</v>
      </c>
      <c r="Q500">
        <f>生データ!Q608</f>
        <v>0</v>
      </c>
      <c r="R500">
        <f>生データ!R608</f>
        <v>0</v>
      </c>
      <c r="S500">
        <f>生データ!S608</f>
        <v>0</v>
      </c>
      <c r="T500">
        <f>生データ!T608</f>
        <v>5.5385920195979574</v>
      </c>
      <c r="U500" t="str">
        <f>生データ!U608</f>
        <v>dead</v>
      </c>
      <c r="V500">
        <f>COUNTIF(怪しいデータを手直し!F$2:F$701,Sheet5!F500)</f>
        <v>1</v>
      </c>
    </row>
    <row r="501" spans="1:22">
      <c r="A501">
        <f>生データ!A609</f>
        <v>40</v>
      </c>
      <c r="B501">
        <f>生データ!B609</f>
        <v>-10</v>
      </c>
      <c r="C501">
        <f>生データ!C609</f>
        <v>46.774147756904384</v>
      </c>
      <c r="D501">
        <f>生データ!D609</f>
        <v>-3.4593030086586767</v>
      </c>
      <c r="E501">
        <f>生データ!E609</f>
        <v>0</v>
      </c>
      <c r="F501">
        <f>IF(生データ!E609="Wr",3000+生データ!F609,IF(生データ!E609="Wb",4000+生データ!F609,生データ!F609))</f>
        <v>457</v>
      </c>
      <c r="G501" t="str">
        <f>生データ!G609</f>
        <v>bp</v>
      </c>
      <c r="H501">
        <f>生データ!H609</f>
        <v>17.399999999999999</v>
      </c>
      <c r="I501">
        <f>生データ!I609</f>
        <v>0</v>
      </c>
      <c r="J501">
        <f>生データ!J609</f>
        <v>17.7</v>
      </c>
      <c r="K501">
        <f>生データ!K609</f>
        <v>0</v>
      </c>
      <c r="L501">
        <f>生データ!L609</f>
        <v>4.2</v>
      </c>
      <c r="M501">
        <f>生データ!M609</f>
        <v>2.1</v>
      </c>
      <c r="N501">
        <f>生データ!N609</f>
        <v>0</v>
      </c>
      <c r="O501">
        <f>生データ!O609</f>
        <v>0</v>
      </c>
      <c r="P501" t="str">
        <f>生データ!P609</f>
        <v>L</v>
      </c>
      <c r="Q501">
        <f>生データ!Q609</f>
        <v>0</v>
      </c>
      <c r="R501">
        <f>生データ!R609</f>
        <v>0</v>
      </c>
      <c r="S501" t="str">
        <f>生データ!S609</f>
        <v>New No744　white red 傾いている</v>
      </c>
      <c r="T501">
        <f>生データ!T609</f>
        <v>5.5385920195979574</v>
      </c>
      <c r="U501">
        <f>生データ!U609</f>
        <v>5.6340849854530948</v>
      </c>
      <c r="V501">
        <f>COUNTIF(怪しいデータを手直し!F$2:F$701,Sheet5!F501)</f>
        <v>1</v>
      </c>
    </row>
    <row r="502" spans="1:22">
      <c r="A502">
        <f>生データ!A610</f>
        <v>40</v>
      </c>
      <c r="B502">
        <f>生データ!B610</f>
        <v>-50</v>
      </c>
      <c r="C502">
        <f>生データ!C610</f>
        <v>44.836810606651362</v>
      </c>
      <c r="D502">
        <f>生データ!D610</f>
        <v>-49.251965367173881</v>
      </c>
      <c r="E502">
        <f>生データ!E610</f>
        <v>0</v>
      </c>
      <c r="F502">
        <f>IF(生データ!E610="Wr",3000+生データ!F610,IF(生データ!E610="Wb",4000+生データ!F610,生データ!F610))</f>
        <v>825</v>
      </c>
      <c r="G502" t="str">
        <f>生データ!G610</f>
        <v>lc</v>
      </c>
      <c r="H502">
        <f>生データ!H610</f>
        <v>17.5</v>
      </c>
      <c r="I502">
        <f>生データ!I610</f>
        <v>0</v>
      </c>
      <c r="J502">
        <f>生データ!J610</f>
        <v>17.899999999999999</v>
      </c>
      <c r="K502">
        <f>生データ!K610</f>
        <v>0</v>
      </c>
      <c r="L502">
        <f>生データ!L610</f>
        <v>4.4000000000000004</v>
      </c>
      <c r="M502">
        <f>生データ!M610</f>
        <v>1.6</v>
      </c>
      <c r="N502">
        <f>生データ!N610</f>
        <v>0</v>
      </c>
      <c r="O502">
        <f>生データ!O610</f>
        <v>0</v>
      </c>
      <c r="P502" t="str">
        <f>生データ!P610</f>
        <v>L</v>
      </c>
      <c r="Q502">
        <f>生データ!Q610</f>
        <v>0</v>
      </c>
      <c r="R502">
        <f>生データ!R610</f>
        <v>0</v>
      </c>
      <c r="S502">
        <f>生データ!S610</f>
        <v>0</v>
      </c>
      <c r="T502">
        <f>生データ!T610</f>
        <v>5.5704230082163368</v>
      </c>
      <c r="U502">
        <f>生データ!U610</f>
        <v>5.6977469626898527</v>
      </c>
      <c r="V502">
        <f>COUNTIF(怪しいデータを手直し!F$2:F$701,Sheet5!F502)</f>
        <v>1</v>
      </c>
    </row>
    <row r="503" spans="1:22">
      <c r="A503">
        <f>生データ!A611</f>
        <v>30</v>
      </c>
      <c r="B503">
        <f>生データ!B611</f>
        <v>-20</v>
      </c>
      <c r="C503">
        <f>生データ!C611</f>
        <v>30.138860708753782</v>
      </c>
      <c r="D503">
        <f>生データ!D611</f>
        <v>-12.93973330059718</v>
      </c>
      <c r="E503">
        <f>生データ!E611</f>
        <v>0</v>
      </c>
      <c r="F503">
        <f>IF(生データ!E611="Wr",3000+生データ!F611,IF(生データ!E611="Wb",4000+生データ!F611,生データ!F611))</f>
        <v>533</v>
      </c>
      <c r="G503" t="str">
        <f>生データ!G611</f>
        <v>bp</v>
      </c>
      <c r="H503">
        <f>生データ!H611</f>
        <v>17.600000000000001</v>
      </c>
      <c r="I503">
        <f>生データ!I611</f>
        <v>0</v>
      </c>
      <c r="J503">
        <f>生データ!J611</f>
        <v>17.899999999999999</v>
      </c>
      <c r="K503">
        <f>生データ!K611</f>
        <v>0</v>
      </c>
      <c r="L503">
        <f>生データ!L611</f>
        <v>5.2</v>
      </c>
      <c r="M503">
        <f>生データ!M611</f>
        <v>2.7</v>
      </c>
      <c r="N503">
        <f>生データ!N611</f>
        <v>0</v>
      </c>
      <c r="O503">
        <f>生データ!O611</f>
        <v>0</v>
      </c>
      <c r="P503" t="str">
        <f>生データ!P611</f>
        <v>L</v>
      </c>
      <c r="Q503">
        <f>生データ!Q611</f>
        <v>0</v>
      </c>
      <c r="R503">
        <f>生データ!R611</f>
        <v>0</v>
      </c>
      <c r="S503" t="str">
        <f>生データ!S611</f>
        <v>同株　つけ忘れ　No752　DBH=9.2mm　H=1.1ｍ　L=2.1</v>
      </c>
      <c r="T503">
        <f>生データ!T611</f>
        <v>5.6022539968347163</v>
      </c>
      <c r="U503">
        <f>生データ!U611</f>
        <v>5.6977469626898527</v>
      </c>
      <c r="V503">
        <f>COUNTIF(怪しいデータを手直し!F$2:F$701,Sheet5!F503)</f>
        <v>1</v>
      </c>
    </row>
    <row r="504" spans="1:22">
      <c r="A504">
        <f>生データ!A612</f>
        <v>0</v>
      </c>
      <c r="B504">
        <f>生データ!B612</f>
        <v>40</v>
      </c>
      <c r="C504">
        <f>生データ!C612</f>
        <v>6.7995243082631154</v>
      </c>
      <c r="D504">
        <f>生データ!D612</f>
        <v>42.379869731107441</v>
      </c>
      <c r="E504">
        <f>生データ!E612</f>
        <v>0</v>
      </c>
      <c r="F504">
        <f>IF(生データ!E612="Wr",3000+生データ!F612,IF(生データ!E612="Wb",4000+生データ!F612,生データ!F612))</f>
        <v>66</v>
      </c>
      <c r="G504" t="str">
        <f>生データ!G612</f>
        <v>lc</v>
      </c>
      <c r="H504">
        <f>生データ!H612</f>
        <v>17.7</v>
      </c>
      <c r="I504">
        <f>生データ!I612</f>
        <v>0</v>
      </c>
      <c r="J504" t="str">
        <f>生データ!J612</f>
        <v>dead</v>
      </c>
      <c r="K504">
        <f>生データ!K612</f>
        <v>0</v>
      </c>
      <c r="L504">
        <f>生データ!L612</f>
        <v>5.5</v>
      </c>
      <c r="M504">
        <f>生データ!M612</f>
        <v>1</v>
      </c>
      <c r="N504">
        <f>生データ!N612</f>
        <v>0</v>
      </c>
      <c r="O504">
        <f>生データ!O612</f>
        <v>0</v>
      </c>
      <c r="P504" t="str">
        <f>生データ!P612</f>
        <v>L</v>
      </c>
      <c r="Q504">
        <f>生データ!Q612</f>
        <v>0</v>
      </c>
      <c r="R504">
        <f>生データ!R612</f>
        <v>0</v>
      </c>
      <c r="S504">
        <f>生データ!S612</f>
        <v>0</v>
      </c>
      <c r="T504">
        <f>生データ!T612</f>
        <v>5.6340849854530948</v>
      </c>
      <c r="U504" t="str">
        <f>生データ!U612</f>
        <v>dead</v>
      </c>
      <c r="V504">
        <f>COUNTIF(怪しいデータを手直し!F$2:F$701,Sheet5!F504)</f>
        <v>1</v>
      </c>
    </row>
    <row r="505" spans="1:22">
      <c r="A505">
        <f>生データ!A613</f>
        <v>0</v>
      </c>
      <c r="B505">
        <f>生データ!B613</f>
        <v>30</v>
      </c>
      <c r="C505">
        <f>生データ!C613</f>
        <v>8.9931143600748431</v>
      </c>
      <c r="D505">
        <f>生データ!D613</f>
        <v>32.377960013936693</v>
      </c>
      <c r="E505">
        <f>生データ!E613</f>
        <v>0</v>
      </c>
      <c r="F505">
        <f>IF(生データ!E613="Wr",3000+生データ!F613,IF(生データ!E613="Wb",4000+生データ!F613,生データ!F613))</f>
        <v>84</v>
      </c>
      <c r="G505" t="str">
        <f>生データ!G613</f>
        <v>lc</v>
      </c>
      <c r="H505">
        <f>生データ!H613</f>
        <v>17.7</v>
      </c>
      <c r="I505">
        <f>生データ!I613</f>
        <v>0</v>
      </c>
      <c r="J505" t="str">
        <f>生データ!J613</f>
        <v>dead</v>
      </c>
      <c r="K505">
        <f>生データ!K613</f>
        <v>0</v>
      </c>
      <c r="L505">
        <f>生データ!L613</f>
        <v>5.0999999999999996</v>
      </c>
      <c r="M505">
        <f>生データ!M613</f>
        <v>0.3</v>
      </c>
      <c r="N505">
        <f>生データ!N613</f>
        <v>0</v>
      </c>
      <c r="O505">
        <f>生データ!O613</f>
        <v>0</v>
      </c>
      <c r="P505" t="str">
        <f>生データ!P613</f>
        <v>L</v>
      </c>
      <c r="Q505">
        <f>生データ!Q613</f>
        <v>0</v>
      </c>
      <c r="R505">
        <f>生データ!R613</f>
        <v>0</v>
      </c>
      <c r="S505">
        <f>生データ!S613</f>
        <v>0</v>
      </c>
      <c r="T505">
        <f>生データ!T613</f>
        <v>5.6340849854530948</v>
      </c>
      <c r="U505" t="str">
        <f>生データ!U613</f>
        <v>dead</v>
      </c>
      <c r="V505">
        <f>COUNTIF(怪しいデータを手直し!F$2:F$701,Sheet5!F505)</f>
        <v>1</v>
      </c>
    </row>
    <row r="506" spans="1:22">
      <c r="A506">
        <f>生データ!A614</f>
        <v>10</v>
      </c>
      <c r="B506">
        <f>生データ!B614</f>
        <v>-30</v>
      </c>
      <c r="C506">
        <f>生データ!C614</f>
        <v>10.053751892067991</v>
      </c>
      <c r="D506">
        <f>生データ!D614</f>
        <v>-22.868215606397772</v>
      </c>
      <c r="E506">
        <f>生データ!E614</f>
        <v>0</v>
      </c>
      <c r="F506">
        <f>IF(生データ!E614="Wr",3000+生データ!F614,IF(生データ!E614="Wb",4000+生データ!F614,生データ!F614))</f>
        <v>615</v>
      </c>
      <c r="G506" t="str">
        <f>生データ!G614</f>
        <v>lc</v>
      </c>
      <c r="H506">
        <f>生データ!H614</f>
        <v>17.7</v>
      </c>
      <c r="I506">
        <f>生データ!I614</f>
        <v>0</v>
      </c>
      <c r="J506" t="str">
        <f>生データ!J614</f>
        <v>dead</v>
      </c>
      <c r="K506">
        <f>生データ!K614</f>
        <v>0</v>
      </c>
      <c r="L506">
        <f>生データ!L614</f>
        <v>5.6</v>
      </c>
      <c r="M506">
        <f>生データ!M614</f>
        <v>1</v>
      </c>
      <c r="N506">
        <f>生データ!N614</f>
        <v>0</v>
      </c>
      <c r="O506">
        <f>生データ!O614</f>
        <v>0</v>
      </c>
      <c r="P506" t="str">
        <f>生データ!P614</f>
        <v>L</v>
      </c>
      <c r="Q506">
        <f>生データ!Q614</f>
        <v>0</v>
      </c>
      <c r="R506">
        <f>生データ!R614</f>
        <v>0</v>
      </c>
      <c r="S506">
        <f>生データ!S614</f>
        <v>0</v>
      </c>
      <c r="T506">
        <f>生データ!T614</f>
        <v>5.6340849854530948</v>
      </c>
      <c r="U506" t="str">
        <f>生データ!U614</f>
        <v>dead</v>
      </c>
      <c r="V506">
        <f>COUNTIF(怪しいデータを手直し!F$2:F$701,Sheet5!F506)</f>
        <v>1</v>
      </c>
    </row>
    <row r="507" spans="1:22">
      <c r="A507">
        <f>生データ!A615</f>
        <v>40</v>
      </c>
      <c r="B507">
        <f>生データ!B615</f>
        <v>0</v>
      </c>
      <c r="C507">
        <f>生データ!C615</f>
        <v>41.100623071933988</v>
      </c>
      <c r="D507">
        <f>生データ!D615</f>
        <v>5.1944273126372771</v>
      </c>
      <c r="E507">
        <f>生データ!E615</f>
        <v>0</v>
      </c>
      <c r="F507">
        <f>IF(生データ!E615="Wr",3000+生データ!F615,IF(生データ!E615="Wb",4000+生データ!F615,生データ!F615))</f>
        <v>267</v>
      </c>
      <c r="G507" t="str">
        <f>生データ!G615</f>
        <v>bp</v>
      </c>
      <c r="H507">
        <f>生データ!H615</f>
        <v>17.8</v>
      </c>
      <c r="I507">
        <f>生データ!I615</f>
        <v>0</v>
      </c>
      <c r="J507">
        <f>生データ!J615</f>
        <v>20</v>
      </c>
      <c r="K507">
        <f>生データ!K615</f>
        <v>0</v>
      </c>
      <c r="L507">
        <f>生データ!L615</f>
        <v>5.0999999999999996</v>
      </c>
      <c r="M507">
        <f>生データ!M615</f>
        <v>1.9</v>
      </c>
      <c r="N507">
        <f>生データ!N615</f>
        <v>0</v>
      </c>
      <c r="O507">
        <f>生データ!O615</f>
        <v>0</v>
      </c>
      <c r="P507" t="str">
        <f>生データ!P615</f>
        <v>L</v>
      </c>
      <c r="Q507">
        <f>生データ!Q615</f>
        <v>0</v>
      </c>
      <c r="R507">
        <f>生データ!R615</f>
        <v>0</v>
      </c>
      <c r="S507">
        <f>生データ!S615</f>
        <v>0</v>
      </c>
      <c r="T507">
        <f>生データ!T615</f>
        <v>5.6659159740714742</v>
      </c>
      <c r="U507">
        <f>生データ!U615</f>
        <v>6.366197723675814</v>
      </c>
      <c r="V507">
        <f>COUNTIF(怪しいデータを手直し!F$2:F$701,Sheet5!F507)</f>
        <v>1</v>
      </c>
    </row>
    <row r="508" spans="1:22">
      <c r="A508">
        <f>生データ!A616</f>
        <v>40</v>
      </c>
      <c r="B508">
        <f>生データ!B616</f>
        <v>40</v>
      </c>
      <c r="C508">
        <f>生データ!C616</f>
        <v>46.208042528020819</v>
      </c>
      <c r="D508">
        <f>生データ!D616</f>
        <v>45.883966224469788</v>
      </c>
      <c r="E508">
        <f>生データ!E616</f>
        <v>0</v>
      </c>
      <c r="F508">
        <f>IF(生データ!E616="Wr",3000+生データ!F616,IF(生データ!E616="Wb",4000+生データ!F616,生データ!F616))</f>
        <v>353</v>
      </c>
      <c r="G508" t="str">
        <f>生データ!G616</f>
        <v>lc</v>
      </c>
      <c r="H508">
        <f>生データ!H616</f>
        <v>17.899999999999999</v>
      </c>
      <c r="I508">
        <f>生データ!I616</f>
        <v>0</v>
      </c>
      <c r="J508">
        <f>生データ!J616</f>
        <v>22.3</v>
      </c>
      <c r="K508">
        <f>生データ!K616</f>
        <v>0</v>
      </c>
      <c r="L508">
        <f>生データ!L616</f>
        <v>6.8</v>
      </c>
      <c r="M508">
        <f>生データ!M616</f>
        <v>0.8</v>
      </c>
      <c r="N508">
        <f>生データ!N616</f>
        <v>0</v>
      </c>
      <c r="O508">
        <f>生データ!O616</f>
        <v>0</v>
      </c>
      <c r="P508" t="str">
        <f>生データ!P616</f>
        <v>L</v>
      </c>
      <c r="Q508">
        <f>生データ!Q616</f>
        <v>0</v>
      </c>
      <c r="R508">
        <f>生データ!R616</f>
        <v>0</v>
      </c>
      <c r="S508">
        <f>生データ!S616</f>
        <v>0</v>
      </c>
      <c r="T508">
        <f>生データ!T616</f>
        <v>5.6977469626898527</v>
      </c>
      <c r="U508">
        <f>生データ!U616</f>
        <v>7.0983104618985324</v>
      </c>
      <c r="V508">
        <f>COUNTIF(怪しいデータを手直し!F$2:F$701,Sheet5!F508)</f>
        <v>1</v>
      </c>
    </row>
    <row r="509" spans="1:22">
      <c r="A509">
        <f>生データ!A617</f>
        <v>30</v>
      </c>
      <c r="B509">
        <f>生データ!B617</f>
        <v>10</v>
      </c>
      <c r="C509">
        <f>生データ!C617</f>
        <v>31.896743692831674</v>
      </c>
      <c r="D509">
        <f>生データ!D617</f>
        <v>17.510168004924175</v>
      </c>
      <c r="E509">
        <f>生データ!E617</f>
        <v>0</v>
      </c>
      <c r="F509">
        <f>IF(生データ!E617="Wr",3000+生データ!F617,IF(生データ!E617="Wb",4000+生データ!F617,生データ!F617))</f>
        <v>1001</v>
      </c>
      <c r="G509" t="str">
        <f>生データ!G617</f>
        <v>bp</v>
      </c>
      <c r="H509">
        <f>生データ!H617</f>
        <v>17.899999999999999</v>
      </c>
      <c r="I509">
        <f>生データ!I617</f>
        <v>0</v>
      </c>
      <c r="J509">
        <f>生データ!J617</f>
        <v>18.2</v>
      </c>
      <c r="K509">
        <f>生データ!K617</f>
        <v>0</v>
      </c>
      <c r="L509">
        <f>生データ!L617</f>
        <v>6</v>
      </c>
      <c r="M509">
        <f>生データ!M617</f>
        <v>2.1</v>
      </c>
      <c r="N509">
        <f>生データ!N617</f>
        <v>0</v>
      </c>
      <c r="O509">
        <f>生データ!O617</f>
        <v>0</v>
      </c>
      <c r="P509" t="str">
        <f>生データ!P617</f>
        <v>L</v>
      </c>
      <c r="Q509">
        <f>生データ!Q617</f>
        <v>0</v>
      </c>
      <c r="R509" t="str">
        <f>生データ!R617</f>
        <v>fall down,224 same clump</v>
      </c>
      <c r="S509" t="str">
        <f>生データ!S617</f>
        <v>New No598 white red</v>
      </c>
      <c r="T509">
        <f>生データ!T617</f>
        <v>5.6977469626898527</v>
      </c>
      <c r="U509">
        <f>生データ!U617</f>
        <v>5.79323992854499</v>
      </c>
      <c r="V509">
        <f>COUNTIF(怪しいデータを手直し!F$2:F$701,Sheet5!F509)</f>
        <v>1</v>
      </c>
    </row>
    <row r="510" spans="1:22">
      <c r="A510">
        <f>生データ!A618</f>
        <v>40</v>
      </c>
      <c r="B510">
        <f>生データ!B618</f>
        <v>-10</v>
      </c>
      <c r="C510">
        <f>生データ!C618</f>
        <v>48.186840600406832</v>
      </c>
      <c r="D510">
        <f>生データ!D618</f>
        <v>-2.4773681582814722</v>
      </c>
      <c r="E510">
        <f>生データ!E618</f>
        <v>0</v>
      </c>
      <c r="F510">
        <f>IF(生データ!E618="Wr",3000+生データ!F618,IF(生データ!E618="Wb",4000+生データ!F618,生データ!F618))</f>
        <v>463</v>
      </c>
      <c r="G510" t="str">
        <f>生データ!G618</f>
        <v>bp</v>
      </c>
      <c r="H510">
        <f>生データ!H618</f>
        <v>17.899999999999999</v>
      </c>
      <c r="I510">
        <f>生データ!I618</f>
        <v>0</v>
      </c>
      <c r="J510">
        <f>生データ!J618</f>
        <v>18.8</v>
      </c>
      <c r="K510">
        <f>生データ!K618</f>
        <v>0</v>
      </c>
      <c r="L510">
        <f>生データ!L618</f>
        <v>5.3</v>
      </c>
      <c r="M510">
        <f>生データ!M618</f>
        <v>1.9</v>
      </c>
      <c r="N510">
        <f>生データ!N618</f>
        <v>0</v>
      </c>
      <c r="O510">
        <f>生データ!O618</f>
        <v>0</v>
      </c>
      <c r="P510" t="str">
        <f>生データ!P618</f>
        <v>L</v>
      </c>
      <c r="Q510">
        <f>生データ!Q618</f>
        <v>0</v>
      </c>
      <c r="R510">
        <f>生データ!R618</f>
        <v>0</v>
      </c>
      <c r="S510">
        <f>生データ!S618</f>
        <v>0</v>
      </c>
      <c r="T510">
        <f>生データ!T618</f>
        <v>5.6977469626898527</v>
      </c>
      <c r="U510">
        <f>生データ!U618</f>
        <v>5.9842258602552647</v>
      </c>
      <c r="V510">
        <f>COUNTIF(怪しいデータを手直し!F$2:F$701,Sheet5!F510)</f>
        <v>1</v>
      </c>
    </row>
    <row r="511" spans="1:22">
      <c r="A511">
        <f>生データ!A619</f>
        <v>20</v>
      </c>
      <c r="B511">
        <f>生データ!B619</f>
        <v>40</v>
      </c>
      <c r="C511">
        <f>生データ!C619</f>
        <v>26.109179631508535</v>
      </c>
      <c r="D511">
        <f>生データ!D619</f>
        <v>46.690405386070509</v>
      </c>
      <c r="E511">
        <f>生データ!E619</f>
        <v>0</v>
      </c>
      <c r="F511">
        <f>IF(生データ!E619="Wr",3000+生データ!F619,IF(生データ!E619="Wb",4000+生データ!F619,生データ!F619))</f>
        <v>188</v>
      </c>
      <c r="G511" t="str">
        <f>生データ!G619</f>
        <v>bp</v>
      </c>
      <c r="H511">
        <f>生データ!H619</f>
        <v>18</v>
      </c>
      <c r="I511">
        <f>生データ!I619</f>
        <v>0</v>
      </c>
      <c r="J511">
        <f>生データ!J619</f>
        <v>19</v>
      </c>
      <c r="K511">
        <f>生データ!K619</f>
        <v>0</v>
      </c>
      <c r="L511">
        <f>生データ!L619</f>
        <v>6.7</v>
      </c>
      <c r="M511">
        <f>生データ!M619</f>
        <v>2</v>
      </c>
      <c r="N511">
        <f>生データ!N619</f>
        <v>0</v>
      </c>
      <c r="O511">
        <f>生データ!O619</f>
        <v>0</v>
      </c>
      <c r="P511" t="str">
        <f>生データ!P619</f>
        <v>L</v>
      </c>
      <c r="Q511">
        <f>生データ!Q619</f>
        <v>0</v>
      </c>
      <c r="R511">
        <f>生データ!R619</f>
        <v>0</v>
      </c>
      <c r="S511">
        <f>生データ!S619</f>
        <v>0</v>
      </c>
      <c r="T511">
        <f>生データ!T619</f>
        <v>5.7295779513082321</v>
      </c>
      <c r="U511">
        <f>生データ!U619</f>
        <v>6.0478878374920226</v>
      </c>
      <c r="V511">
        <f>COUNTIF(怪しいデータを手直し!F$2:F$701,Sheet5!F511)</f>
        <v>1</v>
      </c>
    </row>
    <row r="512" spans="1:22">
      <c r="A512">
        <f>生データ!A620</f>
        <v>40</v>
      </c>
      <c r="B512">
        <f>生データ!B620</f>
        <v>40</v>
      </c>
      <c r="C512">
        <f>生データ!C620</f>
        <v>49.59543713340743</v>
      </c>
      <c r="D512">
        <f>生データ!D620</f>
        <v>42.182825894791982</v>
      </c>
      <c r="E512">
        <f>生データ!E620</f>
        <v>0</v>
      </c>
      <c r="F512">
        <f>IF(生データ!E620="Wr",3000+生データ!F620,IF(生データ!E620="Wb",4000+生データ!F620,生データ!F620))</f>
        <v>349</v>
      </c>
      <c r="G512" t="str">
        <f>生データ!G620</f>
        <v>bp</v>
      </c>
      <c r="H512">
        <f>生データ!H620</f>
        <v>18</v>
      </c>
      <c r="I512">
        <f>生データ!I620</f>
        <v>0</v>
      </c>
      <c r="J512">
        <f>生データ!J620</f>
        <v>19</v>
      </c>
      <c r="K512">
        <f>生データ!K620</f>
        <v>0</v>
      </c>
      <c r="L512">
        <f>生データ!L620</f>
        <v>6.8</v>
      </c>
      <c r="M512">
        <f>生データ!M620</f>
        <v>2.5</v>
      </c>
      <c r="N512">
        <f>生データ!N620</f>
        <v>0</v>
      </c>
      <c r="O512">
        <f>生データ!O620</f>
        <v>0</v>
      </c>
      <c r="P512" t="str">
        <f>生データ!P620</f>
        <v>L</v>
      </c>
      <c r="Q512">
        <f>生データ!Q620</f>
        <v>0</v>
      </c>
      <c r="R512">
        <f>生データ!R620</f>
        <v>0</v>
      </c>
      <c r="S512">
        <f>生データ!S620</f>
        <v>0</v>
      </c>
      <c r="T512">
        <f>生データ!T620</f>
        <v>5.7295779513082321</v>
      </c>
      <c r="U512">
        <f>生データ!U620</f>
        <v>6.0478878374920226</v>
      </c>
      <c r="V512">
        <f>COUNTIF(怪しいデータを手直し!F$2:F$701,Sheet5!F512)</f>
        <v>1</v>
      </c>
    </row>
    <row r="513" spans="1:22">
      <c r="A513">
        <f>生データ!A621</f>
        <v>40</v>
      </c>
      <c r="B513">
        <f>生データ!B621</f>
        <v>0</v>
      </c>
      <c r="C513">
        <f>生データ!C621</f>
        <v>41.045795804813331</v>
      </c>
      <c r="D513">
        <f>生データ!D621</f>
        <v>5.0799175683089572</v>
      </c>
      <c r="E513">
        <f>生データ!E621</f>
        <v>0</v>
      </c>
      <c r="F513">
        <f>IF(生データ!E621="Wr",3000+生データ!F621,IF(生データ!E621="Wb",4000+生データ!F621,生データ!F621))</f>
        <v>266</v>
      </c>
      <c r="G513" t="str">
        <f>生データ!G621</f>
        <v>bp</v>
      </c>
      <c r="H513">
        <f>生データ!H621</f>
        <v>18.100000000000001</v>
      </c>
      <c r="I513">
        <f>生データ!I621</f>
        <v>0</v>
      </c>
      <c r="J513">
        <f>生データ!J621</f>
        <v>19.7</v>
      </c>
      <c r="K513">
        <f>生データ!K621</f>
        <v>0</v>
      </c>
      <c r="L513">
        <f>生データ!L621</f>
        <v>4.3</v>
      </c>
      <c r="M513">
        <f>生データ!M621</f>
        <v>1.6</v>
      </c>
      <c r="N513">
        <f>生データ!N621</f>
        <v>0</v>
      </c>
      <c r="O513">
        <f>生データ!O621</f>
        <v>0</v>
      </c>
      <c r="P513" t="str">
        <f>生データ!P621</f>
        <v>L</v>
      </c>
      <c r="Q513">
        <f>生データ!Q621</f>
        <v>0</v>
      </c>
      <c r="R513">
        <f>生データ!R621</f>
        <v>0</v>
      </c>
      <c r="S513">
        <f>生データ!S621</f>
        <v>0</v>
      </c>
      <c r="T513">
        <f>生データ!T621</f>
        <v>5.7614089399266115</v>
      </c>
      <c r="U513">
        <f>生データ!U621</f>
        <v>6.2707047578206758</v>
      </c>
      <c r="V513">
        <f>COUNTIF(怪しいデータを手直し!F$2:F$701,Sheet5!F513)</f>
        <v>1</v>
      </c>
    </row>
    <row r="514" spans="1:22">
      <c r="A514">
        <f>生データ!A622</f>
        <v>50</v>
      </c>
      <c r="B514">
        <f>生データ!B622</f>
        <v>-30</v>
      </c>
      <c r="C514">
        <f>生データ!C622</f>
        <v>50.277366863519219</v>
      </c>
      <c r="D514">
        <f>生データ!D622</f>
        <v>-27.783751864123932</v>
      </c>
      <c r="E514">
        <f>生データ!E622</f>
        <v>0</v>
      </c>
      <c r="F514">
        <f>IF(生データ!E622="Wr",3000+生データ!F622,IF(生データ!E622="Wb",4000+生データ!F622,生データ!F622))</f>
        <v>703</v>
      </c>
      <c r="G514" t="str">
        <f>生データ!G622</f>
        <v>bp</v>
      </c>
      <c r="H514">
        <f>生データ!H622</f>
        <v>18.2</v>
      </c>
      <c r="I514">
        <f>生データ!I622</f>
        <v>0</v>
      </c>
      <c r="J514">
        <f>生データ!J622</f>
        <v>19.2</v>
      </c>
      <c r="K514">
        <f>生データ!K622</f>
        <v>0</v>
      </c>
      <c r="L514">
        <f>生データ!L622</f>
        <v>6.6</v>
      </c>
      <c r="M514">
        <f>生データ!M622</f>
        <v>3.4</v>
      </c>
      <c r="N514">
        <f>生データ!N622</f>
        <v>0</v>
      </c>
      <c r="O514">
        <f>生データ!O622</f>
        <v>0</v>
      </c>
      <c r="P514" t="str">
        <f>生データ!P622</f>
        <v>L</v>
      </c>
      <c r="Q514">
        <f>生データ!Q622</f>
        <v>0</v>
      </c>
      <c r="R514">
        <f>生データ!R622</f>
        <v>0</v>
      </c>
      <c r="S514">
        <f>生データ!S622</f>
        <v>0</v>
      </c>
      <c r="T514">
        <f>生データ!T622</f>
        <v>5.79323992854499</v>
      </c>
      <c r="U514">
        <f>生データ!U622</f>
        <v>6.1115498147287806</v>
      </c>
      <c r="V514">
        <f>COUNTIF(怪しいデータを手直し!F$2:F$701,Sheet5!F514)</f>
        <v>1</v>
      </c>
    </row>
    <row r="515" spans="1:22">
      <c r="A515">
        <f>生データ!A623</f>
        <v>0</v>
      </c>
      <c r="B515">
        <f>生データ!B623</f>
        <v>20</v>
      </c>
      <c r="C515">
        <f>生データ!C623</f>
        <v>8.8119505183786533</v>
      </c>
      <c r="D515">
        <f>生データ!D623</f>
        <v>22.148121984815155</v>
      </c>
      <c r="E515">
        <f>生データ!E623</f>
        <v>0</v>
      </c>
      <c r="F515">
        <f>IF(生データ!E623="Wr",3000+生データ!F623,IF(生データ!E623="Wb",4000+生データ!F623,生データ!F623))</f>
        <v>34</v>
      </c>
      <c r="G515" t="str">
        <f>生データ!G623</f>
        <v>bp</v>
      </c>
      <c r="H515">
        <f>生データ!H623</f>
        <v>18.399999999999999</v>
      </c>
      <c r="I515">
        <f>生データ!I623</f>
        <v>0</v>
      </c>
      <c r="J515">
        <f>生データ!J623</f>
        <v>21</v>
      </c>
      <c r="K515">
        <f>生データ!K623</f>
        <v>0</v>
      </c>
      <c r="L515">
        <f>生データ!L623</f>
        <v>4.3</v>
      </c>
      <c r="M515">
        <f>生データ!M623</f>
        <v>0.9</v>
      </c>
      <c r="N515">
        <f>生データ!N623</f>
        <v>0</v>
      </c>
      <c r="O515">
        <f>生データ!O623</f>
        <v>0</v>
      </c>
      <c r="P515" t="str">
        <f>生データ!P623</f>
        <v>L</v>
      </c>
      <c r="Q515">
        <f>生データ!Q623</f>
        <v>0</v>
      </c>
      <c r="R515">
        <f>生データ!R623</f>
        <v>0</v>
      </c>
      <c r="S515">
        <f>生データ!S623</f>
        <v>0</v>
      </c>
      <c r="T515">
        <f>生データ!T623</f>
        <v>5.856901905781748</v>
      </c>
      <c r="U515">
        <f>生データ!U623</f>
        <v>6.6845076098596046</v>
      </c>
      <c r="V515">
        <f>COUNTIF(怪しいデータを手直し!F$2:F$701,Sheet5!F515)</f>
        <v>1</v>
      </c>
    </row>
    <row r="516" spans="1:22">
      <c r="A516">
        <f>生データ!A624</f>
        <v>30</v>
      </c>
      <c r="B516">
        <f>生データ!B624</f>
        <v>10</v>
      </c>
      <c r="C516">
        <f>生データ!C624</f>
        <v>32.249368886906424</v>
      </c>
      <c r="D516">
        <f>生データ!D624</f>
        <v>17.100131104581216</v>
      </c>
      <c r="E516">
        <f>生データ!E624</f>
        <v>0</v>
      </c>
      <c r="F516">
        <f>IF(生データ!E624="Wr",3000+生データ!F624,IF(生データ!E624="Wb",4000+生データ!F624,生データ!F624))</f>
        <v>229</v>
      </c>
      <c r="G516" t="str">
        <f>生データ!G624</f>
        <v>bp</v>
      </c>
      <c r="H516">
        <f>生データ!H624</f>
        <v>18.399999999999999</v>
      </c>
      <c r="I516">
        <f>生データ!I624</f>
        <v>0</v>
      </c>
      <c r="J516">
        <f>生データ!J624</f>
        <v>20.2</v>
      </c>
      <c r="K516">
        <f>生データ!K624</f>
        <v>0</v>
      </c>
      <c r="L516">
        <f>生データ!L624</f>
        <v>5.6</v>
      </c>
      <c r="M516">
        <f>生データ!M624</f>
        <v>1.5</v>
      </c>
      <c r="N516">
        <f>生データ!N624</f>
        <v>0</v>
      </c>
      <c r="O516">
        <f>生データ!O624</f>
        <v>0</v>
      </c>
      <c r="P516" t="str">
        <f>生データ!P624</f>
        <v>L</v>
      </c>
      <c r="Q516">
        <f>生データ!Q624</f>
        <v>0</v>
      </c>
      <c r="R516">
        <f>生データ!R624</f>
        <v>0</v>
      </c>
      <c r="S516">
        <f>生データ!S624</f>
        <v>0</v>
      </c>
      <c r="T516">
        <f>生データ!T624</f>
        <v>5.856901905781748</v>
      </c>
      <c r="U516">
        <f>生データ!U624</f>
        <v>6.429859700912572</v>
      </c>
      <c r="V516">
        <f>COUNTIF(怪しいデータを手直し!F$2:F$701,Sheet5!F516)</f>
        <v>1</v>
      </c>
    </row>
    <row r="517" spans="1:22">
      <c r="A517">
        <f>生データ!A625</f>
        <v>20</v>
      </c>
      <c r="B517">
        <f>生データ!B625</f>
        <v>10</v>
      </c>
      <c r="C517">
        <f>生データ!C625</f>
        <v>24.256321189866224</v>
      </c>
      <c r="D517">
        <f>生データ!D625</f>
        <v>10.97345114030658</v>
      </c>
      <c r="E517">
        <f>生データ!E625</f>
        <v>0</v>
      </c>
      <c r="F517">
        <f>IF(生データ!E625="Wr",3000+生データ!F625,IF(生データ!E625="Wb",4000+生データ!F625,生データ!F625))</f>
        <v>136</v>
      </c>
      <c r="G517" t="str">
        <f>生データ!G625</f>
        <v>bp</v>
      </c>
      <c r="H517">
        <f>生データ!H625</f>
        <v>18.5</v>
      </c>
      <c r="I517">
        <f>生データ!I625</f>
        <v>0</v>
      </c>
      <c r="J517">
        <f>生データ!J625</f>
        <v>18.100000000000001</v>
      </c>
      <c r="K517">
        <f>生データ!K625</f>
        <v>0</v>
      </c>
      <c r="L517">
        <f>生データ!L625</f>
        <v>6.6</v>
      </c>
      <c r="M517">
        <f>生データ!M625</f>
        <v>2.6</v>
      </c>
      <c r="N517">
        <f>生データ!N625</f>
        <v>0</v>
      </c>
      <c r="O517">
        <f>生データ!O625</f>
        <v>0</v>
      </c>
      <c r="P517" t="str">
        <f>生データ!P625</f>
        <v>L</v>
      </c>
      <c r="Q517">
        <f>生データ!Q625</f>
        <v>0</v>
      </c>
      <c r="R517">
        <f>生データ!R625</f>
        <v>0</v>
      </c>
      <c r="S517">
        <f>生データ!S625</f>
        <v>0</v>
      </c>
      <c r="T517">
        <f>生データ!T625</f>
        <v>5.8887328944001274</v>
      </c>
      <c r="U517">
        <f>生データ!U625</f>
        <v>5.7614089399266115</v>
      </c>
      <c r="V517">
        <f>COUNTIF(怪しいデータを手直し!F$2:F$701,Sheet5!F517)</f>
        <v>1</v>
      </c>
    </row>
    <row r="518" spans="1:22">
      <c r="A518">
        <f>生データ!A626</f>
        <v>10</v>
      </c>
      <c r="B518">
        <f>生データ!B626</f>
        <v>-10</v>
      </c>
      <c r="C518">
        <f>生データ!C626</f>
        <v>12.525669415854443</v>
      </c>
      <c r="D518">
        <f>生データ!D626</f>
        <v>-2.7854252820381808</v>
      </c>
      <c r="E518">
        <f>生データ!E626</f>
        <v>0</v>
      </c>
      <c r="F518">
        <f>IF(生データ!E626="Wr",3000+生データ!F626,IF(生データ!E626="Wb",4000+生データ!F626,生データ!F626))</f>
        <v>407</v>
      </c>
      <c r="G518" t="str">
        <f>生データ!G626</f>
        <v>lc</v>
      </c>
      <c r="H518">
        <f>生データ!H626</f>
        <v>18.7</v>
      </c>
      <c r="I518">
        <f>生データ!I626</f>
        <v>0</v>
      </c>
      <c r="J518" t="str">
        <f>生データ!J626</f>
        <v>dead</v>
      </c>
      <c r="K518">
        <f>生データ!K626</f>
        <v>0</v>
      </c>
      <c r="L518">
        <f>生データ!L626</f>
        <v>5.6</v>
      </c>
      <c r="M518">
        <f>生データ!M626</f>
        <v>0</v>
      </c>
      <c r="N518">
        <f>生データ!N626</f>
        <v>0</v>
      </c>
      <c r="O518">
        <f>生データ!O626</f>
        <v>0</v>
      </c>
      <c r="P518" t="str">
        <f>生データ!P626</f>
        <v>D</v>
      </c>
      <c r="Q518">
        <f>生データ!Q626</f>
        <v>0</v>
      </c>
      <c r="R518">
        <f>生データ!R626</f>
        <v>0</v>
      </c>
      <c r="S518">
        <f>生データ!S626</f>
        <v>0</v>
      </c>
      <c r="T518">
        <f>生データ!T626</f>
        <v>5.9523948716368853</v>
      </c>
      <c r="U518" t="str">
        <f>生データ!U626</f>
        <v>dead</v>
      </c>
      <c r="V518">
        <f>COUNTIF(怪しいデータを手直し!F$2:F$701,Sheet5!F518)</f>
        <v>1</v>
      </c>
    </row>
    <row r="519" spans="1:22">
      <c r="A519">
        <f>生データ!A627</f>
        <v>20</v>
      </c>
      <c r="B519">
        <f>生データ!B627</f>
        <v>10</v>
      </c>
      <c r="C519">
        <f>生データ!C627</f>
        <v>21.951670549920319</v>
      </c>
      <c r="D519">
        <f>生データ!D627</f>
        <v>12.184686375306248</v>
      </c>
      <c r="E519">
        <f>生データ!E627</f>
        <v>0</v>
      </c>
      <c r="F519">
        <f>IF(生データ!E627="Wr",3000+生データ!F627,IF(生データ!E627="Wb",4000+生データ!F627,生データ!F627))</f>
        <v>149</v>
      </c>
      <c r="G519" t="str">
        <f>生データ!G627</f>
        <v>bp</v>
      </c>
      <c r="H519">
        <f>生データ!H627</f>
        <v>18.8</v>
      </c>
      <c r="I519">
        <f>生データ!I627</f>
        <v>0</v>
      </c>
      <c r="J519">
        <f>生データ!J627</f>
        <v>18.399999999999999</v>
      </c>
      <c r="K519">
        <f>生データ!K627</f>
        <v>0</v>
      </c>
      <c r="L519">
        <f>生データ!L627</f>
        <v>5.6</v>
      </c>
      <c r="M519">
        <f>生データ!M627</f>
        <v>2.2000000000000002</v>
      </c>
      <c r="N519">
        <f>生データ!N627</f>
        <v>0</v>
      </c>
      <c r="O519">
        <f>生データ!O627</f>
        <v>0</v>
      </c>
      <c r="P519" t="str">
        <f>生データ!P627</f>
        <v>L</v>
      </c>
      <c r="Q519">
        <f>生データ!Q627</f>
        <v>0</v>
      </c>
      <c r="R519">
        <f>生データ!R627</f>
        <v>0</v>
      </c>
      <c r="S519">
        <f>生データ!S627</f>
        <v>0</v>
      </c>
      <c r="T519">
        <f>生データ!T627</f>
        <v>5.9842258602552647</v>
      </c>
      <c r="U519">
        <f>生データ!U627</f>
        <v>5.856901905781748</v>
      </c>
      <c r="V519">
        <f>COUNTIF(怪しいデータを手直し!F$2:F$701,Sheet5!F519)</f>
        <v>1</v>
      </c>
    </row>
    <row r="520" spans="1:22">
      <c r="A520">
        <f>生データ!A628</f>
        <v>30</v>
      </c>
      <c r="B520">
        <f>生データ!B628</f>
        <v>40</v>
      </c>
      <c r="C520">
        <f>生データ!C628</f>
        <v>30.571213760692721</v>
      </c>
      <c r="D520">
        <f>生データ!D628</f>
        <v>48.901788563302368</v>
      </c>
      <c r="E520">
        <f>生データ!E628</f>
        <v>0</v>
      </c>
      <c r="F520">
        <f>IF(生データ!E628="Wr",3000+生データ!F628,IF(生データ!E628="Wb",4000+生データ!F628,生データ!F628))</f>
        <v>199</v>
      </c>
      <c r="G520" t="str">
        <f>生データ!G628</f>
        <v>bp</v>
      </c>
      <c r="H520">
        <f>生データ!H628</f>
        <v>18.8</v>
      </c>
      <c r="I520">
        <f>生データ!I628</f>
        <v>0</v>
      </c>
      <c r="J520">
        <f>生データ!J628</f>
        <v>18.8</v>
      </c>
      <c r="K520">
        <f>生データ!K628</f>
        <v>0</v>
      </c>
      <c r="L520">
        <f>生データ!L628</f>
        <v>6.9</v>
      </c>
      <c r="M520">
        <f>生データ!M628</f>
        <v>2.5</v>
      </c>
      <c r="N520">
        <f>生データ!N628</f>
        <v>0</v>
      </c>
      <c r="O520">
        <f>生データ!O628</f>
        <v>0</v>
      </c>
      <c r="P520" t="str">
        <f>生データ!P628</f>
        <v>L</v>
      </c>
      <c r="Q520">
        <f>生データ!Q628</f>
        <v>0</v>
      </c>
      <c r="R520">
        <f>生データ!R628</f>
        <v>0</v>
      </c>
      <c r="S520">
        <f>生データ!S628</f>
        <v>0</v>
      </c>
      <c r="T520">
        <f>生データ!T628</f>
        <v>5.9842258602552647</v>
      </c>
      <c r="U520">
        <f>生データ!U628</f>
        <v>5.9842258602552647</v>
      </c>
      <c r="V520">
        <f>COUNTIF(怪しいデータを手直し!F$2:F$701,Sheet5!F520)</f>
        <v>1</v>
      </c>
    </row>
    <row r="521" spans="1:22">
      <c r="A521">
        <f>生データ!A629</f>
        <v>30</v>
      </c>
      <c r="B521">
        <f>生データ!B629</f>
        <v>20</v>
      </c>
      <c r="C521">
        <f>生データ!C629</f>
        <v>30.124602273945477</v>
      </c>
      <c r="D521">
        <f>生データ!D629</f>
        <v>24.75836886688365</v>
      </c>
      <c r="E521">
        <f>生データ!E629</f>
        <v>0</v>
      </c>
      <c r="F521">
        <f>IF(生データ!E629="Wr",3000+生データ!F629,IF(生データ!E629="Wb",4000+生データ!F629,生データ!F629))</f>
        <v>207</v>
      </c>
      <c r="G521" t="str">
        <f>生データ!G629</f>
        <v>lc</v>
      </c>
      <c r="H521">
        <f>生データ!H629</f>
        <v>18.899999999999999</v>
      </c>
      <c r="I521">
        <f>生データ!I629</f>
        <v>0</v>
      </c>
      <c r="J521" t="str">
        <f>生データ!J629</f>
        <v>dead</v>
      </c>
      <c r="K521">
        <f>生データ!K629</f>
        <v>0</v>
      </c>
      <c r="L521">
        <f>生データ!L629</f>
        <v>6.3</v>
      </c>
      <c r="M521">
        <f>生データ!M629</f>
        <v>0.3</v>
      </c>
      <c r="N521">
        <f>生データ!N629</f>
        <v>0</v>
      </c>
      <c r="O521">
        <f>生データ!O629</f>
        <v>0</v>
      </c>
      <c r="P521" t="str">
        <f>生データ!P629</f>
        <v>L</v>
      </c>
      <c r="Q521">
        <f>生データ!Q629</f>
        <v>0</v>
      </c>
      <c r="R521">
        <f>生データ!R629</f>
        <v>0</v>
      </c>
      <c r="S521">
        <f>生データ!S629</f>
        <v>0</v>
      </c>
      <c r="T521">
        <f>生データ!T629</f>
        <v>6.0160568488736432</v>
      </c>
      <c r="U521" t="str">
        <f>生データ!U629</f>
        <v>dead</v>
      </c>
      <c r="V521">
        <f>COUNTIF(怪しいデータを手直し!F$2:F$701,Sheet5!F521)</f>
        <v>1</v>
      </c>
    </row>
    <row r="522" spans="1:22">
      <c r="A522">
        <f>生データ!A630</f>
        <v>40</v>
      </c>
      <c r="B522">
        <f>生データ!B630</f>
        <v>-10</v>
      </c>
      <c r="C522">
        <f>生データ!C630</f>
        <v>47.831262169247523</v>
      </c>
      <c r="D522">
        <f>生データ!D630</f>
        <v>-2.5663546562123978</v>
      </c>
      <c r="E522">
        <f>生データ!E630</f>
        <v>0</v>
      </c>
      <c r="F522">
        <f>IF(生データ!E630="Wr",3000+生データ!F630,IF(生データ!E630="Wb",4000+生データ!F630,生データ!F630))</f>
        <v>458</v>
      </c>
      <c r="G522" t="str">
        <f>生データ!G630</f>
        <v>bp</v>
      </c>
      <c r="H522">
        <f>生データ!H630</f>
        <v>18.899999999999999</v>
      </c>
      <c r="I522">
        <f>生データ!I630</f>
        <v>0</v>
      </c>
      <c r="J522">
        <f>生データ!J630</f>
        <v>19.899999999999999</v>
      </c>
      <c r="K522">
        <f>生データ!K630</f>
        <v>0</v>
      </c>
      <c r="L522">
        <f>生データ!L630</f>
        <v>5.4</v>
      </c>
      <c r="M522">
        <f>生データ!M630</f>
        <v>1.9</v>
      </c>
      <c r="N522">
        <f>生データ!N630</f>
        <v>0</v>
      </c>
      <c r="O522">
        <f>生データ!O630</f>
        <v>0</v>
      </c>
      <c r="P522" t="str">
        <f>生データ!P630</f>
        <v>L</v>
      </c>
      <c r="Q522">
        <f>生データ!Q630</f>
        <v>0</v>
      </c>
      <c r="R522">
        <f>生データ!R630</f>
        <v>0</v>
      </c>
      <c r="S522">
        <f>生データ!S630</f>
        <v>0</v>
      </c>
      <c r="T522">
        <f>生データ!T630</f>
        <v>6.0160568488736432</v>
      </c>
      <c r="U522">
        <f>生データ!U630</f>
        <v>6.3343667350574338</v>
      </c>
      <c r="V522">
        <f>COUNTIF(怪しいデータを手直し!F$2:F$701,Sheet5!F522)</f>
        <v>1</v>
      </c>
    </row>
    <row r="523" spans="1:22">
      <c r="A523">
        <f>生データ!A631</f>
        <v>20</v>
      </c>
      <c r="B523">
        <f>生データ!B631</f>
        <v>30</v>
      </c>
      <c r="C523">
        <f>生データ!C631</f>
        <v>20.851731153255873</v>
      </c>
      <c r="D523">
        <f>生データ!D631</f>
        <v>33.616571920780075</v>
      </c>
      <c r="E523">
        <f>生データ!E631</f>
        <v>0</v>
      </c>
      <c r="F523">
        <f>IF(生データ!E631="Wr",3000+生データ!F631,IF(生データ!E631="Wb",4000+生データ!F631,生データ!F631))</f>
        <v>177</v>
      </c>
      <c r="G523" t="str">
        <f>生データ!G631</f>
        <v>bp</v>
      </c>
      <c r="H523">
        <f>生データ!H631</f>
        <v>19.2</v>
      </c>
      <c r="I523">
        <f>生データ!I631</f>
        <v>0</v>
      </c>
      <c r="J523">
        <f>生データ!J631</f>
        <v>21.6</v>
      </c>
      <c r="K523">
        <f>生データ!K631</f>
        <v>0</v>
      </c>
      <c r="L523">
        <f>生データ!L631</f>
        <v>5.6</v>
      </c>
      <c r="M523">
        <f>生データ!M631</f>
        <v>2.7</v>
      </c>
      <c r="N523">
        <f>生データ!N631</f>
        <v>0</v>
      </c>
      <c r="O523">
        <f>生データ!O631</f>
        <v>0</v>
      </c>
      <c r="P523" t="str">
        <f>生データ!P631</f>
        <v>L</v>
      </c>
      <c r="Q523">
        <f>生データ!Q631</f>
        <v>0</v>
      </c>
      <c r="R523">
        <f>生データ!R631</f>
        <v>0</v>
      </c>
      <c r="S523">
        <f>生データ!S631</f>
        <v>0</v>
      </c>
      <c r="T523">
        <f>生データ!T631</f>
        <v>6.1115498147287806</v>
      </c>
      <c r="U523">
        <f>生データ!U631</f>
        <v>6.8754935415698792</v>
      </c>
      <c r="V523">
        <f>COUNTIF(怪しいデータを手直し!F$2:F$701,Sheet5!F523)</f>
        <v>1</v>
      </c>
    </row>
    <row r="524" spans="1:22">
      <c r="A524">
        <f>生データ!A632</f>
        <v>20</v>
      </c>
      <c r="B524">
        <f>生データ!B632</f>
        <v>-20</v>
      </c>
      <c r="C524">
        <f>生データ!C632</f>
        <v>26.95918370245057</v>
      </c>
      <c r="D524">
        <f>生データ!D632</f>
        <v>-13.567563635531844</v>
      </c>
      <c r="E524">
        <f>生データ!E632</f>
        <v>0</v>
      </c>
      <c r="F524">
        <f>IF(生データ!E632="Wr",3000+生データ!F632,IF(生データ!E632="Wb",4000+生データ!F632,生データ!F632))</f>
        <v>552</v>
      </c>
      <c r="G524" t="str">
        <f>生データ!G632</f>
        <v>bp</v>
      </c>
      <c r="H524">
        <f>生データ!H632</f>
        <v>19.3</v>
      </c>
      <c r="I524">
        <f>生データ!I632</f>
        <v>0</v>
      </c>
      <c r="J524">
        <f>生データ!J632</f>
        <v>20.7</v>
      </c>
      <c r="K524">
        <f>生データ!K632</f>
        <v>0</v>
      </c>
      <c r="L524">
        <f>生データ!L632</f>
        <v>6.6</v>
      </c>
      <c r="M524">
        <f>生データ!M632</f>
        <v>3.5</v>
      </c>
      <c r="N524">
        <f>生データ!N632</f>
        <v>0</v>
      </c>
      <c r="O524">
        <f>生データ!O632</f>
        <v>0</v>
      </c>
      <c r="P524" t="str">
        <f>生データ!P632</f>
        <v>L</v>
      </c>
      <c r="Q524">
        <f>生データ!Q632</f>
        <v>0</v>
      </c>
      <c r="R524" t="str">
        <f>生データ!R632</f>
        <v>Ddead H=6.9</v>
      </c>
      <c r="S524">
        <f>生データ!S632</f>
        <v>0</v>
      </c>
      <c r="T524">
        <f>生データ!T632</f>
        <v>6.1433808033471609</v>
      </c>
      <c r="U524">
        <f>生データ!U632</f>
        <v>6.5890146440044672</v>
      </c>
      <c r="V524">
        <f>COUNTIF(怪しいデータを手直し!F$2:F$701,Sheet5!F524)</f>
        <v>1</v>
      </c>
    </row>
    <row r="525" spans="1:22">
      <c r="A525">
        <f>生データ!A633</f>
        <v>40</v>
      </c>
      <c r="B525">
        <f>生データ!B633</f>
        <v>-30</v>
      </c>
      <c r="C525">
        <f>生データ!C633</f>
        <v>42.713143904854235</v>
      </c>
      <c r="D525">
        <f>生データ!D633</f>
        <v>-25.766937840350597</v>
      </c>
      <c r="E525">
        <f>生データ!E633</f>
        <v>0</v>
      </c>
      <c r="F525">
        <f>IF(生データ!E633="Wr",3000+生データ!F633,IF(生データ!E633="Wb",4000+生データ!F633,生データ!F633))</f>
        <v>681</v>
      </c>
      <c r="G525" t="str">
        <f>生データ!G633</f>
        <v>bp</v>
      </c>
      <c r="H525">
        <f>生データ!H633</f>
        <v>19.399999999999999</v>
      </c>
      <c r="I525">
        <f>生データ!I633</f>
        <v>0</v>
      </c>
      <c r="J525">
        <f>生データ!J633</f>
        <v>20.3</v>
      </c>
      <c r="K525">
        <f>生データ!K633</f>
        <v>0</v>
      </c>
      <c r="L525">
        <f>生データ!L633</f>
        <v>5.0999999999999996</v>
      </c>
      <c r="M525">
        <f>生データ!M633</f>
        <v>1.9</v>
      </c>
      <c r="N525">
        <f>生データ!N633</f>
        <v>0</v>
      </c>
      <c r="O525">
        <f>生データ!O633</f>
        <v>0</v>
      </c>
      <c r="P525" t="str">
        <f>生データ!P633</f>
        <v>L</v>
      </c>
      <c r="Q525">
        <f>生データ!Q633</f>
        <v>0</v>
      </c>
      <c r="R525">
        <f>生データ!R633</f>
        <v>0</v>
      </c>
      <c r="S525">
        <f>生データ!S633</f>
        <v>0</v>
      </c>
      <c r="T525">
        <f>生データ!T633</f>
        <v>6.1752117919655385</v>
      </c>
      <c r="U525">
        <f>生データ!U633</f>
        <v>6.4616906895309514</v>
      </c>
      <c r="V525">
        <f>COUNTIF(怪しいデータを手直し!F$2:F$701,Sheet5!F525)</f>
        <v>1</v>
      </c>
    </row>
    <row r="526" spans="1:22">
      <c r="A526">
        <f>生データ!A634</f>
        <v>40</v>
      </c>
      <c r="B526">
        <f>生データ!B634</f>
        <v>-30</v>
      </c>
      <c r="C526">
        <f>生データ!C634</f>
        <v>42.241277722406934</v>
      </c>
      <c r="D526">
        <f>生データ!D634</f>
        <v>-25.786425470262586</v>
      </c>
      <c r="E526">
        <f>生データ!E634</f>
        <v>0</v>
      </c>
      <c r="F526">
        <f>IF(生データ!E634="Wr",3000+生データ!F634,IF(生データ!E634="Wb",4000+生データ!F634,生データ!F634))</f>
        <v>687</v>
      </c>
      <c r="G526" t="str">
        <f>生データ!G634</f>
        <v>bp</v>
      </c>
      <c r="H526">
        <f>生データ!H634</f>
        <v>19.399999999999999</v>
      </c>
      <c r="I526">
        <f>生データ!I634</f>
        <v>0</v>
      </c>
      <c r="J526" t="str">
        <f>生データ!J634</f>
        <v>dead</v>
      </c>
      <c r="K526">
        <f>生データ!K634</f>
        <v>0</v>
      </c>
      <c r="L526">
        <f>生データ!L634</f>
        <v>2.8</v>
      </c>
      <c r="M526">
        <f>生データ!M634</f>
        <v>0</v>
      </c>
      <c r="N526">
        <f>生データ!N634</f>
        <v>0</v>
      </c>
      <c r="O526">
        <f>生データ!O634</f>
        <v>0</v>
      </c>
      <c r="P526" t="str">
        <f>生データ!P634</f>
        <v>D</v>
      </c>
      <c r="Q526">
        <f>生データ!Q634</f>
        <v>0</v>
      </c>
      <c r="R526">
        <f>生データ!R634</f>
        <v>0</v>
      </c>
      <c r="S526">
        <f>生データ!S634</f>
        <v>0</v>
      </c>
      <c r="T526">
        <f>生データ!T634</f>
        <v>6.1752117919655385</v>
      </c>
      <c r="U526" t="str">
        <f>生データ!U634</f>
        <v>dead</v>
      </c>
      <c r="V526">
        <f>COUNTIF(怪しいデータを手直し!F$2:F$701,Sheet5!F526)</f>
        <v>1</v>
      </c>
    </row>
    <row r="527" spans="1:22">
      <c r="A527">
        <f>生データ!A635</f>
        <v>40</v>
      </c>
      <c r="B527">
        <f>生データ!B635</f>
        <v>-30</v>
      </c>
      <c r="C527">
        <f>生データ!C635</f>
        <v>41.972325866754147</v>
      </c>
      <c r="D527">
        <f>生データ!D635</f>
        <v>-25.582787237594637</v>
      </c>
      <c r="E527">
        <f>生データ!E635</f>
        <v>0</v>
      </c>
      <c r="F527">
        <f>IF(生データ!E635="Wr",3000+生データ!F635,IF(生データ!E635="Wb",4000+生データ!F635,生データ!F635))</f>
        <v>691</v>
      </c>
      <c r="G527" t="str">
        <f>生データ!G635</f>
        <v>bp</v>
      </c>
      <c r="H527">
        <f>生データ!H635</f>
        <v>19.399999999999999</v>
      </c>
      <c r="I527">
        <f>生データ!I635</f>
        <v>0</v>
      </c>
      <c r="J527" t="str">
        <f>生データ!J635</f>
        <v>dead</v>
      </c>
      <c r="K527">
        <f>生データ!K635</f>
        <v>0</v>
      </c>
      <c r="L527">
        <f>生データ!L635</f>
        <v>5</v>
      </c>
      <c r="M527">
        <f>生データ!M635</f>
        <v>3.4</v>
      </c>
      <c r="N527">
        <f>生データ!N635</f>
        <v>0</v>
      </c>
      <c r="O527">
        <f>生データ!O635</f>
        <v>0</v>
      </c>
      <c r="P527" t="str">
        <f>生データ!P635</f>
        <v>L</v>
      </c>
      <c r="Q527">
        <f>生データ!Q635</f>
        <v>0</v>
      </c>
      <c r="R527">
        <f>生データ!R635</f>
        <v>0</v>
      </c>
      <c r="S527">
        <f>生データ!S635</f>
        <v>0</v>
      </c>
      <c r="T527">
        <f>生データ!T635</f>
        <v>6.1752117919655385</v>
      </c>
      <c r="U527" t="str">
        <f>生データ!U635</f>
        <v>dead</v>
      </c>
      <c r="V527">
        <f>COUNTIF(怪しいデータを手直し!F$2:F$701,Sheet5!F527)</f>
        <v>1</v>
      </c>
    </row>
    <row r="528" spans="1:22">
      <c r="A528">
        <f>生データ!A636</f>
        <v>40</v>
      </c>
      <c r="B528">
        <f>生データ!B636</f>
        <v>-30</v>
      </c>
      <c r="C528">
        <f>生データ!C636</f>
        <v>48.14767037396004</v>
      </c>
      <c r="D528">
        <f>生データ!D636</f>
        <v>-23.593335497569491</v>
      </c>
      <c r="E528">
        <f>生データ!E636</f>
        <v>0</v>
      </c>
      <c r="F528">
        <f>IF(生データ!E636="Wr",3000+生データ!F636,IF(生データ!E636="Wb",4000+生データ!F636,生データ!F636))</f>
        <v>699</v>
      </c>
      <c r="G528" t="str">
        <f>生データ!G636</f>
        <v>bp</v>
      </c>
      <c r="H528">
        <f>生データ!H636</f>
        <v>19.5</v>
      </c>
      <c r="I528">
        <f>生データ!I636</f>
        <v>0</v>
      </c>
      <c r="J528">
        <f>生データ!J636</f>
        <v>20.5</v>
      </c>
      <c r="K528">
        <f>生データ!K636</f>
        <v>0</v>
      </c>
      <c r="L528">
        <f>生データ!L636</f>
        <v>6.2</v>
      </c>
      <c r="M528">
        <f>生データ!M636</f>
        <v>2.5</v>
      </c>
      <c r="N528">
        <f>生データ!N636</f>
        <v>0</v>
      </c>
      <c r="O528">
        <f>生データ!O636</f>
        <v>0</v>
      </c>
      <c r="P528" t="str">
        <f>生データ!P636</f>
        <v>L</v>
      </c>
      <c r="Q528">
        <f>生データ!Q636</f>
        <v>0</v>
      </c>
      <c r="R528">
        <f>生データ!R636</f>
        <v>0</v>
      </c>
      <c r="S528">
        <f>生データ!S636</f>
        <v>0</v>
      </c>
      <c r="T528">
        <f>生データ!T636</f>
        <v>6.2070427805839179</v>
      </c>
      <c r="U528">
        <f>生データ!U636</f>
        <v>6.5253526667677093</v>
      </c>
      <c r="V528">
        <f>COUNTIF(怪しいデータを手直し!F$2:F$701,Sheet5!F528)</f>
        <v>1</v>
      </c>
    </row>
    <row r="529" spans="1:22">
      <c r="A529">
        <f>生データ!A637</f>
        <v>30</v>
      </c>
      <c r="B529">
        <f>生データ!B637</f>
        <v>-30</v>
      </c>
      <c r="C529">
        <f>生データ!C637</f>
        <v>31.465226941117038</v>
      </c>
      <c r="D529">
        <f>生データ!D637</f>
        <v>-21.375939682916666</v>
      </c>
      <c r="E529">
        <f>生データ!E637</f>
        <v>0</v>
      </c>
      <c r="F529">
        <f>IF(生データ!E637="Wr",3000+生データ!F637,IF(生データ!E637="Wb",4000+生データ!F637,生データ!F637))</f>
        <v>660</v>
      </c>
      <c r="G529" t="str">
        <f>生データ!G637</f>
        <v>pt</v>
      </c>
      <c r="H529">
        <f>生データ!H637</f>
        <v>19.7</v>
      </c>
      <c r="I529">
        <f>生データ!I637</f>
        <v>0</v>
      </c>
      <c r="J529">
        <f>生データ!J637</f>
        <v>21</v>
      </c>
      <c r="K529">
        <f>生データ!K637</f>
        <v>0</v>
      </c>
      <c r="L529">
        <f>生データ!L637</f>
        <v>7.1</v>
      </c>
      <c r="M529">
        <f>生データ!M637</f>
        <v>1</v>
      </c>
      <c r="N529">
        <f>生データ!N637</f>
        <v>0</v>
      </c>
      <c r="O529">
        <f>生データ!O637</f>
        <v>0</v>
      </c>
      <c r="P529" t="str">
        <f>生データ!P637</f>
        <v>L</v>
      </c>
      <c r="Q529">
        <f>生データ!Q637</f>
        <v>0</v>
      </c>
      <c r="R529">
        <f>生データ!R637</f>
        <v>0</v>
      </c>
      <c r="S529" t="str">
        <f>生データ!S637</f>
        <v>NewNo 771</v>
      </c>
      <c r="T529">
        <f>生データ!T637</f>
        <v>6.2707047578206758</v>
      </c>
      <c r="U529">
        <f>生データ!U637</f>
        <v>6.6845076098596046</v>
      </c>
      <c r="V529">
        <f>COUNTIF(怪しいデータを手直し!F$2:F$701,Sheet5!F529)</f>
        <v>1</v>
      </c>
    </row>
    <row r="530" spans="1:22">
      <c r="A530">
        <f>生データ!A638</f>
        <v>10</v>
      </c>
      <c r="B530">
        <f>生データ!B638</f>
        <v>40</v>
      </c>
      <c r="C530">
        <f>生データ!C638</f>
        <v>10.849723576956984</v>
      </c>
      <c r="D530">
        <f>生データ!D638</f>
        <v>47.732583098932928</v>
      </c>
      <c r="E530">
        <f>生データ!E638</f>
        <v>0</v>
      </c>
      <c r="F530">
        <f>IF(生データ!E638="Wr",3000+生データ!F638,IF(生データ!E638="Wb",4000+生データ!F638,生データ!F638))</f>
        <v>73</v>
      </c>
      <c r="G530" t="str">
        <f>生データ!G638</f>
        <v>lc</v>
      </c>
      <c r="H530">
        <f>生データ!H638</f>
        <v>19.899999999999999</v>
      </c>
      <c r="I530">
        <f>生データ!I638</f>
        <v>0</v>
      </c>
      <c r="J530" t="str">
        <f>生データ!J638</f>
        <v>dead</v>
      </c>
      <c r="K530">
        <f>生データ!K638</f>
        <v>0</v>
      </c>
      <c r="L530">
        <f>生データ!L638</f>
        <v>5.4</v>
      </c>
      <c r="M530">
        <f>生データ!M638</f>
        <v>0</v>
      </c>
      <c r="N530">
        <f>生データ!N638</f>
        <v>0</v>
      </c>
      <c r="O530">
        <f>生データ!O638</f>
        <v>0</v>
      </c>
      <c r="P530" t="str">
        <f>生データ!P638</f>
        <v>D</v>
      </c>
      <c r="Q530">
        <f>生データ!Q638</f>
        <v>0</v>
      </c>
      <c r="R530">
        <f>生データ!R638</f>
        <v>0</v>
      </c>
      <c r="S530">
        <f>生データ!S638</f>
        <v>0</v>
      </c>
      <c r="T530">
        <f>生データ!T638</f>
        <v>6.3343667350574338</v>
      </c>
      <c r="U530" t="str">
        <f>生データ!U638</f>
        <v>dead</v>
      </c>
      <c r="V530">
        <f>COUNTIF(怪しいデータを手直し!F$2:F$701,Sheet5!F530)</f>
        <v>1</v>
      </c>
    </row>
    <row r="531" spans="1:22">
      <c r="A531">
        <f>生データ!A639</f>
        <v>40</v>
      </c>
      <c r="B531">
        <f>生データ!B639</f>
        <v>20</v>
      </c>
      <c r="C531">
        <f>生データ!C639</f>
        <v>42.049845489303813</v>
      </c>
      <c r="D531">
        <f>生データ!D639</f>
        <v>29.65374661382328</v>
      </c>
      <c r="E531">
        <f>生データ!E639</f>
        <v>0</v>
      </c>
      <c r="F531">
        <f>IF(生データ!E639="Wr",3000+生データ!F639,IF(生データ!E639="Wb",4000+生データ!F639,生データ!F639))</f>
        <v>310</v>
      </c>
      <c r="G531" t="str">
        <f>生データ!G639</f>
        <v>bp</v>
      </c>
      <c r="H531">
        <f>生データ!H639</f>
        <v>0</v>
      </c>
      <c r="I531">
        <f>生データ!I639</f>
        <v>6.35</v>
      </c>
      <c r="J531">
        <f>生データ!J639</f>
        <v>23.3</v>
      </c>
      <c r="K531">
        <f>生データ!K639</f>
        <v>0</v>
      </c>
      <c r="L531">
        <f>生データ!L639</f>
        <v>5.9</v>
      </c>
      <c r="M531">
        <f>生データ!M639</f>
        <v>2</v>
      </c>
      <c r="N531">
        <f>生データ!N639</f>
        <v>0</v>
      </c>
      <c r="O531">
        <f>生データ!O639</f>
        <v>0</v>
      </c>
      <c r="P531" t="str">
        <f>生データ!P639</f>
        <v>L</v>
      </c>
      <c r="Q531">
        <f>生データ!Q639</f>
        <v>0</v>
      </c>
      <c r="R531">
        <f>生データ!R639</f>
        <v>0</v>
      </c>
      <c r="S531">
        <f>生データ!S639</f>
        <v>0</v>
      </c>
      <c r="T531">
        <f>生データ!T639</f>
        <v>6.35</v>
      </c>
      <c r="U531">
        <f>生データ!U639</f>
        <v>7.416620348082323</v>
      </c>
      <c r="V531">
        <f>COUNTIF(怪しいデータを手直し!F$2:F$701,Sheet5!F531)</f>
        <v>1</v>
      </c>
    </row>
    <row r="532" spans="1:22">
      <c r="A532">
        <f>生データ!A640</f>
        <v>20</v>
      </c>
      <c r="B532">
        <f>生データ!B640</f>
        <v>-30</v>
      </c>
      <c r="C532">
        <f>生データ!C640</f>
        <v>24.491891167551483</v>
      </c>
      <c r="D532">
        <f>生データ!D640</f>
        <v>-26.074597689551354</v>
      </c>
      <c r="E532">
        <f>生データ!E640</f>
        <v>0</v>
      </c>
      <c r="F532">
        <f>IF(生データ!E640="Wr",3000+生データ!F640,IF(生データ!E640="Wb",4000+生データ!F640,生データ!F640))</f>
        <v>643</v>
      </c>
      <c r="G532" t="str">
        <f>生データ!G640</f>
        <v>bp</v>
      </c>
      <c r="H532">
        <f>生データ!H640</f>
        <v>20.100000000000001</v>
      </c>
      <c r="I532">
        <f>生データ!I640</f>
        <v>0</v>
      </c>
      <c r="J532">
        <f>生データ!J640</f>
        <v>22</v>
      </c>
      <c r="K532">
        <f>生データ!K640</f>
        <v>0</v>
      </c>
      <c r="L532">
        <f>生データ!L640</f>
        <v>6.4</v>
      </c>
      <c r="M532">
        <f>生データ!M640</f>
        <v>3.6</v>
      </c>
      <c r="N532">
        <f>生データ!N640</f>
        <v>0</v>
      </c>
      <c r="O532">
        <f>生データ!O640</f>
        <v>0</v>
      </c>
      <c r="P532" t="str">
        <f>生データ!P640</f>
        <v>L</v>
      </c>
      <c r="Q532">
        <f>生データ!Q640</f>
        <v>0</v>
      </c>
      <c r="R532">
        <f>生データ!R640</f>
        <v>0</v>
      </c>
      <c r="S532">
        <f>生データ!S640</f>
        <v>0</v>
      </c>
      <c r="T532">
        <f>生データ!T640</f>
        <v>6.3980287122941935</v>
      </c>
      <c r="U532">
        <f>生データ!U640</f>
        <v>7.0028174960433951</v>
      </c>
      <c r="V532">
        <f>COUNTIF(怪しいデータを手直し!F$2:F$701,Sheet5!F532)</f>
        <v>1</v>
      </c>
    </row>
    <row r="533" spans="1:22">
      <c r="A533">
        <f>生データ!A641</f>
        <v>20</v>
      </c>
      <c r="B533">
        <f>生データ!B641</f>
        <v>40</v>
      </c>
      <c r="C533">
        <f>生データ!C641</f>
        <v>26.363027006017866</v>
      </c>
      <c r="D533">
        <f>生データ!D641</f>
        <v>46.658527413827123</v>
      </c>
      <c r="E533">
        <f>生データ!E641</f>
        <v>0</v>
      </c>
      <c r="F533">
        <f>IF(生データ!E641="Wr",3000+生データ!F641,IF(生データ!E641="Wb",4000+生データ!F641,生データ!F641))</f>
        <v>187</v>
      </c>
      <c r="G533" t="str">
        <f>生データ!G641</f>
        <v>bp</v>
      </c>
      <c r="H533">
        <f>生データ!H641</f>
        <v>20.3</v>
      </c>
      <c r="I533">
        <f>生データ!I641</f>
        <v>0</v>
      </c>
      <c r="J533">
        <f>生データ!J641</f>
        <v>22</v>
      </c>
      <c r="K533">
        <f>生データ!K641</f>
        <v>0</v>
      </c>
      <c r="L533">
        <f>生データ!L641</f>
        <v>6.6</v>
      </c>
      <c r="M533">
        <f>生データ!M641</f>
        <v>2.1</v>
      </c>
      <c r="N533">
        <f>生データ!N641</f>
        <v>0</v>
      </c>
      <c r="O533">
        <f>生データ!O641</f>
        <v>0</v>
      </c>
      <c r="P533" t="str">
        <f>生データ!P641</f>
        <v>L</v>
      </c>
      <c r="Q533">
        <f>生データ!Q641</f>
        <v>0</v>
      </c>
      <c r="R533">
        <f>生データ!R641</f>
        <v>0</v>
      </c>
      <c r="S533">
        <f>生データ!S641</f>
        <v>0</v>
      </c>
      <c r="T533">
        <f>生データ!T641</f>
        <v>6.4616906895309514</v>
      </c>
      <c r="U533">
        <f>生データ!U641</f>
        <v>7.0028174960433951</v>
      </c>
      <c r="V533">
        <f>COUNTIF(怪しいデータを手直し!F$2:F$701,Sheet5!F533)</f>
        <v>1</v>
      </c>
    </row>
    <row r="534" spans="1:22">
      <c r="A534">
        <f>生データ!A642</f>
        <v>40</v>
      </c>
      <c r="B534">
        <f>生データ!B642</f>
        <v>-30</v>
      </c>
      <c r="C534">
        <f>生データ!C642</f>
        <v>42.059526159725067</v>
      </c>
      <c r="D534">
        <f>生データ!D642</f>
        <v>-25.726284030932</v>
      </c>
      <c r="E534">
        <f>生データ!E642</f>
        <v>0</v>
      </c>
      <c r="F534">
        <f>IF(生データ!E642="Wr",3000+生データ!F642,IF(生データ!E642="Wb",4000+生データ!F642,生データ!F642))</f>
        <v>688</v>
      </c>
      <c r="G534" t="str">
        <f>生データ!G642</f>
        <v>bp</v>
      </c>
      <c r="H534">
        <f>生データ!H642</f>
        <v>20.3</v>
      </c>
      <c r="I534">
        <f>生データ!I642</f>
        <v>0</v>
      </c>
      <c r="J534">
        <f>生データ!J642</f>
        <v>19.8</v>
      </c>
      <c r="K534">
        <f>生データ!K642</f>
        <v>0</v>
      </c>
      <c r="L534">
        <f>生データ!L642</f>
        <v>5.0999999999999996</v>
      </c>
      <c r="M534">
        <f>生データ!M642</f>
        <v>1.8</v>
      </c>
      <c r="N534">
        <f>生データ!N642</f>
        <v>0</v>
      </c>
      <c r="O534">
        <f>生データ!O642</f>
        <v>0</v>
      </c>
      <c r="P534" t="str">
        <f>生データ!P642</f>
        <v>L</v>
      </c>
      <c r="Q534">
        <f>生データ!Q642</f>
        <v>0</v>
      </c>
      <c r="R534">
        <f>生データ!R642</f>
        <v>0</v>
      </c>
      <c r="S534">
        <f>生データ!S642</f>
        <v>0</v>
      </c>
      <c r="T534">
        <f>生データ!T642</f>
        <v>6.4616906895309514</v>
      </c>
      <c r="U534">
        <f>生データ!U642</f>
        <v>6.3025357464390561</v>
      </c>
      <c r="V534">
        <f>COUNTIF(怪しいデータを手直し!F$2:F$701,Sheet5!F534)</f>
        <v>1</v>
      </c>
    </row>
    <row r="535" spans="1:22">
      <c r="A535">
        <f>生データ!A643</f>
        <v>10</v>
      </c>
      <c r="B535">
        <f>生データ!B643</f>
        <v>40</v>
      </c>
      <c r="C535">
        <f>生データ!C643</f>
        <v>14.923433426844973</v>
      </c>
      <c r="D535">
        <f>生データ!D643</f>
        <v>45.147948312514899</v>
      </c>
      <c r="E535">
        <f>生データ!E643</f>
        <v>0</v>
      </c>
      <c r="F535">
        <f>IF(生データ!E643="Wr",3000+生データ!F643,IF(生データ!E643="Wb",4000+生データ!F643,生データ!F643))</f>
        <v>77</v>
      </c>
      <c r="G535" t="str">
        <f>生データ!G643</f>
        <v>lc</v>
      </c>
      <c r="H535">
        <f>生データ!H643</f>
        <v>20.5</v>
      </c>
      <c r="I535">
        <f>生データ!I643</f>
        <v>0</v>
      </c>
      <c r="J535" t="str">
        <f>生データ!J643</f>
        <v>dead</v>
      </c>
      <c r="K535">
        <f>生データ!K643</f>
        <v>0</v>
      </c>
      <c r="L535">
        <f>生データ!L643</f>
        <v>5.0999999999999996</v>
      </c>
      <c r="M535">
        <f>生データ!M643</f>
        <v>0</v>
      </c>
      <c r="N535">
        <f>生データ!N643</f>
        <v>0</v>
      </c>
      <c r="O535">
        <f>生データ!O643</f>
        <v>0</v>
      </c>
      <c r="P535" t="str">
        <f>生データ!P643</f>
        <v>D</v>
      </c>
      <c r="Q535">
        <f>生データ!Q643</f>
        <v>0</v>
      </c>
      <c r="R535">
        <f>生データ!R643</f>
        <v>0</v>
      </c>
      <c r="S535">
        <f>生データ!S643</f>
        <v>0</v>
      </c>
      <c r="T535">
        <f>生データ!T643</f>
        <v>6.5253526667677093</v>
      </c>
      <c r="U535" t="str">
        <f>生データ!U643</f>
        <v>dead</v>
      </c>
      <c r="V535">
        <f>COUNTIF(怪しいデータを手直し!F$2:F$701,Sheet5!F535)</f>
        <v>1</v>
      </c>
    </row>
    <row r="536" spans="1:22">
      <c r="A536">
        <f>生データ!A644</f>
        <v>20</v>
      </c>
      <c r="B536">
        <f>生データ!B644</f>
        <v>10</v>
      </c>
      <c r="C536">
        <f>生データ!C644</f>
        <v>21.916912528638999</v>
      </c>
      <c r="D536">
        <f>生データ!D644</f>
        <v>12.382501619525305</v>
      </c>
      <c r="E536">
        <f>生データ!E644</f>
        <v>0</v>
      </c>
      <c r="F536">
        <f>IF(生データ!E644="Wr",3000+生データ!F644,IF(生データ!E644="Wb",4000+生データ!F644,生データ!F644))</f>
        <v>152</v>
      </c>
      <c r="G536" t="str">
        <f>生データ!G644</f>
        <v>bp</v>
      </c>
      <c r="H536">
        <f>生データ!H644</f>
        <v>20.5</v>
      </c>
      <c r="I536">
        <f>生データ!I644</f>
        <v>0</v>
      </c>
      <c r="J536">
        <f>生データ!J644</f>
        <v>21.2</v>
      </c>
      <c r="K536">
        <f>生データ!K644</f>
        <v>0</v>
      </c>
      <c r="L536">
        <f>生データ!L644</f>
        <v>6.4</v>
      </c>
      <c r="M536">
        <f>生データ!M644</f>
        <v>2</v>
      </c>
      <c r="N536">
        <f>生データ!N644</f>
        <v>0</v>
      </c>
      <c r="O536">
        <f>生データ!O644</f>
        <v>0</v>
      </c>
      <c r="P536" t="str">
        <f>生データ!P644</f>
        <v>L</v>
      </c>
      <c r="Q536">
        <f>生データ!Q644</f>
        <v>0</v>
      </c>
      <c r="R536">
        <f>生データ!R644</f>
        <v>0</v>
      </c>
      <c r="S536">
        <f>生データ!S644</f>
        <v>0</v>
      </c>
      <c r="T536">
        <f>生データ!T644</f>
        <v>6.5253526667677093</v>
      </c>
      <c r="U536">
        <f>生データ!U644</f>
        <v>6.7481695870963625</v>
      </c>
      <c r="V536">
        <f>COUNTIF(怪しいデータを手直し!F$2:F$701,Sheet5!F536)</f>
        <v>1</v>
      </c>
    </row>
    <row r="537" spans="1:22">
      <c r="A537">
        <f>生データ!A645</f>
        <v>40</v>
      </c>
      <c r="B537">
        <f>生データ!B645</f>
        <v>-10</v>
      </c>
      <c r="C537">
        <f>生データ!C645</f>
        <v>43.452236059635894</v>
      </c>
      <c r="D537">
        <f>生データ!D645</f>
        <v>-9.6493346487751737</v>
      </c>
      <c r="E537">
        <f>生データ!E645</f>
        <v>0</v>
      </c>
      <c r="F537">
        <f>IF(生データ!E645="Wr",3000+生データ!F645,IF(生データ!E645="Wb",4000+生データ!F645,生データ!F645))</f>
        <v>450</v>
      </c>
      <c r="G537" t="str">
        <f>生データ!G645</f>
        <v>bp</v>
      </c>
      <c r="H537">
        <f>生データ!H645</f>
        <v>20.5</v>
      </c>
      <c r="I537">
        <f>生データ!I645</f>
        <v>0</v>
      </c>
      <c r="J537">
        <f>生データ!J645</f>
        <v>23.2</v>
      </c>
      <c r="K537">
        <f>生データ!K645</f>
        <v>0</v>
      </c>
      <c r="L537">
        <f>生データ!L645</f>
        <v>6.2</v>
      </c>
      <c r="M537">
        <f>生データ!M645</f>
        <v>2.4</v>
      </c>
      <c r="N537">
        <f>生データ!N645</f>
        <v>0</v>
      </c>
      <c r="O537">
        <f>生データ!O645</f>
        <v>0</v>
      </c>
      <c r="P537" t="str">
        <f>生データ!P645</f>
        <v>L</v>
      </c>
      <c r="Q537">
        <f>生データ!Q645</f>
        <v>0</v>
      </c>
      <c r="R537">
        <f>生データ!R645</f>
        <v>0</v>
      </c>
      <c r="S537">
        <f>生データ!S645</f>
        <v>0</v>
      </c>
      <c r="T537">
        <f>生データ!T645</f>
        <v>6.5253526667677093</v>
      </c>
      <c r="U537">
        <f>生データ!U645</f>
        <v>7.3847893594639435</v>
      </c>
      <c r="V537">
        <f>COUNTIF(怪しいデータを手直し!F$2:F$701,Sheet5!F537)</f>
        <v>1</v>
      </c>
    </row>
    <row r="538" spans="1:22">
      <c r="A538">
        <f>生データ!A646</f>
        <v>20</v>
      </c>
      <c r="B538">
        <f>生データ!B646</f>
        <v>-20</v>
      </c>
      <c r="C538">
        <f>生データ!C646</f>
        <v>27.40438838957202</v>
      </c>
      <c r="D538">
        <f>生データ!D646</f>
        <v>-13.093778944794197</v>
      </c>
      <c r="E538">
        <f>生データ!E646</f>
        <v>0</v>
      </c>
      <c r="F538">
        <f>IF(生データ!E646="Wr",3000+生データ!F646,IF(生データ!E646="Wb",4000+生データ!F646,生データ!F646))</f>
        <v>541</v>
      </c>
      <c r="G538" t="str">
        <f>生データ!G646</f>
        <v>bp</v>
      </c>
      <c r="H538">
        <f>生データ!H646</f>
        <v>20.6</v>
      </c>
      <c r="I538">
        <f>生データ!I646</f>
        <v>0</v>
      </c>
      <c r="J538">
        <f>生データ!J646</f>
        <v>21.1</v>
      </c>
      <c r="K538">
        <f>生データ!K646</f>
        <v>0</v>
      </c>
      <c r="L538">
        <f>生データ!L646</f>
        <v>5.9</v>
      </c>
      <c r="M538">
        <f>生データ!M646</f>
        <v>2.1</v>
      </c>
      <c r="N538">
        <f>生データ!N646</f>
        <v>0</v>
      </c>
      <c r="O538">
        <f>生データ!O646</f>
        <v>0</v>
      </c>
      <c r="P538" t="str">
        <f>生データ!P646</f>
        <v>L</v>
      </c>
      <c r="Q538">
        <f>生データ!Q646</f>
        <v>0</v>
      </c>
      <c r="R538">
        <f>生データ!R646</f>
        <v>0</v>
      </c>
      <c r="S538">
        <f>生データ!S646</f>
        <v>0</v>
      </c>
      <c r="T538">
        <f>生データ!T646</f>
        <v>6.5571836553860887</v>
      </c>
      <c r="U538">
        <f>生データ!U646</f>
        <v>6.716338598477984</v>
      </c>
      <c r="V538">
        <f>COUNTIF(怪しいデータを手直し!F$2:F$701,Sheet5!F538)</f>
        <v>1</v>
      </c>
    </row>
    <row r="539" spans="1:22">
      <c r="A539">
        <f>生データ!A647</f>
        <v>30</v>
      </c>
      <c r="B539">
        <f>生データ!B647</f>
        <v>10</v>
      </c>
      <c r="C539">
        <f>生データ!C647</f>
        <v>31.641290490894413</v>
      </c>
      <c r="D539">
        <f>生データ!D647</f>
        <v>17.868740859374537</v>
      </c>
      <c r="E539">
        <f>生データ!E647</f>
        <v>0</v>
      </c>
      <c r="F539">
        <f>IF(生データ!E647="Wr",3000+生データ!F647,IF(生データ!E647="Wb",4000+生データ!F647,生データ!F647))</f>
        <v>223</v>
      </c>
      <c r="G539" t="str">
        <f>生データ!G647</f>
        <v>bp</v>
      </c>
      <c r="H539">
        <f>生データ!H647</f>
        <v>20.7</v>
      </c>
      <c r="I539">
        <f>生データ!I647</f>
        <v>0</v>
      </c>
      <c r="J539">
        <f>生データ!J647</f>
        <v>21.5</v>
      </c>
      <c r="K539">
        <f>生データ!K647</f>
        <v>0</v>
      </c>
      <c r="L539">
        <f>生データ!L647</f>
        <v>5.8</v>
      </c>
      <c r="M539">
        <f>生データ!M647</f>
        <v>1.9</v>
      </c>
      <c r="N539">
        <f>生データ!N647</f>
        <v>0</v>
      </c>
      <c r="O539">
        <f>生データ!O647</f>
        <v>0</v>
      </c>
      <c r="P539" t="str">
        <f>生データ!P647</f>
        <v>L</v>
      </c>
      <c r="Q539">
        <f>生データ!Q647</f>
        <v>0</v>
      </c>
      <c r="R539">
        <f>生データ!R647</f>
        <v>0</v>
      </c>
      <c r="S539">
        <f>生データ!S647</f>
        <v>0</v>
      </c>
      <c r="T539">
        <f>生データ!T647</f>
        <v>6.5890146440044672</v>
      </c>
      <c r="U539">
        <f>生データ!U647</f>
        <v>6.8436625529514998</v>
      </c>
      <c r="V539">
        <f>COUNTIF(怪しいデータを手直し!F$2:F$701,Sheet5!F539)</f>
        <v>1</v>
      </c>
    </row>
    <row r="540" spans="1:22">
      <c r="A540">
        <f>生データ!A648</f>
        <v>30</v>
      </c>
      <c r="B540">
        <f>生データ!B648</f>
        <v>20</v>
      </c>
      <c r="C540">
        <f>生データ!C648</f>
        <v>35.189947767486714</v>
      </c>
      <c r="D540">
        <f>生データ!D648</f>
        <v>23.205377071540834</v>
      </c>
      <c r="E540">
        <f>生データ!E648</f>
        <v>0</v>
      </c>
      <c r="F540">
        <f>IF(生データ!E648="Wr",3000+生データ!F648,IF(生データ!E648="Wb",4000+生データ!F648,生データ!F648))</f>
        <v>212</v>
      </c>
      <c r="G540" t="str">
        <f>生データ!G648</f>
        <v>bp</v>
      </c>
      <c r="H540">
        <f>生データ!H648</f>
        <v>21.3</v>
      </c>
      <c r="I540">
        <f>生データ!I648</f>
        <v>0</v>
      </c>
      <c r="J540">
        <f>生データ!J648</f>
        <v>24.2</v>
      </c>
      <c r="K540">
        <f>生データ!K648</f>
        <v>0</v>
      </c>
      <c r="L540">
        <f>生データ!L648</f>
        <v>6</v>
      </c>
      <c r="M540">
        <f>生データ!M648</f>
        <v>1.4</v>
      </c>
      <c r="N540">
        <f>生データ!N648</f>
        <v>0</v>
      </c>
      <c r="O540">
        <f>生データ!O648</f>
        <v>0</v>
      </c>
      <c r="P540" t="str">
        <f>生データ!P648</f>
        <v>L</v>
      </c>
      <c r="Q540">
        <f>生データ!Q648</f>
        <v>0</v>
      </c>
      <c r="R540">
        <f>生データ!R648</f>
        <v>0</v>
      </c>
      <c r="S540">
        <f>生データ!S648</f>
        <v>0</v>
      </c>
      <c r="T540">
        <f>生データ!T648</f>
        <v>6.7800005757147419</v>
      </c>
      <c r="U540">
        <f>生データ!U648</f>
        <v>7.7030992456477341</v>
      </c>
      <c r="V540">
        <f>COUNTIF(怪しいデータを手直し!F$2:F$701,Sheet5!F540)</f>
        <v>1</v>
      </c>
    </row>
    <row r="541" spans="1:22">
      <c r="A541">
        <f>生データ!A649</f>
        <v>30</v>
      </c>
      <c r="B541">
        <f>生データ!B649</f>
        <v>0</v>
      </c>
      <c r="C541">
        <f>生データ!C649</f>
        <v>34.51042732397022</v>
      </c>
      <c r="D541">
        <f>生データ!D649</f>
        <v>5.862593186959022</v>
      </c>
      <c r="E541">
        <f>生データ!E649</f>
        <v>0</v>
      </c>
      <c r="F541">
        <f>IF(生データ!E649="Wr",3000+生データ!F649,IF(生データ!E649="Wb",4000+生データ!F649,生データ!F649))</f>
        <v>258</v>
      </c>
      <c r="G541" t="str">
        <f>生データ!G649</f>
        <v>pt</v>
      </c>
      <c r="H541">
        <f>生データ!H649</f>
        <v>21.3</v>
      </c>
      <c r="I541">
        <f>生データ!I649</f>
        <v>0</v>
      </c>
      <c r="J541">
        <f>生データ!J649</f>
        <v>22.5</v>
      </c>
      <c r="K541">
        <f>生データ!K649</f>
        <v>0</v>
      </c>
      <c r="L541">
        <f>生データ!L649</f>
        <v>8.3000000000000007</v>
      </c>
      <c r="M541">
        <f>生データ!M649</f>
        <v>2.7</v>
      </c>
      <c r="N541">
        <f>生データ!N649</f>
        <v>0</v>
      </c>
      <c r="O541">
        <f>生データ!O649</f>
        <v>0</v>
      </c>
      <c r="P541" t="str">
        <f>生データ!P649</f>
        <v>L</v>
      </c>
      <c r="Q541">
        <f>生データ!Q649</f>
        <v>0</v>
      </c>
      <c r="R541">
        <f>生データ!R649</f>
        <v>0</v>
      </c>
      <c r="S541">
        <f>生データ!S649</f>
        <v>0</v>
      </c>
      <c r="T541">
        <f>生データ!T649</f>
        <v>6.7800005757147419</v>
      </c>
      <c r="U541">
        <f>生データ!U649</f>
        <v>7.1619724391352904</v>
      </c>
      <c r="V541">
        <f>COUNTIF(怪しいデータを手直し!F$2:F$701,Sheet5!F541)</f>
        <v>1</v>
      </c>
    </row>
    <row r="542" spans="1:22">
      <c r="A542">
        <f>生データ!A650</f>
        <v>30</v>
      </c>
      <c r="B542">
        <f>生データ!B650</f>
        <v>-10</v>
      </c>
      <c r="C542">
        <f>生データ!C650</f>
        <v>32.773001461476369</v>
      </c>
      <c r="D542">
        <f>生データ!D650</f>
        <v>-3.8493421389108899</v>
      </c>
      <c r="E542">
        <f>生データ!E650</f>
        <v>0</v>
      </c>
      <c r="F542">
        <f>IF(生データ!E650="Wr",3000+生データ!F650,IF(生データ!E650="Wb",4000+生データ!F650,生データ!F650))</f>
        <v>425</v>
      </c>
      <c r="G542" t="str">
        <f>生データ!G650</f>
        <v>bp</v>
      </c>
      <c r="H542">
        <f>生データ!H650</f>
        <v>21.4</v>
      </c>
      <c r="I542">
        <f>生データ!I650</f>
        <v>0</v>
      </c>
      <c r="J542">
        <f>生データ!J650</f>
        <v>22</v>
      </c>
      <c r="K542">
        <f>生データ!K650</f>
        <v>0</v>
      </c>
      <c r="L542">
        <f>生データ!L650</f>
        <v>6.9</v>
      </c>
      <c r="M542">
        <f>生データ!M650</f>
        <v>1.9</v>
      </c>
      <c r="N542">
        <f>生データ!N650</f>
        <v>0</v>
      </c>
      <c r="O542">
        <f>生データ!O650</f>
        <v>0</v>
      </c>
      <c r="P542" t="str">
        <f>生データ!P650</f>
        <v>L</v>
      </c>
      <c r="Q542">
        <f>生データ!Q650</f>
        <v>0</v>
      </c>
      <c r="R542">
        <f>生データ!R650</f>
        <v>0</v>
      </c>
      <c r="S542">
        <f>生データ!S650</f>
        <v>0</v>
      </c>
      <c r="T542">
        <f>生データ!T650</f>
        <v>6.8118315643331204</v>
      </c>
      <c r="U542">
        <f>生データ!U650</f>
        <v>7.0028174960433951</v>
      </c>
      <c r="V542">
        <f>COUNTIF(怪しいデータを手直し!F$2:F$701,Sheet5!F542)</f>
        <v>1</v>
      </c>
    </row>
    <row r="543" spans="1:22">
      <c r="A543">
        <f>生データ!A651</f>
        <v>40</v>
      </c>
      <c r="B543">
        <f>生データ!B651</f>
        <v>0</v>
      </c>
      <c r="C543">
        <f>生データ!C651</f>
        <v>40.901352263515584</v>
      </c>
      <c r="D543">
        <f>生データ!D651</f>
        <v>5.4891725706855805</v>
      </c>
      <c r="E543">
        <f>生データ!E651</f>
        <v>0</v>
      </c>
      <c r="F543">
        <f>IF(生データ!E651="Wr",3000+生データ!F651,IF(生データ!E651="Wb",4000+生データ!F651,生データ!F651))</f>
        <v>270</v>
      </c>
      <c r="G543" t="str">
        <f>生データ!G651</f>
        <v>bp</v>
      </c>
      <c r="H543">
        <f>生データ!H651</f>
        <v>21.6</v>
      </c>
      <c r="I543">
        <f>生データ!I651</f>
        <v>0</v>
      </c>
      <c r="J543">
        <f>生データ!J651</f>
        <v>23.2</v>
      </c>
      <c r="K543">
        <f>生データ!K651</f>
        <v>0</v>
      </c>
      <c r="L543">
        <f>生データ!L651</f>
        <v>5.8</v>
      </c>
      <c r="M543">
        <f>生データ!M651</f>
        <v>2.1</v>
      </c>
      <c r="N543">
        <f>生データ!N651</f>
        <v>0</v>
      </c>
      <c r="O543">
        <f>生データ!O651</f>
        <v>0</v>
      </c>
      <c r="P543" t="str">
        <f>生データ!P651</f>
        <v>L</v>
      </c>
      <c r="Q543">
        <f>生データ!Q651</f>
        <v>0</v>
      </c>
      <c r="R543">
        <f>生データ!R651</f>
        <v>0</v>
      </c>
      <c r="S543">
        <f>生データ!S651</f>
        <v>0</v>
      </c>
      <c r="T543">
        <f>生データ!T651</f>
        <v>6.8754935415698792</v>
      </c>
      <c r="U543">
        <f>生データ!U651</f>
        <v>7.3847893594639435</v>
      </c>
      <c r="V543">
        <f>COUNTIF(怪しいデータを手直し!F$2:F$701,Sheet5!F543)</f>
        <v>1</v>
      </c>
    </row>
    <row r="544" spans="1:22">
      <c r="A544">
        <f>生データ!A652</f>
        <v>0</v>
      </c>
      <c r="B544">
        <f>生データ!B652</f>
        <v>30</v>
      </c>
      <c r="C544">
        <f>生データ!C652</f>
        <v>3.1837218938327423</v>
      </c>
      <c r="D544">
        <f>生データ!D652</f>
        <v>39.876639929895845</v>
      </c>
      <c r="E544">
        <f>生データ!E652</f>
        <v>0</v>
      </c>
      <c r="F544">
        <f>IF(生データ!E652="Wr",3000+生データ!F652,IF(生データ!E652="Wb",4000+生データ!F652,生データ!F652))</f>
        <v>54</v>
      </c>
      <c r="G544" t="str">
        <f>生データ!G652</f>
        <v>lc</v>
      </c>
      <c r="H544">
        <f>生データ!H652</f>
        <v>21.8</v>
      </c>
      <c r="I544">
        <f>生データ!I652</f>
        <v>0</v>
      </c>
      <c r="J544" t="str">
        <f>生データ!J652</f>
        <v>dead</v>
      </c>
      <c r="K544">
        <f>生データ!K652</f>
        <v>0</v>
      </c>
      <c r="L544">
        <f>生データ!L652</f>
        <v>4.8</v>
      </c>
      <c r="M544">
        <f>生データ!M652</f>
        <v>0</v>
      </c>
      <c r="N544">
        <f>生データ!N652</f>
        <v>0</v>
      </c>
      <c r="O544">
        <f>生データ!O652</f>
        <v>0</v>
      </c>
      <c r="P544" t="str">
        <f>生データ!P652</f>
        <v>D</v>
      </c>
      <c r="Q544">
        <f>生データ!Q652</f>
        <v>0</v>
      </c>
      <c r="R544">
        <f>生データ!R652</f>
        <v>0</v>
      </c>
      <c r="S544" t="str">
        <f>生データ!S652</f>
        <v>倒れ</v>
      </c>
      <c r="T544">
        <f>生データ!T652</f>
        <v>6.9391555188066372</v>
      </c>
      <c r="U544" t="str">
        <f>生データ!U652</f>
        <v>dead</v>
      </c>
      <c r="V544">
        <f>COUNTIF(怪しいデータを手直し!F$2:F$701,Sheet5!F544)</f>
        <v>1</v>
      </c>
    </row>
    <row r="545" spans="1:22">
      <c r="A545">
        <f>生データ!A653</f>
        <v>40</v>
      </c>
      <c r="B545">
        <f>生データ!B653</f>
        <v>40</v>
      </c>
      <c r="C545">
        <f>生データ!C653</f>
        <v>41.733447275510564</v>
      </c>
      <c r="D545">
        <f>生データ!D653</f>
        <v>49.442807106641339</v>
      </c>
      <c r="E545">
        <f>生データ!E653</f>
        <v>0</v>
      </c>
      <c r="F545">
        <f>IF(生データ!E653="Wr",3000+生データ!F653,IF(生データ!E653="Wb",4000+生データ!F653,生データ!F653))</f>
        <v>364</v>
      </c>
      <c r="G545" t="str">
        <f>生データ!G653</f>
        <v>bp</v>
      </c>
      <c r="H545">
        <f>生データ!H653</f>
        <v>21.8</v>
      </c>
      <c r="I545">
        <f>生データ!I653</f>
        <v>0</v>
      </c>
      <c r="J545">
        <f>生データ!J653</f>
        <v>22.5</v>
      </c>
      <c r="K545">
        <f>生データ!K653</f>
        <v>0</v>
      </c>
      <c r="L545">
        <f>生データ!L653</f>
        <v>6.9</v>
      </c>
      <c r="M545">
        <f>生データ!M653</f>
        <v>3.4</v>
      </c>
      <c r="N545">
        <f>生データ!N653</f>
        <v>0</v>
      </c>
      <c r="O545">
        <f>生データ!O653</f>
        <v>0</v>
      </c>
      <c r="P545" t="str">
        <f>生データ!P653</f>
        <v>L</v>
      </c>
      <c r="Q545">
        <f>生データ!Q653</f>
        <v>0</v>
      </c>
      <c r="R545">
        <f>生データ!R653</f>
        <v>0</v>
      </c>
      <c r="S545">
        <f>生データ!S653</f>
        <v>0</v>
      </c>
      <c r="T545">
        <f>生データ!T653</f>
        <v>6.9391555188066372</v>
      </c>
      <c r="U545">
        <f>生データ!U653</f>
        <v>7.1619724391352904</v>
      </c>
      <c r="V545">
        <f>COUNTIF(怪しいデータを手直し!F$2:F$701,Sheet5!F545)</f>
        <v>1</v>
      </c>
    </row>
    <row r="546" spans="1:22">
      <c r="A546">
        <f>生データ!A654</f>
        <v>30</v>
      </c>
      <c r="B546">
        <f>生データ!B654</f>
        <v>-10</v>
      </c>
      <c r="C546">
        <f>生データ!C654</f>
        <v>31.683064910093709</v>
      </c>
      <c r="D546">
        <f>生データ!D654</f>
        <v>-7.3137031604296894</v>
      </c>
      <c r="E546">
        <f>生データ!E654</f>
        <v>0</v>
      </c>
      <c r="F546">
        <f>IF(生データ!E654="Wr",3000+生データ!F654,IF(生データ!E654="Wb",4000+生データ!F654,生データ!F654))</f>
        <v>421</v>
      </c>
      <c r="G546" t="str">
        <f>生データ!G654</f>
        <v>pt</v>
      </c>
      <c r="H546">
        <f>生データ!H654</f>
        <v>21.8</v>
      </c>
      <c r="I546">
        <f>生データ!I654</f>
        <v>0</v>
      </c>
      <c r="J546">
        <f>生データ!J654</f>
        <v>22</v>
      </c>
      <c r="K546">
        <f>生データ!K654</f>
        <v>0</v>
      </c>
      <c r="L546">
        <f>生データ!L654</f>
        <v>7.6</v>
      </c>
      <c r="M546">
        <f>生データ!M654</f>
        <v>3.5</v>
      </c>
      <c r="N546">
        <f>生データ!N654</f>
        <v>0</v>
      </c>
      <c r="O546">
        <f>生データ!O654</f>
        <v>0</v>
      </c>
      <c r="P546" t="str">
        <f>生データ!P654</f>
        <v>L</v>
      </c>
      <c r="Q546">
        <f>生データ!Q654</f>
        <v>0</v>
      </c>
      <c r="R546">
        <f>生データ!R654</f>
        <v>0</v>
      </c>
      <c r="S546">
        <f>生データ!S654</f>
        <v>0</v>
      </c>
      <c r="T546">
        <f>生データ!T654</f>
        <v>6.9391555188066372</v>
      </c>
      <c r="U546">
        <f>生データ!U654</f>
        <v>7.0028174960433951</v>
      </c>
      <c r="V546">
        <f>COUNTIF(怪しいデータを手直し!F$2:F$701,Sheet5!F546)</f>
        <v>1</v>
      </c>
    </row>
    <row r="547" spans="1:22">
      <c r="A547">
        <f>生データ!A655</f>
        <v>30</v>
      </c>
      <c r="B547">
        <f>生データ!B655</f>
        <v>-10</v>
      </c>
      <c r="C547">
        <f>生データ!C655</f>
        <v>33.019969865726083</v>
      </c>
      <c r="D547">
        <f>生データ!D655</f>
        <v>-9.3524821819996067</v>
      </c>
      <c r="E547">
        <f>生データ!E655</f>
        <v>0</v>
      </c>
      <c r="F547">
        <f>IF(生データ!E655="Wr",3000+生データ!F655,IF(生データ!E655="Wb",4000+生データ!F655,生データ!F655))</f>
        <v>428</v>
      </c>
      <c r="G547" t="str">
        <f>生データ!G655</f>
        <v>pt</v>
      </c>
      <c r="H547">
        <f>生データ!H655</f>
        <v>22.1</v>
      </c>
      <c r="I547">
        <f>生データ!I655</f>
        <v>0</v>
      </c>
      <c r="J547">
        <f>生データ!J655</f>
        <v>23.9</v>
      </c>
      <c r="K547">
        <f>生データ!K655</f>
        <v>0</v>
      </c>
      <c r="L547">
        <f>生データ!L655</f>
        <v>8.9</v>
      </c>
      <c r="M547">
        <f>生データ!M655</f>
        <v>3</v>
      </c>
      <c r="N547">
        <f>生データ!N655</f>
        <v>0</v>
      </c>
      <c r="O547">
        <f>生データ!O655</f>
        <v>0</v>
      </c>
      <c r="P547" t="str">
        <f>生データ!P655</f>
        <v>L</v>
      </c>
      <c r="Q547">
        <f>生データ!Q655</f>
        <v>0</v>
      </c>
      <c r="R547">
        <f>生データ!R655</f>
        <v>0</v>
      </c>
      <c r="S547">
        <f>生データ!S655</f>
        <v>0</v>
      </c>
      <c r="T547">
        <f>生データ!T655</f>
        <v>7.0346484846617745</v>
      </c>
      <c r="U547">
        <f>生データ!U655</f>
        <v>7.6076062797925967</v>
      </c>
      <c r="V547">
        <f>COUNTIF(怪しいデータを手直し!F$2:F$701,Sheet5!F547)</f>
        <v>1</v>
      </c>
    </row>
    <row r="548" spans="1:22">
      <c r="A548">
        <f>生データ!A656</f>
        <v>20</v>
      </c>
      <c r="B548">
        <f>生データ!B656</f>
        <v>-20</v>
      </c>
      <c r="C548">
        <f>生データ!C656</f>
        <v>27.385008708664767</v>
      </c>
      <c r="D548">
        <f>生データ!D656</f>
        <v>-13.380176729038922</v>
      </c>
      <c r="E548">
        <f>生データ!E656</f>
        <v>0</v>
      </c>
      <c r="F548">
        <f>IF(生データ!E656="Wr",3000+生データ!F656,IF(生データ!E656="Wb",4000+生データ!F656,生データ!F656))</f>
        <v>547</v>
      </c>
      <c r="G548" t="str">
        <f>生データ!G656</f>
        <v>bp</v>
      </c>
      <c r="H548">
        <f>生データ!H656</f>
        <v>22.1</v>
      </c>
      <c r="I548">
        <f>生データ!I656</f>
        <v>0</v>
      </c>
      <c r="J548">
        <f>生データ!J656</f>
        <v>22.1</v>
      </c>
      <c r="K548">
        <f>生データ!K656</f>
        <v>0</v>
      </c>
      <c r="L548">
        <f>生データ!L656</f>
        <v>7.1</v>
      </c>
      <c r="M548">
        <f>生データ!M656</f>
        <v>3.4</v>
      </c>
      <c r="N548">
        <f>生データ!N656</f>
        <v>0</v>
      </c>
      <c r="O548">
        <f>生データ!O656</f>
        <v>0</v>
      </c>
      <c r="P548" t="str">
        <f>生データ!P656</f>
        <v>L</v>
      </c>
      <c r="Q548">
        <f>生データ!Q656</f>
        <v>0</v>
      </c>
      <c r="R548">
        <f>生データ!R656</f>
        <v>0</v>
      </c>
      <c r="S548">
        <f>生データ!S656</f>
        <v>0</v>
      </c>
      <c r="T548">
        <f>生データ!T656</f>
        <v>7.0346484846617745</v>
      </c>
      <c r="U548">
        <f>生データ!U656</f>
        <v>7.0346484846617745</v>
      </c>
      <c r="V548">
        <f>COUNTIF(怪しいデータを手直し!F$2:F$701,Sheet5!F548)</f>
        <v>1</v>
      </c>
    </row>
    <row r="549" spans="1:22">
      <c r="A549">
        <f>生データ!A657</f>
        <v>40</v>
      </c>
      <c r="B549">
        <f>生データ!B657</f>
        <v>-30</v>
      </c>
      <c r="C549">
        <f>生データ!C657</f>
        <v>42.268491342012091</v>
      </c>
      <c r="D549">
        <f>生データ!D657</f>
        <v>-25.487961387525822</v>
      </c>
      <c r="E549">
        <f>生データ!E657</f>
        <v>0</v>
      </c>
      <c r="F549">
        <f>IF(生データ!E657="Wr",3000+生データ!F657,IF(生データ!E657="Wb",4000+生データ!F657,生データ!F657))</f>
        <v>677</v>
      </c>
      <c r="G549" t="str">
        <f>生データ!G657</f>
        <v>bp</v>
      </c>
      <c r="H549">
        <f>生データ!H657</f>
        <v>22.1</v>
      </c>
      <c r="I549">
        <f>生データ!I657</f>
        <v>0</v>
      </c>
      <c r="J549" t="str">
        <f>生データ!J657</f>
        <v>dead</v>
      </c>
      <c r="K549">
        <f>生データ!K657</f>
        <v>0</v>
      </c>
      <c r="L549">
        <f>生データ!L657</f>
        <v>5.2</v>
      </c>
      <c r="M549">
        <f>生データ!M657</f>
        <v>2.2000000000000002</v>
      </c>
      <c r="N549">
        <f>生データ!N657</f>
        <v>0</v>
      </c>
      <c r="O549">
        <f>生データ!O657</f>
        <v>0</v>
      </c>
      <c r="P549" t="str">
        <f>生データ!P657</f>
        <v>L</v>
      </c>
      <c r="Q549">
        <f>生データ!Q657</f>
        <v>0</v>
      </c>
      <c r="R549">
        <f>生データ!R657</f>
        <v>0</v>
      </c>
      <c r="S549">
        <f>生データ!S657</f>
        <v>0</v>
      </c>
      <c r="T549">
        <f>生データ!T657</f>
        <v>7.0346484846617745</v>
      </c>
      <c r="U549" t="str">
        <f>生データ!U657</f>
        <v>dead</v>
      </c>
      <c r="V549">
        <f>COUNTIF(怪しいデータを手直し!F$2:F$701,Sheet5!F549)</f>
        <v>1</v>
      </c>
    </row>
    <row r="550" spans="1:22">
      <c r="A550">
        <f>生データ!A658</f>
        <v>40</v>
      </c>
      <c r="B550">
        <f>生データ!B658</f>
        <v>-50</v>
      </c>
      <c r="C550">
        <f>生データ!C658</f>
        <v>41.216872835862169</v>
      </c>
      <c r="D550">
        <f>生データ!D658</f>
        <v>-41.229683089800275</v>
      </c>
      <c r="E550">
        <f>生データ!E658</f>
        <v>0</v>
      </c>
      <c r="F550">
        <f>IF(生データ!E658="Wr",3000+生データ!F658,IF(生データ!E658="Wb",4000+生データ!F658,生データ!F658))</f>
        <v>823</v>
      </c>
      <c r="G550" t="str">
        <f>生データ!G658</f>
        <v>lc</v>
      </c>
      <c r="H550">
        <f>生データ!H658</f>
        <v>22.1</v>
      </c>
      <c r="I550">
        <f>生データ!I658</f>
        <v>0</v>
      </c>
      <c r="J550">
        <f>生データ!J658</f>
        <v>25.6</v>
      </c>
      <c r="K550">
        <f>生データ!K658</f>
        <v>0</v>
      </c>
      <c r="L550">
        <f>生データ!L658</f>
        <v>7.3</v>
      </c>
      <c r="M550">
        <f>生データ!M658</f>
        <v>1.4</v>
      </c>
      <c r="N550">
        <f>生データ!N658</f>
        <v>0</v>
      </c>
      <c r="O550">
        <f>生データ!O658</f>
        <v>0</v>
      </c>
      <c r="P550" t="str">
        <f>生データ!P658</f>
        <v>L</v>
      </c>
      <c r="Q550">
        <f>生データ!Q658</f>
        <v>0</v>
      </c>
      <c r="R550">
        <f>生データ!R658</f>
        <v>0</v>
      </c>
      <c r="S550">
        <f>生データ!S658</f>
        <v>0</v>
      </c>
      <c r="T550">
        <f>生データ!T658</f>
        <v>7.0346484846617745</v>
      </c>
      <c r="U550">
        <f>生データ!U658</f>
        <v>8.1487330863050413</v>
      </c>
      <c r="V550">
        <f>COUNTIF(怪しいデータを手直し!F$2:F$701,Sheet5!F550)</f>
        <v>1</v>
      </c>
    </row>
    <row r="551" spans="1:22">
      <c r="A551">
        <f>生データ!A659</f>
        <v>0</v>
      </c>
      <c r="B551">
        <f>生データ!B659</f>
        <v>-20</v>
      </c>
      <c r="C551">
        <f>生データ!C659</f>
        <v>7.8356849124416224</v>
      </c>
      <c r="D551">
        <f>生データ!D659</f>
        <v>-16.883817396832569</v>
      </c>
      <c r="E551">
        <f>生データ!E659</f>
        <v>0</v>
      </c>
      <c r="F551">
        <f>IF(生データ!E659="Wr",3000+生データ!F659,IF(生データ!E659="Wb",4000+生データ!F659,生データ!F659))</f>
        <v>581</v>
      </c>
      <c r="G551" t="str">
        <f>生データ!G659</f>
        <v>bp</v>
      </c>
      <c r="H551">
        <f>生データ!H659</f>
        <v>22.3</v>
      </c>
      <c r="I551">
        <f>生データ!I659</f>
        <v>0</v>
      </c>
      <c r="J551">
        <f>生データ!J659</f>
        <v>24.3</v>
      </c>
      <c r="K551">
        <f>生データ!K659</f>
        <v>0</v>
      </c>
      <c r="L551">
        <f>生データ!L659</f>
        <v>6.3</v>
      </c>
      <c r="M551">
        <f>生データ!M659</f>
        <v>1.5</v>
      </c>
      <c r="N551">
        <f>生データ!N659</f>
        <v>0</v>
      </c>
      <c r="O551">
        <f>生データ!O659</f>
        <v>0</v>
      </c>
      <c r="P551" t="str">
        <f>生データ!P659</f>
        <v>L</v>
      </c>
      <c r="Q551">
        <f>生データ!Q659</f>
        <v>0</v>
      </c>
      <c r="R551">
        <f>生データ!R659</f>
        <v>0</v>
      </c>
      <c r="S551" t="str">
        <f>生データ!S659</f>
        <v>New No756</v>
      </c>
      <c r="T551">
        <f>生データ!T659</f>
        <v>7.0983104618985324</v>
      </c>
      <c r="U551">
        <f>生データ!U659</f>
        <v>7.7349302342661135</v>
      </c>
      <c r="V551">
        <f>COUNTIF(怪しいデータを手直し!F$2:F$701,Sheet5!F551)</f>
        <v>1</v>
      </c>
    </row>
    <row r="552" spans="1:22">
      <c r="A552">
        <f>生データ!A660</f>
        <v>20</v>
      </c>
      <c r="B552">
        <f>生データ!B660</f>
        <v>-30</v>
      </c>
      <c r="C552">
        <f>生データ!C660</f>
        <v>29.747392448829025</v>
      </c>
      <c r="D552">
        <f>生データ!D660</f>
        <v>-29.646693186014126</v>
      </c>
      <c r="E552">
        <f>生データ!E660</f>
        <v>0</v>
      </c>
      <c r="F552">
        <f>IF(生データ!E660="Wr",3000+生データ!F660,IF(生データ!E660="Wb",4000+生データ!F660,生データ!F660))</f>
        <v>658</v>
      </c>
      <c r="G552" t="str">
        <f>生データ!G660</f>
        <v>lc</v>
      </c>
      <c r="H552">
        <f>生データ!H660</f>
        <v>22.5</v>
      </c>
      <c r="I552">
        <f>生データ!I660</f>
        <v>0</v>
      </c>
      <c r="J552" t="str">
        <f>生データ!J660</f>
        <v>dead</v>
      </c>
      <c r="K552">
        <f>生データ!K660</f>
        <v>0</v>
      </c>
      <c r="L552">
        <f>生データ!L660</f>
        <v>7.1</v>
      </c>
      <c r="M552">
        <f>生データ!M660</f>
        <v>0.7</v>
      </c>
      <c r="N552">
        <f>生データ!N660</f>
        <v>0</v>
      </c>
      <c r="O552">
        <f>生データ!O660</f>
        <v>0</v>
      </c>
      <c r="P552" t="str">
        <f>生データ!P660</f>
        <v>L</v>
      </c>
      <c r="Q552">
        <f>生データ!Q660</f>
        <v>0</v>
      </c>
      <c r="R552">
        <f>生データ!R660</f>
        <v>0</v>
      </c>
      <c r="S552">
        <f>生データ!S660</f>
        <v>0</v>
      </c>
      <c r="T552">
        <f>生データ!T660</f>
        <v>7.1619724391352904</v>
      </c>
      <c r="U552" t="str">
        <f>生データ!U660</f>
        <v>dead</v>
      </c>
      <c r="V552">
        <f>COUNTIF(怪しいデータを手直し!F$2:F$701,Sheet5!F552)</f>
        <v>1</v>
      </c>
    </row>
    <row r="553" spans="1:22">
      <c r="A553">
        <f>生データ!A661</f>
        <v>30</v>
      </c>
      <c r="B553">
        <f>生データ!B661</f>
        <v>10</v>
      </c>
      <c r="C553">
        <f>生データ!C661</f>
        <v>32.261169715280353</v>
      </c>
      <c r="D553">
        <f>生データ!D661</f>
        <v>17.237390451276372</v>
      </c>
      <c r="E553">
        <f>生データ!E661</f>
        <v>0</v>
      </c>
      <c r="F553">
        <f>IF(生データ!E661="Wr",3000+生データ!F661,IF(生データ!E661="Wb",4000+生データ!F661,生データ!F661))</f>
        <v>228</v>
      </c>
      <c r="G553" t="str">
        <f>生データ!G661</f>
        <v>bp</v>
      </c>
      <c r="H553">
        <f>生データ!H661</f>
        <v>22.9</v>
      </c>
      <c r="I553">
        <f>生データ!I661</f>
        <v>0</v>
      </c>
      <c r="J553">
        <f>生データ!J661</f>
        <v>23.1</v>
      </c>
      <c r="K553">
        <f>生データ!K661</f>
        <v>0</v>
      </c>
      <c r="L553">
        <f>生データ!L661</f>
        <v>4.3</v>
      </c>
      <c r="M553">
        <f>生データ!M661</f>
        <v>2.9</v>
      </c>
      <c r="N553">
        <f>生データ!N661</f>
        <v>0</v>
      </c>
      <c r="O553">
        <f>生データ!O661</f>
        <v>0</v>
      </c>
      <c r="P553" t="str">
        <f>生データ!P661</f>
        <v>L</v>
      </c>
      <c r="Q553">
        <f>生データ!Q661</f>
        <v>0</v>
      </c>
      <c r="R553">
        <f>生データ!R661</f>
        <v>0</v>
      </c>
      <c r="S553">
        <f>生データ!S661</f>
        <v>0</v>
      </c>
      <c r="T553">
        <f>生データ!T661</f>
        <v>7.2892963936088062</v>
      </c>
      <c r="U553">
        <f>生データ!U661</f>
        <v>7.352958370845565</v>
      </c>
      <c r="V553">
        <f>COUNTIF(怪しいデータを手直し!F$2:F$701,Sheet5!F553)</f>
        <v>1</v>
      </c>
    </row>
    <row r="554" spans="1:22">
      <c r="A554">
        <f>生データ!A662</f>
        <v>30</v>
      </c>
      <c r="B554">
        <f>生データ!B662</f>
        <v>-10</v>
      </c>
      <c r="C554">
        <f>生データ!C662</f>
        <v>36.224931257984402</v>
      </c>
      <c r="D554">
        <f>生データ!D662</f>
        <v>-1.8300026932038236</v>
      </c>
      <c r="E554">
        <f>生データ!E662</f>
        <v>0</v>
      </c>
      <c r="F554">
        <f>IF(生データ!E662="Wr",3000+生データ!F662,IF(生データ!E662="Wb",4000+生データ!F662,生データ!F662))</f>
        <v>435</v>
      </c>
      <c r="G554" t="str">
        <f>生データ!G662</f>
        <v>bp</v>
      </c>
      <c r="H554">
        <f>生データ!H662</f>
        <v>23</v>
      </c>
      <c r="I554">
        <f>生データ!I662</f>
        <v>0</v>
      </c>
      <c r="J554">
        <f>生データ!J662</f>
        <v>23.7</v>
      </c>
      <c r="K554">
        <f>生データ!K662</f>
        <v>0</v>
      </c>
      <c r="L554">
        <f>生データ!L662</f>
        <v>6.4</v>
      </c>
      <c r="M554">
        <f>生データ!M662</f>
        <v>2.2000000000000002</v>
      </c>
      <c r="N554">
        <f>生データ!N662</f>
        <v>0</v>
      </c>
      <c r="O554">
        <f>生データ!O662</f>
        <v>0</v>
      </c>
      <c r="P554" t="str">
        <f>生データ!P662</f>
        <v>L</v>
      </c>
      <c r="Q554">
        <f>生データ!Q662</f>
        <v>0</v>
      </c>
      <c r="R554">
        <f>生データ!R662</f>
        <v>0</v>
      </c>
      <c r="S554">
        <f>生データ!S662</f>
        <v>0</v>
      </c>
      <c r="T554">
        <f>生データ!T662</f>
        <v>7.3211273822271856</v>
      </c>
      <c r="U554">
        <f>生データ!U662</f>
        <v>7.5439443025558388</v>
      </c>
      <c r="V554">
        <f>COUNTIF(怪しいデータを手直し!F$2:F$701,Sheet5!F554)</f>
        <v>1</v>
      </c>
    </row>
    <row r="555" spans="1:22">
      <c r="A555">
        <f>生データ!A663</f>
        <v>30</v>
      </c>
      <c r="B555">
        <f>生データ!B663</f>
        <v>-10</v>
      </c>
      <c r="C555">
        <f>生データ!C663</f>
        <v>38.599978655638978</v>
      </c>
      <c r="D555">
        <f>生データ!D663</f>
        <v>-2.2961801529803694</v>
      </c>
      <c r="E555">
        <f>生データ!E663</f>
        <v>0</v>
      </c>
      <c r="F555">
        <f>IF(生データ!E663="Wr",3000+生データ!F663,IF(生データ!E663="Wb",4000+生データ!F663,生データ!F663))</f>
        <v>439</v>
      </c>
      <c r="G555" t="str">
        <f>生データ!G663</f>
        <v>lc</v>
      </c>
      <c r="H555">
        <f>生データ!H663</f>
        <v>23.1</v>
      </c>
      <c r="I555">
        <f>生データ!I663</f>
        <v>0</v>
      </c>
      <c r="J555" t="str">
        <f>生データ!J663</f>
        <v>dead</v>
      </c>
      <c r="K555">
        <f>生データ!K663</f>
        <v>0</v>
      </c>
      <c r="L555">
        <f>生データ!L663</f>
        <v>7.9</v>
      </c>
      <c r="M555">
        <f>生データ!M663</f>
        <v>0</v>
      </c>
      <c r="N555">
        <f>生データ!N663</f>
        <v>0</v>
      </c>
      <c r="O555">
        <f>生データ!O663</f>
        <v>0</v>
      </c>
      <c r="P555" t="str">
        <f>生データ!P663</f>
        <v>D</v>
      </c>
      <c r="Q555">
        <f>生データ!Q663</f>
        <v>0</v>
      </c>
      <c r="R555">
        <f>生データ!R663</f>
        <v>0</v>
      </c>
      <c r="S555">
        <f>生データ!S663</f>
        <v>0</v>
      </c>
      <c r="T555">
        <f>生データ!T663</f>
        <v>7.352958370845565</v>
      </c>
      <c r="U555" t="str">
        <f>生データ!U663</f>
        <v>dead</v>
      </c>
      <c r="V555">
        <f>COUNTIF(怪しいデータを手直し!F$2:F$701,Sheet5!F555)</f>
        <v>1</v>
      </c>
    </row>
    <row r="556" spans="1:22">
      <c r="A556">
        <f>生データ!A664</f>
        <v>40</v>
      </c>
      <c r="B556">
        <f>生データ!B664</f>
        <v>-30</v>
      </c>
      <c r="C556">
        <f>生データ!C664</f>
        <v>42.242981371580008</v>
      </c>
      <c r="D556">
        <f>生データ!D664</f>
        <v>-25.944872339684423</v>
      </c>
      <c r="E556">
        <f>生データ!E664</f>
        <v>0</v>
      </c>
      <c r="F556">
        <f>IF(生データ!E664="Wr",3000+生データ!F664,IF(生データ!E664="Wb",4000+生データ!F664,生データ!F664))</f>
        <v>686</v>
      </c>
      <c r="G556" t="str">
        <f>生データ!G664</f>
        <v>bp</v>
      </c>
      <c r="H556">
        <f>生データ!H664</f>
        <v>23.1</v>
      </c>
      <c r="I556">
        <f>生データ!I664</f>
        <v>0</v>
      </c>
      <c r="J556">
        <f>生データ!J664</f>
        <v>25.2</v>
      </c>
      <c r="K556">
        <f>生データ!K664</f>
        <v>0</v>
      </c>
      <c r="L556">
        <f>生データ!L664</f>
        <v>5.9</v>
      </c>
      <c r="M556">
        <f>生データ!M664</f>
        <v>1.6</v>
      </c>
      <c r="N556">
        <f>生データ!N664</f>
        <v>0</v>
      </c>
      <c r="O556">
        <f>生データ!O664</f>
        <v>0</v>
      </c>
      <c r="P556" t="str">
        <f>生データ!P664</f>
        <v>L</v>
      </c>
      <c r="Q556">
        <f>生データ!Q664</f>
        <v>0</v>
      </c>
      <c r="R556">
        <f>生データ!R664</f>
        <v>0</v>
      </c>
      <c r="S556">
        <f>生データ!S664</f>
        <v>0</v>
      </c>
      <c r="T556">
        <f>生データ!T664</f>
        <v>7.352958370845565</v>
      </c>
      <c r="U556">
        <f>生データ!U664</f>
        <v>8.0214091318315255</v>
      </c>
      <c r="V556">
        <f>COUNTIF(怪しいデータを手直し!F$2:F$701,Sheet5!F556)</f>
        <v>1</v>
      </c>
    </row>
    <row r="557" spans="1:22">
      <c r="A557">
        <f>生データ!A665</f>
        <v>30</v>
      </c>
      <c r="B557">
        <f>生データ!B665</f>
        <v>-20</v>
      </c>
      <c r="C557">
        <f>生データ!C665</f>
        <v>39.721062829151542</v>
      </c>
      <c r="D557">
        <f>生データ!D665</f>
        <v>-19.98610504925314</v>
      </c>
      <c r="E557">
        <f>生データ!E665</f>
        <v>0</v>
      </c>
      <c r="F557">
        <f>IF(生データ!E665="Wr",3000+生データ!F665,IF(生データ!E665="Wb",4000+生データ!F665,生データ!F665))</f>
        <v>514</v>
      </c>
      <c r="G557" t="str">
        <f>生データ!G665</f>
        <v>pt</v>
      </c>
      <c r="H557">
        <f>生データ!H665</f>
        <v>23.3</v>
      </c>
      <c r="I557">
        <f>生データ!I665</f>
        <v>0</v>
      </c>
      <c r="J557">
        <f>生データ!J665</f>
        <v>24.2</v>
      </c>
      <c r="K557">
        <f>生データ!K665</f>
        <v>0</v>
      </c>
      <c r="L557">
        <f>生データ!L665</f>
        <v>7</v>
      </c>
      <c r="M557">
        <f>生データ!M665</f>
        <v>1.4</v>
      </c>
      <c r="N557">
        <f>生データ!N665</f>
        <v>0</v>
      </c>
      <c r="O557">
        <f>生データ!O665</f>
        <v>0</v>
      </c>
      <c r="P557" t="str">
        <f>生データ!P665</f>
        <v>L</v>
      </c>
      <c r="Q557">
        <f>生データ!Q665</f>
        <v>0</v>
      </c>
      <c r="R557">
        <f>生データ!R665</f>
        <v>0</v>
      </c>
      <c r="S557" t="str">
        <f>生データ!S665</f>
        <v>New No749</v>
      </c>
      <c r="T557">
        <f>生データ!T665</f>
        <v>7.416620348082323</v>
      </c>
      <c r="U557">
        <f>生データ!U665</f>
        <v>7.7030992456477341</v>
      </c>
      <c r="V557">
        <f>COUNTIF(怪しいデータを手直し!F$2:F$701,Sheet5!F557)</f>
        <v>1</v>
      </c>
    </row>
    <row r="558" spans="1:22">
      <c r="A558">
        <f>生データ!A666</f>
        <v>30</v>
      </c>
      <c r="B558">
        <f>生データ!B666</f>
        <v>0</v>
      </c>
      <c r="C558">
        <f>生データ!C666</f>
        <v>34.025777339984387</v>
      </c>
      <c r="D558">
        <f>生データ!D666</f>
        <v>9.7119086697301942</v>
      </c>
      <c r="E558">
        <f>生データ!E666</f>
        <v>0</v>
      </c>
      <c r="F558">
        <f>IF(生データ!E666="Wr",3000+生データ!F666,IF(生データ!E666="Wb",4000+生データ!F666,生データ!F666))</f>
        <v>245</v>
      </c>
      <c r="G558" t="str">
        <f>生データ!G666</f>
        <v>bp</v>
      </c>
      <c r="H558">
        <f>生データ!H666</f>
        <v>23.4</v>
      </c>
      <c r="I558">
        <f>生データ!I666</f>
        <v>0</v>
      </c>
      <c r="J558">
        <f>生データ!J666</f>
        <v>24.2</v>
      </c>
      <c r="K558">
        <f>生データ!K666</f>
        <v>0</v>
      </c>
      <c r="L558">
        <f>生データ!L666</f>
        <v>6.6</v>
      </c>
      <c r="M558">
        <f>生データ!M666</f>
        <v>3.4</v>
      </c>
      <c r="N558">
        <f>生データ!N666</f>
        <v>0</v>
      </c>
      <c r="O558">
        <f>生データ!O666</f>
        <v>0</v>
      </c>
      <c r="P558" t="str">
        <f>生データ!P666</f>
        <v>L</v>
      </c>
      <c r="Q558">
        <f>生データ!Q666</f>
        <v>0</v>
      </c>
      <c r="R558">
        <f>生データ!R666</f>
        <v>0</v>
      </c>
      <c r="S558">
        <f>生データ!S666</f>
        <v>0</v>
      </c>
      <c r="T558">
        <f>生データ!T666</f>
        <v>7.4484513367007015</v>
      </c>
      <c r="U558">
        <f>生データ!U666</f>
        <v>7.7030992456477341</v>
      </c>
      <c r="V558">
        <f>COUNTIF(怪しいデータを手直し!F$2:F$701,Sheet5!F558)</f>
        <v>1</v>
      </c>
    </row>
    <row r="559" spans="1:22">
      <c r="A559">
        <f>生データ!A667</f>
        <v>40</v>
      </c>
      <c r="B559">
        <f>生データ!B667</f>
        <v>0</v>
      </c>
      <c r="C559">
        <f>生データ!C667</f>
        <v>40.620282470305909</v>
      </c>
      <c r="D559">
        <f>生データ!D667</f>
        <v>5.3511991162202692</v>
      </c>
      <c r="E559">
        <f>生データ!E667</f>
        <v>0</v>
      </c>
      <c r="F559">
        <f>IF(生データ!E667="Wr",3000+生データ!F667,IF(生データ!E667="Wb",4000+生データ!F667,生データ!F667))</f>
        <v>264</v>
      </c>
      <c r="G559" t="str">
        <f>生データ!G667</f>
        <v>bp</v>
      </c>
      <c r="H559">
        <f>生データ!H667</f>
        <v>23.4</v>
      </c>
      <c r="I559">
        <f>生データ!I667</f>
        <v>0</v>
      </c>
      <c r="J559">
        <f>生データ!J667</f>
        <v>0</v>
      </c>
      <c r="K559">
        <f>生データ!K667</f>
        <v>25.1</v>
      </c>
      <c r="L559">
        <f>生データ!L667</f>
        <v>8.1</v>
      </c>
      <c r="M559">
        <f>生データ!M667</f>
        <v>1.8</v>
      </c>
      <c r="N559">
        <f>生データ!N667</f>
        <v>0</v>
      </c>
      <c r="O559">
        <f>生データ!O667</f>
        <v>0</v>
      </c>
      <c r="P559" t="str">
        <f>生データ!P667</f>
        <v>L</v>
      </c>
      <c r="Q559">
        <f>生データ!Q667</f>
        <v>0</v>
      </c>
      <c r="R559">
        <f>生データ!R667</f>
        <v>0</v>
      </c>
      <c r="S559">
        <f>生データ!S667</f>
        <v>0</v>
      </c>
      <c r="T559">
        <f>生データ!T667</f>
        <v>7.4484513367007015</v>
      </c>
      <c r="U559">
        <f>生データ!U667</f>
        <v>25.1</v>
      </c>
      <c r="V559">
        <f>COUNTIF(怪しいデータを手直し!F$2:F$701,Sheet5!F559)</f>
        <v>1</v>
      </c>
    </row>
    <row r="560" spans="1:22">
      <c r="A560">
        <f>生データ!A668</f>
        <v>40</v>
      </c>
      <c r="B560">
        <f>生データ!B668</f>
        <v>40</v>
      </c>
      <c r="C560">
        <f>生データ!C668</f>
        <v>45.361908717962699</v>
      </c>
      <c r="D560">
        <f>生データ!D668</f>
        <v>45.727565735937873</v>
      </c>
      <c r="E560">
        <f>生データ!E668</f>
        <v>0</v>
      </c>
      <c r="F560">
        <f>IF(生データ!E668="Wr",3000+生データ!F668,IF(生データ!E668="Wb",4000+生データ!F668,生データ!F668))</f>
        <v>354</v>
      </c>
      <c r="G560" t="str">
        <f>生データ!G668</f>
        <v>lc</v>
      </c>
      <c r="H560">
        <f>生データ!H668</f>
        <v>23.4</v>
      </c>
      <c r="I560">
        <f>生データ!I668</f>
        <v>0</v>
      </c>
      <c r="J560">
        <f>生データ!J668</f>
        <v>27.5</v>
      </c>
      <c r="K560">
        <f>生データ!K668</f>
        <v>0</v>
      </c>
      <c r="L560">
        <f>生データ!L668</f>
        <v>7.9</v>
      </c>
      <c r="M560">
        <f>生データ!M668</f>
        <v>0.8</v>
      </c>
      <c r="N560">
        <f>生データ!N668</f>
        <v>0</v>
      </c>
      <c r="O560">
        <f>生データ!O668</f>
        <v>0</v>
      </c>
      <c r="P560" t="str">
        <f>生データ!P668</f>
        <v>L</v>
      </c>
      <c r="Q560">
        <f>生データ!Q668</f>
        <v>0</v>
      </c>
      <c r="R560">
        <f>生データ!R668</f>
        <v>0</v>
      </c>
      <c r="S560">
        <f>生データ!S668</f>
        <v>0</v>
      </c>
      <c r="T560">
        <f>生データ!T668</f>
        <v>7.4484513367007015</v>
      </c>
      <c r="U560">
        <f>生データ!U668</f>
        <v>8.753521870054243</v>
      </c>
      <c r="V560">
        <f>COUNTIF(怪しいデータを手直し!F$2:F$701,Sheet5!F560)</f>
        <v>1</v>
      </c>
    </row>
    <row r="561" spans="1:22">
      <c r="A561">
        <f>生データ!A669</f>
        <v>10</v>
      </c>
      <c r="B561">
        <f>生データ!B669</f>
        <v>20</v>
      </c>
      <c r="C561">
        <f>生データ!C669</f>
        <v>12.124794924736131</v>
      </c>
      <c r="D561">
        <f>生データ!D669</f>
        <v>29.575586041234914</v>
      </c>
      <c r="E561">
        <f>生データ!E669</f>
        <v>0</v>
      </c>
      <c r="F561">
        <f>IF(生データ!E669="Wr",3000+生データ!F669,IF(生データ!E669="Wb",4000+生データ!F669,生データ!F669))</f>
        <v>97</v>
      </c>
      <c r="G561" t="str">
        <f>生データ!G669</f>
        <v>lc</v>
      </c>
      <c r="H561">
        <f>生データ!H669</f>
        <v>23.5</v>
      </c>
      <c r="I561">
        <f>生データ!I669</f>
        <v>0</v>
      </c>
      <c r="J561" t="str">
        <f>生データ!J669</f>
        <v>dead</v>
      </c>
      <c r="K561">
        <f>生データ!K669</f>
        <v>0</v>
      </c>
      <c r="L561">
        <f>生データ!L669</f>
        <v>4.7</v>
      </c>
      <c r="M561">
        <f>生データ!M669</f>
        <v>0.7</v>
      </c>
      <c r="N561">
        <f>生データ!N669</f>
        <v>0</v>
      </c>
      <c r="O561">
        <f>生データ!O669</f>
        <v>0</v>
      </c>
      <c r="P561" t="str">
        <f>生データ!P669</f>
        <v>L</v>
      </c>
      <c r="Q561">
        <f>生データ!Q669</f>
        <v>0</v>
      </c>
      <c r="R561">
        <f>生データ!R669</f>
        <v>0</v>
      </c>
      <c r="S561">
        <f>生データ!S669</f>
        <v>0</v>
      </c>
      <c r="T561">
        <f>生データ!T669</f>
        <v>7.4802823253190809</v>
      </c>
      <c r="U561" t="str">
        <f>生データ!U669</f>
        <v>dead</v>
      </c>
      <c r="V561">
        <f>COUNTIF(怪しいデータを手直し!F$2:F$701,Sheet5!F561)</f>
        <v>1</v>
      </c>
    </row>
    <row r="562" spans="1:22">
      <c r="A562">
        <f>生データ!A670</f>
        <v>40</v>
      </c>
      <c r="B562">
        <f>生データ!B670</f>
        <v>-10</v>
      </c>
      <c r="C562">
        <f>生データ!C670</f>
        <v>43.482322601613816</v>
      </c>
      <c r="D562">
        <f>生データ!D670</f>
        <v>-9.5600803501892919</v>
      </c>
      <c r="E562">
        <f>生データ!E670</f>
        <v>0</v>
      </c>
      <c r="F562">
        <f>IF(生データ!E670="Wr",3000+生データ!F670,IF(生データ!E670="Wb",4000+生データ!F670,生データ!F670))</f>
        <v>452</v>
      </c>
      <c r="G562" t="str">
        <f>生データ!G670</f>
        <v>bp</v>
      </c>
      <c r="H562">
        <f>生データ!H670</f>
        <v>23.5</v>
      </c>
      <c r="I562">
        <f>生データ!I670</f>
        <v>0</v>
      </c>
      <c r="J562">
        <f>生データ!J670</f>
        <v>26.3</v>
      </c>
      <c r="K562">
        <f>生データ!K670</f>
        <v>0</v>
      </c>
      <c r="L562">
        <f>生データ!L670</f>
        <v>5.3</v>
      </c>
      <c r="M562">
        <f>生データ!M670</f>
        <v>2</v>
      </c>
      <c r="N562">
        <f>生データ!N670</f>
        <v>0</v>
      </c>
      <c r="O562">
        <f>生データ!O670</f>
        <v>0</v>
      </c>
      <c r="P562" t="str">
        <f>生データ!P670</f>
        <v>L</v>
      </c>
      <c r="Q562">
        <f>生データ!Q670</f>
        <v>0</v>
      </c>
      <c r="R562">
        <f>生データ!R670</f>
        <v>0</v>
      </c>
      <c r="S562">
        <f>生データ!S670</f>
        <v>0</v>
      </c>
      <c r="T562">
        <f>生データ!T670</f>
        <v>7.4802823253190809</v>
      </c>
      <c r="U562">
        <f>生データ!U670</f>
        <v>8.3715500066336954</v>
      </c>
      <c r="V562">
        <f>COUNTIF(怪しいデータを手直し!F$2:F$701,Sheet5!F562)</f>
        <v>1</v>
      </c>
    </row>
    <row r="563" spans="1:22">
      <c r="A563">
        <f>生データ!A671</f>
        <v>20</v>
      </c>
      <c r="B563">
        <f>生データ!B671</f>
        <v>-30</v>
      </c>
      <c r="C563">
        <f>生データ!C671</f>
        <v>25.627680224719889</v>
      </c>
      <c r="D563">
        <f>生データ!D671</f>
        <v>-20.929365257955382</v>
      </c>
      <c r="E563">
        <f>生データ!E671</f>
        <v>0</v>
      </c>
      <c r="F563">
        <f>IF(生データ!E671="Wr",3000+生データ!F671,IF(生データ!E671="Wb",4000+生データ!F671,生データ!F671))</f>
        <v>635</v>
      </c>
      <c r="G563" t="str">
        <f>生データ!G671</f>
        <v>lc</v>
      </c>
      <c r="H563">
        <f>生データ!H671</f>
        <v>23.5</v>
      </c>
      <c r="I563">
        <f>生データ!I671</f>
        <v>0</v>
      </c>
      <c r="J563" t="str">
        <f>生データ!J671</f>
        <v>dead</v>
      </c>
      <c r="K563">
        <f>生データ!K671</f>
        <v>0</v>
      </c>
      <c r="L563">
        <f>生データ!L671</f>
        <v>7.4</v>
      </c>
      <c r="M563">
        <f>生データ!M671</f>
        <v>0</v>
      </c>
      <c r="N563">
        <f>生データ!N671</f>
        <v>0</v>
      </c>
      <c r="O563">
        <f>生データ!O671</f>
        <v>0</v>
      </c>
      <c r="P563" t="str">
        <f>生データ!P671</f>
        <v>D</v>
      </c>
      <c r="Q563">
        <f>生データ!Q671</f>
        <v>0</v>
      </c>
      <c r="R563">
        <f>生データ!R671</f>
        <v>0</v>
      </c>
      <c r="S563">
        <f>生データ!S671</f>
        <v>0</v>
      </c>
      <c r="T563">
        <f>生データ!T671</f>
        <v>7.4802823253190809</v>
      </c>
      <c r="U563" t="str">
        <f>生データ!U671</f>
        <v>dead</v>
      </c>
      <c r="V563">
        <f>COUNTIF(怪しいデータを手直し!F$2:F$701,Sheet5!F563)</f>
        <v>1</v>
      </c>
    </row>
    <row r="564" spans="1:22">
      <c r="A564">
        <f>生データ!A672</f>
        <v>20</v>
      </c>
      <c r="B564">
        <f>生データ!B672</f>
        <v>30</v>
      </c>
      <c r="C564">
        <f>生データ!C672</f>
        <v>20.557772508087009</v>
      </c>
      <c r="D564">
        <f>生データ!D672</f>
        <v>33.493865215873384</v>
      </c>
      <c r="E564">
        <f>生データ!E672</f>
        <v>0</v>
      </c>
      <c r="F564">
        <f>IF(生データ!E672="Wr",3000+生データ!F672,IF(生データ!E672="Wb",4000+生データ!F672,生データ!F672))</f>
        <v>173</v>
      </c>
      <c r="G564" t="str">
        <f>生データ!G672</f>
        <v>bp</v>
      </c>
      <c r="H564">
        <f>生データ!H672</f>
        <v>23.6</v>
      </c>
      <c r="I564">
        <f>生データ!I672</f>
        <v>0</v>
      </c>
      <c r="J564">
        <f>生データ!J672</f>
        <v>24.1</v>
      </c>
      <c r="K564">
        <f>生データ!K672</f>
        <v>0</v>
      </c>
      <c r="L564">
        <f>生データ!L672</f>
        <v>7.7</v>
      </c>
      <c r="M564">
        <f>生データ!M672</f>
        <v>1.3</v>
      </c>
      <c r="N564">
        <f>生データ!N672</f>
        <v>0</v>
      </c>
      <c r="O564">
        <f>生データ!O672</f>
        <v>0</v>
      </c>
      <c r="P564" t="str">
        <f>生データ!P672</f>
        <v>L</v>
      </c>
      <c r="Q564">
        <f>生データ!Q672</f>
        <v>0</v>
      </c>
      <c r="R564">
        <f>生データ!R672</f>
        <v>0</v>
      </c>
      <c r="S564">
        <f>生データ!S672</f>
        <v>0</v>
      </c>
      <c r="T564">
        <f>生データ!T672</f>
        <v>7.5121133139374603</v>
      </c>
      <c r="U564">
        <f>生データ!U672</f>
        <v>7.6712682570293556</v>
      </c>
      <c r="V564">
        <f>COUNTIF(怪しいデータを手直し!F$2:F$701,Sheet5!F564)</f>
        <v>1</v>
      </c>
    </row>
    <row r="565" spans="1:22">
      <c r="A565">
        <f>生データ!A673</f>
        <v>20</v>
      </c>
      <c r="B565">
        <f>生データ!B673</f>
        <v>10</v>
      </c>
      <c r="C565">
        <f>生データ!C673</f>
        <v>24.481330698158807</v>
      </c>
      <c r="D565">
        <f>生データ!D673</f>
        <v>11.261086766992761</v>
      </c>
      <c r="E565">
        <f>生データ!E673</f>
        <v>0</v>
      </c>
      <c r="F565">
        <f>IF(生データ!E673="Wr",3000+生データ!F673,IF(生データ!E673="Wb",4000+生データ!F673,生データ!F673))</f>
        <v>133</v>
      </c>
      <c r="G565" t="str">
        <f>生データ!G673</f>
        <v>bp</v>
      </c>
      <c r="H565">
        <f>生データ!H673</f>
        <v>24</v>
      </c>
      <c r="I565">
        <f>生データ!I673</f>
        <v>0</v>
      </c>
      <c r="J565">
        <f>生データ!J673</f>
        <v>14.9</v>
      </c>
      <c r="K565">
        <f>生データ!K673</f>
        <v>0</v>
      </c>
      <c r="L565">
        <f>生データ!L673</f>
        <v>8.5</v>
      </c>
      <c r="M565">
        <f>生データ!M673</f>
        <v>2.8</v>
      </c>
      <c r="N565">
        <f>生データ!N673</f>
        <v>0</v>
      </c>
      <c r="O565">
        <f>生データ!O673</f>
        <v>0</v>
      </c>
      <c r="P565" t="str">
        <f>生データ!P673</f>
        <v>L</v>
      </c>
      <c r="Q565">
        <f>生データ!Q673</f>
        <v>0</v>
      </c>
      <c r="R565">
        <f>生データ!R673</f>
        <v>0</v>
      </c>
      <c r="S565">
        <f>生データ!S673</f>
        <v>0</v>
      </c>
      <c r="T565">
        <f>生データ!T673</f>
        <v>7.6394372684109761</v>
      </c>
      <c r="U565">
        <f>生データ!U673</f>
        <v>4.7428173041384811</v>
      </c>
      <c r="V565">
        <f>COUNTIF(怪しいデータを手直し!F$2:F$701,Sheet5!F565)</f>
        <v>1</v>
      </c>
    </row>
    <row r="566" spans="1:22">
      <c r="A566">
        <f>生データ!A674</f>
        <v>20</v>
      </c>
      <c r="B566">
        <f>生データ!B674</f>
        <v>30</v>
      </c>
      <c r="C566">
        <f>生データ!C674</f>
        <v>21.000976199357556</v>
      </c>
      <c r="D566">
        <f>生データ!D674</f>
        <v>33.607899668472051</v>
      </c>
      <c r="E566">
        <f>生データ!E674</f>
        <v>0</v>
      </c>
      <c r="F566">
        <f>IF(生データ!E674="Wr",3000+生データ!F674,IF(生データ!E674="Wb",4000+生データ!F674,生データ!F674))</f>
        <v>178</v>
      </c>
      <c r="G566" t="str">
        <f>生データ!G674</f>
        <v>bp</v>
      </c>
      <c r="H566">
        <f>生データ!H674</f>
        <v>24.1</v>
      </c>
      <c r="I566">
        <f>生データ!I674</f>
        <v>0</v>
      </c>
      <c r="J566">
        <f>生データ!J674</f>
        <v>25.5</v>
      </c>
      <c r="K566">
        <f>生データ!K674</f>
        <v>0</v>
      </c>
      <c r="L566">
        <f>生データ!L674</f>
        <v>9.1999999999999993</v>
      </c>
      <c r="M566">
        <f>生データ!M674</f>
        <v>1.1000000000000001</v>
      </c>
      <c r="N566">
        <f>生データ!N674</f>
        <v>0</v>
      </c>
      <c r="O566">
        <f>生データ!O674</f>
        <v>0</v>
      </c>
      <c r="P566" t="str">
        <f>生データ!P674</f>
        <v>L</v>
      </c>
      <c r="Q566">
        <f>生データ!Q674</f>
        <v>0</v>
      </c>
      <c r="R566" t="str">
        <f>生データ!R674</f>
        <v>gbh at 1.27m-H</v>
      </c>
      <c r="S566">
        <f>生データ!S674</f>
        <v>0</v>
      </c>
      <c r="T566">
        <f>生データ!T674</f>
        <v>7.6712682570293556</v>
      </c>
      <c r="U566">
        <f>生データ!U674</f>
        <v>8.1169020976866619</v>
      </c>
      <c r="V566">
        <f>COUNTIF(怪しいデータを手直し!F$2:F$701,Sheet5!F566)</f>
        <v>1</v>
      </c>
    </row>
    <row r="567" spans="1:22">
      <c r="A567">
        <f>生データ!A675</f>
        <v>40</v>
      </c>
      <c r="B567">
        <f>生データ!B675</f>
        <v>-20</v>
      </c>
      <c r="C567">
        <f>生データ!C675</f>
        <v>47.835224083829708</v>
      </c>
      <c r="D567">
        <f>生データ!D675</f>
        <v>-10.273612054147605</v>
      </c>
      <c r="E567">
        <f>生データ!E675</f>
        <v>0</v>
      </c>
      <c r="F567">
        <f>IF(生データ!E675="Wr",3000+生データ!F675,IF(生データ!E675="Wb",4000+生データ!F675,生データ!F675))</f>
        <v>501</v>
      </c>
      <c r="G567" t="str">
        <f>生データ!G675</f>
        <v>bp</v>
      </c>
      <c r="H567">
        <f>生データ!H675</f>
        <v>24.2</v>
      </c>
      <c r="I567">
        <f>生データ!I675</f>
        <v>0</v>
      </c>
      <c r="J567">
        <f>生データ!J675</f>
        <v>26</v>
      </c>
      <c r="K567">
        <f>生データ!K675</f>
        <v>0</v>
      </c>
      <c r="L567">
        <f>生データ!L675</f>
        <v>7.6</v>
      </c>
      <c r="M567">
        <f>生データ!M675</f>
        <v>2.2000000000000002</v>
      </c>
      <c r="N567">
        <f>生データ!N675</f>
        <v>0</v>
      </c>
      <c r="O567">
        <f>生データ!O675</f>
        <v>0</v>
      </c>
      <c r="P567" t="str">
        <f>生データ!P675</f>
        <v>L</v>
      </c>
      <c r="Q567">
        <f>生データ!Q675</f>
        <v>0</v>
      </c>
      <c r="R567" t="str">
        <f>生データ!R675</f>
        <v>unused number</v>
      </c>
      <c r="S567">
        <f>生データ!S675</f>
        <v>0</v>
      </c>
      <c r="T567">
        <f>生データ!T675</f>
        <v>7.7030992456477341</v>
      </c>
      <c r="U567">
        <f>生データ!U675</f>
        <v>8.2760570407785572</v>
      </c>
      <c r="V567">
        <f>COUNTIF(怪しいデータを手直し!F$2:F$701,Sheet5!F567)</f>
        <v>1</v>
      </c>
    </row>
    <row r="568" spans="1:22">
      <c r="A568">
        <f>生データ!A676</f>
        <v>30</v>
      </c>
      <c r="B568">
        <f>生データ!B676</f>
        <v>10</v>
      </c>
      <c r="C568">
        <f>生データ!C676</f>
        <v>31.685505222718554</v>
      </c>
      <c r="D568">
        <f>生データ!D676</f>
        <v>18.033487314002659</v>
      </c>
      <c r="E568">
        <f>生データ!E676</f>
        <v>0</v>
      </c>
      <c r="F568">
        <f>IF(生データ!E676="Wr",3000+生データ!F676,IF(生データ!E676="Wb",4000+生データ!F676,生データ!F676))</f>
        <v>222</v>
      </c>
      <c r="G568" t="str">
        <f>生データ!G676</f>
        <v>bp</v>
      </c>
      <c r="H568">
        <f>生データ!H676</f>
        <v>24.4</v>
      </c>
      <c r="I568">
        <f>生データ!I676</f>
        <v>0</v>
      </c>
      <c r="J568">
        <f>生データ!J676</f>
        <v>25.7</v>
      </c>
      <c r="K568">
        <f>生データ!K676</f>
        <v>0</v>
      </c>
      <c r="L568">
        <f>生データ!L676</f>
        <v>7.2</v>
      </c>
      <c r="M568">
        <f>生データ!M676</f>
        <v>2.8</v>
      </c>
      <c r="N568">
        <f>生データ!N676</f>
        <v>0</v>
      </c>
      <c r="O568">
        <f>生データ!O676</f>
        <v>0</v>
      </c>
      <c r="P568" t="str">
        <f>生データ!P676</f>
        <v>L</v>
      </c>
      <c r="Q568">
        <f>生データ!Q676</f>
        <v>0</v>
      </c>
      <c r="R568">
        <f>生データ!R676</f>
        <v>0</v>
      </c>
      <c r="S568">
        <f>生データ!S676</f>
        <v>0</v>
      </c>
      <c r="T568">
        <f>生データ!T676</f>
        <v>7.766761222884492</v>
      </c>
      <c r="U568">
        <f>生データ!U676</f>
        <v>8.1805640749234207</v>
      </c>
      <c r="V568">
        <f>COUNTIF(怪しいデータを手直し!F$2:F$701,Sheet5!F568)</f>
        <v>1</v>
      </c>
    </row>
    <row r="569" spans="1:22">
      <c r="A569">
        <f>生データ!A677</f>
        <v>0</v>
      </c>
      <c r="B569">
        <f>生データ!B677</f>
        <v>-50</v>
      </c>
      <c r="C569">
        <f>生データ!C677</f>
        <v>6.1188161453040522</v>
      </c>
      <c r="D569">
        <f>生データ!D677</f>
        <v>-45.461356231381316</v>
      </c>
      <c r="E569">
        <f>生データ!E677</f>
        <v>0</v>
      </c>
      <c r="F569">
        <f>IF(生データ!E677="Wr",3000+生データ!F677,IF(生データ!E677="Wb",4000+生データ!F677,生データ!F677))</f>
        <v>808</v>
      </c>
      <c r="G569" t="str">
        <f>生データ!G677</f>
        <v>lc</v>
      </c>
      <c r="H569">
        <f>生データ!H677</f>
        <v>24.5</v>
      </c>
      <c r="I569">
        <f>生データ!I677</f>
        <v>0</v>
      </c>
      <c r="J569">
        <f>生データ!J677</f>
        <v>25.7</v>
      </c>
      <c r="K569">
        <f>生データ!K677</f>
        <v>0</v>
      </c>
      <c r="L569">
        <f>生データ!L677</f>
        <v>7.3</v>
      </c>
      <c r="M569">
        <f>生データ!M677</f>
        <v>1.8</v>
      </c>
      <c r="N569">
        <f>生データ!N677</f>
        <v>0</v>
      </c>
      <c r="O569">
        <f>生データ!O677</f>
        <v>0</v>
      </c>
      <c r="P569" t="str">
        <f>生データ!P677</f>
        <v>L</v>
      </c>
      <c r="Q569">
        <f>生データ!Q677</f>
        <v>0</v>
      </c>
      <c r="R569">
        <f>生データ!R677</f>
        <v>0</v>
      </c>
      <c r="S569">
        <f>生データ!S677</f>
        <v>0</v>
      </c>
      <c r="T569">
        <f>生データ!T677</f>
        <v>7.7985922115028714</v>
      </c>
      <c r="U569">
        <f>生データ!U677</f>
        <v>8.1805640749234207</v>
      </c>
      <c r="V569">
        <f>COUNTIF(怪しいデータを手直し!F$2:F$701,Sheet5!F569)</f>
        <v>1</v>
      </c>
    </row>
    <row r="570" spans="1:22">
      <c r="A570">
        <f>生データ!A678</f>
        <v>0</v>
      </c>
      <c r="B570">
        <f>生データ!B678</f>
        <v>0</v>
      </c>
      <c r="C570">
        <f>生データ!C678</f>
        <v>4.6543320396682057</v>
      </c>
      <c r="D570">
        <f>生データ!D678</f>
        <v>9.1054419762351273</v>
      </c>
      <c r="E570">
        <f>生データ!E678</f>
        <v>0</v>
      </c>
      <c r="F570">
        <f>IF(生データ!E678="Wr",3000+生データ!F678,IF(生データ!E678="Wb",4000+生データ!F678,生データ!F678))</f>
        <v>11</v>
      </c>
      <c r="G570" t="str">
        <f>生データ!G678</f>
        <v>bp</v>
      </c>
      <c r="H570">
        <f>生データ!H678</f>
        <v>24.8</v>
      </c>
      <c r="I570">
        <f>生データ!I678</f>
        <v>0</v>
      </c>
      <c r="J570">
        <f>生データ!J678</f>
        <v>25.9</v>
      </c>
      <c r="K570">
        <f>生データ!K678</f>
        <v>0</v>
      </c>
      <c r="L570">
        <f>生データ!L678</f>
        <v>6.6</v>
      </c>
      <c r="M570">
        <f>生データ!M678</f>
        <v>3.9</v>
      </c>
      <c r="N570">
        <f>生データ!N678</f>
        <v>0</v>
      </c>
      <c r="O570">
        <f>生データ!O678</f>
        <v>0</v>
      </c>
      <c r="P570" t="str">
        <f>生データ!P678</f>
        <v>L</v>
      </c>
      <c r="Q570">
        <f>生データ!Q678</f>
        <v>0</v>
      </c>
      <c r="R570">
        <f>生データ!R678</f>
        <v>0</v>
      </c>
      <c r="S570">
        <f>生データ!S678</f>
        <v>0</v>
      </c>
      <c r="T570">
        <f>生データ!T678</f>
        <v>7.8940851773580096</v>
      </c>
      <c r="U570">
        <f>生データ!U678</f>
        <v>8.2442260521601778</v>
      </c>
      <c r="V570">
        <f>COUNTIF(怪しいデータを手直し!F$2:F$701,Sheet5!F570)</f>
        <v>1</v>
      </c>
    </row>
    <row r="571" spans="1:22">
      <c r="A571">
        <f>生データ!A679</f>
        <v>30</v>
      </c>
      <c r="B571">
        <f>生データ!B679</f>
        <v>-10</v>
      </c>
      <c r="C571">
        <f>生データ!C679</f>
        <v>35.335404450103319</v>
      </c>
      <c r="D571">
        <f>生データ!D679</f>
        <v>-8.6005542683319032</v>
      </c>
      <c r="E571">
        <f>生データ!E679</f>
        <v>0</v>
      </c>
      <c r="F571">
        <f>IF(生データ!E679="Wr",3000+生データ!F679,IF(生データ!E679="Wb",4000+生データ!F679,生データ!F679))</f>
        <v>432</v>
      </c>
      <c r="G571" t="str">
        <f>生データ!G679</f>
        <v>pt</v>
      </c>
      <c r="H571">
        <f>生データ!H679</f>
        <v>24.9</v>
      </c>
      <c r="I571">
        <f>生データ!I679</f>
        <v>0</v>
      </c>
      <c r="J571">
        <f>生データ!J679</f>
        <v>26.3</v>
      </c>
      <c r="K571">
        <f>生データ!K679</f>
        <v>0</v>
      </c>
      <c r="L571">
        <f>生データ!L679</f>
        <v>8.1</v>
      </c>
      <c r="M571">
        <f>生データ!M679</f>
        <v>2.5</v>
      </c>
      <c r="N571">
        <f>生データ!N679</f>
        <v>0</v>
      </c>
      <c r="O571">
        <f>生データ!O679</f>
        <v>0</v>
      </c>
      <c r="P571" t="str">
        <f>生データ!P679</f>
        <v>L</v>
      </c>
      <c r="Q571">
        <f>生データ!Q679</f>
        <v>0</v>
      </c>
      <c r="R571">
        <f>生データ!R679</f>
        <v>0</v>
      </c>
      <c r="S571">
        <f>生データ!S679</f>
        <v>0</v>
      </c>
      <c r="T571">
        <f>生データ!T679</f>
        <v>7.9259161659763873</v>
      </c>
      <c r="U571">
        <f>生データ!U679</f>
        <v>8.3715500066336954</v>
      </c>
      <c r="V571">
        <f>COUNTIF(怪しいデータを手直し!F$2:F$701,Sheet5!F571)</f>
        <v>1</v>
      </c>
    </row>
    <row r="572" spans="1:22">
      <c r="A572">
        <f>生データ!A680</f>
        <v>50</v>
      </c>
      <c r="B572">
        <f>生データ!B680</f>
        <v>-30</v>
      </c>
      <c r="C572">
        <f>生データ!C680</f>
        <v>50.215139710240834</v>
      </c>
      <c r="D572">
        <f>生データ!D680</f>
        <v>-27.437723206428444</v>
      </c>
      <c r="E572">
        <f>生データ!E680</f>
        <v>0</v>
      </c>
      <c r="F572">
        <f>IF(生データ!E680="Wr",3000+生データ!F680,IF(生データ!E680="Wb",4000+生データ!F680,生データ!F680))</f>
        <v>2003</v>
      </c>
      <c r="G572" t="str">
        <f>生データ!G680</f>
        <v>bp</v>
      </c>
      <c r="H572">
        <f>生データ!H680</f>
        <v>25</v>
      </c>
      <c r="I572">
        <f>生データ!I680</f>
        <v>0</v>
      </c>
      <c r="J572">
        <f>生データ!J680</f>
        <v>38.799999999999997</v>
      </c>
      <c r="K572">
        <f>生データ!K680</f>
        <v>0</v>
      </c>
      <c r="L572">
        <f>生データ!L680</f>
        <v>0</v>
      </c>
      <c r="M572">
        <f>生データ!M680</f>
        <v>0</v>
      </c>
      <c r="N572">
        <f>生データ!N680</f>
        <v>7</v>
      </c>
      <c r="O572">
        <f>生データ!O680</f>
        <v>2.2000000000000002</v>
      </c>
      <c r="P572">
        <f>生データ!P680</f>
        <v>0</v>
      </c>
      <c r="Q572">
        <f>生データ!Q680</f>
        <v>0</v>
      </c>
      <c r="R572" t="str">
        <f>生データ!R680</f>
        <v>701 same tree</v>
      </c>
      <c r="S572" t="str">
        <f>生データ!S680</f>
        <v>New No606 White red</v>
      </c>
      <c r="T572">
        <f>生データ!T680</f>
        <v>7.9577471545947667</v>
      </c>
      <c r="U572">
        <f>生データ!U680</f>
        <v>12.350423583931077</v>
      </c>
      <c r="V572">
        <f>COUNTIF(怪しいデータを手直し!F$2:F$701,Sheet5!F572)</f>
        <v>1</v>
      </c>
    </row>
    <row r="573" spans="1:22">
      <c r="A573">
        <f>生データ!A681</f>
        <v>30</v>
      </c>
      <c r="B573">
        <f>生データ!B681</f>
        <v>0</v>
      </c>
      <c r="C573">
        <f>生データ!C681</f>
        <v>30.928387507289877</v>
      </c>
      <c r="D573">
        <f>生データ!D681</f>
        <v>8.0276987045174106</v>
      </c>
      <c r="E573">
        <f>生データ!E681</f>
        <v>0</v>
      </c>
      <c r="F573">
        <f>IF(生データ!E681="Wr",3000+生データ!F681,IF(生データ!E681="Wb",4000+生データ!F681,生データ!F681))</f>
        <v>127</v>
      </c>
      <c r="G573" t="str">
        <f>生データ!G681</f>
        <v>pt</v>
      </c>
      <c r="H573">
        <f>生データ!H681</f>
        <v>25.5</v>
      </c>
      <c r="I573">
        <f>生データ!I681</f>
        <v>0</v>
      </c>
      <c r="J573" t="str">
        <f>生データ!J681</f>
        <v>dead</v>
      </c>
      <c r="K573">
        <f>生データ!K681</f>
        <v>0</v>
      </c>
      <c r="L573">
        <f>生データ!L681</f>
        <v>8.1</v>
      </c>
      <c r="M573">
        <f>生データ!M681</f>
        <v>0</v>
      </c>
      <c r="N573">
        <f>生データ!N681</f>
        <v>0</v>
      </c>
      <c r="O573">
        <f>生データ!O681</f>
        <v>0</v>
      </c>
      <c r="P573" t="str">
        <f>生データ!P681</f>
        <v>D</v>
      </c>
      <c r="Q573">
        <f>生データ!Q681</f>
        <v>0</v>
      </c>
      <c r="R573">
        <f>生データ!R681</f>
        <v>0</v>
      </c>
      <c r="S573">
        <f>生データ!S681</f>
        <v>0</v>
      </c>
      <c r="T573">
        <f>生データ!T681</f>
        <v>8.1169020976866619</v>
      </c>
      <c r="U573" t="str">
        <f>生データ!U681</f>
        <v>dead</v>
      </c>
      <c r="V573">
        <f>COUNTIF(怪しいデータを手直し!F$2:F$701,Sheet5!F573)</f>
        <v>1</v>
      </c>
    </row>
    <row r="574" spans="1:22">
      <c r="A574">
        <f>生データ!A682</f>
        <v>40</v>
      </c>
      <c r="B574">
        <f>生データ!B682</f>
        <v>-10</v>
      </c>
      <c r="C574">
        <f>生データ!C682</f>
        <v>47.995502870026861</v>
      </c>
      <c r="D574">
        <f>生データ!D682</f>
        <v>-2.519998265064773</v>
      </c>
      <c r="E574">
        <f>生データ!E682</f>
        <v>0</v>
      </c>
      <c r="F574">
        <f>IF(生データ!E682="Wr",3000+生データ!F682,IF(生データ!E682="Wb",4000+生データ!F682,生データ!F682))</f>
        <v>460</v>
      </c>
      <c r="G574" t="str">
        <f>生データ!G682</f>
        <v>bp</v>
      </c>
      <c r="H574">
        <f>生データ!H682</f>
        <v>25.5</v>
      </c>
      <c r="I574">
        <f>生データ!I682</f>
        <v>0</v>
      </c>
      <c r="J574">
        <f>生データ!J682</f>
        <v>29</v>
      </c>
      <c r="K574">
        <f>生データ!K682</f>
        <v>0</v>
      </c>
      <c r="L574">
        <f>生データ!L682</f>
        <v>6.6</v>
      </c>
      <c r="M574">
        <f>生データ!M682</f>
        <v>2.2999999999999998</v>
      </c>
      <c r="N574">
        <f>生データ!N682</f>
        <v>0</v>
      </c>
      <c r="O574">
        <f>生データ!O682</f>
        <v>0</v>
      </c>
      <c r="P574" t="str">
        <f>生データ!P682</f>
        <v>L</v>
      </c>
      <c r="Q574">
        <f>生データ!Q682</f>
        <v>0</v>
      </c>
      <c r="R574">
        <f>生データ!R682</f>
        <v>0</v>
      </c>
      <c r="S574">
        <f>生データ!S682</f>
        <v>0</v>
      </c>
      <c r="T574">
        <f>生データ!T682</f>
        <v>8.1169020976866619</v>
      </c>
      <c r="U574">
        <f>生データ!U682</f>
        <v>9.2309866993299305</v>
      </c>
      <c r="V574">
        <f>COUNTIF(怪しいデータを手直し!F$2:F$701,Sheet5!F574)</f>
        <v>1</v>
      </c>
    </row>
    <row r="575" spans="1:22">
      <c r="A575">
        <f>生データ!A683</f>
        <v>0</v>
      </c>
      <c r="B575">
        <f>生データ!B683</f>
        <v>0</v>
      </c>
      <c r="C575">
        <f>生データ!C683</f>
        <v>4.5413373125291585</v>
      </c>
      <c r="D575">
        <f>生データ!D683</f>
        <v>8.7497993503386731</v>
      </c>
      <c r="E575">
        <f>生データ!E683</f>
        <v>0</v>
      </c>
      <c r="F575">
        <f>IF(生データ!E683="Wr",3000+生データ!F683,IF(生データ!E683="Wb",4000+生データ!F683,生データ!F683))</f>
        <v>4</v>
      </c>
      <c r="G575" t="str">
        <f>生データ!G683</f>
        <v>bp</v>
      </c>
      <c r="H575">
        <f>生データ!H683</f>
        <v>26</v>
      </c>
      <c r="I575">
        <f>生データ!I683</f>
        <v>0</v>
      </c>
      <c r="J575">
        <f>生データ!J683</f>
        <v>28</v>
      </c>
      <c r="K575">
        <f>生データ!K683</f>
        <v>0</v>
      </c>
      <c r="L575">
        <f>生データ!L683</f>
        <v>8.3000000000000007</v>
      </c>
      <c r="M575">
        <f>生データ!M683</f>
        <v>3.2</v>
      </c>
      <c r="N575">
        <f>生データ!N683</f>
        <v>0</v>
      </c>
      <c r="O575">
        <f>生データ!O683</f>
        <v>0</v>
      </c>
      <c r="P575" t="str">
        <f>生データ!P683</f>
        <v>L</v>
      </c>
      <c r="Q575">
        <f>生データ!Q683</f>
        <v>0</v>
      </c>
      <c r="R575">
        <f>生データ!R683</f>
        <v>0</v>
      </c>
      <c r="S575" t="str">
        <f>生データ!S683</f>
        <v>New　No580　white　red</v>
      </c>
      <c r="T575">
        <f>生データ!T683</f>
        <v>8.2760570407785572</v>
      </c>
      <c r="U575">
        <f>生データ!U683</f>
        <v>8.91267681314614</v>
      </c>
      <c r="V575">
        <f>COUNTIF(怪しいデータを手直し!F$2:F$701,Sheet5!F575)</f>
        <v>1</v>
      </c>
    </row>
    <row r="576" spans="1:22">
      <c r="A576">
        <f>生データ!A684</f>
        <v>30</v>
      </c>
      <c r="B576">
        <f>生データ!B684</f>
        <v>-50</v>
      </c>
      <c r="C576">
        <f>生データ!C684</f>
        <v>39.579541004681793</v>
      </c>
      <c r="D576">
        <f>生データ!D684</f>
        <v>-40.455647048992972</v>
      </c>
      <c r="E576">
        <f>生データ!E684</f>
        <v>0</v>
      </c>
      <c r="F576">
        <f>IF(生データ!E684="Wr",3000+生データ!F684,IF(生データ!E684="Wb",4000+生データ!F684,生データ!F684))</f>
        <v>822</v>
      </c>
      <c r="G576" t="str">
        <f>生データ!G684</f>
        <v>lc</v>
      </c>
      <c r="H576">
        <f>生データ!H684</f>
        <v>26.3</v>
      </c>
      <c r="I576">
        <f>生データ!I684</f>
        <v>0</v>
      </c>
      <c r="J576">
        <f>生データ!J684</f>
        <v>29.3</v>
      </c>
      <c r="K576">
        <f>生データ!K684</f>
        <v>0</v>
      </c>
      <c r="L576">
        <f>生データ!L684</f>
        <v>7.3</v>
      </c>
      <c r="M576">
        <f>生データ!M684</f>
        <v>1.7</v>
      </c>
      <c r="N576">
        <f>生データ!N684</f>
        <v>0</v>
      </c>
      <c r="O576">
        <f>生データ!O684</f>
        <v>0</v>
      </c>
      <c r="P576" t="str">
        <f>生データ!P684</f>
        <v>L</v>
      </c>
      <c r="Q576">
        <f>生データ!Q684</f>
        <v>0</v>
      </c>
      <c r="R576">
        <f>生データ!R684</f>
        <v>0</v>
      </c>
      <c r="S576">
        <f>生データ!S684</f>
        <v>0</v>
      </c>
      <c r="T576">
        <f>生データ!T684</f>
        <v>8.3715500066336954</v>
      </c>
      <c r="U576">
        <f>生データ!U684</f>
        <v>9.326479665185067</v>
      </c>
      <c r="V576">
        <f>COUNTIF(怪しいデータを手直し!F$2:F$701,Sheet5!F576)</f>
        <v>1</v>
      </c>
    </row>
    <row r="577" spans="1:22">
      <c r="A577">
        <f>生データ!A685</f>
        <v>20</v>
      </c>
      <c r="B577">
        <f>生データ!B685</f>
        <v>10</v>
      </c>
      <c r="C577">
        <f>生データ!C685</f>
        <v>24.431560707957821</v>
      </c>
      <c r="D577">
        <f>生データ!D685</f>
        <v>11.484658013701774</v>
      </c>
      <c r="E577">
        <f>生データ!E685</f>
        <v>0</v>
      </c>
      <c r="F577">
        <f>IF(生データ!E685="Wr",3000+生データ!F685,IF(生データ!E685="Wb",4000+生データ!F685,生データ!F685))</f>
        <v>135</v>
      </c>
      <c r="G577" t="str">
        <f>生データ!G685</f>
        <v>bp</v>
      </c>
      <c r="H577">
        <f>生データ!H685</f>
        <v>26.6</v>
      </c>
      <c r="I577">
        <f>生データ!I685</f>
        <v>0</v>
      </c>
      <c r="J577">
        <f>生データ!J685</f>
        <v>27.1</v>
      </c>
      <c r="K577">
        <f>生データ!K685</f>
        <v>0</v>
      </c>
      <c r="L577">
        <f>生データ!L685</f>
        <v>7.1</v>
      </c>
      <c r="M577">
        <f>生データ!M685</f>
        <v>2.7</v>
      </c>
      <c r="N577">
        <f>生データ!N685</f>
        <v>0</v>
      </c>
      <c r="O577">
        <f>生データ!O685</f>
        <v>0</v>
      </c>
      <c r="P577" t="str">
        <f>生データ!P685</f>
        <v>L</v>
      </c>
      <c r="Q577">
        <f>生データ!Q685</f>
        <v>0</v>
      </c>
      <c r="R577">
        <f>生データ!R685</f>
        <v>0</v>
      </c>
      <c r="S577">
        <f>生データ!S685</f>
        <v>0</v>
      </c>
      <c r="T577">
        <f>生データ!T685</f>
        <v>8.4670429724888319</v>
      </c>
      <c r="U577">
        <f>生データ!U685</f>
        <v>8.6261979155807271</v>
      </c>
      <c r="V577">
        <f>COUNTIF(怪しいデータを手直し!F$2:F$701,Sheet5!F577)</f>
        <v>1</v>
      </c>
    </row>
    <row r="578" spans="1:22">
      <c r="A578">
        <f>生データ!A686</f>
        <v>10</v>
      </c>
      <c r="B578">
        <f>生データ!B686</f>
        <v>20</v>
      </c>
      <c r="C578">
        <f>生データ!C686</f>
        <v>10.313090442493955</v>
      </c>
      <c r="D578">
        <f>生データ!D686</f>
        <v>24.787177197988377</v>
      </c>
      <c r="E578">
        <f>生データ!E686</f>
        <v>0</v>
      </c>
      <c r="F578">
        <f>IF(生データ!E686="Wr",3000+生データ!F686,IF(生データ!E686="Wb",4000+生データ!F686,生データ!F686))</f>
        <v>98</v>
      </c>
      <c r="G578" t="str">
        <f>生データ!G686</f>
        <v>lc</v>
      </c>
      <c r="H578">
        <f>生データ!H686</f>
        <v>26.8</v>
      </c>
      <c r="I578">
        <f>生データ!I686</f>
        <v>0</v>
      </c>
      <c r="J578" t="str">
        <f>生データ!J686</f>
        <v>dead</v>
      </c>
      <c r="K578">
        <f>生データ!K686</f>
        <v>0</v>
      </c>
      <c r="L578">
        <f>生データ!L686</f>
        <v>3.9</v>
      </c>
      <c r="M578">
        <f>生データ!M686</f>
        <v>0</v>
      </c>
      <c r="N578">
        <f>生データ!N686</f>
        <v>0</v>
      </c>
      <c r="O578">
        <f>生データ!O686</f>
        <v>0</v>
      </c>
      <c r="P578" t="str">
        <f>生データ!P686</f>
        <v>D</v>
      </c>
      <c r="Q578">
        <f>生データ!Q686</f>
        <v>0</v>
      </c>
      <c r="R578" t="str">
        <f>生データ!R686</f>
        <v>broken</v>
      </c>
      <c r="S578">
        <f>生データ!S686</f>
        <v>0</v>
      </c>
      <c r="T578">
        <f>生データ!T686</f>
        <v>8.5307049497255907</v>
      </c>
      <c r="U578" t="str">
        <f>生データ!U686</f>
        <v>dead</v>
      </c>
      <c r="V578">
        <f>COUNTIF(怪しいデータを手直し!F$2:F$701,Sheet5!F578)</f>
        <v>1</v>
      </c>
    </row>
    <row r="579" spans="1:22">
      <c r="A579">
        <f>生データ!A687</f>
        <v>40</v>
      </c>
      <c r="B579">
        <f>生データ!B687</f>
        <v>20</v>
      </c>
      <c r="C579">
        <f>生データ!C687</f>
        <v>42.499091903781498</v>
      </c>
      <c r="D579">
        <f>生データ!D687</f>
        <v>29.730277569567264</v>
      </c>
      <c r="E579">
        <f>生データ!E687</f>
        <v>0</v>
      </c>
      <c r="F579">
        <f>IF(生データ!E687="Wr",3000+生データ!F687,IF(生データ!E687="Wb",4000+生データ!F687,生データ!F687))</f>
        <v>299</v>
      </c>
      <c r="G579" t="str">
        <f>生データ!G687</f>
        <v>bp</v>
      </c>
      <c r="H579">
        <f>生データ!H687</f>
        <v>26.8</v>
      </c>
      <c r="I579">
        <f>生データ!I687</f>
        <v>0</v>
      </c>
      <c r="J579">
        <f>生データ!J687</f>
        <v>28.1</v>
      </c>
      <c r="K579">
        <f>生データ!K687</f>
        <v>0</v>
      </c>
      <c r="L579">
        <f>生データ!L687</f>
        <v>7.3</v>
      </c>
      <c r="M579">
        <f>生データ!M687</f>
        <v>1.9</v>
      </c>
      <c r="N579">
        <f>生データ!N687</f>
        <v>0</v>
      </c>
      <c r="O579">
        <f>生データ!O687</f>
        <v>0</v>
      </c>
      <c r="P579" t="str">
        <f>生データ!P687</f>
        <v>L</v>
      </c>
      <c r="Q579">
        <f>生データ!Q687</f>
        <v>0</v>
      </c>
      <c r="R579">
        <f>生データ!R687</f>
        <v>0</v>
      </c>
      <c r="S579">
        <f>生データ!S687</f>
        <v>0</v>
      </c>
      <c r="T579">
        <f>生データ!T687</f>
        <v>8.5307049497255907</v>
      </c>
      <c r="U579">
        <f>生データ!U687</f>
        <v>8.9445078017645194</v>
      </c>
      <c r="V579">
        <f>COUNTIF(怪しいデータを手直し!F$2:F$701,Sheet5!F579)</f>
        <v>1</v>
      </c>
    </row>
    <row r="580" spans="1:22">
      <c r="A580">
        <f>生データ!A688</f>
        <v>40</v>
      </c>
      <c r="B580">
        <f>生データ!B688</f>
        <v>40</v>
      </c>
      <c r="C580">
        <f>生データ!C688</f>
        <v>49.006355480452719</v>
      </c>
      <c r="D580">
        <f>生データ!D688</f>
        <v>42.140623873727854</v>
      </c>
      <c r="E580">
        <f>生データ!E688</f>
        <v>0</v>
      </c>
      <c r="F580">
        <f>IF(生データ!E688="Wr",3000+生データ!F688,IF(生データ!E688="Wb",4000+生データ!F688,生データ!F688))</f>
        <v>347</v>
      </c>
      <c r="G580" t="str">
        <f>生データ!G688</f>
        <v>bp</v>
      </c>
      <c r="H580">
        <f>生データ!H688</f>
        <v>26.9</v>
      </c>
      <c r="I580">
        <f>生データ!I688</f>
        <v>0</v>
      </c>
      <c r="J580">
        <f>生データ!J688</f>
        <v>29.2</v>
      </c>
      <c r="K580">
        <f>生データ!K688</f>
        <v>0</v>
      </c>
      <c r="L580">
        <f>生データ!L688</f>
        <v>8.6</v>
      </c>
      <c r="M580">
        <f>生データ!M688</f>
        <v>2.2999999999999998</v>
      </c>
      <c r="N580">
        <f>生データ!N688</f>
        <v>0</v>
      </c>
      <c r="O580">
        <f>生データ!O688</f>
        <v>0</v>
      </c>
      <c r="P580" t="str">
        <f>生データ!P688</f>
        <v>L</v>
      </c>
      <c r="Q580">
        <f>生データ!Q688</f>
        <v>0</v>
      </c>
      <c r="R580">
        <f>生データ!R688</f>
        <v>0</v>
      </c>
      <c r="S580">
        <f>生データ!S688</f>
        <v>0</v>
      </c>
      <c r="T580">
        <f>生データ!T688</f>
        <v>8.5625359383439683</v>
      </c>
      <c r="U580">
        <f>生データ!U688</f>
        <v>9.2946486765666876</v>
      </c>
      <c r="V580">
        <f>COUNTIF(怪しいデータを手直し!F$2:F$701,Sheet5!F580)</f>
        <v>1</v>
      </c>
    </row>
    <row r="581" spans="1:22">
      <c r="A581">
        <f>生データ!A689</f>
        <v>10</v>
      </c>
      <c r="B581">
        <f>生データ!B689</f>
        <v>-30</v>
      </c>
      <c r="C581">
        <f>生データ!C689</f>
        <v>18.162512928283768</v>
      </c>
      <c r="D581">
        <f>生データ!D689</f>
        <v>-24.107753797548693</v>
      </c>
      <c r="E581">
        <f>生データ!E689</f>
        <v>0</v>
      </c>
      <c r="F581">
        <f>IF(生データ!E689="Wr",3000+生データ!F689,IF(生データ!E689="Wb",4000+生データ!F689,生データ!F689))</f>
        <v>625</v>
      </c>
      <c r="G581" t="str">
        <f>生データ!G689</f>
        <v>lc</v>
      </c>
      <c r="H581">
        <f>生データ!H689</f>
        <v>27.5</v>
      </c>
      <c r="I581">
        <f>生データ!I689</f>
        <v>0</v>
      </c>
      <c r="J581" t="str">
        <f>生データ!J689</f>
        <v>dead</v>
      </c>
      <c r="K581">
        <f>生データ!K689</f>
        <v>0</v>
      </c>
      <c r="L581">
        <f>生データ!L689</f>
        <v>7.2</v>
      </c>
      <c r="M581">
        <f>生データ!M689</f>
        <v>0.9</v>
      </c>
      <c r="N581">
        <f>生データ!N689</f>
        <v>0</v>
      </c>
      <c r="O581">
        <f>生データ!O689</f>
        <v>0</v>
      </c>
      <c r="P581" t="str">
        <f>生データ!P689</f>
        <v>L</v>
      </c>
      <c r="Q581">
        <f>生データ!Q689</f>
        <v>0</v>
      </c>
      <c r="R581">
        <f>生データ!R689</f>
        <v>0</v>
      </c>
      <c r="S581">
        <f>生データ!S689</f>
        <v>0</v>
      </c>
      <c r="T581">
        <f>生データ!T689</f>
        <v>8.753521870054243</v>
      </c>
      <c r="U581" t="str">
        <f>生データ!U689</f>
        <v>dead</v>
      </c>
      <c r="V581">
        <f>COUNTIF(怪しいデータを手直し!F$2:F$701,Sheet5!F581)</f>
        <v>1</v>
      </c>
    </row>
    <row r="582" spans="1:22">
      <c r="A582">
        <f>生データ!A690</f>
        <v>0</v>
      </c>
      <c r="B582">
        <f>生データ!B690</f>
        <v>20</v>
      </c>
      <c r="C582">
        <f>生データ!C690</f>
        <v>7.614100830171675</v>
      </c>
      <c r="D582">
        <f>生データ!D690</f>
        <v>23.664419264764746</v>
      </c>
      <c r="E582">
        <f>生データ!E690</f>
        <v>0</v>
      </c>
      <c r="F582">
        <f>IF(生データ!E690="Wr",3000+生データ!F690,IF(生データ!E690="Wb",4000+生データ!F690,生データ!F690))</f>
        <v>39</v>
      </c>
      <c r="G582" t="str">
        <f>生データ!G690</f>
        <v>lc</v>
      </c>
      <c r="H582">
        <f>生データ!H690</f>
        <v>27.6</v>
      </c>
      <c r="I582">
        <f>生データ!I690</f>
        <v>0</v>
      </c>
      <c r="J582" t="str">
        <f>生データ!J690</f>
        <v>dead</v>
      </c>
      <c r="K582">
        <f>生データ!K690</f>
        <v>0</v>
      </c>
      <c r="L582">
        <f>生データ!L690</f>
        <v>5.2</v>
      </c>
      <c r="M582">
        <f>生データ!M690</f>
        <v>0</v>
      </c>
      <c r="N582">
        <f>生データ!N690</f>
        <v>0</v>
      </c>
      <c r="O582">
        <f>生データ!O690</f>
        <v>0</v>
      </c>
      <c r="P582" t="str">
        <f>生データ!P690</f>
        <v>D</v>
      </c>
      <c r="Q582">
        <f>生データ!Q690</f>
        <v>0</v>
      </c>
      <c r="R582">
        <f>生データ!R690</f>
        <v>0</v>
      </c>
      <c r="S582">
        <f>生データ!S690</f>
        <v>0</v>
      </c>
      <c r="T582">
        <f>生データ!T690</f>
        <v>8.7853528586726242</v>
      </c>
      <c r="U582" t="str">
        <f>生データ!U690</f>
        <v>dead</v>
      </c>
      <c r="V582">
        <f>COUNTIF(怪しいデータを手直し!F$2:F$701,Sheet5!F582)</f>
        <v>1</v>
      </c>
    </row>
    <row r="583" spans="1:22">
      <c r="A583">
        <f>生データ!A691</f>
        <v>10</v>
      </c>
      <c r="B583">
        <f>生データ!B691</f>
        <v>10</v>
      </c>
      <c r="C583">
        <f>生データ!C691</f>
        <v>16.471613120300947</v>
      </c>
      <c r="D583">
        <f>生データ!D691</f>
        <v>13.888537465570909</v>
      </c>
      <c r="E583">
        <f>生データ!E691</f>
        <v>0</v>
      </c>
      <c r="F583">
        <f>IF(生データ!E691="Wr",3000+生データ!F691,IF(生データ!E691="Wb",4000+生データ!F691,生データ!F691))</f>
        <v>112</v>
      </c>
      <c r="G583" t="str">
        <f>生データ!G691</f>
        <v>bp</v>
      </c>
      <c r="H583">
        <f>生データ!H691</f>
        <v>27.6</v>
      </c>
      <c r="I583">
        <f>生データ!I691</f>
        <v>0</v>
      </c>
      <c r="J583">
        <f>生データ!J691</f>
        <v>30</v>
      </c>
      <c r="K583">
        <f>生データ!K691</f>
        <v>0</v>
      </c>
      <c r="L583">
        <f>生データ!L691</f>
        <v>6.3</v>
      </c>
      <c r="M583">
        <f>生データ!M691</f>
        <v>1.8</v>
      </c>
      <c r="N583">
        <f>生データ!N691</f>
        <v>0</v>
      </c>
      <c r="O583">
        <f>生データ!O691</f>
        <v>0</v>
      </c>
      <c r="P583" t="str">
        <f>生データ!P691</f>
        <v>L</v>
      </c>
      <c r="Q583">
        <f>生データ!Q691</f>
        <v>0</v>
      </c>
      <c r="R583">
        <f>生データ!R691</f>
        <v>0</v>
      </c>
      <c r="S583">
        <f>生データ!S691</f>
        <v>0</v>
      </c>
      <c r="T583">
        <f>生データ!T691</f>
        <v>8.7853528586726242</v>
      </c>
      <c r="U583">
        <f>生データ!U691</f>
        <v>9.5492965855137211</v>
      </c>
      <c r="V583">
        <f>COUNTIF(怪しいデータを手直し!F$2:F$701,Sheet5!F583)</f>
        <v>1</v>
      </c>
    </row>
    <row r="584" spans="1:22">
      <c r="A584">
        <f>生データ!A692</f>
        <v>50</v>
      </c>
      <c r="B584">
        <f>生データ!B692</f>
        <v>-30</v>
      </c>
      <c r="C584">
        <f>生データ!C692</f>
        <v>50.189114493623592</v>
      </c>
      <c r="D584">
        <f>生データ!D692</f>
        <v>-27.790330927717896</v>
      </c>
      <c r="E584">
        <f>生データ!E692</f>
        <v>0</v>
      </c>
      <c r="F584">
        <f>IF(生データ!E692="Wr",3000+生データ!F692,IF(生データ!E692="Wb",4000+生データ!F692,生データ!F692))</f>
        <v>704</v>
      </c>
      <c r="G584" t="str">
        <f>生データ!G692</f>
        <v>bp</v>
      </c>
      <c r="H584">
        <f>生データ!H692</f>
        <v>27.8</v>
      </c>
      <c r="I584">
        <f>生データ!I692</f>
        <v>0</v>
      </c>
      <c r="J584">
        <f>生データ!J692</f>
        <v>28.5</v>
      </c>
      <c r="K584">
        <f>生データ!K692</f>
        <v>0</v>
      </c>
      <c r="L584">
        <f>生データ!L692</f>
        <v>6.9</v>
      </c>
      <c r="M584">
        <f>生データ!M692</f>
        <v>2.2999999999999998</v>
      </c>
      <c r="N584">
        <f>生データ!N692</f>
        <v>0</v>
      </c>
      <c r="O584">
        <f>生データ!O692</f>
        <v>0</v>
      </c>
      <c r="P584" t="str">
        <f>生データ!P692</f>
        <v>L</v>
      </c>
      <c r="Q584">
        <f>生データ!Q692</f>
        <v>0</v>
      </c>
      <c r="R584">
        <f>生データ!R692</f>
        <v>0</v>
      </c>
      <c r="S584">
        <f>生データ!S692</f>
        <v>0</v>
      </c>
      <c r="T584">
        <f>生データ!T692</f>
        <v>8.8490148359093812</v>
      </c>
      <c r="U584">
        <f>生データ!U692</f>
        <v>9.0718317562380353</v>
      </c>
      <c r="V584">
        <f>COUNTIF(怪しいデータを手直し!F$2:F$701,Sheet5!F584)</f>
        <v>1</v>
      </c>
    </row>
    <row r="585" spans="1:22">
      <c r="A585">
        <f>生データ!A693</f>
        <v>20</v>
      </c>
      <c r="B585">
        <f>生データ!B693</f>
        <v>-10</v>
      </c>
      <c r="C585">
        <f>生データ!C693</f>
        <v>21.766250392445837</v>
      </c>
      <c r="D585">
        <f>生データ!D693</f>
        <v>-9.5225324628643904</v>
      </c>
      <c r="E585">
        <f>生データ!E693</f>
        <v>0</v>
      </c>
      <c r="F585">
        <f>IF(生データ!E693="Wr",3000+生データ!F693,IF(生データ!E693="Wb",4000+生データ!F693,生データ!F693))</f>
        <v>411</v>
      </c>
      <c r="G585" t="str">
        <f>生データ!G693</f>
        <v>bp</v>
      </c>
      <c r="H585">
        <f>生データ!H693</f>
        <v>28.3</v>
      </c>
      <c r="I585">
        <f>生データ!I693</f>
        <v>0</v>
      </c>
      <c r="J585" t="str">
        <f>生データ!J693</f>
        <v>dead</v>
      </c>
      <c r="K585">
        <f>生データ!K693</f>
        <v>0</v>
      </c>
      <c r="L585">
        <f>生データ!L693</f>
        <v>4.4000000000000004</v>
      </c>
      <c r="M585">
        <f>生データ!M693</f>
        <v>2.2000000000000002</v>
      </c>
      <c r="N585">
        <f>生データ!N693</f>
        <v>0</v>
      </c>
      <c r="O585">
        <f>生データ!O693</f>
        <v>0</v>
      </c>
      <c r="P585" t="str">
        <f>生データ!P693</f>
        <v>L</v>
      </c>
      <c r="Q585">
        <f>生データ!Q693</f>
        <v>0</v>
      </c>
      <c r="R585">
        <f>生データ!R693</f>
        <v>0</v>
      </c>
      <c r="S585">
        <f>生データ!S693</f>
        <v>0</v>
      </c>
      <c r="T585">
        <f>生データ!T693</f>
        <v>9.0081697790012765</v>
      </c>
      <c r="U585" t="str">
        <f>生データ!U693</f>
        <v>dead</v>
      </c>
      <c r="V585">
        <f>COUNTIF(怪しいデータを手直し!F$2:F$701,Sheet5!F585)</f>
        <v>1</v>
      </c>
    </row>
    <row r="586" spans="1:22">
      <c r="A586">
        <f>生データ!A694</f>
        <v>10</v>
      </c>
      <c r="B586">
        <f>生データ!B694</f>
        <v>-50</v>
      </c>
      <c r="C586">
        <f>生データ!C694</f>
        <v>16.681584647994701</v>
      </c>
      <c r="D586">
        <f>生データ!D694</f>
        <v>-45.752622038059769</v>
      </c>
      <c r="E586">
        <f>生データ!E694</f>
        <v>0</v>
      </c>
      <c r="F586">
        <f>IF(生データ!E694="Wr",3000+生データ!F694,IF(生データ!E694="Wb",4000+生データ!F694,生データ!F694))</f>
        <v>816</v>
      </c>
      <c r="G586" t="str">
        <f>生データ!G694</f>
        <v>lc</v>
      </c>
      <c r="H586">
        <f>生データ!H694</f>
        <v>28.3</v>
      </c>
      <c r="I586">
        <f>生データ!I694</f>
        <v>0</v>
      </c>
      <c r="J586">
        <f>生データ!J694</f>
        <v>27.5</v>
      </c>
      <c r="K586">
        <f>生データ!K694</f>
        <v>0</v>
      </c>
      <c r="L586">
        <f>生データ!L694</f>
        <v>5.2</v>
      </c>
      <c r="M586">
        <f>生データ!M694</f>
        <v>2.6</v>
      </c>
      <c r="N586">
        <f>生データ!N694</f>
        <v>0</v>
      </c>
      <c r="O586">
        <f>生データ!O694</f>
        <v>0</v>
      </c>
      <c r="P586" t="str">
        <f>生データ!P694</f>
        <v>L</v>
      </c>
      <c r="Q586">
        <f>生データ!Q694</f>
        <v>0</v>
      </c>
      <c r="R586" t="str">
        <f>生データ!R694</f>
        <v>Dead H=6.8</v>
      </c>
      <c r="S586">
        <f>生データ!S694</f>
        <v>0</v>
      </c>
      <c r="T586">
        <f>生データ!T694</f>
        <v>9.0081697790012765</v>
      </c>
      <c r="U586">
        <f>生データ!U694</f>
        <v>8.753521870054243</v>
      </c>
      <c r="V586">
        <f>COUNTIF(怪しいデータを手直し!F$2:F$701,Sheet5!F586)</f>
        <v>1</v>
      </c>
    </row>
    <row r="587" spans="1:22">
      <c r="A587">
        <f>生データ!A695</f>
        <v>20</v>
      </c>
      <c r="B587">
        <f>生データ!B695</f>
        <v>40</v>
      </c>
      <c r="C587">
        <f>生データ!C695</f>
        <v>25.842201321935772</v>
      </c>
      <c r="D587">
        <f>生データ!D695</f>
        <v>46.937837106330178</v>
      </c>
      <c r="E587">
        <f>生データ!E695</f>
        <v>0</v>
      </c>
      <c r="F587">
        <f>IF(生データ!E695="Wr",3000+生データ!F695,IF(生データ!E695="Wb",4000+生データ!F695,生データ!F695))</f>
        <v>197</v>
      </c>
      <c r="G587" t="str">
        <f>生データ!G695</f>
        <v>bp</v>
      </c>
      <c r="H587">
        <f>生データ!H695</f>
        <v>28.4</v>
      </c>
      <c r="I587">
        <f>生データ!I695</f>
        <v>0</v>
      </c>
      <c r="J587">
        <f>生データ!J695</f>
        <v>28.3</v>
      </c>
      <c r="K587">
        <f>生データ!K695</f>
        <v>0</v>
      </c>
      <c r="L587">
        <f>生データ!L695</f>
        <v>10.8</v>
      </c>
      <c r="M587">
        <f>生データ!M695</f>
        <v>3.7</v>
      </c>
      <c r="N587">
        <f>生データ!N695</f>
        <v>0</v>
      </c>
      <c r="O587">
        <f>生データ!O695</f>
        <v>0</v>
      </c>
      <c r="P587" t="str">
        <f>生データ!P695</f>
        <v>L</v>
      </c>
      <c r="Q587">
        <f>生データ!Q695</f>
        <v>0</v>
      </c>
      <c r="R587">
        <f>生データ!R695</f>
        <v>0</v>
      </c>
      <c r="S587">
        <f>生データ!S695</f>
        <v>0</v>
      </c>
      <c r="T587">
        <f>生データ!T695</f>
        <v>9.0400007676196541</v>
      </c>
      <c r="U587">
        <f>生データ!U695</f>
        <v>9.0081697790012765</v>
      </c>
      <c r="V587">
        <f>COUNTIF(怪しいデータを手直し!F$2:F$701,Sheet5!F587)</f>
        <v>1</v>
      </c>
    </row>
    <row r="588" spans="1:22">
      <c r="A588">
        <f>生データ!A696</f>
        <v>30</v>
      </c>
      <c r="B588">
        <f>生データ!B696</f>
        <v>10</v>
      </c>
      <c r="C588">
        <f>生データ!C696</f>
        <v>31.863786000705463</v>
      </c>
      <c r="D588">
        <f>生データ!D696</f>
        <v>17.937307162087787</v>
      </c>
      <c r="E588">
        <f>生データ!E696</f>
        <v>0</v>
      </c>
      <c r="F588">
        <f>IF(生データ!E696="Wr",3000+生データ!F696,IF(生データ!E696="Wb",4000+生データ!F696,生データ!F696))</f>
        <v>221</v>
      </c>
      <c r="G588" t="str">
        <f>生データ!G696</f>
        <v>bp</v>
      </c>
      <c r="H588">
        <f>生データ!H696</f>
        <v>28.7</v>
      </c>
      <c r="I588">
        <f>生データ!I696</f>
        <v>0</v>
      </c>
      <c r="J588">
        <f>生データ!J696</f>
        <v>25</v>
      </c>
      <c r="K588">
        <f>生データ!K696</f>
        <v>0</v>
      </c>
      <c r="L588">
        <f>生データ!L696</f>
        <v>7.4</v>
      </c>
      <c r="M588">
        <f>生データ!M696</f>
        <v>1.7</v>
      </c>
      <c r="N588">
        <f>生データ!N696</f>
        <v>0</v>
      </c>
      <c r="O588">
        <f>生データ!O696</f>
        <v>0</v>
      </c>
      <c r="P588" t="str">
        <f>生データ!P696</f>
        <v>L</v>
      </c>
      <c r="Q588">
        <f>生データ!Q696</f>
        <v>0</v>
      </c>
      <c r="R588">
        <f>生データ!R696</f>
        <v>0</v>
      </c>
      <c r="S588">
        <f>生データ!S696</f>
        <v>0</v>
      </c>
      <c r="T588">
        <f>生データ!T696</f>
        <v>9.1354937334747923</v>
      </c>
      <c r="U588">
        <f>生データ!U696</f>
        <v>7.9577471545947667</v>
      </c>
      <c r="V588">
        <f>COUNTIF(怪しいデータを手直し!F$2:F$701,Sheet5!F588)</f>
        <v>1</v>
      </c>
    </row>
    <row r="589" spans="1:22">
      <c r="A589">
        <f>生データ!A697</f>
        <v>10</v>
      </c>
      <c r="B589">
        <f>生データ!B697</f>
        <v>-50</v>
      </c>
      <c r="C589">
        <f>生データ!C697</f>
        <v>14.848486988509565</v>
      </c>
      <c r="D589">
        <f>生データ!D697</f>
        <v>-47.855632099558299</v>
      </c>
      <c r="E589">
        <f>生データ!E697</f>
        <v>0</v>
      </c>
      <c r="F589">
        <f>IF(生データ!E697="Wr",3000+生データ!F697,IF(生データ!E697="Wb",4000+生データ!F697,生データ!F697))</f>
        <v>815</v>
      </c>
      <c r="G589" t="str">
        <f>生データ!G697</f>
        <v>lc</v>
      </c>
      <c r="H589">
        <f>生データ!H697</f>
        <v>29.3</v>
      </c>
      <c r="I589">
        <f>生データ!I697</f>
        <v>0</v>
      </c>
      <c r="J589">
        <f>生データ!J697</f>
        <v>30.4</v>
      </c>
      <c r="K589">
        <f>生データ!K697</f>
        <v>0</v>
      </c>
      <c r="L589">
        <f>生データ!L697</f>
        <v>8.5</v>
      </c>
      <c r="M589">
        <f>生データ!M697</f>
        <v>1.7</v>
      </c>
      <c r="N589">
        <f>生データ!N697</f>
        <v>0</v>
      </c>
      <c r="O589">
        <f>生データ!O697</f>
        <v>0</v>
      </c>
      <c r="P589" t="str">
        <f>生データ!P697</f>
        <v>L</v>
      </c>
      <c r="Q589">
        <f>生データ!Q697</f>
        <v>0</v>
      </c>
      <c r="R589">
        <f>生データ!R697</f>
        <v>0</v>
      </c>
      <c r="S589">
        <f>生データ!S697</f>
        <v>0</v>
      </c>
      <c r="T589">
        <f>生データ!T697</f>
        <v>9.326479665185067</v>
      </c>
      <c r="U589">
        <f>生データ!U697</f>
        <v>9.6766205399872369</v>
      </c>
      <c r="V589">
        <f>COUNTIF(怪しいデータを手直し!F$2:F$701,Sheet5!F589)</f>
        <v>1</v>
      </c>
    </row>
    <row r="590" spans="1:22">
      <c r="A590">
        <f>生データ!A698</f>
        <v>30</v>
      </c>
      <c r="B590">
        <f>生データ!B698</f>
        <v>0</v>
      </c>
      <c r="C590">
        <f>生データ!C698</f>
        <v>35.804963619066001</v>
      </c>
      <c r="D590">
        <f>生データ!D698</f>
        <v>9.125</v>
      </c>
      <c r="E590">
        <f>生データ!E698</f>
        <v>0</v>
      </c>
      <c r="F590">
        <f>IF(生データ!E698="Wr",3000+生データ!F698,IF(生データ!E698="Wb",4000+生データ!F698,生データ!F698))</f>
        <v>243</v>
      </c>
      <c r="G590" t="str">
        <f>生データ!G698</f>
        <v>lc</v>
      </c>
      <c r="H590">
        <f>生データ!H698</f>
        <v>29.4</v>
      </c>
      <c r="I590">
        <f>生データ!I698</f>
        <v>0</v>
      </c>
      <c r="J590" t="str">
        <f>生データ!J698</f>
        <v>dead</v>
      </c>
      <c r="K590">
        <f>生データ!K698</f>
        <v>0</v>
      </c>
      <c r="L590">
        <f>生データ!L698</f>
        <v>6.5</v>
      </c>
      <c r="M590">
        <f>生データ!M698</f>
        <v>0</v>
      </c>
      <c r="N590">
        <f>生データ!N698</f>
        <v>0</v>
      </c>
      <c r="O590">
        <f>生データ!O698</f>
        <v>0</v>
      </c>
      <c r="P590" t="str">
        <f>生データ!P698</f>
        <v>D</v>
      </c>
      <c r="Q590">
        <f>生データ!Q698</f>
        <v>0</v>
      </c>
      <c r="R590">
        <f>生データ!R698</f>
        <v>0</v>
      </c>
      <c r="S590">
        <f>生データ!S698</f>
        <v>0</v>
      </c>
      <c r="T590">
        <f>生データ!T698</f>
        <v>9.3583106538034464</v>
      </c>
      <c r="U590" t="str">
        <f>生データ!U698</f>
        <v>dead</v>
      </c>
      <c r="V590">
        <f>COUNTIF(怪しいデータを手直し!F$2:F$701,Sheet5!F590)</f>
        <v>1</v>
      </c>
    </row>
    <row r="591" spans="1:22">
      <c r="A591">
        <f>生データ!A699</f>
        <v>30</v>
      </c>
      <c r="B591">
        <f>生データ!B699</f>
        <v>0</v>
      </c>
      <c r="C591">
        <f>生データ!C699</f>
        <v>33.450797670107235</v>
      </c>
      <c r="D591">
        <f>生データ!D699</f>
        <v>6.101552428508481</v>
      </c>
      <c r="E591">
        <f>生データ!E699</f>
        <v>0</v>
      </c>
      <c r="F591">
        <f>IF(生データ!E699="Wr",3000+生データ!F699,IF(生データ!E699="Wb",4000+生データ!F699,生データ!F699))</f>
        <v>257</v>
      </c>
      <c r="G591" t="str">
        <f>生データ!G699</f>
        <v>pt</v>
      </c>
      <c r="H591">
        <f>生データ!H699</f>
        <v>29.5</v>
      </c>
      <c r="I591">
        <f>生データ!I699</f>
        <v>0</v>
      </c>
      <c r="J591">
        <f>生データ!J699</f>
        <v>31.3</v>
      </c>
      <c r="K591">
        <f>生データ!K699</f>
        <v>0</v>
      </c>
      <c r="L591">
        <f>生データ!L699</f>
        <v>10</v>
      </c>
      <c r="M591">
        <f>生データ!M699</f>
        <v>4.2</v>
      </c>
      <c r="N591">
        <f>生データ!N699</f>
        <v>0</v>
      </c>
      <c r="O591">
        <f>生データ!O699</f>
        <v>0</v>
      </c>
      <c r="P591" t="str">
        <f>生データ!P699</f>
        <v>L</v>
      </c>
      <c r="Q591">
        <f>生データ!Q699</f>
        <v>0</v>
      </c>
      <c r="R591">
        <f>生データ!R699</f>
        <v>0</v>
      </c>
      <c r="S591">
        <f>生データ!S699</f>
        <v>0</v>
      </c>
      <c r="T591">
        <f>生データ!T699</f>
        <v>9.3901416424218258</v>
      </c>
      <c r="U591">
        <f>生データ!U699</f>
        <v>9.963099437552648</v>
      </c>
      <c r="V591">
        <f>COUNTIF(怪しいデータを手直し!F$2:F$701,Sheet5!F591)</f>
        <v>1</v>
      </c>
    </row>
    <row r="592" spans="1:22">
      <c r="A592">
        <f>生データ!A700</f>
        <v>30</v>
      </c>
      <c r="B592">
        <f>生データ!B700</f>
        <v>-10</v>
      </c>
      <c r="C592">
        <f>生データ!C700</f>
        <v>34.217457461745369</v>
      </c>
      <c r="D592">
        <f>生データ!D700</f>
        <v>-7.32809023481785</v>
      </c>
      <c r="E592">
        <f>生データ!E700</f>
        <v>0</v>
      </c>
      <c r="F592">
        <f>IF(生データ!E700="Wr",3000+生データ!F700,IF(生データ!E700="Wb",4000+生データ!F700,生データ!F700))</f>
        <v>430</v>
      </c>
      <c r="G592" t="str">
        <f>生データ!G700</f>
        <v>bp</v>
      </c>
      <c r="H592">
        <f>生データ!H700</f>
        <v>29.5</v>
      </c>
      <c r="I592">
        <f>生データ!I700</f>
        <v>0</v>
      </c>
      <c r="J592">
        <f>生データ!J700</f>
        <v>29.7</v>
      </c>
      <c r="K592">
        <f>生データ!K700</f>
        <v>0</v>
      </c>
      <c r="L592">
        <f>生データ!L700</f>
        <v>8.6</v>
      </c>
      <c r="M592">
        <f>生データ!M700</f>
        <v>3.3</v>
      </c>
      <c r="N592">
        <f>生データ!N700</f>
        <v>0</v>
      </c>
      <c r="O592">
        <f>生データ!O700</f>
        <v>0</v>
      </c>
      <c r="P592" t="str">
        <f>生データ!P700</f>
        <v>L</v>
      </c>
      <c r="Q592">
        <f>生データ!Q700</f>
        <v>0</v>
      </c>
      <c r="R592" t="str">
        <f>生データ!R700</f>
        <v>Dead H=8.8</v>
      </c>
      <c r="S592">
        <f>生データ!S700</f>
        <v>0</v>
      </c>
      <c r="T592">
        <f>生データ!T700</f>
        <v>9.3901416424218258</v>
      </c>
      <c r="U592">
        <f>生データ!U700</f>
        <v>9.4538036196585828</v>
      </c>
      <c r="V592">
        <f>COUNTIF(怪しいデータを手直し!F$2:F$701,Sheet5!F592)</f>
        <v>1</v>
      </c>
    </row>
    <row r="593" spans="1:22">
      <c r="A593">
        <f>生データ!A701</f>
        <v>50</v>
      </c>
      <c r="B593">
        <f>生データ!B701</f>
        <v>-30</v>
      </c>
      <c r="C593">
        <f>生データ!C701</f>
        <v>50.122764376874976</v>
      </c>
      <c r="D593">
        <f>生データ!D701</f>
        <v>-27.684136505344721</v>
      </c>
      <c r="E593">
        <f>生データ!E701</f>
        <v>0</v>
      </c>
      <c r="F593">
        <f>IF(生データ!E701="Wr",3000+生データ!F701,IF(生データ!E701="Wb",4000+生データ!F701,生データ!F701))</f>
        <v>702</v>
      </c>
      <c r="G593" t="str">
        <f>生データ!G701</f>
        <v>bp</v>
      </c>
      <c r="H593">
        <f>生データ!H701</f>
        <v>29.7</v>
      </c>
      <c r="I593">
        <f>生データ!I701</f>
        <v>0</v>
      </c>
      <c r="J593">
        <f>生データ!J701</f>
        <v>30.3</v>
      </c>
      <c r="K593">
        <f>生データ!K701</f>
        <v>0</v>
      </c>
      <c r="L593">
        <f>生データ!L701</f>
        <v>11</v>
      </c>
      <c r="M593">
        <f>生データ!M701</f>
        <v>4.0999999999999996</v>
      </c>
      <c r="N593">
        <f>生データ!N701</f>
        <v>0</v>
      </c>
      <c r="O593">
        <f>生データ!O701</f>
        <v>0</v>
      </c>
      <c r="P593" t="str">
        <f>生データ!P701</f>
        <v>L</v>
      </c>
      <c r="Q593">
        <f>生データ!Q701</f>
        <v>0</v>
      </c>
      <c r="R593" t="str">
        <f>生データ!R701</f>
        <v>almost dead</v>
      </c>
      <c r="S593">
        <f>生データ!S701</f>
        <v>0</v>
      </c>
      <c r="T593">
        <f>生データ!T701</f>
        <v>9.4538036196585828</v>
      </c>
      <c r="U593">
        <f>生データ!U701</f>
        <v>9.6447895513688575</v>
      </c>
      <c r="V593">
        <f>COUNTIF(怪しいデータを手直し!F$2:F$701,Sheet5!F593)</f>
        <v>1</v>
      </c>
    </row>
    <row r="594" spans="1:22">
      <c r="A594">
        <f>生データ!A702</f>
        <v>20</v>
      </c>
      <c r="B594">
        <f>生データ!B702</f>
        <v>-30</v>
      </c>
      <c r="C594">
        <f>生データ!C702</f>
        <v>24.978339189507665</v>
      </c>
      <c r="D594">
        <f>生データ!D702</f>
        <v>-25.942333102777518</v>
      </c>
      <c r="E594">
        <f>生データ!E702</f>
        <v>0</v>
      </c>
      <c r="F594">
        <f>IF(生データ!E702="Wr",3000+生データ!F702,IF(生データ!E702="Wb",4000+生データ!F702,生データ!F702))</f>
        <v>647</v>
      </c>
      <c r="G594" t="str">
        <f>生データ!G702</f>
        <v>bp</v>
      </c>
      <c r="H594">
        <f>生データ!H702</f>
        <v>30</v>
      </c>
      <c r="I594">
        <f>生データ!I702</f>
        <v>0</v>
      </c>
      <c r="J594">
        <f>生データ!J702</f>
        <v>31.2</v>
      </c>
      <c r="K594">
        <f>生データ!K702</f>
        <v>0</v>
      </c>
      <c r="L594">
        <f>生データ!L702</f>
        <v>7.9</v>
      </c>
      <c r="M594">
        <f>生データ!M702</f>
        <v>3.3</v>
      </c>
      <c r="N594">
        <f>生データ!N702</f>
        <v>0</v>
      </c>
      <c r="O594">
        <f>生データ!O702</f>
        <v>0</v>
      </c>
      <c r="P594" t="str">
        <f>生データ!P702</f>
        <v>L</v>
      </c>
      <c r="Q594">
        <f>生データ!Q702</f>
        <v>0</v>
      </c>
      <c r="R594">
        <f>生データ!R702</f>
        <v>0</v>
      </c>
      <c r="S594">
        <f>生データ!S702</f>
        <v>0</v>
      </c>
      <c r="T594">
        <f>生データ!T702</f>
        <v>9.5492965855137211</v>
      </c>
      <c r="U594">
        <f>生データ!U702</f>
        <v>9.9312684489342686</v>
      </c>
      <c r="V594">
        <f>COUNTIF(怪しいデータを手直し!F$2:F$701,Sheet5!F594)</f>
        <v>1</v>
      </c>
    </row>
    <row r="595" spans="1:22">
      <c r="A595">
        <f>生データ!A703</f>
        <v>0</v>
      </c>
      <c r="B595">
        <f>生データ!B703</f>
        <v>10</v>
      </c>
      <c r="C595">
        <f>生データ!C703</f>
        <v>9.9838034761087275</v>
      </c>
      <c r="D595">
        <f>生データ!D703</f>
        <v>12.319943463236516</v>
      </c>
      <c r="E595">
        <f>生データ!E703</f>
        <v>0</v>
      </c>
      <c r="F595">
        <f>IF(生データ!E703="Wr",3000+生データ!F703,IF(生データ!E703="Wb",4000+生データ!F703,生データ!F703))</f>
        <v>18</v>
      </c>
      <c r="G595" t="str">
        <f>生データ!G703</f>
        <v>lc</v>
      </c>
      <c r="H595">
        <f>生データ!H703</f>
        <v>30.5</v>
      </c>
      <c r="I595">
        <f>生データ!I703</f>
        <v>0</v>
      </c>
      <c r="J595" t="str">
        <f>生データ!J703</f>
        <v>dead</v>
      </c>
      <c r="K595">
        <f>生データ!K703</f>
        <v>0</v>
      </c>
      <c r="L595">
        <f>生データ!L703</f>
        <v>7.6</v>
      </c>
      <c r="M595">
        <f>生データ!M703</f>
        <v>0</v>
      </c>
      <c r="N595">
        <f>生データ!N703</f>
        <v>0</v>
      </c>
      <c r="O595">
        <f>生データ!O703</f>
        <v>0</v>
      </c>
      <c r="P595" t="str">
        <f>生データ!P703</f>
        <v>D</v>
      </c>
      <c r="Q595">
        <f>生データ!Q703</f>
        <v>0</v>
      </c>
      <c r="R595">
        <f>生データ!R703</f>
        <v>0</v>
      </c>
      <c r="S595">
        <f>生データ!S703</f>
        <v>0</v>
      </c>
      <c r="T595">
        <f>生データ!T703</f>
        <v>9.7084515286056163</v>
      </c>
      <c r="U595" t="str">
        <f>生データ!U703</f>
        <v>dead</v>
      </c>
      <c r="V595">
        <f>COUNTIF(怪しいデータを手直し!F$2:F$701,Sheet5!F595)</f>
        <v>1</v>
      </c>
    </row>
    <row r="596" spans="1:22">
      <c r="A596">
        <f>生データ!A704</f>
        <v>40</v>
      </c>
      <c r="B596">
        <f>生データ!B704</f>
        <v>-50</v>
      </c>
      <c r="C596">
        <f>生データ!C704</f>
        <v>46.484910842853935</v>
      </c>
      <c r="D596">
        <f>生データ!D704</f>
        <v>-41.761911280466606</v>
      </c>
      <c r="E596">
        <f>生データ!E704</f>
        <v>0</v>
      </c>
      <c r="F596">
        <f>IF(生データ!E704="Wr",3000+生データ!F704,IF(生データ!E704="Wb",4000+生データ!F704,生データ!F704))</f>
        <v>830</v>
      </c>
      <c r="G596" t="str">
        <f>生データ!G704</f>
        <v>lc</v>
      </c>
      <c r="H596">
        <f>生データ!H704</f>
        <v>31</v>
      </c>
      <c r="I596">
        <f>生データ!I704</f>
        <v>0</v>
      </c>
      <c r="J596">
        <f>生データ!J704</f>
        <v>33.9</v>
      </c>
      <c r="K596">
        <f>生データ!K704</f>
        <v>0</v>
      </c>
      <c r="L596">
        <f>生データ!L704</f>
        <v>6.6</v>
      </c>
      <c r="M596">
        <f>生データ!M704</f>
        <v>1.8</v>
      </c>
      <c r="N596">
        <f>生データ!N704</f>
        <v>0</v>
      </c>
      <c r="O596">
        <f>生データ!O704</f>
        <v>0</v>
      </c>
      <c r="P596" t="str">
        <f>生データ!P704</f>
        <v>L</v>
      </c>
      <c r="Q596">
        <f>生データ!Q704</f>
        <v>0</v>
      </c>
      <c r="R596">
        <f>生データ!R704</f>
        <v>0</v>
      </c>
      <c r="S596">
        <f>生データ!S704</f>
        <v>0</v>
      </c>
      <c r="T596">
        <f>生データ!T704</f>
        <v>9.8676064716975116</v>
      </c>
      <c r="U596">
        <f>生データ!U704</f>
        <v>10.790705141630504</v>
      </c>
      <c r="V596">
        <f>COUNTIF(怪しいデータを手直し!F$2:F$701,Sheet5!F596)</f>
        <v>1</v>
      </c>
    </row>
    <row r="597" spans="1:22">
      <c r="A597">
        <f>生データ!A705</f>
        <v>30</v>
      </c>
      <c r="B597">
        <f>生データ!B705</f>
        <v>-10</v>
      </c>
      <c r="C597">
        <f>生データ!C705</f>
        <v>34.096027688842931</v>
      </c>
      <c r="D597">
        <f>生データ!D705</f>
        <v>-6.9396714311873886</v>
      </c>
      <c r="E597">
        <f>生データ!E705</f>
        <v>0</v>
      </c>
      <c r="F597">
        <f>IF(生データ!E705="Wr",3000+生データ!F705,IF(生データ!E705="Wb",4000+生データ!F705,生データ!F705))</f>
        <v>431</v>
      </c>
      <c r="G597" t="str">
        <f>生データ!G705</f>
        <v>bp</v>
      </c>
      <c r="H597">
        <f>生データ!H705</f>
        <v>31.2</v>
      </c>
      <c r="I597">
        <f>生データ!I705</f>
        <v>0</v>
      </c>
      <c r="J597" t="str">
        <f>生データ!J705</f>
        <v>dead</v>
      </c>
      <c r="K597">
        <f>生データ!K705</f>
        <v>0</v>
      </c>
      <c r="L597">
        <f>生データ!L705</f>
        <v>3.4</v>
      </c>
      <c r="M597">
        <f>生データ!M705</f>
        <v>0</v>
      </c>
      <c r="N597">
        <f>生データ!N705</f>
        <v>0</v>
      </c>
      <c r="O597">
        <f>生データ!O705</f>
        <v>0</v>
      </c>
      <c r="P597" t="str">
        <f>生データ!P705</f>
        <v>D</v>
      </c>
      <c r="Q597">
        <f>生データ!Q705</f>
        <v>0</v>
      </c>
      <c r="R597">
        <f>生データ!R705</f>
        <v>0</v>
      </c>
      <c r="S597">
        <f>生データ!S705</f>
        <v>0</v>
      </c>
      <c r="T597">
        <f>生データ!T705</f>
        <v>9.9312684489342686</v>
      </c>
      <c r="U597" t="str">
        <f>生データ!U705</f>
        <v>dead</v>
      </c>
      <c r="V597">
        <f>COUNTIF(怪しいデータを手直し!F$2:F$701,Sheet5!F597)</f>
        <v>1</v>
      </c>
    </row>
    <row r="598" spans="1:22">
      <c r="A598">
        <f>生データ!A706</f>
        <v>30</v>
      </c>
      <c r="B598">
        <f>生データ!B706</f>
        <v>10</v>
      </c>
      <c r="C598">
        <f>生データ!C706</f>
        <v>33.173371849837416</v>
      </c>
      <c r="D598">
        <f>生データ!D706</f>
        <v>11.088136496632174</v>
      </c>
      <c r="E598">
        <f>生データ!E706</f>
        <v>0</v>
      </c>
      <c r="F598">
        <f>IF(生データ!E706="Wr",3000+生データ!F706,IF(生データ!E706="Wb",4000+生データ!F706,生データ!F706))</f>
        <v>236</v>
      </c>
      <c r="G598" t="str">
        <f>生データ!G706</f>
        <v>lc</v>
      </c>
      <c r="H598">
        <f>生データ!H706</f>
        <v>31.4</v>
      </c>
      <c r="I598">
        <f>生データ!I706</f>
        <v>0</v>
      </c>
      <c r="J598" t="str">
        <f>生データ!J706</f>
        <v>dead</v>
      </c>
      <c r="K598">
        <f>生データ!K706</f>
        <v>0</v>
      </c>
      <c r="L598">
        <f>生データ!L706</f>
        <v>1.6</v>
      </c>
      <c r="M598">
        <f>生データ!M706</f>
        <v>0</v>
      </c>
      <c r="N598">
        <f>生データ!N706</f>
        <v>0</v>
      </c>
      <c r="O598">
        <f>生データ!O706</f>
        <v>0</v>
      </c>
      <c r="P598" t="str">
        <f>生データ!P706</f>
        <v>D</v>
      </c>
      <c r="Q598">
        <f>生データ!Q706</f>
        <v>0</v>
      </c>
      <c r="R598" t="str">
        <f>生データ!R706</f>
        <v>broken</v>
      </c>
      <c r="S598">
        <f>生データ!S706</f>
        <v>0</v>
      </c>
      <c r="T598">
        <f>生データ!T706</f>
        <v>9.9949304261710274</v>
      </c>
      <c r="U598" t="str">
        <f>生データ!U706</f>
        <v>dead</v>
      </c>
      <c r="V598">
        <f>COUNTIF(怪しいデータを手直し!F$2:F$701,Sheet5!F598)</f>
        <v>1</v>
      </c>
    </row>
    <row r="599" spans="1:22">
      <c r="A599">
        <f>生データ!A707</f>
        <v>10</v>
      </c>
      <c r="B599">
        <f>生データ!B707</f>
        <v>-50</v>
      </c>
      <c r="C599">
        <f>生データ!C707</f>
        <v>13.313416888113256</v>
      </c>
      <c r="D599">
        <f>生データ!D707</f>
        <v>-46.262995010997308</v>
      </c>
      <c r="E599">
        <f>生データ!E707</f>
        <v>0</v>
      </c>
      <c r="F599">
        <f>IF(生データ!E707="Wr",3000+生データ!F707,IF(生データ!E707="Wb",4000+生データ!F707,生データ!F707))</f>
        <v>813</v>
      </c>
      <c r="G599" t="str">
        <f>生データ!G707</f>
        <v>lc</v>
      </c>
      <c r="H599">
        <f>生データ!H707</f>
        <v>31.6</v>
      </c>
      <c r="I599">
        <f>生データ!I707</f>
        <v>0</v>
      </c>
      <c r="J599">
        <f>生データ!J707</f>
        <v>32.299999999999997</v>
      </c>
      <c r="K599">
        <f>生データ!K707</f>
        <v>0</v>
      </c>
      <c r="L599">
        <f>生データ!L707</f>
        <v>7.9</v>
      </c>
      <c r="M599">
        <f>生データ!M707</f>
        <v>3.4</v>
      </c>
      <c r="N599">
        <f>生データ!N707</f>
        <v>0</v>
      </c>
      <c r="O599">
        <f>生データ!O707</f>
        <v>0</v>
      </c>
      <c r="P599" t="str">
        <f>生データ!P707</f>
        <v>L</v>
      </c>
      <c r="Q599">
        <f>生データ!Q707</f>
        <v>0</v>
      </c>
      <c r="R599">
        <f>生データ!R707</f>
        <v>0</v>
      </c>
      <c r="S599">
        <f>生データ!S707</f>
        <v>0</v>
      </c>
      <c r="T599">
        <f>生データ!T707</f>
        <v>10.058592403407786</v>
      </c>
      <c r="U599">
        <f>生データ!U707</f>
        <v>10.281409323736439</v>
      </c>
      <c r="V599">
        <f>COUNTIF(怪しいデータを手直し!F$2:F$701,Sheet5!F599)</f>
        <v>1</v>
      </c>
    </row>
    <row r="600" spans="1:22">
      <c r="A600">
        <f>生データ!A708</f>
        <v>30</v>
      </c>
      <c r="B600">
        <f>生データ!B708</f>
        <v>0</v>
      </c>
      <c r="C600">
        <f>生データ!C708</f>
        <v>32.364956775153857</v>
      </c>
      <c r="D600">
        <f>生データ!D708</f>
        <v>6.71362375685269</v>
      </c>
      <c r="E600">
        <f>生データ!E708</f>
        <v>0</v>
      </c>
      <c r="F600">
        <f>IF(生データ!E708="Wr",3000+生データ!F708,IF(生データ!E708="Wb",4000+生データ!F708,生データ!F708))</f>
        <v>255</v>
      </c>
      <c r="G600" t="str">
        <f>生データ!G708</f>
        <v>pt</v>
      </c>
      <c r="H600">
        <f>生データ!H708</f>
        <v>31.8</v>
      </c>
      <c r="I600">
        <f>生データ!I708</f>
        <v>0</v>
      </c>
      <c r="J600">
        <f>生データ!J708</f>
        <v>33.4</v>
      </c>
      <c r="K600">
        <f>生データ!K708</f>
        <v>0</v>
      </c>
      <c r="L600">
        <f>生データ!L708</f>
        <v>10.199999999999999</v>
      </c>
      <c r="M600">
        <f>生データ!M708</f>
        <v>3.3</v>
      </c>
      <c r="N600">
        <f>生データ!N708</f>
        <v>0</v>
      </c>
      <c r="O600">
        <f>生データ!O708</f>
        <v>0</v>
      </c>
      <c r="P600" t="str">
        <f>生データ!P708</f>
        <v>L</v>
      </c>
      <c r="Q600">
        <f>生データ!Q708</f>
        <v>0</v>
      </c>
      <c r="R600">
        <f>生データ!R708</f>
        <v>0</v>
      </c>
      <c r="S600">
        <f>生データ!S708</f>
        <v>0</v>
      </c>
      <c r="T600">
        <f>生データ!T708</f>
        <v>10.122254380644543</v>
      </c>
      <c r="U600">
        <f>生データ!U708</f>
        <v>10.631550198538608</v>
      </c>
      <c r="V600">
        <f>COUNTIF(怪しいデータを手直し!F$2:F$701,Sheet5!F600)</f>
        <v>1</v>
      </c>
    </row>
    <row r="601" spans="1:22">
      <c r="A601">
        <f>生データ!A709</f>
        <v>20</v>
      </c>
      <c r="B601">
        <f>生データ!B709</f>
        <v>-30</v>
      </c>
      <c r="C601">
        <f>生データ!C709</f>
        <v>24.426142049030712</v>
      </c>
      <c r="D601">
        <f>生データ!D709</f>
        <v>-26.190396396226696</v>
      </c>
      <c r="E601">
        <f>生データ!E709</f>
        <v>0</v>
      </c>
      <c r="F601">
        <f>IF(生データ!E709="Wr",3000+生データ!F709,IF(生データ!E709="Wb",4000+生データ!F709,生データ!F709))</f>
        <v>644</v>
      </c>
      <c r="G601" t="str">
        <f>生データ!G709</f>
        <v>bp</v>
      </c>
      <c r="H601">
        <f>生データ!H709</f>
        <v>32.299999999999997</v>
      </c>
      <c r="I601">
        <f>生データ!I709</f>
        <v>0</v>
      </c>
      <c r="J601">
        <f>生データ!J709</f>
        <v>33.200000000000003</v>
      </c>
      <c r="K601">
        <f>生データ!K709</f>
        <v>0</v>
      </c>
      <c r="L601">
        <f>生データ!L709</f>
        <v>7.9</v>
      </c>
      <c r="M601">
        <f>生データ!M709</f>
        <v>2.7</v>
      </c>
      <c r="N601">
        <f>生データ!N709</f>
        <v>0</v>
      </c>
      <c r="O601">
        <f>生データ!O709</f>
        <v>0</v>
      </c>
      <c r="P601" t="str">
        <f>生データ!P709</f>
        <v>L</v>
      </c>
      <c r="Q601">
        <f>生データ!Q709</f>
        <v>0</v>
      </c>
      <c r="R601">
        <f>生データ!R709</f>
        <v>0</v>
      </c>
      <c r="S601">
        <f>生データ!S709</f>
        <v>0</v>
      </c>
      <c r="T601">
        <f>生データ!T709</f>
        <v>10.281409323736439</v>
      </c>
      <c r="U601">
        <f>生データ!U709</f>
        <v>10.567888221301851</v>
      </c>
      <c r="V601">
        <f>COUNTIF(怪しいデータを手直し!F$2:F$701,Sheet5!F601)</f>
        <v>1</v>
      </c>
    </row>
    <row r="602" spans="1:22">
      <c r="A602">
        <f>生データ!A710</f>
        <v>20</v>
      </c>
      <c r="B602">
        <f>生データ!B710</f>
        <v>-10</v>
      </c>
      <c r="C602">
        <f>生データ!C710</f>
        <v>28.096502686916914</v>
      </c>
      <c r="D602">
        <f>生データ!D710</f>
        <v>-4.7002215407223211</v>
      </c>
      <c r="E602">
        <f>生データ!E710</f>
        <v>0</v>
      </c>
      <c r="F602">
        <f>IF(生データ!E710="Wr",3000+生データ!F710,IF(生データ!E710="Wb",4000+生データ!F710,生データ!F710))</f>
        <v>418</v>
      </c>
      <c r="G602" t="str">
        <f>生データ!G710</f>
        <v>bp</v>
      </c>
      <c r="H602">
        <f>生データ!H710</f>
        <v>32.4</v>
      </c>
      <c r="I602">
        <f>生データ!I710</f>
        <v>0</v>
      </c>
      <c r="J602">
        <f>生データ!J710</f>
        <v>30.4</v>
      </c>
      <c r="K602">
        <f>生データ!K710</f>
        <v>0</v>
      </c>
      <c r="L602">
        <f>生データ!L710</f>
        <v>6.1</v>
      </c>
      <c r="M602">
        <f>生データ!M710</f>
        <v>2.4</v>
      </c>
      <c r="N602">
        <f>生データ!N710</f>
        <v>0</v>
      </c>
      <c r="O602">
        <f>生データ!O710</f>
        <v>0</v>
      </c>
      <c r="P602" t="str">
        <f>生データ!P710</f>
        <v>L</v>
      </c>
      <c r="Q602">
        <f>生データ!Q710</f>
        <v>0</v>
      </c>
      <c r="R602">
        <f>生データ!R710</f>
        <v>0</v>
      </c>
      <c r="S602" t="str">
        <f>生データ!S710</f>
        <v>GBH2001?</v>
      </c>
      <c r="T602">
        <f>生データ!T710</f>
        <v>10.313240312354818</v>
      </c>
      <c r="U602">
        <f>生データ!U710</f>
        <v>9.6766205399872369</v>
      </c>
      <c r="V602">
        <f>COUNTIF(怪しいデータを手直し!F$2:F$701,Sheet5!F602)</f>
        <v>1</v>
      </c>
    </row>
    <row r="603" spans="1:22">
      <c r="A603">
        <f>生データ!A711</f>
        <v>20</v>
      </c>
      <c r="B603">
        <f>生データ!B711</f>
        <v>0</v>
      </c>
      <c r="C603">
        <f>生データ!C711</f>
        <v>23.975649436810265</v>
      </c>
      <c r="D603">
        <f>生データ!D711</f>
        <v>3.1623743541191063</v>
      </c>
      <c r="E603">
        <f>生データ!E711</f>
        <v>0</v>
      </c>
      <c r="F603">
        <f>IF(生データ!E711="Wr",3000+生データ!F711,IF(生データ!E711="Wb",4000+生データ!F711,生データ!F711))</f>
        <v>121</v>
      </c>
      <c r="G603" t="str">
        <f>生データ!G711</f>
        <v>pt</v>
      </c>
      <c r="H603">
        <f>生データ!H711</f>
        <v>32.5</v>
      </c>
      <c r="I603">
        <f>生データ!I711</f>
        <v>0</v>
      </c>
      <c r="J603">
        <f>生データ!J711</f>
        <v>33.1</v>
      </c>
      <c r="K603">
        <f>生データ!K711</f>
        <v>0</v>
      </c>
      <c r="L603">
        <f>生データ!L711</f>
        <v>9.9</v>
      </c>
      <c r="M603">
        <f>生データ!M711</f>
        <v>2.6</v>
      </c>
      <c r="N603">
        <f>生データ!N711</f>
        <v>0</v>
      </c>
      <c r="O603">
        <f>生データ!O711</f>
        <v>0</v>
      </c>
      <c r="P603" t="str">
        <f>生データ!P711</f>
        <v>L</v>
      </c>
      <c r="Q603">
        <f>生データ!Q711</f>
        <v>0</v>
      </c>
      <c r="R603">
        <f>生データ!R711</f>
        <v>0</v>
      </c>
      <c r="S603">
        <f>生データ!S711</f>
        <v>0</v>
      </c>
      <c r="T603">
        <f>生データ!T711</f>
        <v>10.345071300973197</v>
      </c>
      <c r="U603">
        <f>生データ!U711</f>
        <v>10.536057232683472</v>
      </c>
      <c r="V603">
        <f>COUNTIF(怪しいデータを手直し!F$2:F$701,Sheet5!F603)</f>
        <v>1</v>
      </c>
    </row>
    <row r="604" spans="1:22">
      <c r="A604">
        <f>生データ!A712</f>
        <v>30</v>
      </c>
      <c r="B604">
        <f>生データ!B712</f>
        <v>-10</v>
      </c>
      <c r="C604">
        <f>生データ!C712</f>
        <v>35.122213435174388</v>
      </c>
      <c r="D604">
        <f>生データ!D712</f>
        <v>-6.1890554677341747</v>
      </c>
      <c r="E604">
        <f>生データ!E712</f>
        <v>0</v>
      </c>
      <c r="F604">
        <f>IF(生データ!E712="Wr",3000+生データ!F712,IF(生データ!E712="Wb",4000+生データ!F712,生データ!F712))</f>
        <v>433</v>
      </c>
      <c r="G604" t="str">
        <f>生データ!G712</f>
        <v>pt</v>
      </c>
      <c r="H604">
        <f>生データ!H712</f>
        <v>32.5</v>
      </c>
      <c r="I604">
        <f>生データ!I712</f>
        <v>0</v>
      </c>
      <c r="J604">
        <f>生データ!J712</f>
        <v>34</v>
      </c>
      <c r="K604">
        <f>生データ!K712</f>
        <v>0</v>
      </c>
      <c r="L604">
        <f>生データ!L712</f>
        <v>9.1999999999999993</v>
      </c>
      <c r="M604">
        <f>生データ!M712</f>
        <v>3.3</v>
      </c>
      <c r="N604">
        <f>生データ!N712</f>
        <v>0</v>
      </c>
      <c r="O604">
        <f>生データ!O712</f>
        <v>0</v>
      </c>
      <c r="P604" t="str">
        <f>生データ!P712</f>
        <v>L</v>
      </c>
      <c r="Q604">
        <f>生データ!Q712</f>
        <v>0</v>
      </c>
      <c r="R604">
        <f>生データ!R712</f>
        <v>0</v>
      </c>
      <c r="S604">
        <f>生データ!S712</f>
        <v>0</v>
      </c>
      <c r="T604">
        <f>生データ!T712</f>
        <v>10.345071300973197</v>
      </c>
      <c r="U604">
        <f>生データ!U712</f>
        <v>10.822536130248883</v>
      </c>
      <c r="V604">
        <f>COUNTIF(怪しいデータを手直し!F$2:F$701,Sheet5!F604)</f>
        <v>1</v>
      </c>
    </row>
    <row r="605" spans="1:22">
      <c r="A605">
        <f>生データ!A713</f>
        <v>0</v>
      </c>
      <c r="B605">
        <f>生データ!B713</f>
        <v>10</v>
      </c>
      <c r="C605">
        <f>生データ!C713</f>
        <v>6.8999120717316238</v>
      </c>
      <c r="D605">
        <f>生データ!D713</f>
        <v>17.634595918383937</v>
      </c>
      <c r="E605">
        <f>生データ!E713</f>
        <v>0</v>
      </c>
      <c r="F605">
        <f>IF(生データ!E713="Wr",3000+生データ!F713,IF(生データ!E713="Wb",4000+生データ!F713,生データ!F713))</f>
        <v>20</v>
      </c>
      <c r="G605" t="str">
        <f>生データ!G713</f>
        <v>bp</v>
      </c>
      <c r="H605">
        <f>生データ!H713</f>
        <v>32.700000000000003</v>
      </c>
      <c r="I605">
        <f>生データ!I713</f>
        <v>0</v>
      </c>
      <c r="J605">
        <f>生データ!J713</f>
        <v>35.9</v>
      </c>
      <c r="K605">
        <f>生データ!K713</f>
        <v>0</v>
      </c>
      <c r="L605">
        <f>生データ!L713</f>
        <v>8.1999999999999993</v>
      </c>
      <c r="M605">
        <f>生データ!M713</f>
        <v>2.7</v>
      </c>
      <c r="N605">
        <f>生データ!N713</f>
        <v>0</v>
      </c>
      <c r="O605">
        <f>生データ!O713</f>
        <v>0</v>
      </c>
      <c r="P605" t="str">
        <f>生データ!P713</f>
        <v>L</v>
      </c>
      <c r="Q605">
        <f>生データ!Q713</f>
        <v>0</v>
      </c>
      <c r="R605">
        <f>生データ!R713</f>
        <v>0</v>
      </c>
      <c r="S605">
        <f>生データ!S713</f>
        <v>0</v>
      </c>
      <c r="T605">
        <f>生データ!T713</f>
        <v>10.408733278209956</v>
      </c>
      <c r="U605">
        <f>生データ!U713</f>
        <v>11.427324913998085</v>
      </c>
      <c r="V605">
        <f>COUNTIF(怪しいデータを手直し!F$2:F$701,Sheet5!F605)</f>
        <v>1</v>
      </c>
    </row>
    <row r="606" spans="1:22">
      <c r="A606">
        <f>生データ!A714</f>
        <v>20</v>
      </c>
      <c r="B606">
        <f>生データ!B714</f>
        <v>30</v>
      </c>
      <c r="C606">
        <f>生データ!C714</f>
        <v>20.652257610790159</v>
      </c>
      <c r="D606">
        <f>生データ!D714</f>
        <v>33.794183372901976</v>
      </c>
      <c r="E606">
        <f>生データ!E714</f>
        <v>0</v>
      </c>
      <c r="F606">
        <f>IF(生データ!E714="Wr",3000+生データ!F714,IF(生データ!E714="Wb",4000+生データ!F714,生データ!F714))</f>
        <v>176</v>
      </c>
      <c r="G606" t="str">
        <f>生データ!G714</f>
        <v>bp</v>
      </c>
      <c r="H606">
        <f>生データ!H714</f>
        <v>32.799999999999997</v>
      </c>
      <c r="I606">
        <f>生データ!I714</f>
        <v>0</v>
      </c>
      <c r="J606">
        <f>生データ!J714</f>
        <v>35.299999999999997</v>
      </c>
      <c r="K606">
        <f>生データ!K714</f>
        <v>0</v>
      </c>
      <c r="L606">
        <f>生データ!L714</f>
        <v>9.9</v>
      </c>
      <c r="M606">
        <f>生データ!M714</f>
        <v>2.8</v>
      </c>
      <c r="N606">
        <f>生データ!N714</f>
        <v>0</v>
      </c>
      <c r="O606">
        <f>生データ!O714</f>
        <v>0</v>
      </c>
      <c r="P606" t="str">
        <f>生データ!P714</f>
        <v>L</v>
      </c>
      <c r="Q606">
        <f>生データ!Q714</f>
        <v>0</v>
      </c>
      <c r="R606">
        <f>生データ!R714</f>
        <v>0</v>
      </c>
      <c r="S606">
        <f>生データ!S714</f>
        <v>0</v>
      </c>
      <c r="T606">
        <f>生データ!T714</f>
        <v>10.440564266828334</v>
      </c>
      <c r="U606">
        <f>生データ!U714</f>
        <v>11.23633898228781</v>
      </c>
      <c r="V606">
        <f>COUNTIF(怪しいデータを手直し!F$2:F$701,Sheet5!F606)</f>
        <v>1</v>
      </c>
    </row>
    <row r="607" spans="1:22">
      <c r="A607">
        <f>生データ!A715</f>
        <v>30</v>
      </c>
      <c r="B607">
        <f>生データ!B715</f>
        <v>10</v>
      </c>
      <c r="C607">
        <f>生データ!C715</f>
        <v>34.695315057578405</v>
      </c>
      <c r="D607">
        <f>生データ!D715</f>
        <v>13.584665518456774</v>
      </c>
      <c r="E607">
        <f>生データ!E715</f>
        <v>0</v>
      </c>
      <c r="F607">
        <f>IF(生データ!E715="Wr",3000+生データ!F715,IF(生データ!E715="Wb",4000+生データ!F715,生データ!F715))</f>
        <v>232</v>
      </c>
      <c r="G607" t="str">
        <f>生データ!G715</f>
        <v>lc</v>
      </c>
      <c r="H607">
        <f>生データ!H715</f>
        <v>32.799999999999997</v>
      </c>
      <c r="I607">
        <f>生データ!I715</f>
        <v>0</v>
      </c>
      <c r="J607" t="str">
        <f>生データ!J715</f>
        <v>dead</v>
      </c>
      <c r="K607">
        <f>生データ!K715</f>
        <v>0</v>
      </c>
      <c r="L607">
        <f>生データ!L715</f>
        <v>8.3000000000000007</v>
      </c>
      <c r="M607">
        <f>生データ!M715</f>
        <v>0</v>
      </c>
      <c r="N607">
        <f>生データ!N715</f>
        <v>0</v>
      </c>
      <c r="O607">
        <f>生データ!O715</f>
        <v>0</v>
      </c>
      <c r="P607" t="str">
        <f>生データ!P715</f>
        <v>D</v>
      </c>
      <c r="Q607">
        <f>生データ!Q715</f>
        <v>0</v>
      </c>
      <c r="R607">
        <f>生データ!R715</f>
        <v>0</v>
      </c>
      <c r="S607">
        <f>生データ!S715</f>
        <v>0</v>
      </c>
      <c r="T607">
        <f>生データ!T715</f>
        <v>10.440564266828334</v>
      </c>
      <c r="U607" t="str">
        <f>生データ!U715</f>
        <v>dead</v>
      </c>
      <c r="V607">
        <f>COUNTIF(怪しいデータを手直し!F$2:F$701,Sheet5!F607)</f>
        <v>1</v>
      </c>
    </row>
    <row r="608" spans="1:22">
      <c r="A608">
        <f>生データ!A716</f>
        <v>40</v>
      </c>
      <c r="B608">
        <f>生データ!B716</f>
        <v>-50</v>
      </c>
      <c r="C608">
        <f>生データ!C716</f>
        <v>44.973961314677979</v>
      </c>
      <c r="D608">
        <f>生データ!D716</f>
        <v>-49.889621268789163</v>
      </c>
      <c r="E608">
        <f>生データ!E716</f>
        <v>0</v>
      </c>
      <c r="F608">
        <f>IF(生データ!E716="Wr",3000+生データ!F716,IF(生データ!E716="Wb",4000+生データ!F716,生データ!F716))</f>
        <v>827</v>
      </c>
      <c r="G608" t="str">
        <f>生データ!G716</f>
        <v>lc</v>
      </c>
      <c r="H608">
        <f>生データ!H716</f>
        <v>32.799999999999997</v>
      </c>
      <c r="I608">
        <f>生データ!I716</f>
        <v>0</v>
      </c>
      <c r="J608">
        <f>生データ!J716</f>
        <v>33.9</v>
      </c>
      <c r="K608">
        <f>生データ!K716</f>
        <v>0</v>
      </c>
      <c r="L608">
        <f>生データ!L716</f>
        <v>8.8000000000000007</v>
      </c>
      <c r="M608">
        <f>生データ!M716</f>
        <v>4.4000000000000004</v>
      </c>
      <c r="N608">
        <f>生データ!N716</f>
        <v>0</v>
      </c>
      <c r="O608">
        <f>生データ!O716</f>
        <v>0</v>
      </c>
      <c r="P608" t="str">
        <f>生データ!P716</f>
        <v>L</v>
      </c>
      <c r="Q608">
        <f>生データ!Q716</f>
        <v>0</v>
      </c>
      <c r="R608">
        <f>生データ!R716</f>
        <v>0</v>
      </c>
      <c r="S608">
        <f>生データ!S716</f>
        <v>0</v>
      </c>
      <c r="T608">
        <f>生データ!T716</f>
        <v>10.440564266828334</v>
      </c>
      <c r="U608">
        <f>生データ!U716</f>
        <v>10.790705141630504</v>
      </c>
      <c r="V608">
        <f>COUNTIF(怪しいデータを手直し!F$2:F$701,Sheet5!F608)</f>
        <v>1</v>
      </c>
    </row>
    <row r="609" spans="1:22">
      <c r="A609">
        <f>生データ!A717</f>
        <v>20</v>
      </c>
      <c r="B609">
        <f>生データ!B717</f>
        <v>-50</v>
      </c>
      <c r="C609">
        <f>生データ!C717</f>
        <v>26.290903973680571</v>
      </c>
      <c r="D609">
        <f>生データ!D717</f>
        <v>-49.394254844072186</v>
      </c>
      <c r="E609">
        <f>生データ!E717</f>
        <v>0</v>
      </c>
      <c r="F609">
        <f>IF(生データ!E717="Wr",3000+生データ!F717,IF(生データ!E717="Wb",4000+生データ!F717,生データ!F717))</f>
        <v>820</v>
      </c>
      <c r="G609" t="str">
        <f>生データ!G717</f>
        <v>lc</v>
      </c>
      <c r="H609">
        <f>生データ!H717</f>
        <v>33</v>
      </c>
      <c r="I609">
        <f>生データ!I717</f>
        <v>0</v>
      </c>
      <c r="J609">
        <f>生データ!J717</f>
        <v>33.299999999999997</v>
      </c>
      <c r="K609">
        <f>生データ!K717</f>
        <v>0</v>
      </c>
      <c r="L609">
        <f>生データ!L717</f>
        <v>9.1999999999999993</v>
      </c>
      <c r="M609">
        <f>生データ!M717</f>
        <v>4.9000000000000004</v>
      </c>
      <c r="N609">
        <f>生データ!N717</f>
        <v>0</v>
      </c>
      <c r="O609">
        <f>生データ!O717</f>
        <v>0</v>
      </c>
      <c r="P609" t="str">
        <f>生データ!P717</f>
        <v>L</v>
      </c>
      <c r="Q609">
        <f>生データ!Q717</f>
        <v>0</v>
      </c>
      <c r="R609">
        <f>生データ!R717</f>
        <v>0</v>
      </c>
      <c r="S609">
        <f>生データ!S717</f>
        <v>0</v>
      </c>
      <c r="T609">
        <f>生データ!T717</f>
        <v>10.504226244065093</v>
      </c>
      <c r="U609">
        <f>生データ!U717</f>
        <v>10.599719209920229</v>
      </c>
      <c r="V609">
        <f>COUNTIF(怪しいデータを手直し!F$2:F$701,Sheet5!F609)</f>
        <v>1</v>
      </c>
    </row>
    <row r="610" spans="1:22">
      <c r="A610">
        <f>生データ!A718</f>
        <v>20</v>
      </c>
      <c r="B610">
        <f>生データ!B718</f>
        <v>40</v>
      </c>
      <c r="C610">
        <f>生データ!C718</f>
        <v>26.645579839866279</v>
      </c>
      <c r="D610">
        <f>生データ!D718</f>
        <v>47.052118021698369</v>
      </c>
      <c r="E610">
        <f>生データ!E718</f>
        <v>0</v>
      </c>
      <c r="F610">
        <f>IF(生データ!E718="Wr",3000+生データ!F718,IF(生データ!E718="Wb",4000+生データ!F718,生データ!F718))</f>
        <v>191</v>
      </c>
      <c r="G610" t="str">
        <f>生データ!G718</f>
        <v>bp</v>
      </c>
      <c r="H610">
        <f>生データ!H718</f>
        <v>33.200000000000003</v>
      </c>
      <c r="I610">
        <f>生データ!I718</f>
        <v>0</v>
      </c>
      <c r="J610">
        <f>生データ!J718</f>
        <v>33.799999999999997</v>
      </c>
      <c r="K610">
        <f>生データ!K718</f>
        <v>0</v>
      </c>
      <c r="L610">
        <f>生データ!L718</f>
        <v>9.5</v>
      </c>
      <c r="M610">
        <f>生データ!M718</f>
        <v>3.6</v>
      </c>
      <c r="N610">
        <f>生データ!N718</f>
        <v>0</v>
      </c>
      <c r="O610">
        <f>生データ!O718</f>
        <v>0</v>
      </c>
      <c r="P610" t="str">
        <f>生データ!P718</f>
        <v>L</v>
      </c>
      <c r="Q610">
        <f>生データ!Q718</f>
        <v>0</v>
      </c>
      <c r="R610">
        <f>生データ!R718</f>
        <v>0</v>
      </c>
      <c r="S610">
        <f>生データ!S718</f>
        <v>0</v>
      </c>
      <c r="T610">
        <f>生データ!T718</f>
        <v>10.567888221301851</v>
      </c>
      <c r="U610">
        <f>生データ!U718</f>
        <v>10.758874153012124</v>
      </c>
      <c r="V610">
        <f>COUNTIF(怪しいデータを手直し!F$2:F$701,Sheet5!F610)</f>
        <v>1</v>
      </c>
    </row>
    <row r="611" spans="1:22">
      <c r="A611">
        <f>生データ!A719</f>
        <v>20</v>
      </c>
      <c r="B611">
        <f>生データ!B719</f>
        <v>-10</v>
      </c>
      <c r="C611">
        <f>生データ!C719</f>
        <v>27.496033648053988</v>
      </c>
      <c r="D611">
        <f>生データ!D719</f>
        <v>-9.3665763902395547</v>
      </c>
      <c r="E611">
        <f>生データ!E719</f>
        <v>0</v>
      </c>
      <c r="F611">
        <f>IF(生データ!E719="Wr",3000+生データ!F719,IF(生データ!E719="Wb",4000+生データ!F719,生データ!F719))</f>
        <v>420</v>
      </c>
      <c r="G611" t="str">
        <f>生データ!G719</f>
        <v>lc</v>
      </c>
      <c r="H611">
        <f>生データ!H719</f>
        <v>33.4</v>
      </c>
      <c r="I611">
        <f>生データ!I719</f>
        <v>0</v>
      </c>
      <c r="J611" t="str">
        <f>生データ!J719</f>
        <v>dead</v>
      </c>
      <c r="K611">
        <f>生データ!K719</f>
        <v>0</v>
      </c>
      <c r="L611">
        <f>生データ!L719</f>
        <v>7.7</v>
      </c>
      <c r="M611">
        <f>生データ!M719</f>
        <v>0.7</v>
      </c>
      <c r="N611">
        <f>生データ!N719</f>
        <v>0</v>
      </c>
      <c r="O611">
        <f>生データ!O719</f>
        <v>0</v>
      </c>
      <c r="P611" t="str">
        <f>生データ!P719</f>
        <v>L</v>
      </c>
      <c r="Q611">
        <f>生データ!Q719</f>
        <v>0</v>
      </c>
      <c r="R611">
        <f>生データ!R719</f>
        <v>0</v>
      </c>
      <c r="S611">
        <f>生データ!S719</f>
        <v>0</v>
      </c>
      <c r="T611">
        <f>生データ!T719</f>
        <v>10.631550198538608</v>
      </c>
      <c r="U611" t="str">
        <f>生データ!U719</f>
        <v>dead</v>
      </c>
      <c r="V611">
        <f>COUNTIF(怪しいデータを手直し!F$2:F$701,Sheet5!F611)</f>
        <v>1</v>
      </c>
    </row>
    <row r="612" spans="1:22">
      <c r="A612">
        <f>生データ!A720</f>
        <v>0</v>
      </c>
      <c r="B612">
        <f>生データ!B720</f>
        <v>40</v>
      </c>
      <c r="C612">
        <f>生データ!C720</f>
        <v>2.0941290288313348</v>
      </c>
      <c r="D612">
        <f>生データ!D720</f>
        <v>41.357580003610096</v>
      </c>
      <c r="E612">
        <f>生データ!E720</f>
        <v>0</v>
      </c>
      <c r="F612">
        <f>IF(生データ!E720="Wr",3000+生データ!F720,IF(生データ!E720="Wb",4000+生データ!F720,生データ!F720))</f>
        <v>68</v>
      </c>
      <c r="G612" t="str">
        <f>生データ!G720</f>
        <v>lc</v>
      </c>
      <c r="H612">
        <f>生データ!H720</f>
        <v>33.5</v>
      </c>
      <c r="I612">
        <f>生データ!I720</f>
        <v>0</v>
      </c>
      <c r="J612" t="str">
        <f>生データ!J720</f>
        <v>dead</v>
      </c>
      <c r="K612">
        <f>生データ!K720</f>
        <v>0</v>
      </c>
      <c r="L612">
        <f>生データ!L720</f>
        <v>2.2000000000000002</v>
      </c>
      <c r="M612">
        <f>生データ!M720</f>
        <v>0</v>
      </c>
      <c r="N612">
        <f>生データ!N720</f>
        <v>0</v>
      </c>
      <c r="O612">
        <f>生データ!O720</f>
        <v>0</v>
      </c>
      <c r="P612" t="str">
        <f>生データ!P720</f>
        <v>D</v>
      </c>
      <c r="Q612">
        <f>生データ!Q720</f>
        <v>0</v>
      </c>
      <c r="R612" t="str">
        <f>生データ!R720</f>
        <v>broken</v>
      </c>
      <c r="S612">
        <f>生データ!S720</f>
        <v>0</v>
      </c>
      <c r="T612">
        <f>生データ!T720</f>
        <v>10.663381187156988</v>
      </c>
      <c r="U612" t="str">
        <f>生データ!U720</f>
        <v>dead</v>
      </c>
      <c r="V612">
        <f>COUNTIF(怪しいデータを手直し!F$2:F$701,Sheet5!F612)</f>
        <v>1</v>
      </c>
    </row>
    <row r="613" spans="1:22">
      <c r="A613">
        <f>生データ!A721</f>
        <v>20</v>
      </c>
      <c r="B613">
        <f>生データ!B721</f>
        <v>30</v>
      </c>
      <c r="C613">
        <f>生データ!C721</f>
        <v>20.978472868674029</v>
      </c>
      <c r="D613">
        <f>生データ!D721</f>
        <v>33.95872605775331</v>
      </c>
      <c r="E613">
        <f>生データ!E721</f>
        <v>0</v>
      </c>
      <c r="F613">
        <f>IF(生データ!E721="Wr",3000+生データ!F721,IF(生データ!E721="Wb",4000+生データ!F721,生データ!F721))</f>
        <v>179</v>
      </c>
      <c r="G613" t="str">
        <f>生データ!G721</f>
        <v>bp</v>
      </c>
      <c r="H613">
        <f>生データ!H721</f>
        <v>33.5</v>
      </c>
      <c r="I613">
        <f>生データ!I721</f>
        <v>0</v>
      </c>
      <c r="J613" t="str">
        <f>生データ!J721</f>
        <v>dead</v>
      </c>
      <c r="K613">
        <f>生データ!K721</f>
        <v>0</v>
      </c>
      <c r="L613">
        <f>生データ!L721</f>
        <v>6.8</v>
      </c>
      <c r="M613">
        <f>生データ!M721</f>
        <v>0</v>
      </c>
      <c r="N613">
        <f>生データ!N721</f>
        <v>0</v>
      </c>
      <c r="O613">
        <f>生データ!O721</f>
        <v>0</v>
      </c>
      <c r="P613" t="str">
        <f>生データ!P721</f>
        <v>D</v>
      </c>
      <c r="Q613">
        <f>生データ!Q721</f>
        <v>0</v>
      </c>
      <c r="R613" t="str">
        <f>生データ!R721</f>
        <v>broken</v>
      </c>
      <c r="S613">
        <f>生データ!S721</f>
        <v>0</v>
      </c>
      <c r="T613">
        <f>生データ!T721</f>
        <v>10.663381187156988</v>
      </c>
      <c r="U613" t="str">
        <f>生データ!U721</f>
        <v>dead</v>
      </c>
      <c r="V613">
        <f>COUNTIF(怪しいデータを手直し!F$2:F$701,Sheet5!F613)</f>
        <v>1</v>
      </c>
    </row>
    <row r="614" spans="1:22">
      <c r="A614">
        <f>生データ!A722</f>
        <v>30</v>
      </c>
      <c r="B614">
        <f>生データ!B722</f>
        <v>10</v>
      </c>
      <c r="C614">
        <f>生データ!C722</f>
        <v>31.896743692831674</v>
      </c>
      <c r="D614">
        <f>生データ!D722</f>
        <v>17.510168004924175</v>
      </c>
      <c r="E614">
        <f>生データ!E722</f>
        <v>0</v>
      </c>
      <c r="F614">
        <f>IF(生データ!E722="Wr",3000+生データ!F722,IF(生データ!E722="Wb",4000+生データ!F722,生データ!F722))</f>
        <v>1000</v>
      </c>
      <c r="G614" t="str">
        <f>生データ!G722</f>
        <v>bp</v>
      </c>
      <c r="H614">
        <f>生データ!H722</f>
        <v>34.5</v>
      </c>
      <c r="I614">
        <f>生データ!I722</f>
        <v>0</v>
      </c>
      <c r="J614">
        <f>生データ!J722</f>
        <v>34.4</v>
      </c>
      <c r="K614">
        <f>生データ!K722</f>
        <v>0</v>
      </c>
      <c r="L614">
        <f>生データ!L722</f>
        <v>7.6</v>
      </c>
      <c r="M614">
        <f>生データ!M722</f>
        <v>3.4</v>
      </c>
      <c r="N614">
        <f>生データ!N722</f>
        <v>0</v>
      </c>
      <c r="O614">
        <f>生データ!O722</f>
        <v>0</v>
      </c>
      <c r="P614" t="str">
        <f>生データ!P722</f>
        <v>L</v>
      </c>
      <c r="Q614">
        <f>生データ!Q722</f>
        <v>0</v>
      </c>
      <c r="R614" t="str">
        <f>生データ!R722</f>
        <v>fall down,224 same clump</v>
      </c>
      <c r="S614" t="str">
        <f>生データ!S722</f>
        <v>New No597 white red</v>
      </c>
      <c r="T614">
        <f>生データ!T722</f>
        <v>10.981691073340778</v>
      </c>
      <c r="U614">
        <f>生データ!U722</f>
        <v>10.949860084722399</v>
      </c>
      <c r="V614">
        <f>COUNTIF(怪しいデータを手直し!F$2:F$701,Sheet5!F614)</f>
        <v>1</v>
      </c>
    </row>
    <row r="615" spans="1:22">
      <c r="A615">
        <f>生データ!A723</f>
        <v>0</v>
      </c>
      <c r="B615">
        <f>生データ!B723</f>
        <v>10</v>
      </c>
      <c r="C615">
        <f>生データ!C723</f>
        <v>6.9093167736498451</v>
      </c>
      <c r="D615">
        <f>生データ!D723</f>
        <v>17.281193390808802</v>
      </c>
      <c r="E615">
        <f>生データ!E723</f>
        <v>0</v>
      </c>
      <c r="F615">
        <f>IF(生データ!E723="Wr",3000+生データ!F723,IF(生データ!E723="Wb",4000+生データ!F723,生データ!F723))</f>
        <v>19</v>
      </c>
      <c r="G615" t="str">
        <f>生データ!G723</f>
        <v>bp</v>
      </c>
      <c r="H615">
        <f>生データ!H723</f>
        <v>34.700000000000003</v>
      </c>
      <c r="I615">
        <f>生データ!I723</f>
        <v>0</v>
      </c>
      <c r="J615" t="str">
        <f>生データ!J723</f>
        <v>dead</v>
      </c>
      <c r="K615">
        <f>生データ!K723</f>
        <v>0</v>
      </c>
      <c r="L615">
        <f>生データ!L723</f>
        <v>5</v>
      </c>
      <c r="M615">
        <f>生データ!M723</f>
        <v>0</v>
      </c>
      <c r="N615">
        <f>生データ!N723</f>
        <v>0</v>
      </c>
      <c r="O615">
        <f>生データ!O723</f>
        <v>0</v>
      </c>
      <c r="P615" t="str">
        <f>生データ!P723</f>
        <v>D</v>
      </c>
      <c r="Q615">
        <f>生データ!Q723</f>
        <v>0</v>
      </c>
      <c r="R615" t="str">
        <f>生データ!R723</f>
        <v>broken</v>
      </c>
      <c r="S615">
        <f>生データ!S723</f>
        <v>0</v>
      </c>
      <c r="T615">
        <f>生データ!T723</f>
        <v>11.045353050577537</v>
      </c>
      <c r="U615" t="str">
        <f>生データ!U723</f>
        <v>dead</v>
      </c>
      <c r="V615">
        <f>COUNTIF(怪しいデータを手直し!F$2:F$701,Sheet5!F615)</f>
        <v>1</v>
      </c>
    </row>
    <row r="616" spans="1:22">
      <c r="A616">
        <f>生データ!A724</f>
        <v>40</v>
      </c>
      <c r="B616">
        <f>生データ!B724</f>
        <v>10</v>
      </c>
      <c r="C616">
        <f>生データ!C724</f>
        <v>49.999878153155805</v>
      </c>
      <c r="D616">
        <f>生データ!D724</f>
        <v>19.930186971695527</v>
      </c>
      <c r="E616">
        <f>生データ!E724</f>
        <v>0</v>
      </c>
      <c r="F616">
        <f>IF(生データ!E724="Wr",3000+生データ!F724,IF(生データ!E724="Wb",4000+生データ!F724,生データ!F724))</f>
        <v>285</v>
      </c>
      <c r="G616" t="str">
        <f>生データ!G724</f>
        <v>lc</v>
      </c>
      <c r="H616">
        <f>生データ!H724</f>
        <v>34.700000000000003</v>
      </c>
      <c r="I616">
        <f>生データ!I724</f>
        <v>0</v>
      </c>
      <c r="J616" t="str">
        <f>生データ!J724</f>
        <v>dead</v>
      </c>
      <c r="K616">
        <f>生データ!K724</f>
        <v>0</v>
      </c>
      <c r="L616">
        <f>生データ!L724</f>
        <v>7.4</v>
      </c>
      <c r="M616">
        <f>生データ!M724</f>
        <v>1.6</v>
      </c>
      <c r="N616">
        <f>生データ!N724</f>
        <v>0</v>
      </c>
      <c r="O616">
        <f>生データ!O724</f>
        <v>0</v>
      </c>
      <c r="P616" t="str">
        <f>生データ!P724</f>
        <v>L</v>
      </c>
      <c r="Q616">
        <f>生データ!Q724</f>
        <v>0</v>
      </c>
      <c r="R616">
        <f>生データ!R724</f>
        <v>0</v>
      </c>
      <c r="S616">
        <f>生データ!S724</f>
        <v>0</v>
      </c>
      <c r="T616">
        <f>生データ!T724</f>
        <v>11.045353050577537</v>
      </c>
      <c r="U616" t="str">
        <f>生データ!U724</f>
        <v>dead</v>
      </c>
      <c r="V616">
        <f>COUNTIF(怪しいデータを手直し!F$2:F$701,Sheet5!F616)</f>
        <v>1</v>
      </c>
    </row>
    <row r="617" spans="1:22">
      <c r="A617">
        <f>生データ!A725</f>
        <v>40</v>
      </c>
      <c r="B617">
        <f>生データ!B725</f>
        <v>-50</v>
      </c>
      <c r="C617">
        <f>生データ!C725</f>
        <v>43.173974312698384</v>
      </c>
      <c r="D617">
        <f>生データ!D725</f>
        <v>-48.816052805101094</v>
      </c>
      <c r="E617">
        <f>生データ!E725</f>
        <v>0</v>
      </c>
      <c r="F617">
        <f>IF(生データ!E725="Wr",3000+生データ!F725,IF(生データ!E725="Wb",4000+生データ!F725,生データ!F725))</f>
        <v>824</v>
      </c>
      <c r="G617" t="str">
        <f>生データ!G725</f>
        <v>lc</v>
      </c>
      <c r="H617">
        <f>生データ!H725</f>
        <v>34.799999999999997</v>
      </c>
      <c r="I617">
        <f>生データ!I725</f>
        <v>0</v>
      </c>
      <c r="J617">
        <f>生データ!J725</f>
        <v>36</v>
      </c>
      <c r="K617">
        <f>生データ!K725</f>
        <v>0</v>
      </c>
      <c r="L617">
        <f>生データ!L725</f>
        <v>8.3000000000000007</v>
      </c>
      <c r="M617">
        <f>生データ!M725</f>
        <v>3.2</v>
      </c>
      <c r="N617">
        <f>生データ!N725</f>
        <v>0</v>
      </c>
      <c r="O617">
        <f>生データ!O725</f>
        <v>0</v>
      </c>
      <c r="P617" t="str">
        <f>生データ!P725</f>
        <v>L</v>
      </c>
      <c r="Q617">
        <f>生データ!Q725</f>
        <v>0</v>
      </c>
      <c r="R617">
        <f>生データ!R725</f>
        <v>0</v>
      </c>
      <c r="S617">
        <f>生データ!S725</f>
        <v>0</v>
      </c>
      <c r="T617">
        <f>生データ!T725</f>
        <v>11.077184039195915</v>
      </c>
      <c r="U617">
        <f>生データ!U725</f>
        <v>11.459155902616464</v>
      </c>
      <c r="V617">
        <f>COUNTIF(怪しいデータを手直し!F$2:F$701,Sheet5!F617)</f>
        <v>1</v>
      </c>
    </row>
    <row r="618" spans="1:22">
      <c r="A618">
        <f>生データ!A726</f>
        <v>20</v>
      </c>
      <c r="B618">
        <f>生データ!B726</f>
        <v>10</v>
      </c>
      <c r="C618">
        <f>生データ!C726</f>
        <v>23.904153440943681</v>
      </c>
      <c r="D618">
        <f>生データ!D726</f>
        <v>10.785104816809508</v>
      </c>
      <c r="E618">
        <f>生データ!E726</f>
        <v>0</v>
      </c>
      <c r="F618">
        <f>IF(生データ!E726="Wr",3000+生データ!F726,IF(生データ!E726="Wb",4000+生データ!F726,生データ!F726))</f>
        <v>139</v>
      </c>
      <c r="G618" t="str">
        <f>生データ!G726</f>
        <v>bp</v>
      </c>
      <c r="H618">
        <f>生データ!H726</f>
        <v>35</v>
      </c>
      <c r="I618">
        <f>生データ!I726</f>
        <v>0</v>
      </c>
      <c r="J618">
        <f>生データ!J726</f>
        <v>36.299999999999997</v>
      </c>
      <c r="K618">
        <f>生データ!K726</f>
        <v>0</v>
      </c>
      <c r="L618">
        <f>生データ!L726</f>
        <v>1.6</v>
      </c>
      <c r="M618">
        <f>生データ!M726</f>
        <v>0.4</v>
      </c>
      <c r="N618">
        <f>生データ!N726</f>
        <v>0</v>
      </c>
      <c r="O618">
        <f>生データ!O726</f>
        <v>0</v>
      </c>
      <c r="P618" t="str">
        <f>生データ!P726</f>
        <v>L</v>
      </c>
      <c r="Q618">
        <f>生データ!Q726</f>
        <v>0</v>
      </c>
      <c r="R618">
        <f>生データ!R726</f>
        <v>0</v>
      </c>
      <c r="S618">
        <f>生データ!S726</f>
        <v>0</v>
      </c>
      <c r="T618">
        <f>生データ!T726</f>
        <v>11.140846016432674</v>
      </c>
      <c r="U618">
        <f>生データ!U726</f>
        <v>11.554648868471601</v>
      </c>
      <c r="V618">
        <f>COUNTIF(怪しいデータを手直し!F$2:F$701,Sheet5!F618)</f>
        <v>1</v>
      </c>
    </row>
    <row r="619" spans="1:22">
      <c r="A619">
        <f>生データ!A727</f>
        <v>40</v>
      </c>
      <c r="B619">
        <f>生データ!B727</f>
        <v>20</v>
      </c>
      <c r="C619">
        <f>生データ!C727</f>
        <v>48.295744434881712</v>
      </c>
      <c r="D619">
        <f>生データ!D727</f>
        <v>26.804126363721846</v>
      </c>
      <c r="E619">
        <f>生データ!E727</f>
        <v>0</v>
      </c>
      <c r="F619">
        <f>IF(生データ!E727="Wr",3000+生データ!F727,IF(生データ!E727="Wb",4000+生データ!F727,生データ!F727))</f>
        <v>288</v>
      </c>
      <c r="G619" t="str">
        <f>生データ!G727</f>
        <v>lc</v>
      </c>
      <c r="H619">
        <f>生データ!H727</f>
        <v>35</v>
      </c>
      <c r="I619">
        <f>生データ!I727</f>
        <v>0</v>
      </c>
      <c r="J619" t="str">
        <f>生データ!J727</f>
        <v>dead</v>
      </c>
      <c r="K619">
        <f>生データ!K727</f>
        <v>0</v>
      </c>
      <c r="L619">
        <f>生データ!L727</f>
        <v>9.8000000000000007</v>
      </c>
      <c r="M619">
        <f>生データ!M727</f>
        <v>0</v>
      </c>
      <c r="N619">
        <f>生データ!N727</f>
        <v>0</v>
      </c>
      <c r="O619">
        <f>生データ!O727</f>
        <v>0</v>
      </c>
      <c r="P619" t="str">
        <f>生データ!P727</f>
        <v>D</v>
      </c>
      <c r="Q619">
        <f>生データ!Q727</f>
        <v>0</v>
      </c>
      <c r="R619">
        <f>生データ!R727</f>
        <v>0</v>
      </c>
      <c r="S619">
        <f>生データ!S727</f>
        <v>0</v>
      </c>
      <c r="T619">
        <f>生データ!T727</f>
        <v>11.140846016432674</v>
      </c>
      <c r="U619" t="str">
        <f>生データ!U727</f>
        <v>dead</v>
      </c>
      <c r="V619">
        <f>COUNTIF(怪しいデータを手直し!F$2:F$701,Sheet5!F619)</f>
        <v>1</v>
      </c>
    </row>
    <row r="620" spans="1:22">
      <c r="A620">
        <f>生データ!A728</f>
        <v>30</v>
      </c>
      <c r="B620">
        <f>生データ!B728</f>
        <v>0</v>
      </c>
      <c r="C620">
        <f>生データ!C728</f>
        <v>31.285787071530518</v>
      </c>
      <c r="D620">
        <f>生データ!D728</f>
        <v>8.1996042694799964</v>
      </c>
      <c r="E620">
        <f>生データ!E728</f>
        <v>0</v>
      </c>
      <c r="F620">
        <f>IF(生データ!E728="Wr",3000+生データ!F728,IF(生データ!E728="Wb",4000+生データ!F728,生データ!F728))</f>
        <v>128</v>
      </c>
      <c r="G620" t="str">
        <f>生データ!G728</f>
        <v>pt</v>
      </c>
      <c r="H620">
        <f>生データ!H728</f>
        <v>35.1</v>
      </c>
      <c r="I620">
        <f>生データ!I728</f>
        <v>0</v>
      </c>
      <c r="J620">
        <f>生データ!J728</f>
        <v>38</v>
      </c>
      <c r="K620">
        <f>生データ!K728</f>
        <v>0</v>
      </c>
      <c r="L620">
        <f>生データ!L728</f>
        <v>11</v>
      </c>
      <c r="M620">
        <f>生データ!M728</f>
        <v>3.2</v>
      </c>
      <c r="N620">
        <f>生データ!N728</f>
        <v>0</v>
      </c>
      <c r="O620">
        <f>生データ!O728</f>
        <v>0</v>
      </c>
      <c r="P620" t="str">
        <f>生データ!P728</f>
        <v>L</v>
      </c>
      <c r="Q620">
        <f>生データ!Q728</f>
        <v>0</v>
      </c>
      <c r="R620">
        <f>生データ!R728</f>
        <v>0</v>
      </c>
      <c r="S620">
        <f>生データ!S728</f>
        <v>0</v>
      </c>
      <c r="T620">
        <f>生データ!T728</f>
        <v>11.172677005051053</v>
      </c>
      <c r="U620">
        <f>生データ!U728</f>
        <v>12.095775674984045</v>
      </c>
      <c r="V620">
        <f>COUNTIF(怪しいデータを手直し!F$2:F$701,Sheet5!F620)</f>
        <v>1</v>
      </c>
    </row>
    <row r="621" spans="1:22">
      <c r="A621">
        <f>生データ!A729</f>
        <v>10</v>
      </c>
      <c r="B621">
        <f>生データ!B729</f>
        <v>-20</v>
      </c>
      <c r="C621">
        <f>生データ!C729</f>
        <v>16.117883851958656</v>
      </c>
      <c r="D621">
        <f>生データ!D729</f>
        <v>-12.281271204847481</v>
      </c>
      <c r="E621">
        <f>生データ!E729</f>
        <v>0</v>
      </c>
      <c r="F621">
        <f>IF(生データ!E729="Wr",3000+生データ!F729,IF(生データ!E729="Wb",4000+生データ!F729,生データ!F729))</f>
        <v>575</v>
      </c>
      <c r="G621" t="str">
        <f>生データ!G729</f>
        <v>bp</v>
      </c>
      <c r="H621">
        <f>生データ!H729</f>
        <v>35.200000000000003</v>
      </c>
      <c r="I621">
        <f>生データ!I729</f>
        <v>0</v>
      </c>
      <c r="J621">
        <f>生データ!J729</f>
        <v>36.1</v>
      </c>
      <c r="K621">
        <f>生データ!K729</f>
        <v>0</v>
      </c>
      <c r="L621">
        <f>生データ!L729</f>
        <v>7.3</v>
      </c>
      <c r="M621">
        <f>生データ!M729</f>
        <v>4.3</v>
      </c>
      <c r="N621">
        <f>生データ!N729</f>
        <v>0</v>
      </c>
      <c r="O621">
        <f>生データ!O729</f>
        <v>0</v>
      </c>
      <c r="P621" t="str">
        <f>生データ!P729</f>
        <v>L</v>
      </c>
      <c r="Q621">
        <f>生データ!Q729</f>
        <v>0</v>
      </c>
      <c r="R621">
        <f>生データ!R729</f>
        <v>0</v>
      </c>
      <c r="S621">
        <f>生データ!S729</f>
        <v>0</v>
      </c>
      <c r="T621">
        <f>生データ!T729</f>
        <v>11.204507993669433</v>
      </c>
      <c r="U621">
        <f>生データ!U729</f>
        <v>11.490986891234844</v>
      </c>
      <c r="V621">
        <f>COUNTIF(怪しいデータを手直し!F$2:F$701,Sheet5!F621)</f>
        <v>1</v>
      </c>
    </row>
    <row r="622" spans="1:22">
      <c r="A622">
        <f>生データ!A730</f>
        <v>0</v>
      </c>
      <c r="B622">
        <f>生データ!B730</f>
        <v>20</v>
      </c>
      <c r="C622">
        <f>生データ!C730</f>
        <v>6.0918837271439479</v>
      </c>
      <c r="D622">
        <f>生データ!D730</f>
        <v>26.624873784077607</v>
      </c>
      <c r="E622">
        <f>生データ!E730</f>
        <v>0</v>
      </c>
      <c r="F622">
        <f>IF(生データ!E730="Wr",3000+生データ!F730,IF(生データ!E730="Wb",4000+生データ!F730,生データ!F730))</f>
        <v>41</v>
      </c>
      <c r="G622" t="str">
        <f>生データ!G730</f>
        <v>lc</v>
      </c>
      <c r="H622">
        <f>生データ!H730</f>
        <v>35.4</v>
      </c>
      <c r="I622">
        <f>生データ!I730</f>
        <v>0</v>
      </c>
      <c r="J622" t="str">
        <f>生データ!J730</f>
        <v>dead</v>
      </c>
      <c r="K622">
        <f>生データ!K730</f>
        <v>0</v>
      </c>
      <c r="L622">
        <f>生データ!L730</f>
        <v>4</v>
      </c>
      <c r="M622">
        <f>生データ!M730</f>
        <v>0</v>
      </c>
      <c r="N622">
        <f>生データ!N730</f>
        <v>0</v>
      </c>
      <c r="O622">
        <f>生データ!O730</f>
        <v>0</v>
      </c>
      <c r="P622" t="str">
        <f>生データ!P730</f>
        <v>D</v>
      </c>
      <c r="Q622">
        <f>生データ!Q730</f>
        <v>0</v>
      </c>
      <c r="R622" t="str">
        <f>生データ!R730</f>
        <v>broken</v>
      </c>
      <c r="S622">
        <f>生データ!S730</f>
        <v>0</v>
      </c>
      <c r="T622">
        <f>生データ!T730</f>
        <v>11.26816997090619</v>
      </c>
      <c r="U622" t="str">
        <f>生データ!U730</f>
        <v>dead</v>
      </c>
      <c r="V622">
        <f>COUNTIF(怪しいデータを手直し!F$2:F$701,Sheet5!F622)</f>
        <v>1</v>
      </c>
    </row>
    <row r="623" spans="1:22">
      <c r="A623">
        <f>生データ!A731</f>
        <v>40</v>
      </c>
      <c r="B623">
        <f>生データ!B731</f>
        <v>0</v>
      </c>
      <c r="C623">
        <f>生データ!C731</f>
        <v>49.011636361915841</v>
      </c>
      <c r="D623">
        <f>生データ!D731</f>
        <v>7.869739433638161</v>
      </c>
      <c r="E623">
        <f>生データ!E731</f>
        <v>0</v>
      </c>
      <c r="F623">
        <f>IF(生データ!E731="Wr",3000+生データ!F731,IF(生データ!E731="Wb",4000+生データ!F731,生データ!F731))</f>
        <v>278</v>
      </c>
      <c r="G623" t="str">
        <f>生データ!G731</f>
        <v>lc</v>
      </c>
      <c r="H623">
        <f>生データ!H731</f>
        <v>36</v>
      </c>
      <c r="I623">
        <f>生データ!I731</f>
        <v>0</v>
      </c>
      <c r="J623" t="str">
        <f>生データ!J731</f>
        <v>dead</v>
      </c>
      <c r="K623">
        <f>生データ!K731</f>
        <v>0</v>
      </c>
      <c r="L623">
        <f>生データ!L731</f>
        <v>10</v>
      </c>
      <c r="M623">
        <f>生データ!M731</f>
        <v>0</v>
      </c>
      <c r="N623">
        <f>生データ!N731</f>
        <v>0</v>
      </c>
      <c r="O623">
        <f>生データ!O731</f>
        <v>0</v>
      </c>
      <c r="P623" t="str">
        <f>生データ!P731</f>
        <v>D</v>
      </c>
      <c r="Q623">
        <f>生データ!Q731</f>
        <v>0</v>
      </c>
      <c r="R623">
        <f>生データ!R731</f>
        <v>0</v>
      </c>
      <c r="S623">
        <f>生データ!S731</f>
        <v>0</v>
      </c>
      <c r="T623">
        <f>生データ!T731</f>
        <v>11.459155902616464</v>
      </c>
      <c r="U623" t="str">
        <f>生データ!U731</f>
        <v>dead</v>
      </c>
      <c r="V623">
        <f>COUNTIF(怪しいデータを手直し!F$2:F$701,Sheet5!F623)</f>
        <v>1</v>
      </c>
    </row>
    <row r="624" spans="1:22">
      <c r="A624">
        <f>生データ!A732</f>
        <v>20</v>
      </c>
      <c r="B624">
        <f>生データ!B732</f>
        <v>-20</v>
      </c>
      <c r="C624">
        <f>生データ!C732</f>
        <v>27.816973727695228</v>
      </c>
      <c r="D624">
        <f>生データ!D732</f>
        <v>-18.819040245306269</v>
      </c>
      <c r="E624">
        <f>生データ!E732</f>
        <v>0</v>
      </c>
      <c r="F624">
        <f>IF(生データ!E732="Wr",3000+生データ!F732,IF(生データ!E732="Wb",4000+生データ!F732,生データ!F732))</f>
        <v>562</v>
      </c>
      <c r="G624" t="str">
        <f>生データ!G732</f>
        <v>bp</v>
      </c>
      <c r="H624">
        <f>生データ!H732</f>
        <v>36</v>
      </c>
      <c r="I624">
        <f>生データ!I732</f>
        <v>0</v>
      </c>
      <c r="J624">
        <f>生データ!J732</f>
        <v>36.6</v>
      </c>
      <c r="K624">
        <f>生データ!K732</f>
        <v>0</v>
      </c>
      <c r="L624">
        <f>生データ!L732</f>
        <v>9.1999999999999993</v>
      </c>
      <c r="M624">
        <f>生データ!M732</f>
        <v>3.3</v>
      </c>
      <c r="N624">
        <f>生データ!N732</f>
        <v>0</v>
      </c>
      <c r="O624">
        <f>生データ!O732</f>
        <v>0</v>
      </c>
      <c r="P624" t="str">
        <f>生データ!P732</f>
        <v>L</v>
      </c>
      <c r="Q624">
        <f>生データ!Q732</f>
        <v>0</v>
      </c>
      <c r="R624">
        <f>生データ!R732</f>
        <v>0</v>
      </c>
      <c r="S624">
        <f>生データ!S732</f>
        <v>0</v>
      </c>
      <c r="T624">
        <f>生データ!T732</f>
        <v>11.459155902616464</v>
      </c>
      <c r="U624">
        <f>生データ!U732</f>
        <v>11.650141834326739</v>
      </c>
      <c r="V624">
        <f>COUNTIF(怪しいデータを手直し!F$2:F$701,Sheet5!F624)</f>
        <v>1</v>
      </c>
    </row>
    <row r="625" spans="1:22">
      <c r="A625">
        <f>生データ!A733</f>
        <v>0</v>
      </c>
      <c r="B625">
        <f>生データ!B733</f>
        <v>-50</v>
      </c>
      <c r="C625">
        <f>生データ!C733</f>
        <v>8.2400703001238895</v>
      </c>
      <c r="D625">
        <f>生データ!D733</f>
        <v>-43.791443979738325</v>
      </c>
      <c r="E625">
        <f>生データ!E733</f>
        <v>0</v>
      </c>
      <c r="F625">
        <f>IF(生データ!E733="Wr",3000+生データ!F733,IF(生データ!E733="Wb",4000+生データ!F733,生データ!F733))</f>
        <v>809</v>
      </c>
      <c r="G625" t="str">
        <f>生データ!G733</f>
        <v>lc</v>
      </c>
      <c r="H625">
        <f>生データ!H733</f>
        <v>36.200000000000003</v>
      </c>
      <c r="I625">
        <f>生データ!I733</f>
        <v>0</v>
      </c>
      <c r="J625">
        <f>生データ!J733</f>
        <v>36.6</v>
      </c>
      <c r="K625">
        <f>生データ!K733</f>
        <v>0</v>
      </c>
      <c r="L625">
        <f>生データ!L733</f>
        <v>9.3000000000000007</v>
      </c>
      <c r="M625">
        <f>生データ!M733</f>
        <v>4.3</v>
      </c>
      <c r="N625">
        <f>生データ!N733</f>
        <v>0</v>
      </c>
      <c r="O625">
        <f>生データ!O733</f>
        <v>0</v>
      </c>
      <c r="P625" t="str">
        <f>生データ!P733</f>
        <v>L</v>
      </c>
      <c r="Q625">
        <f>生データ!Q733</f>
        <v>0</v>
      </c>
      <c r="R625">
        <f>生データ!R733</f>
        <v>0</v>
      </c>
      <c r="S625">
        <f>生データ!S733</f>
        <v>0</v>
      </c>
      <c r="T625">
        <f>生データ!T733</f>
        <v>11.522817879853223</v>
      </c>
      <c r="U625">
        <f>生データ!U733</f>
        <v>11.650141834326739</v>
      </c>
      <c r="V625">
        <f>COUNTIF(怪しいデータを手直し!F$2:F$701,Sheet5!F625)</f>
        <v>1</v>
      </c>
    </row>
    <row r="626" spans="1:22">
      <c r="A626">
        <f>生データ!A734</f>
        <v>30</v>
      </c>
      <c r="B626">
        <f>生データ!B734</f>
        <v>-10</v>
      </c>
      <c r="C626">
        <f>生データ!C734</f>
        <v>32.700022916406624</v>
      </c>
      <c r="D626">
        <f>生データ!D734</f>
        <v>-4.0462839688971055</v>
      </c>
      <c r="E626">
        <f>生データ!E734</f>
        <v>0</v>
      </c>
      <c r="F626">
        <f>IF(生データ!E734="Wr",3000+生データ!F734,IF(生データ!E734="Wb",4000+生データ!F734,生データ!F734))</f>
        <v>423</v>
      </c>
      <c r="G626" t="str">
        <f>生データ!G734</f>
        <v>bp</v>
      </c>
      <c r="H626">
        <f>生データ!H734</f>
        <v>36.5</v>
      </c>
      <c r="I626">
        <f>生データ!I734</f>
        <v>0</v>
      </c>
      <c r="J626">
        <f>生データ!J734</f>
        <v>37</v>
      </c>
      <c r="K626">
        <f>生データ!K734</f>
        <v>0</v>
      </c>
      <c r="L626">
        <f>生データ!L734</f>
        <v>8.1</v>
      </c>
      <c r="M626">
        <f>生データ!M734</f>
        <v>3.1</v>
      </c>
      <c r="N626">
        <f>生データ!N734</f>
        <v>0</v>
      </c>
      <c r="O626">
        <f>生データ!O734</f>
        <v>0</v>
      </c>
      <c r="P626" t="str">
        <f>生データ!P734</f>
        <v>L</v>
      </c>
      <c r="Q626">
        <f>生データ!Q734</f>
        <v>0</v>
      </c>
      <c r="R626" t="str">
        <f>生データ!R734</f>
        <v>Dead H=9.1</v>
      </c>
      <c r="S626">
        <f>生データ!S734</f>
        <v>0</v>
      </c>
      <c r="T626">
        <f>生データ!T734</f>
        <v>11.618310845708359</v>
      </c>
      <c r="U626">
        <f>生データ!U734</f>
        <v>11.777465788800255</v>
      </c>
      <c r="V626">
        <f>COUNTIF(怪しいデータを手直し!F$2:F$701,Sheet5!F626)</f>
        <v>1</v>
      </c>
    </row>
    <row r="627" spans="1:22">
      <c r="A627">
        <f>生データ!A735</f>
        <v>20</v>
      </c>
      <c r="B627">
        <f>生データ!B735</f>
        <v>10</v>
      </c>
      <c r="C627">
        <f>生データ!C735</f>
        <v>27.91934640397676</v>
      </c>
      <c r="D627">
        <f>生データ!D735</f>
        <v>12.973972118584976</v>
      </c>
      <c r="E627">
        <f>生データ!E735</f>
        <v>0</v>
      </c>
      <c r="F627">
        <f>IF(生データ!E735="Wr",3000+生データ!F735,IF(生データ!E735="Wb",4000+生データ!F735,生データ!F735))</f>
        <v>160</v>
      </c>
      <c r="G627" t="str">
        <f>生データ!G735</f>
        <v>pt</v>
      </c>
      <c r="H627">
        <f>生データ!H735</f>
        <v>36.6</v>
      </c>
      <c r="I627">
        <f>生データ!I735</f>
        <v>0</v>
      </c>
      <c r="J627">
        <f>生データ!J735</f>
        <v>39.299999999999997</v>
      </c>
      <c r="K627">
        <f>生データ!K735</f>
        <v>0</v>
      </c>
      <c r="L627">
        <f>生データ!L735</f>
        <v>11.5</v>
      </c>
      <c r="M627">
        <f>生データ!M735</f>
        <v>2.8</v>
      </c>
      <c r="N627">
        <f>生データ!N735</f>
        <v>0</v>
      </c>
      <c r="O627">
        <f>生データ!O735</f>
        <v>0</v>
      </c>
      <c r="P627" t="str">
        <f>生データ!P735</f>
        <v>L</v>
      </c>
      <c r="Q627">
        <f>生データ!Q735</f>
        <v>0</v>
      </c>
      <c r="R627">
        <f>生データ!R735</f>
        <v>0</v>
      </c>
      <c r="S627">
        <f>生データ!S735</f>
        <v>0</v>
      </c>
      <c r="T627">
        <f>生データ!T735</f>
        <v>11.650141834326739</v>
      </c>
      <c r="U627">
        <f>生データ!U735</f>
        <v>12.509578527022972</v>
      </c>
      <c r="V627">
        <f>COUNTIF(怪しいデータを手直し!F$2:F$701,Sheet5!F627)</f>
        <v>1</v>
      </c>
    </row>
    <row r="628" spans="1:22">
      <c r="A628">
        <f>生データ!A736</f>
        <v>40</v>
      </c>
      <c r="B628">
        <f>生データ!B736</f>
        <v>-30</v>
      </c>
      <c r="C628">
        <f>生データ!C736</f>
        <v>48.053490775127813</v>
      </c>
      <c r="D628">
        <f>生データ!D736</f>
        <v>-23.804467220567812</v>
      </c>
      <c r="E628">
        <f>生データ!E736</f>
        <v>0</v>
      </c>
      <c r="F628">
        <f>IF(生データ!E736="Wr",3000+生データ!F736,IF(生データ!E736="Wb",4000+生データ!F736,生データ!F736))</f>
        <v>698</v>
      </c>
      <c r="G628" t="str">
        <f>生データ!G736</f>
        <v>bp</v>
      </c>
      <c r="H628">
        <f>生データ!H736</f>
        <v>36.700000000000003</v>
      </c>
      <c r="I628">
        <f>生データ!I736</f>
        <v>0</v>
      </c>
      <c r="J628" t="str">
        <f>生データ!J736</f>
        <v>dead</v>
      </c>
      <c r="K628">
        <f>生データ!K736</f>
        <v>0</v>
      </c>
      <c r="L628">
        <f>生データ!L736</f>
        <v>6.4</v>
      </c>
      <c r="M628">
        <f>生データ!M736</f>
        <v>0</v>
      </c>
      <c r="N628">
        <f>生データ!N736</f>
        <v>0</v>
      </c>
      <c r="O628">
        <f>生データ!O736</f>
        <v>0</v>
      </c>
      <c r="P628" t="str">
        <f>生データ!P736</f>
        <v>D</v>
      </c>
      <c r="Q628">
        <f>生データ!Q736</f>
        <v>0</v>
      </c>
      <c r="R628">
        <f>生データ!R736</f>
        <v>0</v>
      </c>
      <c r="S628" t="str">
        <f>生データ!S736</f>
        <v>幹オレ</v>
      </c>
      <c r="T628">
        <f>生データ!T736</f>
        <v>11.681972822945118</v>
      </c>
      <c r="U628" t="str">
        <f>生データ!U736</f>
        <v>dead</v>
      </c>
      <c r="V628">
        <f>COUNTIF(怪しいデータを手直し!F$2:F$701,Sheet5!F628)</f>
        <v>1</v>
      </c>
    </row>
    <row r="629" spans="1:22">
      <c r="A629">
        <f>生データ!A737</f>
        <v>30</v>
      </c>
      <c r="B629">
        <f>生データ!B737</f>
        <v>20</v>
      </c>
      <c r="C629">
        <f>生データ!C737</f>
        <v>35.139414580817089</v>
      </c>
      <c r="D629">
        <f>生データ!D737</f>
        <v>25.434778538862901</v>
      </c>
      <c r="E629">
        <f>生データ!E737</f>
        <v>0</v>
      </c>
      <c r="F629">
        <f>IF(生データ!E737="Wr",3000+生データ!F737,IF(生データ!E737="Wb",4000+生データ!F737,生データ!F737))</f>
        <v>208</v>
      </c>
      <c r="G629" t="str">
        <f>生データ!G737</f>
        <v>lc</v>
      </c>
      <c r="H629">
        <f>生データ!H737</f>
        <v>37</v>
      </c>
      <c r="I629">
        <f>生データ!I737</f>
        <v>0</v>
      </c>
      <c r="J629" t="str">
        <f>生データ!J737</f>
        <v>dead</v>
      </c>
      <c r="K629">
        <f>生データ!K737</f>
        <v>0</v>
      </c>
      <c r="L629">
        <f>生データ!L737</f>
        <v>4.3</v>
      </c>
      <c r="M629">
        <f>生データ!M737</f>
        <v>0</v>
      </c>
      <c r="N629">
        <f>生データ!N737</f>
        <v>0</v>
      </c>
      <c r="O629">
        <f>生データ!O737</f>
        <v>0</v>
      </c>
      <c r="P629" t="str">
        <f>生データ!P737</f>
        <v>D</v>
      </c>
      <c r="Q629">
        <f>生データ!Q737</f>
        <v>0</v>
      </c>
      <c r="R629" t="str">
        <f>生データ!R737</f>
        <v>broken</v>
      </c>
      <c r="S629">
        <f>生データ!S737</f>
        <v>0</v>
      </c>
      <c r="T629">
        <f>生データ!T737</f>
        <v>11.777465788800255</v>
      </c>
      <c r="U629" t="str">
        <f>生データ!U737</f>
        <v>dead</v>
      </c>
      <c r="V629">
        <f>COUNTIF(怪しいデータを手直し!F$2:F$701,Sheet5!F629)</f>
        <v>1</v>
      </c>
    </row>
    <row r="630" spans="1:22">
      <c r="A630">
        <f>生データ!A738</f>
        <v>0</v>
      </c>
      <c r="B630">
        <f>生データ!B738</f>
        <v>-50</v>
      </c>
      <c r="C630">
        <f>生データ!C738</f>
        <v>7.1191281745700135</v>
      </c>
      <c r="D630">
        <f>生データ!D738</f>
        <v>-48.272737003280334</v>
      </c>
      <c r="E630">
        <f>生データ!E738</f>
        <v>0</v>
      </c>
      <c r="F630">
        <f>IF(生データ!E738="Wr",3000+生データ!F738,IF(生データ!E738="Wb",4000+生データ!F738,生データ!F738))</f>
        <v>807</v>
      </c>
      <c r="G630" t="str">
        <f>生データ!G738</f>
        <v>lc</v>
      </c>
      <c r="H630">
        <f>生データ!H738</f>
        <v>37.4</v>
      </c>
      <c r="I630">
        <f>生データ!I738</f>
        <v>0</v>
      </c>
      <c r="J630">
        <f>生データ!J738</f>
        <v>38.4</v>
      </c>
      <c r="K630">
        <f>生データ!K738</f>
        <v>0</v>
      </c>
      <c r="L630">
        <f>生データ!L738</f>
        <v>11.2</v>
      </c>
      <c r="M630">
        <f>生データ!M738</f>
        <v>5.0999999999999996</v>
      </c>
      <c r="N630">
        <f>生データ!N738</f>
        <v>0</v>
      </c>
      <c r="O630">
        <f>生データ!O738</f>
        <v>0</v>
      </c>
      <c r="P630" t="str">
        <f>生データ!P738</f>
        <v>L</v>
      </c>
      <c r="Q630">
        <f>生データ!Q738</f>
        <v>0</v>
      </c>
      <c r="R630">
        <f>生データ!R738</f>
        <v>0</v>
      </c>
      <c r="S630">
        <f>生データ!S738</f>
        <v>0</v>
      </c>
      <c r="T630">
        <f>生データ!T738</f>
        <v>11.904789743273771</v>
      </c>
      <c r="U630">
        <f>生データ!U738</f>
        <v>12.223099629457561</v>
      </c>
      <c r="V630">
        <f>COUNTIF(怪しいデータを手直し!F$2:F$701,Sheet5!F630)</f>
        <v>1</v>
      </c>
    </row>
    <row r="631" spans="1:22">
      <c r="A631">
        <f>生データ!A739</f>
        <v>20</v>
      </c>
      <c r="B631">
        <f>生データ!B739</f>
        <v>0</v>
      </c>
      <c r="C631">
        <f>生データ!C739</f>
        <v>22.479514615325314</v>
      </c>
      <c r="D631">
        <f>生データ!D739</f>
        <v>3.6348324957813607</v>
      </c>
      <c r="E631">
        <f>生データ!E739</f>
        <v>0</v>
      </c>
      <c r="F631">
        <f>IF(生データ!E739="Wr",3000+生データ!F739,IF(生データ!E739="Wb",4000+生データ!F739,生データ!F739))</f>
        <v>122</v>
      </c>
      <c r="G631" t="str">
        <f>生データ!G739</f>
        <v>pt</v>
      </c>
      <c r="H631">
        <f>生データ!H739</f>
        <v>37.6</v>
      </c>
      <c r="I631">
        <f>生データ!I739</f>
        <v>0</v>
      </c>
      <c r="J631">
        <f>生データ!J739</f>
        <v>38.5</v>
      </c>
      <c r="K631">
        <f>生データ!K739</f>
        <v>0</v>
      </c>
      <c r="L631">
        <f>生データ!L739</f>
        <v>10.5</v>
      </c>
      <c r="M631">
        <f>生データ!M739</f>
        <v>3.2</v>
      </c>
      <c r="N631">
        <f>生データ!N739</f>
        <v>0</v>
      </c>
      <c r="O631">
        <f>生データ!O739</f>
        <v>0</v>
      </c>
      <c r="P631" t="str">
        <f>生データ!P739</f>
        <v>L</v>
      </c>
      <c r="Q631">
        <f>生データ!Q739</f>
        <v>0</v>
      </c>
      <c r="R631">
        <f>生データ!R739</f>
        <v>0</v>
      </c>
      <c r="S631">
        <f>生データ!S739</f>
        <v>0</v>
      </c>
      <c r="T631">
        <f>生データ!T739</f>
        <v>11.968451720510529</v>
      </c>
      <c r="U631">
        <f>生データ!U739</f>
        <v>12.254930618075941</v>
      </c>
      <c r="V631">
        <f>COUNTIF(怪しいデータを手直し!F$2:F$701,Sheet5!F631)</f>
        <v>1</v>
      </c>
    </row>
    <row r="632" spans="1:22">
      <c r="A632">
        <f>生データ!A740</f>
        <v>0</v>
      </c>
      <c r="B632">
        <f>生データ!B740</f>
        <v>-50</v>
      </c>
      <c r="C632">
        <f>生データ!C740</f>
        <v>2.6202140931912341</v>
      </c>
      <c r="D632">
        <f>生データ!D740</f>
        <v>-43.363162197942096</v>
      </c>
      <c r="E632">
        <f>生データ!E740</f>
        <v>0</v>
      </c>
      <c r="F632">
        <f>IF(生データ!E740="Wr",3000+生データ!F740,IF(生データ!E740="Wb",4000+生データ!F740,生データ!F740))</f>
        <v>803</v>
      </c>
      <c r="G632" t="str">
        <f>生データ!G740</f>
        <v>lc</v>
      </c>
      <c r="H632">
        <f>生データ!H740</f>
        <v>37.700000000000003</v>
      </c>
      <c r="I632">
        <f>生データ!I740</f>
        <v>0</v>
      </c>
      <c r="J632">
        <f>生データ!J740</f>
        <v>38.9</v>
      </c>
      <c r="K632">
        <f>生データ!K740</f>
        <v>0</v>
      </c>
      <c r="L632">
        <f>生データ!L740</f>
        <v>11.4</v>
      </c>
      <c r="M632">
        <f>生データ!M740</f>
        <v>5</v>
      </c>
      <c r="N632">
        <f>生データ!N740</f>
        <v>0</v>
      </c>
      <c r="O632">
        <f>生データ!O740</f>
        <v>0</v>
      </c>
      <c r="P632" t="str">
        <f>生データ!P740</f>
        <v>L</v>
      </c>
      <c r="Q632">
        <f>生データ!Q740</f>
        <v>0</v>
      </c>
      <c r="R632">
        <f>生データ!R740</f>
        <v>0</v>
      </c>
      <c r="S632">
        <f>生データ!S740</f>
        <v>0</v>
      </c>
      <c r="T632">
        <f>生データ!T740</f>
        <v>12.000282709128909</v>
      </c>
      <c r="U632">
        <f>生データ!U740</f>
        <v>12.382254572549456</v>
      </c>
      <c r="V632">
        <f>COUNTIF(怪しいデータを手直し!F$2:F$701,Sheet5!F632)</f>
        <v>1</v>
      </c>
    </row>
    <row r="633" spans="1:22">
      <c r="A633">
        <f>生データ!A741</f>
        <v>30</v>
      </c>
      <c r="B633">
        <f>生データ!B741</f>
        <v>0</v>
      </c>
      <c r="C633">
        <f>生データ!C741</f>
        <v>35.396556682889127</v>
      </c>
      <c r="D633">
        <f>生データ!D741</f>
        <v>9.324486168716339</v>
      </c>
      <c r="E633">
        <f>生データ!E741</f>
        <v>0</v>
      </c>
      <c r="F633">
        <f>IF(生データ!E741="Wr",3000+生データ!F741,IF(生データ!E741="Wb",4000+生データ!F741,生データ!F741))</f>
        <v>244</v>
      </c>
      <c r="G633" t="str">
        <f>生データ!G741</f>
        <v>lc</v>
      </c>
      <c r="H633">
        <f>生データ!H741</f>
        <v>37.9</v>
      </c>
      <c r="I633">
        <f>生データ!I741</f>
        <v>0</v>
      </c>
      <c r="J633" t="str">
        <f>生データ!J741</f>
        <v>dead</v>
      </c>
      <c r="K633">
        <f>生データ!K741</f>
        <v>0</v>
      </c>
      <c r="L633">
        <f>生データ!L741</f>
        <v>9</v>
      </c>
      <c r="M633">
        <f>生データ!M741</f>
        <v>0</v>
      </c>
      <c r="N633">
        <f>生データ!N741</f>
        <v>0</v>
      </c>
      <c r="O633">
        <f>生データ!O741</f>
        <v>0</v>
      </c>
      <c r="P633" t="str">
        <f>生データ!P741</f>
        <v>D</v>
      </c>
      <c r="Q633">
        <f>生データ!Q741</f>
        <v>0</v>
      </c>
      <c r="R633">
        <f>生データ!R741</f>
        <v>0</v>
      </c>
      <c r="S633">
        <f>生データ!S741</f>
        <v>0</v>
      </c>
      <c r="T633">
        <f>生データ!T741</f>
        <v>12.063944686365666</v>
      </c>
      <c r="U633" t="str">
        <f>生データ!U741</f>
        <v>dead</v>
      </c>
      <c r="V633">
        <f>COUNTIF(怪しいデータを手直し!F$2:F$701,Sheet5!F633)</f>
        <v>1</v>
      </c>
    </row>
    <row r="634" spans="1:22">
      <c r="A634">
        <f>生データ!A742</f>
        <v>10</v>
      </c>
      <c r="B634">
        <f>生データ!B742</f>
        <v>-50</v>
      </c>
      <c r="C634">
        <f>生データ!C742</f>
        <v>11.166274455480494</v>
      </c>
      <c r="D634">
        <f>生データ!D742</f>
        <v>-48.442375846327636</v>
      </c>
      <c r="E634">
        <f>生データ!E742</f>
        <v>0</v>
      </c>
      <c r="F634">
        <f>IF(生データ!E742="Wr",3000+生データ!F742,IF(生データ!E742="Wb",4000+生データ!F742,生データ!F742))</f>
        <v>811</v>
      </c>
      <c r="G634" t="str">
        <f>生データ!G742</f>
        <v>lc</v>
      </c>
      <c r="H634">
        <f>生データ!H742</f>
        <v>37.9</v>
      </c>
      <c r="I634">
        <f>生データ!I742</f>
        <v>0</v>
      </c>
      <c r="J634">
        <f>生データ!J742</f>
        <v>37.4</v>
      </c>
      <c r="K634">
        <f>生データ!K742</f>
        <v>0</v>
      </c>
      <c r="L634">
        <f>生データ!L742</f>
        <v>10.6</v>
      </c>
      <c r="M634">
        <f>生データ!M742</f>
        <v>6.1</v>
      </c>
      <c r="N634">
        <f>生データ!N742</f>
        <v>0</v>
      </c>
      <c r="O634">
        <f>生データ!O742</f>
        <v>0</v>
      </c>
      <c r="P634" t="str">
        <f>生データ!P742</f>
        <v>L</v>
      </c>
      <c r="Q634">
        <f>生データ!Q742</f>
        <v>0</v>
      </c>
      <c r="R634">
        <f>生データ!R742</f>
        <v>0</v>
      </c>
      <c r="S634">
        <f>生データ!S742</f>
        <v>0</v>
      </c>
      <c r="T634">
        <f>生データ!T742</f>
        <v>12.063944686365666</v>
      </c>
      <c r="U634">
        <f>生データ!U742</f>
        <v>11.904789743273771</v>
      </c>
      <c r="V634">
        <f>COUNTIF(怪しいデータを手直し!F$2:F$701,Sheet5!F634)</f>
        <v>1</v>
      </c>
    </row>
    <row r="635" spans="1:22">
      <c r="A635">
        <f>生データ!A743</f>
        <v>10</v>
      </c>
      <c r="B635">
        <f>生データ!B743</f>
        <v>-20</v>
      </c>
      <c r="C635">
        <f>生データ!C743</f>
        <v>17.002655475487977</v>
      </c>
      <c r="D635">
        <f>生データ!D743</f>
        <v>-10.07550079607055</v>
      </c>
      <c r="E635">
        <f>生データ!E743</f>
        <v>0</v>
      </c>
      <c r="F635">
        <f>IF(生データ!E743="Wr",3000+生データ!F743,IF(生データ!E743="Wb",4000+生データ!F743,生データ!F743))</f>
        <v>409</v>
      </c>
      <c r="G635" t="str">
        <f>生データ!G743</f>
        <v>bp</v>
      </c>
      <c r="H635">
        <f>生データ!H743</f>
        <v>38</v>
      </c>
      <c r="I635">
        <f>生データ!I743</f>
        <v>0</v>
      </c>
      <c r="J635" t="str">
        <f>生データ!J743</f>
        <v>dead</v>
      </c>
      <c r="K635">
        <f>生データ!K743</f>
        <v>0</v>
      </c>
      <c r="L635">
        <f>生データ!L743</f>
        <v>2.8</v>
      </c>
      <c r="M635">
        <f>生データ!M743</f>
        <v>0</v>
      </c>
      <c r="N635">
        <f>生データ!N743</f>
        <v>0</v>
      </c>
      <c r="O635">
        <f>生データ!O743</f>
        <v>0</v>
      </c>
      <c r="P635" t="str">
        <f>生データ!P743</f>
        <v>D</v>
      </c>
      <c r="Q635">
        <f>生データ!Q743</f>
        <v>0</v>
      </c>
      <c r="R635" t="str">
        <f>生データ!R743</f>
        <v>broken</v>
      </c>
      <c r="S635">
        <f>生データ!S743</f>
        <v>0</v>
      </c>
      <c r="T635">
        <f>生データ!T743</f>
        <v>12.095775674984045</v>
      </c>
      <c r="U635" t="str">
        <f>生データ!U743</f>
        <v>dead</v>
      </c>
      <c r="V635">
        <f>COUNTIF(怪しいデータを手直し!F$2:F$701,Sheet5!F635)</f>
        <v>1</v>
      </c>
    </row>
    <row r="636" spans="1:22">
      <c r="A636">
        <f>生データ!A744</f>
        <v>10</v>
      </c>
      <c r="B636">
        <f>生データ!B744</f>
        <v>20</v>
      </c>
      <c r="C636">
        <f>生データ!C744</f>
        <v>19.288186164934192</v>
      </c>
      <c r="D636">
        <f>生データ!D744</f>
        <v>28.62802262785867</v>
      </c>
      <c r="E636">
        <f>生データ!E744</f>
        <v>0</v>
      </c>
      <c r="F636">
        <f>IF(生データ!E744="Wr",3000+生データ!F744,IF(生データ!E744="Wb",4000+生データ!F744,生データ!F744))</f>
        <v>91</v>
      </c>
      <c r="G636" t="str">
        <f>生データ!G744</f>
        <v>bp</v>
      </c>
      <c r="H636">
        <f>生データ!H744</f>
        <v>38.200000000000003</v>
      </c>
      <c r="I636">
        <f>生データ!I744</f>
        <v>0</v>
      </c>
      <c r="J636">
        <f>生データ!J744</f>
        <v>38.700000000000003</v>
      </c>
      <c r="K636">
        <f>生データ!K744</f>
        <v>0</v>
      </c>
      <c r="L636">
        <f>生データ!L744</f>
        <v>7.4</v>
      </c>
      <c r="M636">
        <f>生データ!M744</f>
        <v>2.8</v>
      </c>
      <c r="N636">
        <f>生データ!N744</f>
        <v>0</v>
      </c>
      <c r="O636">
        <f>生データ!O744</f>
        <v>0</v>
      </c>
      <c r="P636" t="str">
        <f>生データ!P744</f>
        <v>L</v>
      </c>
      <c r="Q636">
        <f>生データ!Q744</f>
        <v>0</v>
      </c>
      <c r="R636" t="str">
        <f>生データ!R744</f>
        <v>dead Ht=8.0</v>
      </c>
      <c r="S636">
        <f>生データ!S744</f>
        <v>0</v>
      </c>
      <c r="T636">
        <f>生データ!T744</f>
        <v>12.159437652220806</v>
      </c>
      <c r="U636">
        <f>生データ!U744</f>
        <v>12.318592595312701</v>
      </c>
      <c r="V636">
        <f>COUNTIF(怪しいデータを手直し!F$2:F$701,Sheet5!F636)</f>
        <v>1</v>
      </c>
    </row>
    <row r="637" spans="1:22">
      <c r="A637">
        <f>生データ!A745</f>
        <v>40</v>
      </c>
      <c r="B637">
        <f>生データ!B745</f>
        <v>-20</v>
      </c>
      <c r="C637">
        <f>生データ!C745</f>
        <v>49.112968455015206</v>
      </c>
      <c r="D637">
        <f>生データ!D745</f>
        <v>-16.596689013277626</v>
      </c>
      <c r="E637">
        <f>生データ!E745</f>
        <v>0</v>
      </c>
      <c r="F637">
        <f>IF(生データ!E745="Wr",3000+生データ!F745,IF(生データ!E745="Wb",4000+生データ!F745,生データ!F745))</f>
        <v>507</v>
      </c>
      <c r="G637" t="str">
        <f>生データ!G745</f>
        <v>bp</v>
      </c>
      <c r="H637">
        <f>生データ!H745</f>
        <v>38.200000000000003</v>
      </c>
      <c r="I637">
        <f>生データ!I745</f>
        <v>0</v>
      </c>
      <c r="J637" t="str">
        <f>生データ!J745</f>
        <v>dead</v>
      </c>
      <c r="K637">
        <f>生データ!K745</f>
        <v>0</v>
      </c>
      <c r="L637">
        <f>生データ!L745</f>
        <v>7.8</v>
      </c>
      <c r="M637">
        <f>生データ!M745</f>
        <v>0</v>
      </c>
      <c r="N637">
        <f>生データ!N745</f>
        <v>0</v>
      </c>
      <c r="O637">
        <f>生データ!O745</f>
        <v>0</v>
      </c>
      <c r="P637" t="str">
        <f>生データ!P745</f>
        <v>D</v>
      </c>
      <c r="Q637">
        <f>生データ!Q745</f>
        <v>0</v>
      </c>
      <c r="R637">
        <f>生データ!R745</f>
        <v>0</v>
      </c>
      <c r="S637">
        <f>生データ!S745</f>
        <v>0</v>
      </c>
      <c r="T637">
        <f>生データ!T745</f>
        <v>12.159437652220806</v>
      </c>
      <c r="U637" t="str">
        <f>生データ!U745</f>
        <v>dead</v>
      </c>
      <c r="V637">
        <f>COUNTIF(怪しいデータを手直し!F$2:F$701,Sheet5!F637)</f>
        <v>1</v>
      </c>
    </row>
    <row r="638" spans="1:22">
      <c r="A638">
        <f>生データ!A746</f>
        <v>50</v>
      </c>
      <c r="B638">
        <f>生データ!B746</f>
        <v>-30</v>
      </c>
      <c r="C638">
        <f>生データ!C746</f>
        <v>50.215139710240834</v>
      </c>
      <c r="D638">
        <f>生データ!D746</f>
        <v>-27.437723206428444</v>
      </c>
      <c r="E638">
        <f>生データ!E746</f>
        <v>0</v>
      </c>
      <c r="F638">
        <f>IF(生データ!E746="Wr",3000+生データ!F746,IF(生データ!E746="Wb",4000+生データ!F746,生データ!F746))</f>
        <v>2008</v>
      </c>
      <c r="G638" t="str">
        <f>生データ!G746</f>
        <v>bp</v>
      </c>
      <c r="H638">
        <f>生データ!H746</f>
        <v>38.4</v>
      </c>
      <c r="I638">
        <f>生データ!I746</f>
        <v>0</v>
      </c>
      <c r="J638">
        <f>生データ!J746</f>
        <v>25.5</v>
      </c>
      <c r="K638">
        <f>生データ!K746</f>
        <v>0</v>
      </c>
      <c r="L638">
        <f>生データ!L746</f>
        <v>0</v>
      </c>
      <c r="M638">
        <f>生データ!M746</f>
        <v>0</v>
      </c>
      <c r="N638">
        <f>生データ!N746</f>
        <v>8</v>
      </c>
      <c r="O638">
        <f>生データ!O746</f>
        <v>3.7</v>
      </c>
      <c r="P638">
        <f>生データ!P746</f>
        <v>0</v>
      </c>
      <c r="Q638">
        <f>生データ!Q746</f>
        <v>0</v>
      </c>
      <c r="R638" t="str">
        <f>生データ!R746</f>
        <v>701 same tree</v>
      </c>
      <c r="S638" t="str">
        <f>生データ!S746</f>
        <v>New No 611 White red　</v>
      </c>
      <c r="T638">
        <f>生データ!T746</f>
        <v>12.223099629457561</v>
      </c>
      <c r="U638">
        <f>生データ!U746</f>
        <v>8.1169020976866619</v>
      </c>
      <c r="V638">
        <f>COUNTIF(怪しいデータを手直し!F$2:F$701,Sheet5!F638)</f>
        <v>1</v>
      </c>
    </row>
    <row r="639" spans="1:22">
      <c r="A639">
        <f>生データ!A747</f>
        <v>0</v>
      </c>
      <c r="B639">
        <f>生データ!B747</f>
        <v>0</v>
      </c>
      <c r="C639">
        <f>生データ!C747</f>
        <v>9.4845444850729379</v>
      </c>
      <c r="D639">
        <f>生データ!D747</f>
        <v>3.8616039870230532</v>
      </c>
      <c r="E639">
        <f>生データ!E747</f>
        <v>0</v>
      </c>
      <c r="F639">
        <f>IF(生データ!E747="Wr",3000+生データ!F747,IF(生データ!E747="Wb",4000+生データ!F747,生データ!F747))</f>
        <v>17</v>
      </c>
      <c r="G639" t="str">
        <f>生データ!G747</f>
        <v>lc</v>
      </c>
      <c r="H639">
        <f>生データ!H747</f>
        <v>39.200000000000003</v>
      </c>
      <c r="I639">
        <f>生データ!I747</f>
        <v>0</v>
      </c>
      <c r="J639" t="str">
        <f>生データ!J747</f>
        <v>dead</v>
      </c>
      <c r="K639">
        <f>生データ!K747</f>
        <v>0</v>
      </c>
      <c r="L639">
        <f>生データ!L747</f>
        <v>9.4</v>
      </c>
      <c r="M639">
        <f>生データ!M747</f>
        <v>0</v>
      </c>
      <c r="N639">
        <f>生データ!N747</f>
        <v>0</v>
      </c>
      <c r="O639">
        <f>生データ!O747</f>
        <v>0</v>
      </c>
      <c r="P639" t="str">
        <f>生データ!P747</f>
        <v>D</v>
      </c>
      <c r="Q639">
        <f>生データ!Q747</f>
        <v>0</v>
      </c>
      <c r="R639">
        <f>生データ!R747</f>
        <v>0</v>
      </c>
      <c r="S639">
        <f>生データ!S747</f>
        <v>0</v>
      </c>
      <c r="T639">
        <f>生データ!T747</f>
        <v>12.477747538404596</v>
      </c>
      <c r="U639" t="str">
        <f>生データ!U747</f>
        <v>dead</v>
      </c>
      <c r="V639">
        <f>COUNTIF(怪しいデータを手直し!F$2:F$701,Sheet5!F639)</f>
        <v>1</v>
      </c>
    </row>
    <row r="640" spans="1:22">
      <c r="A640">
        <f>生データ!A748</f>
        <v>10</v>
      </c>
      <c r="B640">
        <f>生データ!B748</f>
        <v>40</v>
      </c>
      <c r="C640">
        <f>生データ!C748</f>
        <v>12.792044209999499</v>
      </c>
      <c r="D640">
        <f>生データ!D748</f>
        <v>41.998943053065361</v>
      </c>
      <c r="E640">
        <f>生データ!E748</f>
        <v>0</v>
      </c>
      <c r="F640">
        <f>IF(生データ!E748="Wr",3000+生データ!F748,IF(生データ!E748="Wb",4000+生データ!F748,生データ!F748))</f>
        <v>82</v>
      </c>
      <c r="G640" t="str">
        <f>生データ!G748</f>
        <v>lc</v>
      </c>
      <c r="H640">
        <f>生データ!H748</f>
        <v>39.299999999999997</v>
      </c>
      <c r="I640">
        <f>生データ!I748</f>
        <v>0</v>
      </c>
      <c r="J640" t="str">
        <f>生データ!J748</f>
        <v>dead</v>
      </c>
      <c r="K640">
        <f>生データ!K748</f>
        <v>0</v>
      </c>
      <c r="L640">
        <f>生データ!L748</f>
        <v>8.4</v>
      </c>
      <c r="M640">
        <f>生データ!M748</f>
        <v>0</v>
      </c>
      <c r="N640">
        <f>生データ!N748</f>
        <v>0</v>
      </c>
      <c r="O640">
        <f>生データ!O748</f>
        <v>0</v>
      </c>
      <c r="P640" t="str">
        <f>生データ!P748</f>
        <v>D</v>
      </c>
      <c r="Q640">
        <f>生データ!Q748</f>
        <v>0</v>
      </c>
      <c r="R640">
        <f>生データ!R748</f>
        <v>0</v>
      </c>
      <c r="S640">
        <f>生データ!S748</f>
        <v>0</v>
      </c>
      <c r="T640">
        <f>生データ!T748</f>
        <v>12.509578527022972</v>
      </c>
      <c r="U640" t="str">
        <f>生データ!U748</f>
        <v>dead</v>
      </c>
      <c r="V640">
        <f>COUNTIF(怪しいデータを手直し!F$2:F$701,Sheet5!F640)</f>
        <v>1</v>
      </c>
    </row>
    <row r="641" spans="1:22">
      <c r="A641">
        <f>生データ!A749</f>
        <v>20</v>
      </c>
      <c r="B641">
        <f>生データ!B749</f>
        <v>40</v>
      </c>
      <c r="C641">
        <f>生データ!C749</f>
        <v>26.125615719030783</v>
      </c>
      <c r="D641">
        <f>生データ!D749</f>
        <v>47.274402522734292</v>
      </c>
      <c r="E641">
        <f>生データ!E749</f>
        <v>0</v>
      </c>
      <c r="F641">
        <f>IF(生データ!E749="Wr",3000+生データ!F749,IF(生データ!E749="Wb",4000+生データ!F749,生データ!F749))</f>
        <v>195</v>
      </c>
      <c r="G641" t="str">
        <f>生データ!G749</f>
        <v>bp</v>
      </c>
      <c r="H641">
        <f>生データ!H749</f>
        <v>39.4</v>
      </c>
      <c r="I641">
        <f>生データ!I749</f>
        <v>0</v>
      </c>
      <c r="J641">
        <f>生データ!J749</f>
        <v>38.200000000000003</v>
      </c>
      <c r="K641">
        <f>生データ!K749</f>
        <v>0</v>
      </c>
      <c r="L641">
        <f>生データ!L749</f>
        <v>9.6999999999999993</v>
      </c>
      <c r="M641">
        <f>生データ!M749</f>
        <v>4.2</v>
      </c>
      <c r="N641">
        <f>生データ!N749</f>
        <v>0</v>
      </c>
      <c r="O641">
        <f>生データ!O749</f>
        <v>0</v>
      </c>
      <c r="P641" t="str">
        <f>生データ!P749</f>
        <v>L</v>
      </c>
      <c r="Q641">
        <f>生データ!Q749</f>
        <v>0</v>
      </c>
      <c r="R641">
        <f>生データ!R749</f>
        <v>0</v>
      </c>
      <c r="S641">
        <f>生データ!S749</f>
        <v>0</v>
      </c>
      <c r="T641">
        <f>生データ!T749</f>
        <v>12.541409515641352</v>
      </c>
      <c r="U641">
        <f>生データ!U749</f>
        <v>12.159437652220806</v>
      </c>
      <c r="V641">
        <f>COUNTIF(怪しいデータを手直し!F$2:F$701,Sheet5!F641)</f>
        <v>1</v>
      </c>
    </row>
    <row r="642" spans="1:22">
      <c r="A642">
        <f>生データ!A750</f>
        <v>0</v>
      </c>
      <c r="B642">
        <f>生データ!B750</f>
        <v>-40</v>
      </c>
      <c r="C642">
        <f>生データ!C750</f>
        <v>8.2807998791533848</v>
      </c>
      <c r="D642">
        <f>生データ!D750</f>
        <v>-36.859816733933989</v>
      </c>
      <c r="E642">
        <f>生データ!E750</f>
        <v>0</v>
      </c>
      <c r="F642">
        <f>IF(生データ!E750="Wr",3000+生データ!F750,IF(生データ!E750="Wb",4000+生データ!F750,生データ!F750))</f>
        <v>726</v>
      </c>
      <c r="G642" t="str">
        <f>生データ!G750</f>
        <v>lc</v>
      </c>
      <c r="H642">
        <f>生データ!H750</f>
        <v>39.5</v>
      </c>
      <c r="I642">
        <f>生データ!I750</f>
        <v>0</v>
      </c>
      <c r="J642" t="str">
        <f>生データ!J750</f>
        <v>dead</v>
      </c>
      <c r="K642">
        <f>生データ!K750</f>
        <v>0</v>
      </c>
      <c r="L642">
        <f>生データ!L750</f>
        <v>9</v>
      </c>
      <c r="M642">
        <f>生データ!M750</f>
        <v>1.8</v>
      </c>
      <c r="N642">
        <f>生データ!N750</f>
        <v>0</v>
      </c>
      <c r="O642">
        <f>生データ!O750</f>
        <v>0</v>
      </c>
      <c r="P642" t="str">
        <f>生データ!P750</f>
        <v>L</v>
      </c>
      <c r="Q642">
        <f>生データ!Q750</f>
        <v>0</v>
      </c>
      <c r="R642">
        <f>生データ!R750</f>
        <v>0</v>
      </c>
      <c r="S642">
        <f>生データ!S750</f>
        <v>0</v>
      </c>
      <c r="T642">
        <f>生データ!T750</f>
        <v>12.573240504259733</v>
      </c>
      <c r="U642" t="str">
        <f>生データ!U750</f>
        <v>dead</v>
      </c>
      <c r="V642">
        <f>COUNTIF(怪しいデータを手直し!F$2:F$701,Sheet5!F642)</f>
        <v>1</v>
      </c>
    </row>
    <row r="643" spans="1:22">
      <c r="A643">
        <f>生データ!A751</f>
        <v>0</v>
      </c>
      <c r="B643">
        <f>生データ!B751</f>
        <v>-50</v>
      </c>
      <c r="C643">
        <f>生データ!C751</f>
        <v>3.6412415325252461</v>
      </c>
      <c r="D643">
        <f>生データ!D751</f>
        <v>-45.488733073516883</v>
      </c>
      <c r="E643">
        <f>生データ!E751</f>
        <v>0</v>
      </c>
      <c r="F643">
        <f>IF(生データ!E751="Wr",3000+生データ!F751,IF(生データ!E751="Wb",4000+生データ!F751,生データ!F751))</f>
        <v>804</v>
      </c>
      <c r="G643" t="str">
        <f>生データ!G751</f>
        <v>lc</v>
      </c>
      <c r="H643">
        <f>生データ!H751</f>
        <v>39.5</v>
      </c>
      <c r="I643">
        <f>生データ!I751</f>
        <v>0</v>
      </c>
      <c r="J643">
        <f>生データ!J751</f>
        <v>39.9</v>
      </c>
      <c r="K643">
        <f>生データ!K751</f>
        <v>0</v>
      </c>
      <c r="L643">
        <f>生データ!L751</f>
        <v>12.6</v>
      </c>
      <c r="M643">
        <f>生データ!M751</f>
        <v>6.4</v>
      </c>
      <c r="N643">
        <f>生データ!N751</f>
        <v>0</v>
      </c>
      <c r="O643">
        <f>生データ!O751</f>
        <v>0</v>
      </c>
      <c r="P643" t="str">
        <f>生データ!P751</f>
        <v>L</v>
      </c>
      <c r="Q643">
        <f>生データ!Q751</f>
        <v>0</v>
      </c>
      <c r="R643" t="str">
        <f>生データ!R751</f>
        <v>resprouted top</v>
      </c>
      <c r="S643">
        <f>生データ!S751</f>
        <v>0</v>
      </c>
      <c r="T643">
        <f>生データ!T751</f>
        <v>12.573240504259733</v>
      </c>
      <c r="U643">
        <f>生データ!U751</f>
        <v>12.700564458733249</v>
      </c>
      <c r="V643">
        <f>COUNTIF(怪しいデータを手直し!F$2:F$701,Sheet5!F643)</f>
        <v>1</v>
      </c>
    </row>
    <row r="644" spans="1:22">
      <c r="A644">
        <f>生データ!A752</f>
        <v>30</v>
      </c>
      <c r="B644">
        <f>生データ!B752</f>
        <v>40</v>
      </c>
      <c r="C644">
        <f>生データ!C752</f>
        <v>37.972624291761235</v>
      </c>
      <c r="D644">
        <f>生データ!D752</f>
        <v>45.943877191462981</v>
      </c>
      <c r="E644">
        <f>生データ!E752</f>
        <v>0</v>
      </c>
      <c r="F644">
        <f>IF(生データ!E752="Wr",3000+生データ!F752,IF(生データ!E752="Wb",4000+生データ!F752,生データ!F752))</f>
        <v>200</v>
      </c>
      <c r="G644" t="str">
        <f>生データ!G752</f>
        <v>bp</v>
      </c>
      <c r="H644">
        <f>生データ!H752</f>
        <v>39.700000000000003</v>
      </c>
      <c r="I644">
        <f>生データ!I752</f>
        <v>0</v>
      </c>
      <c r="J644">
        <f>生データ!J752</f>
        <v>40.6</v>
      </c>
      <c r="K644">
        <f>生データ!K752</f>
        <v>0</v>
      </c>
      <c r="L644">
        <f>生データ!L752</f>
        <v>10.7</v>
      </c>
      <c r="M644">
        <f>生データ!M752</f>
        <v>2.9</v>
      </c>
      <c r="N644">
        <f>生データ!N752</f>
        <v>0</v>
      </c>
      <c r="O644">
        <f>生データ!O752</f>
        <v>0</v>
      </c>
      <c r="P644" t="str">
        <f>生データ!P752</f>
        <v>L</v>
      </c>
      <c r="Q644">
        <f>生データ!Q752</f>
        <v>0</v>
      </c>
      <c r="R644">
        <f>生データ!R752</f>
        <v>0</v>
      </c>
      <c r="S644">
        <f>生データ!S752</f>
        <v>0</v>
      </c>
      <c r="T644">
        <f>生データ!T752</f>
        <v>12.636902481496492</v>
      </c>
      <c r="U644">
        <f>生データ!U752</f>
        <v>12.923381379061903</v>
      </c>
      <c r="V644">
        <f>COUNTIF(怪しいデータを手直し!F$2:F$701,Sheet5!F644)</f>
        <v>1</v>
      </c>
    </row>
    <row r="645" spans="1:22">
      <c r="A645">
        <f>生データ!A753</f>
        <v>10</v>
      </c>
      <c r="B645">
        <f>生データ!B753</f>
        <v>-20</v>
      </c>
      <c r="C645">
        <f>生データ!C753</f>
        <v>11.930988836250952</v>
      </c>
      <c r="D645">
        <f>生データ!D753</f>
        <v>-17.142613284958919</v>
      </c>
      <c r="E645">
        <f>生データ!E753</f>
        <v>0</v>
      </c>
      <c r="F645">
        <f>IF(生データ!E753="Wr",3000+生データ!F753,IF(生データ!E753="Wb",4000+生データ!F753,生データ!F753))</f>
        <v>578</v>
      </c>
      <c r="G645" t="str">
        <f>生データ!G753</f>
        <v>lc</v>
      </c>
      <c r="H645">
        <f>生データ!H753</f>
        <v>40</v>
      </c>
      <c r="I645">
        <f>生データ!I753</f>
        <v>0</v>
      </c>
      <c r="J645" t="str">
        <f>生データ!J753</f>
        <v>dead</v>
      </c>
      <c r="K645">
        <f>生データ!K753</f>
        <v>0</v>
      </c>
      <c r="L645">
        <f>生データ!L753</f>
        <v>6.4</v>
      </c>
      <c r="M645">
        <f>生データ!M753</f>
        <v>0</v>
      </c>
      <c r="N645">
        <f>生データ!N753</f>
        <v>0</v>
      </c>
      <c r="O645">
        <f>生データ!O753</f>
        <v>0</v>
      </c>
      <c r="P645" t="str">
        <f>生データ!P753</f>
        <v>D</v>
      </c>
      <c r="Q645">
        <f>生データ!Q753</f>
        <v>0</v>
      </c>
      <c r="R645" t="str">
        <f>生データ!R753</f>
        <v>broken</v>
      </c>
      <c r="S645">
        <f>生データ!S753</f>
        <v>0</v>
      </c>
      <c r="T645">
        <f>生データ!T753</f>
        <v>12.732395447351628</v>
      </c>
      <c r="U645" t="str">
        <f>生データ!U753</f>
        <v>dead</v>
      </c>
      <c r="V645">
        <f>COUNTIF(怪しいデータを手直し!F$2:F$701,Sheet5!F645)</f>
        <v>1</v>
      </c>
    </row>
    <row r="646" spans="1:22">
      <c r="A646">
        <f>生データ!A754</f>
        <v>0</v>
      </c>
      <c r="B646">
        <f>生データ!B754</f>
        <v>-30</v>
      </c>
      <c r="C646">
        <f>生データ!C754</f>
        <v>9.3207208494274312</v>
      </c>
      <c r="D646">
        <f>生データ!D754</f>
        <v>-23.663665790959932</v>
      </c>
      <c r="E646">
        <f>生データ!E754</f>
        <v>0</v>
      </c>
      <c r="F646">
        <f>IF(生データ!E754="Wr",3000+生データ!F754,IF(生データ!E754="Wb",4000+生データ!F754,生データ!F754))</f>
        <v>607</v>
      </c>
      <c r="G646" t="str">
        <f>生データ!G754</f>
        <v>lc</v>
      </c>
      <c r="H646">
        <f>生データ!H754</f>
        <v>40</v>
      </c>
      <c r="I646">
        <f>生データ!I754</f>
        <v>0</v>
      </c>
      <c r="J646" t="str">
        <f>生データ!J754</f>
        <v>dead</v>
      </c>
      <c r="K646">
        <f>生データ!K754</f>
        <v>0</v>
      </c>
      <c r="L646">
        <f>生データ!L754</f>
        <v>10.5</v>
      </c>
      <c r="M646">
        <f>生データ!M754</f>
        <v>0</v>
      </c>
      <c r="N646">
        <f>生データ!N754</f>
        <v>0</v>
      </c>
      <c r="O646">
        <f>生データ!O754</f>
        <v>0</v>
      </c>
      <c r="P646" t="str">
        <f>生データ!P754</f>
        <v>D</v>
      </c>
      <c r="Q646">
        <f>生データ!Q754</f>
        <v>0</v>
      </c>
      <c r="R646">
        <f>生データ!R754</f>
        <v>0</v>
      </c>
      <c r="S646">
        <f>生データ!S754</f>
        <v>0</v>
      </c>
      <c r="T646">
        <f>生データ!T754</f>
        <v>12.732395447351628</v>
      </c>
      <c r="U646" t="str">
        <f>生データ!U754</f>
        <v>dead</v>
      </c>
      <c r="V646">
        <f>COUNTIF(怪しいデータを手直し!F$2:F$701,Sheet5!F646)</f>
        <v>1</v>
      </c>
    </row>
    <row r="647" spans="1:22">
      <c r="A647">
        <f>生データ!A755</f>
        <v>0</v>
      </c>
      <c r="B647">
        <f>生データ!B755</f>
        <v>20</v>
      </c>
      <c r="C647">
        <f>生データ!C755</f>
        <v>6.420031139275026</v>
      </c>
      <c r="D647">
        <f>生データ!D755</f>
        <v>24.873068865790739</v>
      </c>
      <c r="E647">
        <f>生データ!E755</f>
        <v>0</v>
      </c>
      <c r="F647">
        <f>IF(生データ!E755="Wr",3000+生データ!F755,IF(生データ!E755="Wb",4000+生データ!F755,生データ!F755))</f>
        <v>40</v>
      </c>
      <c r="G647" t="str">
        <f>生データ!G755</f>
        <v>lc</v>
      </c>
      <c r="H647">
        <f>生データ!H755</f>
        <v>40.4</v>
      </c>
      <c r="I647">
        <f>生データ!I755</f>
        <v>0</v>
      </c>
      <c r="J647" t="str">
        <f>生データ!J755</f>
        <v>dead</v>
      </c>
      <c r="K647">
        <f>生データ!K755</f>
        <v>0</v>
      </c>
      <c r="L647">
        <f>生データ!L755</f>
        <v>8.1999999999999993</v>
      </c>
      <c r="M647">
        <f>生データ!M755</f>
        <v>0</v>
      </c>
      <c r="N647">
        <f>生データ!N755</f>
        <v>0</v>
      </c>
      <c r="O647">
        <f>生データ!O755</f>
        <v>0</v>
      </c>
      <c r="P647" t="str">
        <f>生データ!P755</f>
        <v>D</v>
      </c>
      <c r="Q647">
        <f>生データ!Q755</f>
        <v>0</v>
      </c>
      <c r="R647" t="str">
        <f>生データ!R755</f>
        <v>broken</v>
      </c>
      <c r="S647">
        <f>生データ!S755</f>
        <v>0</v>
      </c>
      <c r="T647">
        <f>生データ!T755</f>
        <v>12.859719401825144</v>
      </c>
      <c r="U647" t="str">
        <f>生データ!U755</f>
        <v>dead</v>
      </c>
      <c r="V647">
        <f>COUNTIF(怪しいデータを手直し!F$2:F$701,Sheet5!F647)</f>
        <v>1</v>
      </c>
    </row>
    <row r="648" spans="1:22">
      <c r="A648">
        <f>生データ!A756</f>
        <v>30</v>
      </c>
      <c r="B648">
        <f>生データ!B756</f>
        <v>40</v>
      </c>
      <c r="C648">
        <f>生データ!C756</f>
        <v>37.195101814616379</v>
      </c>
      <c r="D648">
        <f>生データ!D756</f>
        <v>45.587027258299045</v>
      </c>
      <c r="E648">
        <f>生データ!E756</f>
        <v>0</v>
      </c>
      <c r="F648">
        <f>IF(生データ!E756="Wr",3000+生データ!F756,IF(生データ!E756="Wb",4000+生データ!F756,生データ!F756))</f>
        <v>203</v>
      </c>
      <c r="G648" t="str">
        <f>生データ!G756</f>
        <v>bp</v>
      </c>
      <c r="H648">
        <f>生データ!H756</f>
        <v>40.4</v>
      </c>
      <c r="I648">
        <f>生データ!I756</f>
        <v>0</v>
      </c>
      <c r="J648">
        <f>生データ!J756</f>
        <v>42.2</v>
      </c>
      <c r="K648">
        <f>生データ!K756</f>
        <v>0</v>
      </c>
      <c r="L648">
        <f>生データ!L756</f>
        <v>8.3000000000000007</v>
      </c>
      <c r="M648">
        <f>生データ!M756</f>
        <v>1.9</v>
      </c>
      <c r="N648">
        <f>生データ!N756</f>
        <v>0</v>
      </c>
      <c r="O648">
        <f>生データ!O756</f>
        <v>0</v>
      </c>
      <c r="P648" t="str">
        <f>生データ!P756</f>
        <v>L</v>
      </c>
      <c r="Q648">
        <f>生データ!Q756</f>
        <v>0</v>
      </c>
      <c r="R648">
        <f>生データ!R756</f>
        <v>0</v>
      </c>
      <c r="S648">
        <f>生データ!S756</f>
        <v>0</v>
      </c>
      <c r="T648">
        <f>生データ!T756</f>
        <v>12.859719401825144</v>
      </c>
      <c r="U648">
        <f>生データ!U756</f>
        <v>13.432677196955968</v>
      </c>
      <c r="V648">
        <f>COUNTIF(怪しいデータを手直し!F$2:F$701,Sheet5!F648)</f>
        <v>1</v>
      </c>
    </row>
    <row r="649" spans="1:22">
      <c r="A649">
        <f>生データ!A757</f>
        <v>0</v>
      </c>
      <c r="B649">
        <f>生データ!B757</f>
        <v>-50</v>
      </c>
      <c r="C649">
        <f>生データ!C757</f>
        <v>1.3122807443575066</v>
      </c>
      <c r="D649">
        <f>生データ!D757</f>
        <v>-43.563093337977357</v>
      </c>
      <c r="E649">
        <f>生データ!E757</f>
        <v>0</v>
      </c>
      <c r="F649">
        <f>IF(生データ!E757="Wr",3000+生データ!F757,IF(生データ!E757="Wb",4000+生データ!F757,生データ!F757))</f>
        <v>801</v>
      </c>
      <c r="G649" t="str">
        <f>生データ!G757</f>
        <v>lc</v>
      </c>
      <c r="H649">
        <f>生データ!H757</f>
        <v>40.5</v>
      </c>
      <c r="I649">
        <f>生データ!I757</f>
        <v>0</v>
      </c>
      <c r="J649">
        <f>生データ!J757</f>
        <v>42.8</v>
      </c>
      <c r="K649">
        <f>生データ!K757</f>
        <v>0</v>
      </c>
      <c r="L649">
        <f>生データ!L757</f>
        <v>12.3</v>
      </c>
      <c r="M649">
        <f>生データ!M757</f>
        <v>3.4</v>
      </c>
      <c r="N649">
        <f>生データ!N757</f>
        <v>0</v>
      </c>
      <c r="O649">
        <f>生データ!O757</f>
        <v>0</v>
      </c>
      <c r="P649" t="str">
        <f>生データ!P757</f>
        <v>L</v>
      </c>
      <c r="Q649">
        <f>生データ!Q757</f>
        <v>0</v>
      </c>
      <c r="R649" t="str">
        <f>生データ!R757</f>
        <v>broken</v>
      </c>
      <c r="S649">
        <f>生データ!S757</f>
        <v>0</v>
      </c>
      <c r="T649">
        <f>生データ!T757</f>
        <v>12.891550390443523</v>
      </c>
      <c r="U649">
        <f>生データ!U757</f>
        <v>13.623663128666241</v>
      </c>
      <c r="V649">
        <f>COUNTIF(怪しいデータを手直し!F$2:F$701,Sheet5!F649)</f>
        <v>1</v>
      </c>
    </row>
    <row r="650" spans="1:22">
      <c r="A650">
        <f>生データ!A758</f>
        <v>10</v>
      </c>
      <c r="B650">
        <f>生データ!B758</f>
        <v>20</v>
      </c>
      <c r="C650">
        <f>生データ!C758</f>
        <v>19.074849547210579</v>
      </c>
      <c r="D650">
        <f>生データ!D758</f>
        <v>28.29398063364512</v>
      </c>
      <c r="E650">
        <f>生データ!E758</f>
        <v>0</v>
      </c>
      <c r="F650">
        <f>IF(生データ!E758="Wr",3000+生データ!F758,IF(生データ!E758="Wb",4000+生データ!F758,生データ!F758))</f>
        <v>94</v>
      </c>
      <c r="G650" t="str">
        <f>生データ!G758</f>
        <v>bp</v>
      </c>
      <c r="H650">
        <f>生データ!H758</f>
        <v>40.6</v>
      </c>
      <c r="I650">
        <f>生データ!I758</f>
        <v>0</v>
      </c>
      <c r="J650">
        <f>生データ!J758</f>
        <v>42.8</v>
      </c>
      <c r="K650">
        <f>生データ!K758</f>
        <v>0</v>
      </c>
      <c r="L650">
        <f>生データ!L758</f>
        <v>6.4</v>
      </c>
      <c r="M650">
        <f>生データ!M758</f>
        <v>3.1</v>
      </c>
      <c r="N650">
        <f>生データ!N758</f>
        <v>0</v>
      </c>
      <c r="O650">
        <f>生データ!O758</f>
        <v>0</v>
      </c>
      <c r="P650" t="str">
        <f>生データ!P758</f>
        <v>L</v>
      </c>
      <c r="Q650">
        <f>生データ!Q758</f>
        <v>0</v>
      </c>
      <c r="R650" t="str">
        <f>生データ!R758</f>
        <v>dead Ht=6.6, broken</v>
      </c>
      <c r="S650">
        <f>生データ!S758</f>
        <v>0</v>
      </c>
      <c r="T650">
        <f>生データ!T758</f>
        <v>12.923381379061903</v>
      </c>
      <c r="U650">
        <f>生データ!U758</f>
        <v>13.623663128666241</v>
      </c>
      <c r="V650">
        <f>COUNTIF(怪しいデータを手直し!F$2:F$701,Sheet5!F650)</f>
        <v>1</v>
      </c>
    </row>
    <row r="651" spans="1:22">
      <c r="A651">
        <f>生データ!A759</f>
        <v>40</v>
      </c>
      <c r="B651">
        <f>生データ!B759</f>
        <v>20</v>
      </c>
      <c r="C651">
        <f>生データ!C759</f>
        <v>42.20210713056332</v>
      </c>
      <c r="D651">
        <f>生データ!D759</f>
        <v>29.671270938933304</v>
      </c>
      <c r="E651">
        <f>生データ!E759</f>
        <v>0</v>
      </c>
      <c r="F651">
        <f>IF(生データ!E759="Wr",3000+生データ!F759,IF(生データ!E759="Wb",4000+生データ!F759,生データ!F759))</f>
        <v>302</v>
      </c>
      <c r="G651" t="str">
        <f>生データ!G759</f>
        <v>bp</v>
      </c>
      <c r="H651">
        <f>生データ!H759</f>
        <v>40.6</v>
      </c>
      <c r="I651">
        <f>生データ!I759</f>
        <v>0</v>
      </c>
      <c r="J651">
        <f>生データ!J759</f>
        <v>40.9</v>
      </c>
      <c r="K651">
        <f>生データ!K759</f>
        <v>0</v>
      </c>
      <c r="L651">
        <f>生データ!L759</f>
        <v>8</v>
      </c>
      <c r="M651">
        <f>生データ!M759</f>
        <v>4</v>
      </c>
      <c r="N651">
        <f>生データ!N759</f>
        <v>0</v>
      </c>
      <c r="O651">
        <f>生データ!O759</f>
        <v>0</v>
      </c>
      <c r="P651" t="str">
        <f>生データ!P759</f>
        <v>L</v>
      </c>
      <c r="Q651">
        <f>生データ!Q759</f>
        <v>0</v>
      </c>
      <c r="R651">
        <f>生データ!R759</f>
        <v>0</v>
      </c>
      <c r="S651">
        <f>生データ!S759</f>
        <v>0</v>
      </c>
      <c r="T651">
        <f>生データ!T759</f>
        <v>12.923381379061903</v>
      </c>
      <c r="U651">
        <f>生データ!U759</f>
        <v>13.018874344917039</v>
      </c>
      <c r="V651">
        <f>COUNTIF(怪しいデータを手直し!F$2:F$701,Sheet5!F651)</f>
        <v>1</v>
      </c>
    </row>
    <row r="652" spans="1:22">
      <c r="A652">
        <f>生データ!A760</f>
        <v>20</v>
      </c>
      <c r="B652">
        <f>生データ!B760</f>
        <v>20</v>
      </c>
      <c r="C652">
        <f>生データ!C760</f>
        <v>30.004333579254549</v>
      </c>
      <c r="D652">
        <f>生データ!D760</f>
        <v>27.592263592948925</v>
      </c>
      <c r="E652">
        <f>生データ!E760</f>
        <v>0</v>
      </c>
      <c r="F652">
        <f>IF(生データ!E760="Wr",3000+生データ!F760,IF(生データ!E760="Wb",4000+生データ!F760,生データ!F760))</f>
        <v>169</v>
      </c>
      <c r="G652" t="str">
        <f>生データ!G760</f>
        <v>lc</v>
      </c>
      <c r="H652">
        <f>生データ!H760</f>
        <v>41</v>
      </c>
      <c r="I652">
        <f>生データ!I760</f>
        <v>0</v>
      </c>
      <c r="J652" t="str">
        <f>生データ!J760</f>
        <v>dead</v>
      </c>
      <c r="K652">
        <f>生データ!K760</f>
        <v>0</v>
      </c>
      <c r="L652">
        <f>生データ!L760</f>
        <v>9.9</v>
      </c>
      <c r="M652">
        <f>生データ!M760</f>
        <v>0</v>
      </c>
      <c r="N652">
        <f>生データ!N760</f>
        <v>0</v>
      </c>
      <c r="O652">
        <f>生データ!O760</f>
        <v>0</v>
      </c>
      <c r="P652" t="str">
        <f>生データ!P760</f>
        <v>D</v>
      </c>
      <c r="Q652">
        <f>生データ!Q760</f>
        <v>0</v>
      </c>
      <c r="R652">
        <f>生データ!R760</f>
        <v>0</v>
      </c>
      <c r="S652">
        <f>生データ!S760</f>
        <v>0</v>
      </c>
      <c r="T652">
        <f>生データ!T760</f>
        <v>13.050705333535419</v>
      </c>
      <c r="U652" t="str">
        <f>生データ!U760</f>
        <v>dead</v>
      </c>
      <c r="V652">
        <f>COUNTIF(怪しいデータを手直し!F$2:F$701,Sheet5!F652)</f>
        <v>1</v>
      </c>
    </row>
    <row r="653" spans="1:22">
      <c r="A653">
        <f>生データ!A761</f>
        <v>30</v>
      </c>
      <c r="B653">
        <f>生データ!B761</f>
        <v>10</v>
      </c>
      <c r="C653">
        <f>生データ!C761</f>
        <v>34.753410149350231</v>
      </c>
      <c r="D653">
        <f>生データ!D761</f>
        <v>11.281629054000154</v>
      </c>
      <c r="E653">
        <f>生データ!E761</f>
        <v>0</v>
      </c>
      <c r="F653">
        <f>IF(生データ!E761="Wr",3000+生データ!F761,IF(生データ!E761="Wb",4000+生データ!F761,生データ!F761))</f>
        <v>238</v>
      </c>
      <c r="G653" t="str">
        <f>生データ!G761</f>
        <v>lc</v>
      </c>
      <c r="H653">
        <f>生データ!H761</f>
        <v>41</v>
      </c>
      <c r="I653">
        <f>生データ!I761</f>
        <v>0</v>
      </c>
      <c r="J653" t="str">
        <f>生データ!J761</f>
        <v>dead</v>
      </c>
      <c r="K653">
        <f>生データ!K761</f>
        <v>0</v>
      </c>
      <c r="L653">
        <f>生データ!L761</f>
        <v>8.1</v>
      </c>
      <c r="M653">
        <f>生データ!M761</f>
        <v>0</v>
      </c>
      <c r="N653">
        <f>生データ!N761</f>
        <v>0</v>
      </c>
      <c r="O653">
        <f>生データ!O761</f>
        <v>0</v>
      </c>
      <c r="P653" t="str">
        <f>生データ!P761</f>
        <v>D</v>
      </c>
      <c r="Q653">
        <f>生データ!Q761</f>
        <v>0</v>
      </c>
      <c r="R653">
        <f>生データ!R761</f>
        <v>0</v>
      </c>
      <c r="S653">
        <f>生データ!S761</f>
        <v>0</v>
      </c>
      <c r="T653">
        <f>生データ!T761</f>
        <v>13.050705333535419</v>
      </c>
      <c r="U653" t="str">
        <f>生データ!U761</f>
        <v>dead</v>
      </c>
      <c r="V653">
        <f>COUNTIF(怪しいデータを手直し!F$2:F$701,Sheet5!F653)</f>
        <v>1</v>
      </c>
    </row>
    <row r="654" spans="1:22">
      <c r="A654">
        <f>生データ!A762</f>
        <v>0</v>
      </c>
      <c r="B654">
        <f>生データ!B762</f>
        <v>0</v>
      </c>
      <c r="C654">
        <f>生データ!C762</f>
        <v>2.9719342653964747</v>
      </c>
      <c r="D654">
        <f>生データ!D762</f>
        <v>8.7986707237015302</v>
      </c>
      <c r="E654">
        <f>生データ!E762</f>
        <v>0</v>
      </c>
      <c r="F654">
        <f>IF(生データ!E762="Wr",3000+生データ!F762,IF(生データ!E762="Wb",4000+生データ!F762,生データ!F762))</f>
        <v>1</v>
      </c>
      <c r="G654" t="str">
        <f>生データ!G762</f>
        <v>lc</v>
      </c>
      <c r="H654">
        <f>生データ!H762</f>
        <v>41.2</v>
      </c>
      <c r="I654">
        <f>生データ!I762</f>
        <v>0</v>
      </c>
      <c r="J654" t="str">
        <f>生データ!J762</f>
        <v>dead</v>
      </c>
      <c r="K654">
        <f>生データ!K762</f>
        <v>0</v>
      </c>
      <c r="L654">
        <f>生データ!L762</f>
        <v>9</v>
      </c>
      <c r="M654">
        <f>生データ!M762</f>
        <v>0</v>
      </c>
      <c r="N654">
        <f>生データ!N762</f>
        <v>0</v>
      </c>
      <c r="O654">
        <f>生データ!O762</f>
        <v>0</v>
      </c>
      <c r="P654" t="str">
        <f>生データ!P762</f>
        <v>D</v>
      </c>
      <c r="Q654">
        <f>生データ!Q762</f>
        <v>0</v>
      </c>
      <c r="R654">
        <f>生データ!R762</f>
        <v>0</v>
      </c>
      <c r="S654">
        <f>生データ!S762</f>
        <v>0</v>
      </c>
      <c r="T654">
        <f>生データ!T762</f>
        <v>13.114367310772177</v>
      </c>
      <c r="U654" t="str">
        <f>生データ!U762</f>
        <v>dead</v>
      </c>
      <c r="V654">
        <f>COUNTIF(怪しいデータを手直し!F$2:F$701,Sheet5!F654)</f>
        <v>1</v>
      </c>
    </row>
    <row r="655" spans="1:22">
      <c r="A655">
        <f>生データ!A763</f>
        <v>0</v>
      </c>
      <c r="B655">
        <f>生データ!B763</f>
        <v>40</v>
      </c>
      <c r="C655">
        <f>生データ!C763</f>
        <v>4.8306923269049742</v>
      </c>
      <c r="D655">
        <f>生データ!D763</f>
        <v>46.320372558966213</v>
      </c>
      <c r="E655">
        <f>生データ!E763</f>
        <v>0</v>
      </c>
      <c r="F655">
        <f>IF(生データ!E763="Wr",3000+生データ!F763,IF(生データ!E763="Wb",4000+生データ!F763,生データ!F763))</f>
        <v>70</v>
      </c>
      <c r="G655" t="str">
        <f>生データ!G763</f>
        <v>lc</v>
      </c>
      <c r="H655">
        <f>生データ!H763</f>
        <v>41.3</v>
      </c>
      <c r="I655">
        <f>生データ!I763</f>
        <v>0</v>
      </c>
      <c r="J655">
        <f>生データ!J763</f>
        <v>44.5</v>
      </c>
      <c r="K655">
        <f>生データ!K763</f>
        <v>0</v>
      </c>
      <c r="L655">
        <f>生データ!L763</f>
        <v>9.6999999999999993</v>
      </c>
      <c r="M655">
        <f>生データ!M763</f>
        <v>1.2</v>
      </c>
      <c r="N655">
        <f>生データ!N763</f>
        <v>0</v>
      </c>
      <c r="O655">
        <f>生データ!O763</f>
        <v>0</v>
      </c>
      <c r="P655" t="str">
        <f>生データ!P763</f>
        <v>L</v>
      </c>
      <c r="Q655">
        <f>生データ!Q763</f>
        <v>0</v>
      </c>
      <c r="R655">
        <f>生データ!R763</f>
        <v>0</v>
      </c>
      <c r="S655">
        <f>生データ!S763</f>
        <v>0</v>
      </c>
      <c r="T655">
        <f>生データ!T763</f>
        <v>13.146198299390555</v>
      </c>
      <c r="U655">
        <f>生データ!U763</f>
        <v>14.164789935178685</v>
      </c>
      <c r="V655">
        <f>COUNTIF(怪しいデータを手直し!F$2:F$701,Sheet5!F655)</f>
        <v>1</v>
      </c>
    </row>
    <row r="656" spans="1:22">
      <c r="A656">
        <f>生データ!A764</f>
        <v>40</v>
      </c>
      <c r="B656">
        <f>生データ!B764</f>
        <v>-30</v>
      </c>
      <c r="C656">
        <f>生データ!C764</f>
        <v>42.374703444130603</v>
      </c>
      <c r="D656">
        <f>生データ!D764</f>
        <v>-25.665581582664061</v>
      </c>
      <c r="E656">
        <f>生データ!E764</f>
        <v>0</v>
      </c>
      <c r="F656">
        <f>IF(生データ!E764="Wr",3000+生データ!F764,IF(生データ!E764="Wb",4000+生データ!F764,生データ!F764))</f>
        <v>678</v>
      </c>
      <c r="G656" t="str">
        <f>生データ!G764</f>
        <v>bp</v>
      </c>
      <c r="H656">
        <f>生データ!H764</f>
        <v>41.5</v>
      </c>
      <c r="I656">
        <f>生データ!I764</f>
        <v>0</v>
      </c>
      <c r="J656" t="str">
        <f>生データ!J764</f>
        <v>dead</v>
      </c>
      <c r="K656">
        <f>生データ!K764</f>
        <v>0</v>
      </c>
      <c r="L656">
        <f>生データ!L764</f>
        <v>4.3</v>
      </c>
      <c r="M656">
        <f>生データ!M764</f>
        <v>0</v>
      </c>
      <c r="N656">
        <f>生データ!N764</f>
        <v>0</v>
      </c>
      <c r="O656">
        <f>生データ!O764</f>
        <v>0</v>
      </c>
      <c r="P656" t="str">
        <f>生データ!P764</f>
        <v>D</v>
      </c>
      <c r="Q656">
        <f>生データ!Q764</f>
        <v>0</v>
      </c>
      <c r="R656" t="str">
        <f>生データ!R764</f>
        <v>broken</v>
      </c>
      <c r="S656">
        <f>生データ!S764</f>
        <v>0</v>
      </c>
      <c r="T656">
        <f>生データ!T764</f>
        <v>13.209860276627314</v>
      </c>
      <c r="U656" t="str">
        <f>生データ!U764</f>
        <v>dead</v>
      </c>
      <c r="V656">
        <f>COUNTIF(怪しいデータを手直し!F$2:F$701,Sheet5!F656)</f>
        <v>1</v>
      </c>
    </row>
    <row r="657" spans="1:22">
      <c r="A657">
        <f>生データ!A765</f>
        <v>50</v>
      </c>
      <c r="B657">
        <f>生データ!B765</f>
        <v>-30</v>
      </c>
      <c r="C657">
        <f>生データ!C765</f>
        <v>50.215139710240834</v>
      </c>
      <c r="D657">
        <f>生データ!D765</f>
        <v>-27.437723206428444</v>
      </c>
      <c r="E657">
        <f>生データ!E765</f>
        <v>0</v>
      </c>
      <c r="F657">
        <f>IF(生データ!E765="Wr",3000+生データ!F765,IF(生データ!E765="Wb",4000+生データ!F765,生データ!F765))</f>
        <v>2006</v>
      </c>
      <c r="G657" t="str">
        <f>生データ!G765</f>
        <v>bp</v>
      </c>
      <c r="H657">
        <f>生データ!H765</f>
        <v>41.5</v>
      </c>
      <c r="I657">
        <f>生データ!I765</f>
        <v>0</v>
      </c>
      <c r="J657">
        <f>生データ!J765</f>
        <v>12.9</v>
      </c>
      <c r="K657">
        <f>生データ!K765</f>
        <v>0</v>
      </c>
      <c r="L657">
        <f>生データ!L765</f>
        <v>0</v>
      </c>
      <c r="M657">
        <f>生データ!M765</f>
        <v>0</v>
      </c>
      <c r="N657">
        <f>生データ!N765</f>
        <v>3.5</v>
      </c>
      <c r="O657">
        <f>生データ!O765</f>
        <v>2.1</v>
      </c>
      <c r="P657">
        <f>生データ!P765</f>
        <v>0</v>
      </c>
      <c r="Q657">
        <f>生データ!Q765</f>
        <v>0</v>
      </c>
      <c r="R657" t="str">
        <f>生データ!R765</f>
        <v>701 same tree</v>
      </c>
      <c r="S657" t="str">
        <f>生データ!S765</f>
        <v>New No 609 White red　</v>
      </c>
      <c r="T657">
        <f>生データ!T765</f>
        <v>13.209860276627314</v>
      </c>
      <c r="U657">
        <f>生データ!U765</f>
        <v>4.1061975317709001</v>
      </c>
      <c r="V657">
        <f>COUNTIF(怪しいデータを手直し!F$2:F$701,Sheet5!F657)</f>
        <v>1</v>
      </c>
    </row>
    <row r="658" spans="1:22">
      <c r="A658">
        <f>生データ!A766</f>
        <v>0</v>
      </c>
      <c r="B658">
        <f>生データ!B766</f>
        <v>20</v>
      </c>
      <c r="C658">
        <f>生データ!C766</f>
        <v>8.5072670275945281</v>
      </c>
      <c r="D658">
        <f>生データ!D766</f>
        <v>22.715015234064623</v>
      </c>
      <c r="E658">
        <f>生データ!E766</f>
        <v>0</v>
      </c>
      <c r="F658">
        <f>IF(生データ!E766="Wr",3000+生データ!F766,IF(生データ!E766="Wb",4000+生データ!F766,生データ!F766))</f>
        <v>33</v>
      </c>
      <c r="G658" t="str">
        <f>生データ!G766</f>
        <v>bp</v>
      </c>
      <c r="H658">
        <f>生データ!H766</f>
        <v>42.7</v>
      </c>
      <c r="I658">
        <f>生データ!I766</f>
        <v>0</v>
      </c>
      <c r="J658">
        <f>生データ!J766</f>
        <v>43</v>
      </c>
      <c r="K658">
        <f>生データ!K766</f>
        <v>0</v>
      </c>
      <c r="L658">
        <f>生データ!L766</f>
        <v>5.8</v>
      </c>
      <c r="M658">
        <f>生データ!M766</f>
        <v>1.9</v>
      </c>
      <c r="N658">
        <f>生データ!N766</f>
        <v>0</v>
      </c>
      <c r="O658">
        <f>生データ!O766</f>
        <v>0</v>
      </c>
      <c r="P658" t="str">
        <f>生データ!P766</f>
        <v>L</v>
      </c>
      <c r="Q658">
        <f>生データ!Q766</f>
        <v>0</v>
      </c>
      <c r="R658" t="str">
        <f>生データ!R766</f>
        <v>above node</v>
      </c>
      <c r="S658">
        <f>生データ!S766</f>
        <v>0</v>
      </c>
      <c r="T658">
        <f>生データ!T766</f>
        <v>13.591832140047863</v>
      </c>
      <c r="U658">
        <f>生データ!U766</f>
        <v>13.687325105903</v>
      </c>
      <c r="V658">
        <f>COUNTIF(怪しいデータを手直し!F$2:F$701,Sheet5!F658)</f>
        <v>1</v>
      </c>
    </row>
    <row r="659" spans="1:22">
      <c r="A659">
        <f>生データ!A767</f>
        <v>0</v>
      </c>
      <c r="B659">
        <f>生データ!B767</f>
        <v>-50</v>
      </c>
      <c r="C659">
        <f>生データ!C767</f>
        <v>4.3793029065855924</v>
      </c>
      <c r="D659">
        <f>生データ!D767</f>
        <v>-46.242416534010111</v>
      </c>
      <c r="E659">
        <f>生データ!E767</f>
        <v>0</v>
      </c>
      <c r="F659">
        <f>IF(生データ!E767="Wr",3000+生データ!F767,IF(生データ!E767="Wb",4000+生データ!F767,生データ!F767))</f>
        <v>805</v>
      </c>
      <c r="G659" t="str">
        <f>生データ!G767</f>
        <v>lc</v>
      </c>
      <c r="H659">
        <f>生データ!H767</f>
        <v>43.4</v>
      </c>
      <c r="I659">
        <f>生データ!I767</f>
        <v>0</v>
      </c>
      <c r="J659">
        <f>生データ!J767</f>
        <v>44.9</v>
      </c>
      <c r="K659">
        <f>生データ!K767</f>
        <v>0</v>
      </c>
      <c r="L659">
        <f>生データ!L767</f>
        <v>11.5</v>
      </c>
      <c r="M659">
        <f>生データ!M767</f>
        <v>5.2</v>
      </c>
      <c r="N659">
        <f>生データ!N767</f>
        <v>0</v>
      </c>
      <c r="O659">
        <f>生データ!O767</f>
        <v>0</v>
      </c>
      <c r="P659" t="str">
        <f>生データ!P767</f>
        <v>L</v>
      </c>
      <c r="Q659">
        <f>生データ!Q767</f>
        <v>0</v>
      </c>
      <c r="R659" t="str">
        <f>生データ!R767</f>
        <v>broken</v>
      </c>
      <c r="S659">
        <f>生データ!S767</f>
        <v>0</v>
      </c>
      <c r="T659">
        <f>生データ!T767</f>
        <v>13.814649060376516</v>
      </c>
      <c r="U659">
        <f>生データ!U767</f>
        <v>14.292113889652201</v>
      </c>
      <c r="V659">
        <f>COUNTIF(怪しいデータを手直し!F$2:F$701,Sheet5!F659)</f>
        <v>1</v>
      </c>
    </row>
    <row r="660" spans="1:22">
      <c r="A660">
        <f>生データ!A768</f>
        <v>40</v>
      </c>
      <c r="B660">
        <f>生データ!B768</f>
        <v>-10</v>
      </c>
      <c r="C660">
        <f>生データ!C768</f>
        <v>43.624437901391879</v>
      </c>
      <c r="D660">
        <f>生データ!D768</f>
        <v>-9.6637710616945149</v>
      </c>
      <c r="E660">
        <f>生データ!E768</f>
        <v>0</v>
      </c>
      <c r="F660">
        <f>IF(生データ!E768="Wr",3000+生データ!F768,IF(生データ!E768="Wb",4000+生データ!F768,生データ!F768))</f>
        <v>453</v>
      </c>
      <c r="G660" t="str">
        <f>生データ!G768</f>
        <v>bp</v>
      </c>
      <c r="H660">
        <f>生データ!H768</f>
        <v>43.5</v>
      </c>
      <c r="I660">
        <f>生データ!I768</f>
        <v>0</v>
      </c>
      <c r="J660" t="str">
        <f>生データ!J768</f>
        <v>dead</v>
      </c>
      <c r="K660">
        <f>生データ!K768</f>
        <v>0</v>
      </c>
      <c r="L660">
        <f>生データ!L768</f>
        <v>3.9</v>
      </c>
      <c r="M660">
        <f>生データ!M768</f>
        <v>0</v>
      </c>
      <c r="N660">
        <f>生データ!N768</f>
        <v>0</v>
      </c>
      <c r="O660">
        <f>生データ!O768</f>
        <v>0</v>
      </c>
      <c r="P660" t="str">
        <f>生データ!P768</f>
        <v>D</v>
      </c>
      <c r="Q660">
        <f>生データ!Q768</f>
        <v>0</v>
      </c>
      <c r="R660">
        <f>生データ!R768</f>
        <v>0</v>
      </c>
      <c r="S660">
        <f>生データ!S768</f>
        <v>0</v>
      </c>
      <c r="T660">
        <f>生データ!T768</f>
        <v>13.846480048994895</v>
      </c>
      <c r="U660" t="str">
        <f>生データ!U768</f>
        <v>dead</v>
      </c>
      <c r="V660">
        <f>COUNTIF(怪しいデータを手直し!F$2:F$701,Sheet5!F660)</f>
        <v>1</v>
      </c>
    </row>
    <row r="661" spans="1:22">
      <c r="A661">
        <f>生データ!A769</f>
        <v>30</v>
      </c>
      <c r="B661">
        <f>生データ!B769</f>
        <v>10</v>
      </c>
      <c r="C661">
        <f>生データ!C769</f>
        <v>33.238191204915331</v>
      </c>
      <c r="D661">
        <f>生データ!D769</f>
        <v>10.433176194765108</v>
      </c>
      <c r="E661">
        <f>生データ!E769</f>
        <v>0</v>
      </c>
      <c r="F661">
        <f>IF(生データ!E769="Wr",3000+生データ!F769,IF(生データ!E769="Wb",4000+生データ!F769,生データ!F769))</f>
        <v>237</v>
      </c>
      <c r="G661" t="str">
        <f>生データ!G769</f>
        <v>lc</v>
      </c>
      <c r="H661">
        <f>生データ!H769</f>
        <v>43.7</v>
      </c>
      <c r="I661">
        <f>生データ!I769</f>
        <v>0</v>
      </c>
      <c r="J661" t="str">
        <f>生データ!J769</f>
        <v>dead</v>
      </c>
      <c r="K661">
        <f>生データ!K769</f>
        <v>0</v>
      </c>
      <c r="L661">
        <f>生データ!L769</f>
        <v>10.3</v>
      </c>
      <c r="M661">
        <f>生データ!M769</f>
        <v>1.5</v>
      </c>
      <c r="N661">
        <f>生データ!N769</f>
        <v>0</v>
      </c>
      <c r="O661">
        <f>生データ!O769</f>
        <v>0</v>
      </c>
      <c r="P661" t="str">
        <f>生データ!P769</f>
        <v>L</v>
      </c>
      <c r="Q661">
        <f>生データ!Q769</f>
        <v>0</v>
      </c>
      <c r="R661">
        <f>生データ!R769</f>
        <v>0</v>
      </c>
      <c r="S661">
        <f>生データ!S769</f>
        <v>0</v>
      </c>
      <c r="T661">
        <f>生データ!T769</f>
        <v>13.910142026231654</v>
      </c>
      <c r="U661" t="str">
        <f>生データ!U769</f>
        <v>dead</v>
      </c>
      <c r="V661">
        <f>COUNTIF(怪しいデータを手直し!F$2:F$701,Sheet5!F661)</f>
        <v>1</v>
      </c>
    </row>
    <row r="662" spans="1:22">
      <c r="A662">
        <f>生データ!A770</f>
        <v>10</v>
      </c>
      <c r="B662">
        <f>生データ!B770</f>
        <v>-20</v>
      </c>
      <c r="C662">
        <f>生データ!C770</f>
        <v>16.067810813301975</v>
      </c>
      <c r="D662">
        <f>生データ!D770</f>
        <v>-11.937817404696471</v>
      </c>
      <c r="E662">
        <f>生データ!E770</f>
        <v>0</v>
      </c>
      <c r="F662">
        <f>IF(生データ!E770="Wr",3000+生データ!F770,IF(生データ!E770="Wb",4000+生データ!F770,生データ!F770))</f>
        <v>574</v>
      </c>
      <c r="G662" t="str">
        <f>生データ!G770</f>
        <v>bp</v>
      </c>
      <c r="H662">
        <f>生データ!H770</f>
        <v>44.7</v>
      </c>
      <c r="I662">
        <f>生データ!I770</f>
        <v>0</v>
      </c>
      <c r="J662">
        <f>生データ!J770</f>
        <v>46</v>
      </c>
      <c r="K662">
        <f>生データ!K770</f>
        <v>0</v>
      </c>
      <c r="L662">
        <f>生データ!L770</f>
        <v>10.199999999999999</v>
      </c>
      <c r="M662">
        <f>生データ!M770</f>
        <v>2.8</v>
      </c>
      <c r="N662">
        <f>生データ!N770</f>
        <v>0</v>
      </c>
      <c r="O662">
        <f>生データ!O770</f>
        <v>0</v>
      </c>
      <c r="P662" t="str">
        <f>生データ!P770</f>
        <v>L</v>
      </c>
      <c r="Q662">
        <f>生データ!Q770</f>
        <v>0</v>
      </c>
      <c r="R662">
        <f>生データ!R770</f>
        <v>0</v>
      </c>
      <c r="S662">
        <f>生データ!S770</f>
        <v>0</v>
      </c>
      <c r="T662">
        <f>生データ!T770</f>
        <v>14.228451912415444</v>
      </c>
      <c r="U662">
        <f>生データ!U770</f>
        <v>14.642254764454371</v>
      </c>
      <c r="V662">
        <f>COUNTIF(怪しいデータを手直し!F$2:F$701,Sheet5!F662)</f>
        <v>1</v>
      </c>
    </row>
    <row r="663" spans="1:22">
      <c r="A663">
        <f>生データ!A771</f>
        <v>50</v>
      </c>
      <c r="B663">
        <f>生データ!B771</f>
        <v>-30</v>
      </c>
      <c r="C663">
        <f>生データ!C771</f>
        <v>50.215139710240834</v>
      </c>
      <c r="D663">
        <f>生データ!D771</f>
        <v>-27.437723206428444</v>
      </c>
      <c r="E663">
        <f>生データ!E771</f>
        <v>0</v>
      </c>
      <c r="F663">
        <f>IF(生データ!E771="Wr",3000+生データ!F771,IF(生データ!E771="Wb",4000+生データ!F771,生データ!F771))</f>
        <v>2002</v>
      </c>
      <c r="G663" t="str">
        <f>生データ!G771</f>
        <v>bp</v>
      </c>
      <c r="H663">
        <f>生データ!H771</f>
        <v>44.8</v>
      </c>
      <c r="I663">
        <f>生データ!I771</f>
        <v>0</v>
      </c>
      <c r="J663">
        <f>生データ!J771</f>
        <v>10.3</v>
      </c>
      <c r="K663">
        <f>生データ!K771</f>
        <v>0</v>
      </c>
      <c r="L663">
        <f>生データ!L771</f>
        <v>0</v>
      </c>
      <c r="M663">
        <f>生データ!M771</f>
        <v>0</v>
      </c>
      <c r="N663">
        <f>生データ!N771</f>
        <v>6</v>
      </c>
      <c r="O663">
        <f>生データ!O771</f>
        <v>2.1</v>
      </c>
      <c r="P663">
        <f>生データ!P771</f>
        <v>0</v>
      </c>
      <c r="Q663">
        <f>生データ!Q771</f>
        <v>0</v>
      </c>
      <c r="R663" t="str">
        <f>生データ!R771</f>
        <v>701 same tree</v>
      </c>
      <c r="S663" t="str">
        <f>生データ!S771</f>
        <v>New No 605 White red</v>
      </c>
      <c r="T663">
        <f>生データ!T771</f>
        <v>14.260282901033822</v>
      </c>
      <c r="U663">
        <f>生データ!U771</f>
        <v>3.2785918276930444</v>
      </c>
      <c r="V663">
        <f>COUNTIF(怪しいデータを手直し!F$2:F$701,Sheet5!F663)</f>
        <v>1</v>
      </c>
    </row>
    <row r="664" spans="1:22">
      <c r="A664">
        <f>生データ!A772</f>
        <v>30</v>
      </c>
      <c r="B664">
        <f>生データ!B772</f>
        <v>10</v>
      </c>
      <c r="C664">
        <f>生データ!C772</f>
        <v>32.689872970198586</v>
      </c>
      <c r="D664">
        <f>生データ!D772</f>
        <v>12.689139352703059</v>
      </c>
      <c r="E664">
        <f>生データ!E772</f>
        <v>0</v>
      </c>
      <c r="F664">
        <f>IF(生データ!E772="Wr",3000+生データ!F772,IF(生データ!E772="Wb",4000+生データ!F772,生データ!F772))</f>
        <v>235</v>
      </c>
      <c r="G664" t="str">
        <f>生データ!G772</f>
        <v>lc</v>
      </c>
      <c r="H664">
        <f>生データ!H772</f>
        <v>45.2</v>
      </c>
      <c r="I664">
        <f>生データ!I772</f>
        <v>0</v>
      </c>
      <c r="J664" t="str">
        <f>生データ!J772</f>
        <v>dead</v>
      </c>
      <c r="K664">
        <f>生データ!K772</f>
        <v>0</v>
      </c>
      <c r="L664">
        <f>生データ!L772</f>
        <v>7.6</v>
      </c>
      <c r="M664">
        <f>生データ!M772</f>
        <v>0</v>
      </c>
      <c r="N664">
        <f>生データ!N772</f>
        <v>0</v>
      </c>
      <c r="O664">
        <f>生データ!O772</f>
        <v>0</v>
      </c>
      <c r="P664" t="str">
        <f>生データ!P772</f>
        <v>D</v>
      </c>
      <c r="Q664">
        <f>生データ!Q772</f>
        <v>0</v>
      </c>
      <c r="R664" t="str">
        <f>生データ!R772</f>
        <v>broken</v>
      </c>
      <c r="S664">
        <f>生データ!S772</f>
        <v>0</v>
      </c>
      <c r="T664">
        <f>生データ!T772</f>
        <v>14.38760685550734</v>
      </c>
      <c r="U664" t="str">
        <f>生データ!U772</f>
        <v>dead</v>
      </c>
      <c r="V664">
        <f>COUNTIF(怪しいデータを手直し!F$2:F$701,Sheet5!F664)</f>
        <v>1</v>
      </c>
    </row>
    <row r="665" spans="1:22">
      <c r="A665">
        <f>生データ!A773</f>
        <v>40</v>
      </c>
      <c r="B665">
        <f>生データ!B773</f>
        <v>20</v>
      </c>
      <c r="C665">
        <f>生データ!C773</f>
        <v>41.081628906778029</v>
      </c>
      <c r="D665">
        <f>生データ!D773</f>
        <v>27.390527773607346</v>
      </c>
      <c r="E665">
        <f>生データ!E773</f>
        <v>0</v>
      </c>
      <c r="F665">
        <f>IF(生データ!E773="Wr",3000+生データ!F773,IF(生データ!E773="Wb",4000+生データ!F773,生データ!F773))</f>
        <v>303</v>
      </c>
      <c r="G665" t="str">
        <f>生データ!G773</f>
        <v>lc</v>
      </c>
      <c r="H665">
        <f>生データ!H773</f>
        <v>45.4</v>
      </c>
      <c r="I665">
        <f>生データ!I773</f>
        <v>0</v>
      </c>
      <c r="J665" t="str">
        <f>生データ!J773</f>
        <v>dead</v>
      </c>
      <c r="K665">
        <f>生データ!K773</f>
        <v>0</v>
      </c>
      <c r="L665">
        <f>生データ!L773</f>
        <v>7.5</v>
      </c>
      <c r="M665">
        <f>生データ!M773</f>
        <v>0</v>
      </c>
      <c r="N665">
        <f>生データ!N773</f>
        <v>0</v>
      </c>
      <c r="O665">
        <f>生データ!O773</f>
        <v>0</v>
      </c>
      <c r="P665" t="str">
        <f>生データ!P773</f>
        <v>D</v>
      </c>
      <c r="Q665">
        <f>生データ!Q773</f>
        <v>0</v>
      </c>
      <c r="R665" t="str">
        <f>生データ!R773</f>
        <v>broken</v>
      </c>
      <c r="S665">
        <f>生データ!S773</f>
        <v>0</v>
      </c>
      <c r="T665">
        <f>生データ!T773</f>
        <v>14.451268832744097</v>
      </c>
      <c r="U665" t="str">
        <f>生データ!U773</f>
        <v>dead</v>
      </c>
      <c r="V665">
        <f>COUNTIF(怪しいデータを手直し!F$2:F$701,Sheet5!F665)</f>
        <v>1</v>
      </c>
    </row>
    <row r="666" spans="1:22">
      <c r="A666">
        <f>生データ!A774</f>
        <v>0</v>
      </c>
      <c r="B666">
        <f>生データ!B774</f>
        <v>30</v>
      </c>
      <c r="C666">
        <f>生データ!C774</f>
        <v>3.7176452813807801</v>
      </c>
      <c r="D666">
        <f>生データ!D774</f>
        <v>39.488579054457183</v>
      </c>
      <c r="E666">
        <f>生データ!E774</f>
        <v>0</v>
      </c>
      <c r="F666">
        <f>IF(生データ!E774="Wr",3000+生データ!F774,IF(生データ!E774="Wb",4000+生データ!F774,生データ!F774))</f>
        <v>55</v>
      </c>
      <c r="G666" t="str">
        <f>生データ!G774</f>
        <v>lc</v>
      </c>
      <c r="H666">
        <f>生データ!H774</f>
        <v>46.4</v>
      </c>
      <c r="I666">
        <f>生データ!I774</f>
        <v>0</v>
      </c>
      <c r="J666" t="str">
        <f>生データ!J774</f>
        <v>dead</v>
      </c>
      <c r="K666">
        <f>生データ!K774</f>
        <v>0</v>
      </c>
      <c r="L666">
        <f>生データ!L774</f>
        <v>12</v>
      </c>
      <c r="M666">
        <f>生データ!M774</f>
        <v>0</v>
      </c>
      <c r="N666">
        <f>生データ!N774</f>
        <v>0</v>
      </c>
      <c r="O666">
        <f>生データ!O774</f>
        <v>0</v>
      </c>
      <c r="P666" t="str">
        <f>生データ!P774</f>
        <v>D</v>
      </c>
      <c r="Q666">
        <f>生データ!Q774</f>
        <v>0</v>
      </c>
      <c r="R666">
        <f>生データ!R774</f>
        <v>0</v>
      </c>
      <c r="S666">
        <f>生データ!S774</f>
        <v>0</v>
      </c>
      <c r="T666">
        <f>生データ!T774</f>
        <v>14.769578718927887</v>
      </c>
      <c r="U666" t="str">
        <f>生データ!U774</f>
        <v>dead</v>
      </c>
      <c r="V666">
        <f>COUNTIF(怪しいデータを手直し!F$2:F$701,Sheet5!F666)</f>
        <v>1</v>
      </c>
    </row>
    <row r="667" spans="1:22">
      <c r="A667">
        <f>生データ!A775</f>
        <v>40</v>
      </c>
      <c r="B667">
        <f>生データ!B775</f>
        <v>0</v>
      </c>
      <c r="C667">
        <f>生データ!C775</f>
        <v>40.876130854070112</v>
      </c>
      <c r="D667">
        <f>生データ!D775</f>
        <v>5.1789633141256459</v>
      </c>
      <c r="E667">
        <f>生データ!E775</f>
        <v>0</v>
      </c>
      <c r="F667">
        <f>IF(生データ!E775="Wr",3000+生データ!F775,IF(生データ!E775="Wb",4000+生データ!F775,生データ!F775))</f>
        <v>265</v>
      </c>
      <c r="G667" t="str">
        <f>生データ!G775</f>
        <v>bp</v>
      </c>
      <c r="H667">
        <f>生データ!H775</f>
        <v>46.9</v>
      </c>
      <c r="I667">
        <f>生データ!I775</f>
        <v>0</v>
      </c>
      <c r="J667" t="str">
        <f>生データ!J775</f>
        <v>dead</v>
      </c>
      <c r="K667">
        <f>生データ!K775</f>
        <v>0</v>
      </c>
      <c r="L667">
        <f>生データ!L775</f>
        <v>6.6</v>
      </c>
      <c r="M667">
        <f>生データ!M775</f>
        <v>4.4000000000000004</v>
      </c>
      <c r="N667">
        <f>生データ!N775</f>
        <v>0</v>
      </c>
      <c r="O667">
        <f>生データ!O775</f>
        <v>0</v>
      </c>
      <c r="P667" t="str">
        <f>生データ!P775</f>
        <v>L</v>
      </c>
      <c r="Q667">
        <f>生データ!Q775</f>
        <v>0</v>
      </c>
      <c r="R667" t="str">
        <f>生データ!R775</f>
        <v>dead Ht=10.6</v>
      </c>
      <c r="S667">
        <f>生データ!S775</f>
        <v>0</v>
      </c>
      <c r="T667">
        <f>生データ!T775</f>
        <v>14.928733662019782</v>
      </c>
      <c r="U667" t="str">
        <f>生データ!U775</f>
        <v>dead</v>
      </c>
      <c r="V667">
        <f>COUNTIF(怪しいデータを手直し!F$2:F$701,Sheet5!F667)</f>
        <v>1</v>
      </c>
    </row>
    <row r="668" spans="1:22">
      <c r="A668">
        <f>生データ!A776</f>
        <v>30</v>
      </c>
      <c r="B668">
        <f>生データ!B776</f>
        <v>-20</v>
      </c>
      <c r="C668">
        <f>生データ!C776</f>
        <v>31.451980341886681</v>
      </c>
      <c r="D668">
        <f>生データ!D776</f>
        <v>-13.401670166919232</v>
      </c>
      <c r="E668">
        <f>生データ!E776</f>
        <v>0</v>
      </c>
      <c r="F668">
        <f>IF(生データ!E776="Wr",3000+生データ!F776,IF(生データ!E776="Wb",4000+生データ!F776,生データ!F776))</f>
        <v>526</v>
      </c>
      <c r="G668" t="str">
        <f>生データ!G776</f>
        <v>pt</v>
      </c>
      <c r="H668">
        <f>生データ!H776</f>
        <v>46.9</v>
      </c>
      <c r="I668">
        <f>生データ!I776</f>
        <v>0</v>
      </c>
      <c r="J668">
        <f>生データ!J776</f>
        <v>50.3</v>
      </c>
      <c r="K668">
        <f>生データ!K776</f>
        <v>0</v>
      </c>
      <c r="L668">
        <f>生データ!L776</f>
        <v>12.6</v>
      </c>
      <c r="M668">
        <f>生データ!M776</f>
        <v>2.5</v>
      </c>
      <c r="N668">
        <f>生データ!N776</f>
        <v>0</v>
      </c>
      <c r="O668">
        <f>生データ!O776</f>
        <v>0</v>
      </c>
      <c r="P668" t="str">
        <f>生データ!P776</f>
        <v>L</v>
      </c>
      <c r="Q668">
        <f>生データ!Q776</f>
        <v>0</v>
      </c>
      <c r="R668">
        <f>生データ!R776</f>
        <v>0</v>
      </c>
      <c r="S668">
        <f>生データ!S776</f>
        <v>0</v>
      </c>
      <c r="T668">
        <f>生データ!T776</f>
        <v>14.928733662019782</v>
      </c>
      <c r="U668">
        <f>生データ!U776</f>
        <v>16.01098727504467</v>
      </c>
      <c r="V668">
        <f>COUNTIF(怪しいデータを手直し!F$2:F$701,Sheet5!F668)</f>
        <v>1</v>
      </c>
    </row>
    <row r="669" spans="1:22">
      <c r="A669">
        <f>生データ!A777</f>
        <v>20</v>
      </c>
      <c r="B669">
        <f>生データ!B777</f>
        <v>-20</v>
      </c>
      <c r="C669">
        <f>生データ!C777</f>
        <v>27.094591953759824</v>
      </c>
      <c r="D669">
        <f>生データ!D777</f>
        <v>-13.337565454045706</v>
      </c>
      <c r="E669">
        <f>生データ!E777</f>
        <v>0</v>
      </c>
      <c r="F669">
        <f>IF(生データ!E777="Wr",3000+生データ!F777,IF(生データ!E777="Wb",4000+生データ!F777,生データ!F777))</f>
        <v>546</v>
      </c>
      <c r="G669" t="str">
        <f>生データ!G777</f>
        <v>bp</v>
      </c>
      <c r="H669">
        <f>生データ!H777</f>
        <v>48</v>
      </c>
      <c r="I669">
        <f>生データ!I777</f>
        <v>0</v>
      </c>
      <c r="J669" t="str">
        <f>生データ!J777</f>
        <v>dead</v>
      </c>
      <c r="K669">
        <f>生データ!K777</f>
        <v>0</v>
      </c>
      <c r="L669">
        <f>生データ!L777</f>
        <v>4.3</v>
      </c>
      <c r="M669">
        <f>生データ!M777</f>
        <v>0</v>
      </c>
      <c r="N669">
        <f>生データ!N777</f>
        <v>0</v>
      </c>
      <c r="O669">
        <f>生データ!O777</f>
        <v>0</v>
      </c>
      <c r="P669" t="str">
        <f>生データ!P777</f>
        <v>D</v>
      </c>
      <c r="Q669">
        <f>生データ!Q777</f>
        <v>0</v>
      </c>
      <c r="R669">
        <f>生データ!R777</f>
        <v>0</v>
      </c>
      <c r="S669">
        <f>生データ!S777</f>
        <v>0</v>
      </c>
      <c r="T669">
        <f>生データ!T777</f>
        <v>15.278874536821952</v>
      </c>
      <c r="U669" t="str">
        <f>生データ!U777</f>
        <v>dead</v>
      </c>
      <c r="V669">
        <f>COUNTIF(怪しいデータを手直し!F$2:F$701,Sheet5!F669)</f>
        <v>1</v>
      </c>
    </row>
    <row r="670" spans="1:22">
      <c r="A670">
        <f>生データ!A778</f>
        <v>0</v>
      </c>
      <c r="B670">
        <f>生データ!B778</f>
        <v>20</v>
      </c>
      <c r="C670">
        <f>生データ!C778</f>
        <v>8.9259555083891282</v>
      </c>
      <c r="D670">
        <f>生データ!D778</f>
        <v>22.883005074962199</v>
      </c>
      <c r="E670">
        <f>生データ!E778</f>
        <v>0</v>
      </c>
      <c r="F670">
        <f>IF(生データ!E778="Wr",3000+生データ!F778,IF(生データ!E778="Wb",4000+生データ!F778,生データ!F778))</f>
        <v>37</v>
      </c>
      <c r="G670" t="str">
        <f>生データ!G778</f>
        <v>bp</v>
      </c>
      <c r="H670">
        <f>生データ!H778</f>
        <v>48.4</v>
      </c>
      <c r="I670">
        <f>生データ!I778</f>
        <v>0</v>
      </c>
      <c r="J670">
        <f>生データ!J778</f>
        <v>52.5</v>
      </c>
      <c r="K670">
        <f>生データ!K778</f>
        <v>0</v>
      </c>
      <c r="L670">
        <f>生データ!L778</f>
        <v>14.2</v>
      </c>
      <c r="M670">
        <f>生データ!M778</f>
        <v>3</v>
      </c>
      <c r="N670">
        <f>生データ!N778</f>
        <v>0</v>
      </c>
      <c r="O670">
        <f>生データ!O778</f>
        <v>0</v>
      </c>
      <c r="P670" t="str">
        <f>生データ!P778</f>
        <v>L</v>
      </c>
      <c r="Q670">
        <f>生データ!Q778</f>
        <v>0</v>
      </c>
      <c r="R670">
        <f>生データ!R778</f>
        <v>0</v>
      </c>
      <c r="S670">
        <f>生データ!S778</f>
        <v>0</v>
      </c>
      <c r="T670">
        <f>生データ!T778</f>
        <v>15.406198491295468</v>
      </c>
      <c r="U670">
        <f>生データ!U778</f>
        <v>16.71126902464901</v>
      </c>
      <c r="V670">
        <f>COUNTIF(怪しいデータを手直し!F$2:F$701,Sheet5!F670)</f>
        <v>1</v>
      </c>
    </row>
    <row r="671" spans="1:22">
      <c r="A671">
        <f>生データ!A779</f>
        <v>20</v>
      </c>
      <c r="B671">
        <f>生データ!B779</f>
        <v>30</v>
      </c>
      <c r="C671">
        <f>生データ!C779</f>
        <v>25.097578655256243</v>
      </c>
      <c r="D671">
        <f>生データ!D779</f>
        <v>34.13590656166906</v>
      </c>
      <c r="E671">
        <f>生データ!E779</f>
        <v>0</v>
      </c>
      <c r="F671">
        <f>IF(生データ!E779="Wr",3000+生データ!F779,IF(生データ!E779="Wb",4000+生データ!F779,生データ!F779))</f>
        <v>170</v>
      </c>
      <c r="G671" t="str">
        <f>生データ!G779</f>
        <v>bp</v>
      </c>
      <c r="H671">
        <f>生データ!H779</f>
        <v>49</v>
      </c>
      <c r="I671">
        <f>生データ!I779</f>
        <v>0</v>
      </c>
      <c r="J671" t="str">
        <f>生データ!J779</f>
        <v>dead</v>
      </c>
      <c r="K671">
        <f>生データ!K779</f>
        <v>0</v>
      </c>
      <c r="L671">
        <f>生データ!L779</f>
        <v>6.1</v>
      </c>
      <c r="M671">
        <f>生データ!M779</f>
        <v>3.2</v>
      </c>
      <c r="N671">
        <f>生データ!N779</f>
        <v>0</v>
      </c>
      <c r="O671">
        <f>生データ!O779</f>
        <v>0</v>
      </c>
      <c r="P671" t="str">
        <f>生データ!P779</f>
        <v>L</v>
      </c>
      <c r="Q671">
        <f>生データ!Q779</f>
        <v>0</v>
      </c>
      <c r="R671" t="str">
        <f>生データ!R779</f>
        <v>dead Ht=6.7</v>
      </c>
      <c r="S671">
        <f>生データ!S779</f>
        <v>0</v>
      </c>
      <c r="T671">
        <f>生データ!T779</f>
        <v>15.597184423005743</v>
      </c>
      <c r="U671" t="str">
        <f>生データ!U779</f>
        <v>dead</v>
      </c>
      <c r="V671">
        <f>COUNTIF(怪しいデータを手直し!F$2:F$701,Sheet5!F671)</f>
        <v>1</v>
      </c>
    </row>
    <row r="672" spans="1:22">
      <c r="A672">
        <f>生データ!A780</f>
        <v>10</v>
      </c>
      <c r="B672">
        <f>生データ!B780</f>
        <v>-50</v>
      </c>
      <c r="C672">
        <f>生データ!C780</f>
        <v>17.164256873551739</v>
      </c>
      <c r="D672">
        <f>生データ!D780</f>
        <v>-46.13960352802961</v>
      </c>
      <c r="E672">
        <f>生データ!E780</f>
        <v>0</v>
      </c>
      <c r="F672">
        <f>IF(生データ!E780="Wr",3000+生データ!F780,IF(生データ!E780="Wb",4000+生データ!F780,生データ!F780))</f>
        <v>817</v>
      </c>
      <c r="G672" t="str">
        <f>生データ!G780</f>
        <v>lc</v>
      </c>
      <c r="H672">
        <f>生データ!H780</f>
        <v>49.4</v>
      </c>
      <c r="I672">
        <f>生データ!I780</f>
        <v>0</v>
      </c>
      <c r="J672">
        <f>生データ!J780</f>
        <v>50.5</v>
      </c>
      <c r="K672">
        <f>生データ!K780</f>
        <v>0</v>
      </c>
      <c r="L672">
        <f>生データ!L780</f>
        <v>11.7</v>
      </c>
      <c r="M672">
        <f>生データ!M780</f>
        <v>3.6</v>
      </c>
      <c r="N672">
        <f>生データ!N780</f>
        <v>0</v>
      </c>
      <c r="O672">
        <f>生データ!O780</f>
        <v>0</v>
      </c>
      <c r="P672" t="str">
        <f>生データ!P780</f>
        <v>L</v>
      </c>
      <c r="Q672">
        <f>生データ!Q780</f>
        <v>0</v>
      </c>
      <c r="R672">
        <f>生データ!R780</f>
        <v>0</v>
      </c>
      <c r="S672">
        <f>生データ!S780</f>
        <v>0</v>
      </c>
      <c r="T672">
        <f>生データ!T780</f>
        <v>15.724508377479259</v>
      </c>
      <c r="U672">
        <f>生データ!U780</f>
        <v>16.074649252281429</v>
      </c>
      <c r="V672">
        <f>COUNTIF(怪しいデータを手直し!F$2:F$701,Sheet5!F672)</f>
        <v>1</v>
      </c>
    </row>
    <row r="673" spans="1:22">
      <c r="A673">
        <f>生データ!A781</f>
        <v>40</v>
      </c>
      <c r="B673">
        <f>生データ!B781</f>
        <v>10</v>
      </c>
      <c r="C673">
        <f>生データ!C781</f>
        <v>42.304581878069619</v>
      </c>
      <c r="D673">
        <f>生データ!D781</f>
        <v>19.634808535312285</v>
      </c>
      <c r="E673">
        <f>生データ!E781</f>
        <v>0</v>
      </c>
      <c r="F673">
        <f>IF(生データ!E781="Wr",3000+生データ!F781,IF(生データ!E781="Wb",4000+生データ!F781,生データ!F781))</f>
        <v>284</v>
      </c>
      <c r="G673" t="str">
        <f>生データ!G781</f>
        <v>bp</v>
      </c>
      <c r="H673">
        <f>生データ!H781</f>
        <v>49.7</v>
      </c>
      <c r="I673">
        <f>生データ!I781</f>
        <v>0</v>
      </c>
      <c r="J673">
        <f>生データ!J781</f>
        <v>50.3</v>
      </c>
      <c r="K673">
        <f>生データ!K781</f>
        <v>0</v>
      </c>
      <c r="L673">
        <f>生データ!L781</f>
        <v>10.7</v>
      </c>
      <c r="M673">
        <f>生データ!M781</f>
        <v>3.2</v>
      </c>
      <c r="N673">
        <f>生データ!N781</f>
        <v>0</v>
      </c>
      <c r="O673">
        <f>生データ!O781</f>
        <v>0</v>
      </c>
      <c r="P673" t="str">
        <f>生データ!P781</f>
        <v>L</v>
      </c>
      <c r="Q673">
        <f>生データ!Q781</f>
        <v>0</v>
      </c>
      <c r="R673">
        <f>生データ!R781</f>
        <v>0</v>
      </c>
      <c r="S673">
        <f>生データ!S781</f>
        <v>0</v>
      </c>
      <c r="T673">
        <f>生データ!T781</f>
        <v>15.820001343334399</v>
      </c>
      <c r="U673">
        <f>生データ!U781</f>
        <v>16.01098727504467</v>
      </c>
      <c r="V673">
        <f>COUNTIF(怪しいデータを手直し!F$2:F$701,Sheet5!F673)</f>
        <v>1</v>
      </c>
    </row>
    <row r="674" spans="1:22">
      <c r="A674">
        <f>生データ!A782</f>
        <v>10</v>
      </c>
      <c r="B674">
        <f>生データ!B782</f>
        <v>40</v>
      </c>
      <c r="C674">
        <f>生データ!C782</f>
        <v>19.23738470341846</v>
      </c>
      <c r="D674">
        <f>生データ!D782</f>
        <v>42.642142673933385</v>
      </c>
      <c r="E674">
        <f>生データ!E782</f>
        <v>0</v>
      </c>
      <c r="F674">
        <f>IF(生データ!E782="Wr",3000+生データ!F782,IF(生データ!E782="Wb",4000+生データ!F782,生データ!F782))</f>
        <v>81</v>
      </c>
      <c r="G674" t="str">
        <f>生データ!G782</f>
        <v>lc</v>
      </c>
      <c r="H674">
        <f>生データ!H782</f>
        <v>50.2</v>
      </c>
      <c r="I674">
        <f>生データ!I782</f>
        <v>0</v>
      </c>
      <c r="J674" t="str">
        <f>生データ!J782</f>
        <v>dead</v>
      </c>
      <c r="K674">
        <f>生データ!K782</f>
        <v>0</v>
      </c>
      <c r="L674">
        <f>生データ!L782</f>
        <v>12.1</v>
      </c>
      <c r="M674">
        <f>生データ!M782</f>
        <v>0</v>
      </c>
      <c r="N674">
        <f>生データ!N782</f>
        <v>0</v>
      </c>
      <c r="O674">
        <f>生データ!O782</f>
        <v>0</v>
      </c>
      <c r="P674" t="str">
        <f>生データ!P782</f>
        <v>D</v>
      </c>
      <c r="Q674">
        <f>生データ!Q782</f>
        <v>0</v>
      </c>
      <c r="R674">
        <f>生データ!R782</f>
        <v>0</v>
      </c>
      <c r="S674">
        <f>生データ!S782</f>
        <v>0</v>
      </c>
      <c r="T674">
        <f>生データ!T782</f>
        <v>15.979156286426294</v>
      </c>
      <c r="U674" t="str">
        <f>生データ!U782</f>
        <v>dead</v>
      </c>
      <c r="V674">
        <f>COUNTIF(怪しいデータを手直し!F$2:F$701,Sheet5!F674)</f>
        <v>1</v>
      </c>
    </row>
    <row r="675" spans="1:22">
      <c r="A675">
        <f>生データ!A783</f>
        <v>40</v>
      </c>
      <c r="B675">
        <f>生データ!B783</f>
        <v>0</v>
      </c>
      <c r="C675">
        <f>生データ!C783</f>
        <v>48.467731741905403</v>
      </c>
      <c r="D675">
        <f>生データ!D783</f>
        <v>4.3313476780518956</v>
      </c>
      <c r="E675">
        <f>生データ!E783</f>
        <v>0</v>
      </c>
      <c r="F675">
        <f>IF(生データ!E783="Wr",3000+生データ!F783,IF(生データ!E783="Wb",4000+生データ!F783,生データ!F783))</f>
        <v>277</v>
      </c>
      <c r="G675" t="str">
        <f>生データ!G783</f>
        <v>lc</v>
      </c>
      <c r="H675">
        <f>生データ!H783</f>
        <v>50.3</v>
      </c>
      <c r="I675">
        <f>生データ!I783</f>
        <v>0</v>
      </c>
      <c r="J675" t="str">
        <f>生データ!J783</f>
        <v>dead</v>
      </c>
      <c r="K675">
        <f>生データ!K783</f>
        <v>0</v>
      </c>
      <c r="L675">
        <f>生データ!L783</f>
        <v>4.0999999999999996</v>
      </c>
      <c r="M675">
        <f>生データ!M783</f>
        <v>0</v>
      </c>
      <c r="N675">
        <f>生データ!N783</f>
        <v>0</v>
      </c>
      <c r="O675">
        <f>生データ!O783</f>
        <v>0</v>
      </c>
      <c r="P675" t="str">
        <f>生データ!P783</f>
        <v>D</v>
      </c>
      <c r="Q675">
        <f>生データ!Q783</f>
        <v>0</v>
      </c>
      <c r="R675" t="str">
        <f>生データ!R783</f>
        <v>broken</v>
      </c>
      <c r="S675">
        <f>生データ!S783</f>
        <v>0</v>
      </c>
      <c r="T675">
        <f>生データ!T783</f>
        <v>16.01098727504467</v>
      </c>
      <c r="U675" t="str">
        <f>生データ!U783</f>
        <v>dead</v>
      </c>
      <c r="V675">
        <f>COUNTIF(怪しいデータを手直し!F$2:F$701,Sheet5!F675)</f>
        <v>1</v>
      </c>
    </row>
    <row r="676" spans="1:22">
      <c r="A676">
        <f>生データ!A784</f>
        <v>40</v>
      </c>
      <c r="B676">
        <f>生データ!B784</f>
        <v>-30</v>
      </c>
      <c r="C676">
        <f>生データ!C784</f>
        <v>48.043097408521334</v>
      </c>
      <c r="D676">
        <f>生データ!D784</f>
        <v>-23.901055742566481</v>
      </c>
      <c r="E676">
        <f>生データ!E784</f>
        <v>0</v>
      </c>
      <c r="F676">
        <f>IF(生データ!E784="Wr",3000+生データ!F784,IF(生データ!E784="Wb",4000+生データ!F784,生データ!F784))</f>
        <v>696</v>
      </c>
      <c r="G676" t="str">
        <f>生データ!G784</f>
        <v>bp</v>
      </c>
      <c r="H676">
        <f>生データ!H784</f>
        <v>51</v>
      </c>
      <c r="I676">
        <f>生データ!I784</f>
        <v>0</v>
      </c>
      <c r="J676">
        <f>生データ!J784</f>
        <v>50</v>
      </c>
      <c r="K676">
        <f>生データ!K784</f>
        <v>0</v>
      </c>
      <c r="L676">
        <f>生データ!L784</f>
        <v>9.5</v>
      </c>
      <c r="M676">
        <f>生データ!M784</f>
        <v>4.2</v>
      </c>
      <c r="N676">
        <f>生データ!N784</f>
        <v>0</v>
      </c>
      <c r="O676">
        <f>生データ!O784</f>
        <v>0</v>
      </c>
      <c r="P676" t="str">
        <f>生データ!P784</f>
        <v>L</v>
      </c>
      <c r="Q676">
        <f>生データ!Q784</f>
        <v>0</v>
      </c>
      <c r="R676" t="str">
        <f>生データ!R784</f>
        <v>Dead H=10.3</v>
      </c>
      <c r="S676">
        <f>生データ!S784</f>
        <v>0</v>
      </c>
      <c r="T676">
        <f>生データ!T784</f>
        <v>16.233804195373324</v>
      </c>
      <c r="U676">
        <f>生データ!U784</f>
        <v>15.915494309189533</v>
      </c>
      <c r="V676">
        <f>COUNTIF(怪しいデータを手直し!F$2:F$701,Sheet5!F676)</f>
        <v>1</v>
      </c>
    </row>
    <row r="677" spans="1:22">
      <c r="A677">
        <f>生データ!A785</f>
        <v>0</v>
      </c>
      <c r="B677">
        <f>生データ!B785</f>
        <v>-30</v>
      </c>
      <c r="C677">
        <f>生データ!C785</f>
        <v>9.0173586714432492</v>
      </c>
      <c r="D677">
        <f>生データ!D785</f>
        <v>-23.071405532326935</v>
      </c>
      <c r="E677">
        <f>生データ!E785</f>
        <v>0</v>
      </c>
      <c r="F677">
        <f>IF(生データ!E785="Wr",3000+生データ!F785,IF(生データ!E785="Wb",4000+生データ!F785,生データ!F785))</f>
        <v>608</v>
      </c>
      <c r="G677" t="str">
        <f>生データ!G785</f>
        <v>bp</v>
      </c>
      <c r="H677">
        <f>生データ!H785</f>
        <v>51.7</v>
      </c>
      <c r="I677">
        <f>生データ!I785</f>
        <v>0</v>
      </c>
      <c r="J677" t="str">
        <f>生データ!J785</f>
        <v>dead</v>
      </c>
      <c r="K677">
        <f>生データ!K785</f>
        <v>0</v>
      </c>
      <c r="L677">
        <f>生データ!L785</f>
        <v>6.6</v>
      </c>
      <c r="M677">
        <f>生データ!M785</f>
        <v>5</v>
      </c>
      <c r="N677">
        <f>生データ!N785</f>
        <v>0</v>
      </c>
      <c r="O677">
        <f>生データ!O785</f>
        <v>0</v>
      </c>
      <c r="P677" t="str">
        <f>生データ!P785</f>
        <v>L</v>
      </c>
      <c r="Q677">
        <f>生データ!Q785</f>
        <v>0</v>
      </c>
      <c r="R677" t="str">
        <f>生データ!R785</f>
        <v>Dead H=8.3</v>
      </c>
      <c r="S677">
        <f>生データ!S785</f>
        <v>0</v>
      </c>
      <c r="T677">
        <f>生データ!T785</f>
        <v>16.456621115701978</v>
      </c>
      <c r="U677" t="str">
        <f>生データ!U785</f>
        <v>dead</v>
      </c>
      <c r="V677">
        <f>COUNTIF(怪しいデータを手直し!F$2:F$701,Sheet5!F677)</f>
        <v>1</v>
      </c>
    </row>
    <row r="678" spans="1:22">
      <c r="A678">
        <f>生データ!A786</f>
        <v>20</v>
      </c>
      <c r="B678">
        <f>生データ!B786</f>
        <v>-30</v>
      </c>
      <c r="C678">
        <f>生データ!C786</f>
        <v>24.631125327517815</v>
      </c>
      <c r="D678">
        <f>生データ!D786</f>
        <v>-26.197998447174644</v>
      </c>
      <c r="E678">
        <f>生データ!E786</f>
        <v>0</v>
      </c>
      <c r="F678">
        <f>IF(生データ!E786="Wr",3000+生データ!F786,IF(生データ!E786="Wb",4000+生データ!F786,生データ!F786))</f>
        <v>646</v>
      </c>
      <c r="G678" t="str">
        <f>生データ!G786</f>
        <v>bp</v>
      </c>
      <c r="H678">
        <f>生データ!H786</f>
        <v>52.2</v>
      </c>
      <c r="I678">
        <f>生データ!I786</f>
        <v>0</v>
      </c>
      <c r="J678">
        <f>生データ!J786</f>
        <v>52</v>
      </c>
      <c r="K678">
        <f>生データ!K786</f>
        <v>0</v>
      </c>
      <c r="L678">
        <f>生データ!L786</f>
        <v>11.9</v>
      </c>
      <c r="M678">
        <f>生データ!M786</f>
        <v>4.0999999999999996</v>
      </c>
      <c r="N678">
        <f>生データ!N786</f>
        <v>0</v>
      </c>
      <c r="O678">
        <f>生データ!O786</f>
        <v>0</v>
      </c>
      <c r="P678" t="str">
        <f>生データ!P786</f>
        <v>L</v>
      </c>
      <c r="Q678">
        <f>生データ!Q786</f>
        <v>0</v>
      </c>
      <c r="R678">
        <f>生データ!R786</f>
        <v>0</v>
      </c>
      <c r="S678">
        <f>生データ!S786</f>
        <v>0</v>
      </c>
      <c r="T678">
        <f>生データ!T786</f>
        <v>16.615776058793873</v>
      </c>
      <c r="U678">
        <f>生データ!U786</f>
        <v>16.552114081557114</v>
      </c>
      <c r="V678">
        <f>COUNTIF(怪しいデータを手直し!F$2:F$701,Sheet5!F678)</f>
        <v>1</v>
      </c>
    </row>
    <row r="679" spans="1:22">
      <c r="A679">
        <f>生データ!A787</f>
        <v>40</v>
      </c>
      <c r="B679">
        <f>生データ!B787</f>
        <v>-50</v>
      </c>
      <c r="C679">
        <f>生データ!C787</f>
        <v>45.008992517250434</v>
      </c>
      <c r="D679">
        <f>生データ!D787</f>
        <v>-49.500399673810001</v>
      </c>
      <c r="E679">
        <f>生データ!E787</f>
        <v>0</v>
      </c>
      <c r="F679">
        <f>IF(生データ!E787="Wr",3000+生データ!F787,IF(生データ!E787="Wb",4000+生データ!F787,生データ!F787))</f>
        <v>826</v>
      </c>
      <c r="G679" t="str">
        <f>生データ!G787</f>
        <v>lc</v>
      </c>
      <c r="H679">
        <f>生データ!H787</f>
        <v>53.2</v>
      </c>
      <c r="I679">
        <f>生データ!I787</f>
        <v>0</v>
      </c>
      <c r="J679">
        <f>生データ!J787</f>
        <v>54.6</v>
      </c>
      <c r="K679">
        <f>生データ!K787</f>
        <v>0</v>
      </c>
      <c r="L679">
        <f>生データ!L787</f>
        <v>11.1</v>
      </c>
      <c r="M679">
        <f>生データ!M787</f>
        <v>3.7</v>
      </c>
      <c r="N679">
        <f>生データ!N787</f>
        <v>0</v>
      </c>
      <c r="O679">
        <f>生データ!O787</f>
        <v>0</v>
      </c>
      <c r="P679" t="str">
        <f>生データ!P787</f>
        <v>L</v>
      </c>
      <c r="Q679">
        <f>生データ!Q787</f>
        <v>0</v>
      </c>
      <c r="R679">
        <f>生データ!R787</f>
        <v>0</v>
      </c>
      <c r="S679">
        <f>生データ!S787</f>
        <v>0</v>
      </c>
      <c r="T679">
        <f>生データ!T787</f>
        <v>16.934085944977664</v>
      </c>
      <c r="U679">
        <f>生データ!U787</f>
        <v>17.379719785634972</v>
      </c>
      <c r="V679">
        <f>COUNTIF(怪しいデータを手直し!F$2:F$701,Sheet5!F679)</f>
        <v>1</v>
      </c>
    </row>
    <row r="680" spans="1:22">
      <c r="A680">
        <f>生データ!A788</f>
        <v>40</v>
      </c>
      <c r="B680">
        <f>生データ!B788</f>
        <v>-30</v>
      </c>
      <c r="C680">
        <f>生データ!C788</f>
        <v>43.168294263952326</v>
      </c>
      <c r="D680">
        <f>生データ!D788</f>
        <v>-26.62296203959831</v>
      </c>
      <c r="E680">
        <f>生データ!E788</f>
        <v>0</v>
      </c>
      <c r="F680">
        <f>IF(生データ!E788="Wr",3000+生データ!F788,IF(生データ!E788="Wb",4000+生データ!F788,生データ!F788))</f>
        <v>683</v>
      </c>
      <c r="G680" t="str">
        <f>生データ!G788</f>
        <v>lc</v>
      </c>
      <c r="H680">
        <f>生データ!H788</f>
        <v>53.6</v>
      </c>
      <c r="I680">
        <f>生データ!I788</f>
        <v>0</v>
      </c>
      <c r="J680" t="str">
        <f>生データ!J788</f>
        <v>dead</v>
      </c>
      <c r="K680">
        <f>生データ!K788</f>
        <v>0</v>
      </c>
      <c r="L680">
        <f>生データ!L788</f>
        <v>12</v>
      </c>
      <c r="M680">
        <f>生データ!M788</f>
        <v>0</v>
      </c>
      <c r="N680">
        <f>生データ!N788</f>
        <v>0</v>
      </c>
      <c r="O680">
        <f>生データ!O788</f>
        <v>0</v>
      </c>
      <c r="P680" t="str">
        <f>生データ!P788</f>
        <v>D</v>
      </c>
      <c r="Q680">
        <f>生データ!Q788</f>
        <v>0</v>
      </c>
      <c r="R680">
        <f>生データ!R788</f>
        <v>0</v>
      </c>
      <c r="S680">
        <f>生データ!S788</f>
        <v>0</v>
      </c>
      <c r="T680">
        <f>生データ!T788</f>
        <v>17.061409899451181</v>
      </c>
      <c r="U680" t="str">
        <f>生データ!U788</f>
        <v>dead</v>
      </c>
      <c r="V680">
        <f>COUNTIF(怪しいデータを手直し!F$2:F$701,Sheet5!F680)</f>
        <v>1</v>
      </c>
    </row>
    <row r="681" spans="1:22">
      <c r="A681">
        <f>生データ!A789</f>
        <v>0</v>
      </c>
      <c r="B681">
        <f>生データ!B789</f>
        <v>-20</v>
      </c>
      <c r="C681">
        <f>生データ!C789</f>
        <v>6.4666413112328369</v>
      </c>
      <c r="D681">
        <f>生データ!D789</f>
        <v>-17.283553401455698</v>
      </c>
      <c r="E681">
        <f>生データ!E789</f>
        <v>0</v>
      </c>
      <c r="F681">
        <f>IF(生データ!E789="Wr",3000+生データ!F789,IF(生データ!E789="Wb",4000+生データ!F789,生データ!F789))</f>
        <v>582</v>
      </c>
      <c r="G681" t="str">
        <f>生データ!G789</f>
        <v>lc</v>
      </c>
      <c r="H681">
        <f>生データ!H789</f>
        <v>54.8</v>
      </c>
      <c r="I681">
        <f>生データ!I789</f>
        <v>0</v>
      </c>
      <c r="J681" t="str">
        <f>生データ!J789</f>
        <v>dead</v>
      </c>
      <c r="K681">
        <f>生データ!K789</f>
        <v>0</v>
      </c>
      <c r="L681">
        <f>生データ!L789</f>
        <v>3.7</v>
      </c>
      <c r="M681">
        <f>生データ!M789</f>
        <v>0</v>
      </c>
      <c r="N681">
        <f>生データ!N789</f>
        <v>0</v>
      </c>
      <c r="O681">
        <f>生データ!O789</f>
        <v>0</v>
      </c>
      <c r="P681" t="str">
        <f>生データ!P789</f>
        <v>D</v>
      </c>
      <c r="Q681">
        <f>生データ!Q789</f>
        <v>0</v>
      </c>
      <c r="R681" t="str">
        <f>生データ!R789</f>
        <v>broken</v>
      </c>
      <c r="S681">
        <f>生データ!S789</f>
        <v>0</v>
      </c>
      <c r="T681">
        <f>生データ!T789</f>
        <v>17.443381762871727</v>
      </c>
      <c r="U681" t="str">
        <f>生データ!U789</f>
        <v>dead</v>
      </c>
      <c r="V681">
        <f>COUNTIF(怪しいデータを手直し!F$2:F$701,Sheet5!F681)</f>
        <v>1</v>
      </c>
    </row>
    <row r="682" spans="1:22">
      <c r="A682">
        <f>生データ!A790</f>
        <v>0</v>
      </c>
      <c r="B682">
        <f>生データ!B790</f>
        <v>-40</v>
      </c>
      <c r="C682">
        <f>生データ!C790</f>
        <v>4.8140191056457162</v>
      </c>
      <c r="D682">
        <f>生データ!D790</f>
        <v>-37.96763631123946</v>
      </c>
      <c r="E682">
        <f>生データ!E790</f>
        <v>0</v>
      </c>
      <c r="F682">
        <f>IF(生データ!E790="Wr",3000+生データ!F790,IF(生データ!E790="Wb",4000+生データ!F790,生データ!F790))</f>
        <v>728</v>
      </c>
      <c r="G682" t="str">
        <f>生データ!G790</f>
        <v>lc</v>
      </c>
      <c r="H682">
        <f>生データ!H790</f>
        <v>54.8</v>
      </c>
      <c r="I682">
        <f>生データ!I790</f>
        <v>0</v>
      </c>
      <c r="J682">
        <f>生データ!J790</f>
        <v>55.8</v>
      </c>
      <c r="K682">
        <f>生データ!K790</f>
        <v>0</v>
      </c>
      <c r="L682">
        <f>生データ!L790</f>
        <v>13.1</v>
      </c>
      <c r="M682">
        <f>生データ!M790</f>
        <v>3</v>
      </c>
      <c r="N682">
        <f>生データ!N790</f>
        <v>0</v>
      </c>
      <c r="O682">
        <f>生データ!O790</f>
        <v>0</v>
      </c>
      <c r="P682" t="str">
        <f>生データ!P790</f>
        <v>L</v>
      </c>
      <c r="Q682">
        <f>生データ!Q790</f>
        <v>0</v>
      </c>
      <c r="R682">
        <f>生データ!R790</f>
        <v>0</v>
      </c>
      <c r="S682">
        <f>生データ!S790</f>
        <v>0</v>
      </c>
      <c r="T682">
        <f>生データ!T790</f>
        <v>17.443381762871727</v>
      </c>
      <c r="U682">
        <f>生データ!U790</f>
        <v>17.761691649055518</v>
      </c>
      <c r="V682">
        <f>COUNTIF(怪しいデータを手直し!F$2:F$701,Sheet5!F682)</f>
        <v>1</v>
      </c>
    </row>
    <row r="683" spans="1:22">
      <c r="A683">
        <f>生データ!A791</f>
        <v>10</v>
      </c>
      <c r="B683">
        <f>生データ!B791</f>
        <v>-10</v>
      </c>
      <c r="C683">
        <f>生データ!C791</f>
        <v>10.990466041018198</v>
      </c>
      <c r="D683">
        <f>生データ!D791</f>
        <v>-3.8857530829415468</v>
      </c>
      <c r="E683">
        <f>生データ!E791</f>
        <v>0</v>
      </c>
      <c r="F683">
        <f>IF(生データ!E791="Wr",3000+生データ!F791,IF(生データ!E791="Wb",4000+生データ!F791,生データ!F791))</f>
        <v>406</v>
      </c>
      <c r="G683" t="str">
        <f>生データ!G791</f>
        <v>lc</v>
      </c>
      <c r="H683">
        <f>生データ!H791</f>
        <v>56.9</v>
      </c>
      <c r="I683">
        <f>生データ!I791</f>
        <v>0</v>
      </c>
      <c r="J683" t="str">
        <f>生データ!J791</f>
        <v>dead</v>
      </c>
      <c r="K683">
        <f>生データ!K791</f>
        <v>0</v>
      </c>
      <c r="L683">
        <f>生データ!L791</f>
        <v>11.4</v>
      </c>
      <c r="M683">
        <f>生データ!M791</f>
        <v>0</v>
      </c>
      <c r="N683">
        <f>生データ!N791</f>
        <v>0</v>
      </c>
      <c r="O683">
        <f>生データ!O791</f>
        <v>0</v>
      </c>
      <c r="P683" t="str">
        <f>生データ!P791</f>
        <v>D</v>
      </c>
      <c r="Q683">
        <f>生データ!Q791</f>
        <v>0</v>
      </c>
      <c r="R683">
        <f>生データ!R791</f>
        <v>0</v>
      </c>
      <c r="S683">
        <f>生データ!S791</f>
        <v>0</v>
      </c>
      <c r="T683">
        <f>生データ!T791</f>
        <v>18.111832523857689</v>
      </c>
      <c r="U683" t="str">
        <f>生データ!U791</f>
        <v>dead</v>
      </c>
      <c r="V683">
        <f>COUNTIF(怪しいデータを手直し!F$2:F$701,Sheet5!F683)</f>
        <v>1</v>
      </c>
    </row>
    <row r="684" spans="1:22">
      <c r="A684">
        <f>生データ!A792</f>
        <v>0</v>
      </c>
      <c r="B684">
        <f>生データ!B792</f>
        <v>20</v>
      </c>
      <c r="C684">
        <f>生データ!C792</f>
        <v>8.640717581892984</v>
      </c>
      <c r="D684">
        <f>生データ!D792</f>
        <v>22.445076618424352</v>
      </c>
      <c r="E684">
        <f>生データ!E792</f>
        <v>0</v>
      </c>
      <c r="F684">
        <f>IF(生データ!E792="Wr",3000+生データ!F792,IF(生データ!E792="Wb",4000+生データ!F792,生データ!F792))</f>
        <v>32</v>
      </c>
      <c r="G684" t="str">
        <f>生データ!G792</f>
        <v>bp</v>
      </c>
      <c r="H684">
        <f>生データ!H792</f>
        <v>57.3</v>
      </c>
      <c r="I684">
        <f>生データ!I792</f>
        <v>0</v>
      </c>
      <c r="J684">
        <f>生データ!J792</f>
        <v>58.2</v>
      </c>
      <c r="K684">
        <f>生データ!K792</f>
        <v>0</v>
      </c>
      <c r="L684">
        <f>生データ!L792</f>
        <v>11.9</v>
      </c>
      <c r="M684">
        <f>生データ!M792</f>
        <v>3.5</v>
      </c>
      <c r="N684">
        <f>生データ!N792</f>
        <v>0</v>
      </c>
      <c r="O684">
        <f>生データ!O792</f>
        <v>0</v>
      </c>
      <c r="P684" t="str">
        <f>生データ!P792</f>
        <v>L</v>
      </c>
      <c r="Q684">
        <f>生データ!Q792</f>
        <v>0</v>
      </c>
      <c r="R684">
        <f>生データ!R792</f>
        <v>0</v>
      </c>
      <c r="S684">
        <f>生データ!S792</f>
        <v>0</v>
      </c>
      <c r="T684">
        <f>生データ!T792</f>
        <v>18.239156478331207</v>
      </c>
      <c r="U684">
        <f>生データ!U792</f>
        <v>18.52563537589662</v>
      </c>
      <c r="V684">
        <f>COUNTIF(怪しいデータを手直し!F$2:F$701,Sheet5!F684)</f>
        <v>1</v>
      </c>
    </row>
    <row r="685" spans="1:22">
      <c r="A685">
        <f>生データ!A793</f>
        <v>10</v>
      </c>
      <c r="B685">
        <f>生データ!B793</f>
        <v>40</v>
      </c>
      <c r="C685">
        <f>生データ!C793</f>
        <v>11.407461215204988</v>
      </c>
      <c r="D685">
        <f>生データ!D793</f>
        <v>46.883921646256113</v>
      </c>
      <c r="E685">
        <f>生データ!E793</f>
        <v>0</v>
      </c>
      <c r="F685">
        <f>IF(生データ!E793="Wr",3000+生データ!F793,IF(生データ!E793="Wb",4000+生データ!F793,生データ!F793))</f>
        <v>74</v>
      </c>
      <c r="G685" t="str">
        <f>生データ!G793</f>
        <v>lc</v>
      </c>
      <c r="H685">
        <f>生データ!H793</f>
        <v>57.7</v>
      </c>
      <c r="I685">
        <f>生データ!I793</f>
        <v>0</v>
      </c>
      <c r="J685">
        <f>生データ!J793</f>
        <v>58.8</v>
      </c>
      <c r="K685">
        <f>生データ!K793</f>
        <v>0</v>
      </c>
      <c r="L685">
        <f>生データ!L793</f>
        <v>11.3</v>
      </c>
      <c r="M685">
        <f>生データ!M793</f>
        <v>1.1000000000000001</v>
      </c>
      <c r="N685">
        <f>生データ!N793</f>
        <v>0</v>
      </c>
      <c r="O685">
        <f>生データ!O793</f>
        <v>0</v>
      </c>
      <c r="P685" t="str">
        <f>生データ!P793</f>
        <v>L</v>
      </c>
      <c r="Q685">
        <f>生データ!Q793</f>
        <v>0</v>
      </c>
      <c r="R685">
        <f>生データ!R793</f>
        <v>0</v>
      </c>
      <c r="S685">
        <f>生データ!S793</f>
        <v>0</v>
      </c>
      <c r="T685">
        <f>生データ!T793</f>
        <v>18.366480432804725</v>
      </c>
      <c r="U685">
        <f>生データ!U793</f>
        <v>18.716621307606893</v>
      </c>
      <c r="V685">
        <f>COUNTIF(怪しいデータを手直し!F$2:F$701,Sheet5!F685)</f>
        <v>1</v>
      </c>
    </row>
    <row r="686" spans="1:22">
      <c r="A686">
        <f>生データ!A794</f>
        <v>30</v>
      </c>
      <c r="B686">
        <f>生データ!B794</f>
        <v>40</v>
      </c>
      <c r="C686">
        <f>生データ!C794</f>
        <v>37.478923043387454</v>
      </c>
      <c r="D686">
        <f>生データ!D794</f>
        <v>45.780601114359932</v>
      </c>
      <c r="E686">
        <f>生データ!E794</f>
        <v>0</v>
      </c>
      <c r="F686">
        <f>IF(生データ!E794="Wr",3000+生データ!F794,IF(生データ!E794="Wb",4000+生データ!F794,生データ!F794))</f>
        <v>202</v>
      </c>
      <c r="G686" t="str">
        <f>生データ!G794</f>
        <v>bp</v>
      </c>
      <c r="H686">
        <f>生データ!H794</f>
        <v>57.7</v>
      </c>
      <c r="I686">
        <f>生データ!I794</f>
        <v>0</v>
      </c>
      <c r="J686" t="str">
        <f>生データ!J794</f>
        <v>dead</v>
      </c>
      <c r="K686">
        <f>生データ!K794</f>
        <v>0</v>
      </c>
      <c r="L686">
        <f>生データ!L794</f>
        <v>5.9</v>
      </c>
      <c r="M686">
        <f>生データ!M794</f>
        <v>0</v>
      </c>
      <c r="N686">
        <f>生データ!N794</f>
        <v>0</v>
      </c>
      <c r="O686">
        <f>生データ!O794</f>
        <v>0</v>
      </c>
      <c r="P686" t="str">
        <f>生データ!P794</f>
        <v>D</v>
      </c>
      <c r="Q686">
        <f>生データ!Q794</f>
        <v>0</v>
      </c>
      <c r="R686" t="str">
        <f>生データ!R794</f>
        <v>broken</v>
      </c>
      <c r="S686">
        <f>生データ!S794</f>
        <v>0</v>
      </c>
      <c r="T686">
        <f>生データ!T794</f>
        <v>18.366480432804725</v>
      </c>
      <c r="U686" t="str">
        <f>生データ!U794</f>
        <v>dead</v>
      </c>
      <c r="V686">
        <f>COUNTIF(怪しいデータを手直し!F$2:F$701,Sheet5!F686)</f>
        <v>1</v>
      </c>
    </row>
    <row r="687" spans="1:22">
      <c r="A687">
        <f>生データ!A795</f>
        <v>0</v>
      </c>
      <c r="B687">
        <f>生データ!B795</f>
        <v>-50</v>
      </c>
      <c r="C687">
        <f>生データ!C795</f>
        <v>8.970067549236866</v>
      </c>
      <c r="D687">
        <f>生データ!D795</f>
        <v>-42.178838944682475</v>
      </c>
      <c r="E687">
        <f>生データ!E795</f>
        <v>0</v>
      </c>
      <c r="F687">
        <f>IF(生データ!E795="Wr",3000+生データ!F795,IF(生データ!E795="Wb",4000+生データ!F795,生データ!F795))</f>
        <v>810</v>
      </c>
      <c r="G687" t="str">
        <f>生データ!G795</f>
        <v>lc</v>
      </c>
      <c r="H687">
        <f>生データ!H795</f>
        <v>58.5</v>
      </c>
      <c r="I687">
        <f>生データ!I795</f>
        <v>0</v>
      </c>
      <c r="J687">
        <f>生データ!J795</f>
        <v>59.5</v>
      </c>
      <c r="K687">
        <f>生データ!K795</f>
        <v>0</v>
      </c>
      <c r="L687">
        <f>生データ!L795</f>
        <v>14</v>
      </c>
      <c r="M687">
        <f>生データ!M795</f>
        <v>4.5</v>
      </c>
      <c r="N687">
        <f>生データ!N795</f>
        <v>0</v>
      </c>
      <c r="O687">
        <f>生データ!O795</f>
        <v>0</v>
      </c>
      <c r="P687" t="str">
        <f>生データ!P795</f>
        <v>L</v>
      </c>
      <c r="Q687">
        <f>生データ!Q795</f>
        <v>0</v>
      </c>
      <c r="R687">
        <f>生データ!R795</f>
        <v>0</v>
      </c>
      <c r="S687">
        <f>生データ!S795</f>
        <v>0</v>
      </c>
      <c r="T687">
        <f>生データ!T795</f>
        <v>18.621128341751756</v>
      </c>
      <c r="U687">
        <f>生データ!U795</f>
        <v>18.939438227935547</v>
      </c>
      <c r="V687">
        <f>COUNTIF(怪しいデータを手直し!F$2:F$701,Sheet5!F687)</f>
        <v>1</v>
      </c>
    </row>
    <row r="688" spans="1:22">
      <c r="A688">
        <f>生データ!A796</f>
        <v>20</v>
      </c>
      <c r="B688">
        <f>生データ!B796</f>
        <v>-30</v>
      </c>
      <c r="C688">
        <f>生データ!C796</f>
        <v>24.64606832553627</v>
      </c>
      <c r="D688">
        <f>生データ!D796</f>
        <v>-24.540464252163428</v>
      </c>
      <c r="E688">
        <f>生データ!E796</f>
        <v>0</v>
      </c>
      <c r="F688">
        <f>IF(生データ!E796="Wr",3000+生データ!F796,IF(生データ!E796="Wb",4000+生データ!F796,生データ!F796))</f>
        <v>639</v>
      </c>
      <c r="G688" t="str">
        <f>生データ!G796</f>
        <v>lc</v>
      </c>
      <c r="H688">
        <f>生データ!H796</f>
        <v>59</v>
      </c>
      <c r="I688">
        <f>生データ!I796</f>
        <v>0</v>
      </c>
      <c r="J688" t="str">
        <f>生データ!J796</f>
        <v>dead</v>
      </c>
      <c r="K688">
        <f>生データ!K796</f>
        <v>0</v>
      </c>
      <c r="L688">
        <f>生データ!L796</f>
        <v>8.6999999999999993</v>
      </c>
      <c r="M688">
        <f>生データ!M796</f>
        <v>0</v>
      </c>
      <c r="N688">
        <f>生データ!N796</f>
        <v>0</v>
      </c>
      <c r="O688">
        <f>生データ!O796</f>
        <v>0</v>
      </c>
      <c r="P688" t="str">
        <f>生データ!P796</f>
        <v>D</v>
      </c>
      <c r="Q688">
        <f>生データ!Q796</f>
        <v>0</v>
      </c>
      <c r="R688" t="str">
        <f>生データ!R796</f>
        <v>broken</v>
      </c>
      <c r="S688">
        <f>生データ!S796</f>
        <v>0</v>
      </c>
      <c r="T688">
        <f>生データ!T796</f>
        <v>18.780283284843652</v>
      </c>
      <c r="U688" t="str">
        <f>生データ!U796</f>
        <v>dead</v>
      </c>
      <c r="V688">
        <f>COUNTIF(怪しいデータを手直し!F$2:F$701,Sheet5!F688)</f>
        <v>1</v>
      </c>
    </row>
    <row r="689" spans="1:22">
      <c r="A689">
        <f>生データ!A797</f>
        <v>30</v>
      </c>
      <c r="B689">
        <f>生データ!B797</f>
        <v>-20</v>
      </c>
      <c r="C689">
        <f>生データ!C797</f>
        <v>30.348473496172943</v>
      </c>
      <c r="D689">
        <f>生データ!D797</f>
        <v>-13.361017129668324</v>
      </c>
      <c r="E689">
        <f>生データ!E797</f>
        <v>0</v>
      </c>
      <c r="F689">
        <f>IF(生データ!E797="Wr",3000+生データ!F797,IF(生データ!E797="Wb",4000+生データ!F797,生データ!F797))</f>
        <v>527</v>
      </c>
      <c r="G689" t="str">
        <f>生データ!G797</f>
        <v>bp</v>
      </c>
      <c r="H689">
        <f>生データ!H797</f>
        <v>59.8</v>
      </c>
      <c r="I689">
        <f>生データ!I797</f>
        <v>0</v>
      </c>
      <c r="J689">
        <f>生データ!J797</f>
        <v>61</v>
      </c>
      <c r="K689">
        <f>生データ!K797</f>
        <v>0</v>
      </c>
      <c r="L689">
        <f>生データ!L797</f>
        <v>11.3</v>
      </c>
      <c r="M689">
        <f>生データ!M797</f>
        <v>4.0999999999999996</v>
      </c>
      <c r="N689">
        <f>生データ!N797</f>
        <v>0</v>
      </c>
      <c r="O689">
        <f>生データ!O797</f>
        <v>0</v>
      </c>
      <c r="P689" t="str">
        <f>生データ!P797</f>
        <v>L</v>
      </c>
      <c r="Q689">
        <f>生データ!Q797</f>
        <v>0</v>
      </c>
      <c r="R689" t="str">
        <f>生データ!R797</f>
        <v>Dead H=12.9</v>
      </c>
      <c r="S689">
        <f>生データ!S797</f>
        <v>0</v>
      </c>
      <c r="T689">
        <f>生データ!T797</f>
        <v>19.034931193790683</v>
      </c>
      <c r="U689">
        <f>生データ!U797</f>
        <v>19.416903057211233</v>
      </c>
      <c r="V689">
        <f>COUNTIF(怪しいデータを手直し!F$2:F$701,Sheet5!F689)</f>
        <v>1</v>
      </c>
    </row>
    <row r="690" spans="1:22">
      <c r="A690">
        <f>生データ!A798</f>
        <v>20</v>
      </c>
      <c r="B690">
        <f>生データ!B798</f>
        <v>10</v>
      </c>
      <c r="C690">
        <f>生データ!C798</f>
        <v>21.782757902395126</v>
      </c>
      <c r="D690">
        <f>生データ!D798</f>
        <v>10.540297636283698</v>
      </c>
      <c r="E690">
        <f>生データ!E798</f>
        <v>0</v>
      </c>
      <c r="F690">
        <f>IF(生データ!E798="Wr",3000+生データ!F798,IF(生データ!E798="Wb",4000+生データ!F798,生データ!F798))</f>
        <v>146</v>
      </c>
      <c r="G690" t="str">
        <f>生データ!G798</f>
        <v>bp</v>
      </c>
      <c r="H690">
        <f>生データ!H798</f>
        <v>60</v>
      </c>
      <c r="I690">
        <f>生データ!I798</f>
        <v>0</v>
      </c>
      <c r="J690" t="str">
        <f>生データ!J798</f>
        <v>dead</v>
      </c>
      <c r="K690">
        <f>生データ!K798</f>
        <v>0</v>
      </c>
      <c r="L690">
        <f>生データ!L798</f>
        <v>7.5</v>
      </c>
      <c r="M690">
        <f>生データ!M798</f>
        <v>0</v>
      </c>
      <c r="N690">
        <f>生データ!N798</f>
        <v>0</v>
      </c>
      <c r="O690">
        <f>生データ!O798</f>
        <v>0</v>
      </c>
      <c r="P690" t="str">
        <f>生データ!P798</f>
        <v>D</v>
      </c>
      <c r="Q690">
        <f>生データ!Q798</f>
        <v>0</v>
      </c>
      <c r="R690" t="str">
        <f>生データ!R798</f>
        <v>broken,gbh at  1.5m-H</v>
      </c>
      <c r="S690">
        <f>生データ!S798</f>
        <v>0</v>
      </c>
      <c r="T690">
        <f>生データ!T798</f>
        <v>19.098593171027442</v>
      </c>
      <c r="U690" t="str">
        <f>生データ!U798</f>
        <v>dead</v>
      </c>
      <c r="V690">
        <f>COUNTIF(怪しいデータを手直し!F$2:F$701,Sheet5!F690)</f>
        <v>1</v>
      </c>
    </row>
    <row r="691" spans="1:22">
      <c r="A691">
        <f>生データ!A799</f>
        <v>0</v>
      </c>
      <c r="B691">
        <f>生データ!B799</f>
        <v>-40</v>
      </c>
      <c r="C691">
        <f>生データ!C799</f>
        <v>2.0996441669634551</v>
      </c>
      <c r="D691">
        <f>生データ!D799</f>
        <v>-32.60697776877376</v>
      </c>
      <c r="E691">
        <f>生データ!E799</f>
        <v>0</v>
      </c>
      <c r="F691">
        <f>IF(生データ!E799="Wr",3000+生データ!F799,IF(生データ!E799="Wb",4000+生データ!F799,生データ!F799))</f>
        <v>730</v>
      </c>
      <c r="G691" t="str">
        <f>生データ!G799</f>
        <v>lc</v>
      </c>
      <c r="H691">
        <f>生データ!H799</f>
        <v>61.3</v>
      </c>
      <c r="I691">
        <f>生データ!I799</f>
        <v>0</v>
      </c>
      <c r="J691" t="str">
        <f>生データ!J799</f>
        <v>dead</v>
      </c>
      <c r="K691">
        <f>生データ!K799</f>
        <v>0</v>
      </c>
      <c r="L691">
        <f>生データ!L799</f>
        <v>13.2</v>
      </c>
      <c r="M691">
        <f>生データ!M799</f>
        <v>0</v>
      </c>
      <c r="N691">
        <f>生データ!N799</f>
        <v>0</v>
      </c>
      <c r="O691">
        <f>生データ!O799</f>
        <v>0</v>
      </c>
      <c r="P691" t="str">
        <f>生データ!P799</f>
        <v>D</v>
      </c>
      <c r="Q691">
        <f>生データ!Q799</f>
        <v>0</v>
      </c>
      <c r="R691">
        <f>生データ!R799</f>
        <v>0</v>
      </c>
      <c r="S691">
        <f>生データ!S799</f>
        <v>0</v>
      </c>
      <c r="T691">
        <f>生データ!T799</f>
        <v>19.512396023066369</v>
      </c>
      <c r="U691" t="str">
        <f>生データ!U799</f>
        <v>dead</v>
      </c>
      <c r="V691">
        <f>COUNTIF(怪しいデータを手直し!F$2:F$701,Sheet5!F691)</f>
        <v>1</v>
      </c>
    </row>
    <row r="692" spans="1:22">
      <c r="A692">
        <f>生データ!A800</f>
        <v>20</v>
      </c>
      <c r="B692">
        <f>生データ!B800</f>
        <v>0</v>
      </c>
      <c r="C692">
        <f>生データ!C800</f>
        <v>27.834202182826417</v>
      </c>
      <c r="D692">
        <f>生データ!D800</f>
        <v>1.0174852129627514</v>
      </c>
      <c r="E692">
        <f>生データ!E800</f>
        <v>0</v>
      </c>
      <c r="F692">
        <f>IF(生データ!E800="Wr",3000+生データ!F800,IF(生データ!E800="Wb",4000+生データ!F800,生データ!F800))</f>
        <v>117</v>
      </c>
      <c r="G692" t="str">
        <f>生データ!G800</f>
        <v>pt</v>
      </c>
      <c r="H692">
        <f>生データ!H800</f>
        <v>61.5</v>
      </c>
      <c r="I692">
        <f>生データ!I800</f>
        <v>0</v>
      </c>
      <c r="J692">
        <f>生データ!J800</f>
        <v>62.4</v>
      </c>
      <c r="K692">
        <f>生データ!K800</f>
        <v>0</v>
      </c>
      <c r="L692">
        <f>生データ!L800</f>
        <v>10.5</v>
      </c>
      <c r="M692">
        <f>生データ!M800</f>
        <v>4.9000000000000004</v>
      </c>
      <c r="N692">
        <f>生データ!N800</f>
        <v>0</v>
      </c>
      <c r="O692">
        <f>生データ!O800</f>
        <v>0</v>
      </c>
      <c r="P692" t="str">
        <f>生データ!P800</f>
        <v>L</v>
      </c>
      <c r="Q692">
        <f>生データ!Q800</f>
        <v>0</v>
      </c>
      <c r="R692">
        <f>生データ!R800</f>
        <v>0</v>
      </c>
      <c r="S692">
        <f>生データ!S800</f>
        <v>0</v>
      </c>
      <c r="T692">
        <f>生データ!T800</f>
        <v>19.576058000303128</v>
      </c>
      <c r="U692">
        <f>生データ!U800</f>
        <v>19.862536897868537</v>
      </c>
      <c r="V692">
        <f>COUNTIF(怪しいデータを手直し!F$2:F$701,Sheet5!F692)</f>
        <v>1</v>
      </c>
    </row>
    <row r="693" spans="1:22">
      <c r="A693">
        <f>生データ!A801</f>
        <v>0</v>
      </c>
      <c r="B693">
        <f>生データ!B801</f>
        <v>-50</v>
      </c>
      <c r="C693">
        <f>生データ!C801</f>
        <v>1.8060621866094895</v>
      </c>
      <c r="D693">
        <f>生データ!D801</f>
        <v>-44.139055823528977</v>
      </c>
      <c r="E693">
        <f>生データ!E801</f>
        <v>0</v>
      </c>
      <c r="F693">
        <f>IF(生データ!E801="Wr",3000+生データ!F801,IF(生データ!E801="Wb",4000+生データ!F801,生データ!F801))</f>
        <v>802</v>
      </c>
      <c r="G693" t="str">
        <f>生データ!G801</f>
        <v>lc</v>
      </c>
      <c r="H693">
        <f>生データ!H801</f>
        <v>61.6</v>
      </c>
      <c r="I693">
        <f>生データ!I801</f>
        <v>0</v>
      </c>
      <c r="J693">
        <f>生データ!J801</f>
        <v>62</v>
      </c>
      <c r="K693">
        <f>生データ!K801</f>
        <v>0</v>
      </c>
      <c r="L693">
        <f>生データ!L801</f>
        <v>15.2</v>
      </c>
      <c r="M693">
        <f>生データ!M801</f>
        <v>6.9</v>
      </c>
      <c r="N693">
        <f>生データ!N801</f>
        <v>0</v>
      </c>
      <c r="O693">
        <f>生データ!O801</f>
        <v>0</v>
      </c>
      <c r="P693" t="str">
        <f>生データ!P801</f>
        <v>L</v>
      </c>
      <c r="Q693">
        <f>生データ!Q801</f>
        <v>0</v>
      </c>
      <c r="R693">
        <f>生データ!R801</f>
        <v>0</v>
      </c>
      <c r="S693">
        <f>生データ!S801</f>
        <v>0</v>
      </c>
      <c r="T693">
        <f>生データ!T801</f>
        <v>19.607888988921506</v>
      </c>
      <c r="U693">
        <f>生データ!U801</f>
        <v>19.735212943395023</v>
      </c>
      <c r="V693">
        <f>COUNTIF(怪しいデータを手直し!F$2:F$701,Sheet5!F693)</f>
        <v>1</v>
      </c>
    </row>
    <row r="694" spans="1:22">
      <c r="A694">
        <f>生データ!A802</f>
        <v>10</v>
      </c>
      <c r="B694">
        <f>生データ!B802</f>
        <v>-50</v>
      </c>
      <c r="C694">
        <f>生データ!C802</f>
        <v>13.668225905124411</v>
      </c>
      <c r="D694">
        <f>生データ!D802</f>
        <v>-49.401471127294251</v>
      </c>
      <c r="E694">
        <f>生データ!E802</f>
        <v>0</v>
      </c>
      <c r="F694">
        <f>IF(生データ!E802="Wr",3000+生データ!F802,IF(生データ!E802="Wb",4000+生データ!F802,生データ!F802))</f>
        <v>814</v>
      </c>
      <c r="G694" t="str">
        <f>生データ!G802</f>
        <v>lc</v>
      </c>
      <c r="H694">
        <f>生データ!H802</f>
        <v>62.8</v>
      </c>
      <c r="I694">
        <f>生データ!I802</f>
        <v>0</v>
      </c>
      <c r="J694">
        <f>生データ!J802</f>
        <v>63.4</v>
      </c>
      <c r="K694">
        <f>生データ!K802</f>
        <v>0</v>
      </c>
      <c r="L694">
        <f>生データ!L802</f>
        <v>16.7</v>
      </c>
      <c r="M694">
        <f>生データ!M802</f>
        <v>10.9</v>
      </c>
      <c r="N694">
        <f>生データ!N802</f>
        <v>0</v>
      </c>
      <c r="O694">
        <f>生データ!O802</f>
        <v>0</v>
      </c>
      <c r="P694" t="str">
        <f>生データ!P802</f>
        <v>L</v>
      </c>
      <c r="Q694">
        <f>生データ!Q802</f>
        <v>0</v>
      </c>
      <c r="R694">
        <f>生データ!R802</f>
        <v>0</v>
      </c>
      <c r="S694">
        <f>生データ!S802</f>
        <v>0</v>
      </c>
      <c r="T694">
        <f>生データ!T802</f>
        <v>19.989860852342055</v>
      </c>
      <c r="U694">
        <f>生データ!U802</f>
        <v>20.180846784052328</v>
      </c>
      <c r="V694">
        <f>COUNTIF(怪しいデータを手直し!F$2:F$701,Sheet5!F694)</f>
        <v>1</v>
      </c>
    </row>
    <row r="695" spans="1:22">
      <c r="A695">
        <f>生データ!A803</f>
        <v>0</v>
      </c>
      <c r="B695">
        <f>生データ!B803</f>
        <v>-40</v>
      </c>
      <c r="C695">
        <f>生データ!C803</f>
        <v>3.6821489091014223</v>
      </c>
      <c r="D695">
        <f>生データ!D803</f>
        <v>-38.271631522726807</v>
      </c>
      <c r="E695">
        <f>生データ!E803</f>
        <v>0</v>
      </c>
      <c r="F695">
        <f>IF(生データ!E803="Wr",3000+生データ!F803,IF(生データ!E803="Wb",4000+生データ!F803,生データ!F803))</f>
        <v>729</v>
      </c>
      <c r="G695" t="str">
        <f>生データ!G803</f>
        <v>lc</v>
      </c>
      <c r="H695">
        <f>生データ!H803</f>
        <v>63.4</v>
      </c>
      <c r="I695">
        <f>生データ!I803</f>
        <v>0</v>
      </c>
      <c r="J695">
        <f>生データ!J803</f>
        <v>64.5</v>
      </c>
      <c r="K695">
        <f>生データ!K803</f>
        <v>0</v>
      </c>
      <c r="L695">
        <f>生データ!L803</f>
        <v>16.2</v>
      </c>
      <c r="M695">
        <f>生データ!M803</f>
        <v>4.3</v>
      </c>
      <c r="N695">
        <f>生データ!N803</f>
        <v>0</v>
      </c>
      <c r="O695">
        <f>生データ!O803</f>
        <v>0</v>
      </c>
      <c r="P695" t="str">
        <f>生データ!P803</f>
        <v>L</v>
      </c>
      <c r="Q695">
        <f>生データ!Q803</f>
        <v>0</v>
      </c>
      <c r="R695">
        <f>生データ!R803</f>
        <v>0</v>
      </c>
      <c r="S695">
        <f>生データ!S803</f>
        <v>0</v>
      </c>
      <c r="T695">
        <f>生データ!T803</f>
        <v>20.180846784052328</v>
      </c>
      <c r="U695">
        <f>生データ!U803</f>
        <v>20.5309876588545</v>
      </c>
      <c r="V695">
        <f>COUNTIF(怪しいデータを手直し!F$2:F$701,Sheet5!F695)</f>
        <v>1</v>
      </c>
    </row>
    <row r="696" spans="1:22">
      <c r="A696">
        <f>生データ!A804</f>
        <v>10</v>
      </c>
      <c r="B696">
        <f>生データ!B804</f>
        <v>-50</v>
      </c>
      <c r="C696">
        <f>生データ!C804</f>
        <v>19.293620727485088</v>
      </c>
      <c r="D696">
        <f>生データ!D804</f>
        <v>-47.435506224737267</v>
      </c>
      <c r="E696">
        <f>生データ!E804</f>
        <v>0</v>
      </c>
      <c r="F696">
        <f>IF(生データ!E804="Wr",3000+生データ!F804,IF(生データ!E804="Wb",4000+生データ!F804,生データ!F804))</f>
        <v>818</v>
      </c>
      <c r="G696" t="str">
        <f>生データ!G804</f>
        <v>lc</v>
      </c>
      <c r="H696">
        <f>生データ!H804</f>
        <v>63.8</v>
      </c>
      <c r="I696">
        <f>生データ!I804</f>
        <v>0</v>
      </c>
      <c r="J696">
        <f>生データ!J804</f>
        <v>64.8</v>
      </c>
      <c r="K696">
        <f>生データ!K804</f>
        <v>0</v>
      </c>
      <c r="L696">
        <f>生データ!L804</f>
        <v>14.4</v>
      </c>
      <c r="M696">
        <f>生データ!M804</f>
        <v>4.5</v>
      </c>
      <c r="N696">
        <f>生データ!N804</f>
        <v>0</v>
      </c>
      <c r="O696">
        <f>生データ!O804</f>
        <v>0</v>
      </c>
      <c r="P696" t="str">
        <f>生データ!P804</f>
        <v>L</v>
      </c>
      <c r="Q696">
        <f>生データ!Q804</f>
        <v>0</v>
      </c>
      <c r="R696">
        <f>生データ!R804</f>
        <v>0</v>
      </c>
      <c r="S696">
        <f>生データ!S804</f>
        <v>0</v>
      </c>
      <c r="T696">
        <f>生データ!T804</f>
        <v>20.308170738525845</v>
      </c>
      <c r="U696">
        <f>生データ!U804</f>
        <v>20.626480624709636</v>
      </c>
      <c r="V696">
        <f>COUNTIF(怪しいデータを手直し!F$2:F$701,Sheet5!F696)</f>
        <v>1</v>
      </c>
    </row>
    <row r="697" spans="1:22">
      <c r="A697">
        <f>生データ!A805</f>
        <v>40</v>
      </c>
      <c r="B697">
        <f>生データ!B805</f>
        <v>30</v>
      </c>
      <c r="C697">
        <f>生データ!C805</f>
        <v>43.199272330210086</v>
      </c>
      <c r="D697">
        <f>生データ!D805</f>
        <v>33.055325553969148</v>
      </c>
      <c r="E697">
        <f>生データ!E805</f>
        <v>0</v>
      </c>
      <c r="F697">
        <f>IF(生データ!E805="Wr",3000+生データ!F805,IF(生データ!E805="Wb",4000+生データ!F805,生データ!F805))</f>
        <v>342</v>
      </c>
      <c r="G697" t="str">
        <f>生データ!G805</f>
        <v>lc</v>
      </c>
      <c r="H697">
        <f>生データ!H805</f>
        <v>65.5</v>
      </c>
      <c r="I697">
        <f>生データ!I805</f>
        <v>0</v>
      </c>
      <c r="J697" t="str">
        <f>生データ!J805</f>
        <v>dead</v>
      </c>
      <c r="K697">
        <f>生データ!K805</f>
        <v>0</v>
      </c>
      <c r="L697">
        <f>生データ!L805</f>
        <v>7.9</v>
      </c>
      <c r="M697">
        <f>生データ!M805</f>
        <v>0</v>
      </c>
      <c r="N697">
        <f>生データ!N805</f>
        <v>0</v>
      </c>
      <c r="O697">
        <f>生データ!O805</f>
        <v>0</v>
      </c>
      <c r="P697" t="str">
        <f>生データ!P805</f>
        <v>D</v>
      </c>
      <c r="Q697">
        <f>生データ!Q805</f>
        <v>0</v>
      </c>
      <c r="R697" t="str">
        <f>生データ!R805</f>
        <v>broken</v>
      </c>
      <c r="S697">
        <f>生データ!S805</f>
        <v>0</v>
      </c>
      <c r="T697">
        <f>生データ!T805</f>
        <v>20.84929754503829</v>
      </c>
      <c r="U697" t="str">
        <f>生データ!U805</f>
        <v>dead</v>
      </c>
      <c r="V697">
        <f>COUNTIF(怪しいデータを手直し!F$2:F$701,Sheet5!F697)</f>
        <v>1</v>
      </c>
    </row>
    <row r="698" spans="1:22">
      <c r="A698">
        <f>生データ!A806</f>
        <v>40</v>
      </c>
      <c r="B698">
        <f>生データ!B806</f>
        <v>20</v>
      </c>
      <c r="C698">
        <f>生データ!C806</f>
        <v>43.349094919314922</v>
      </c>
      <c r="D698">
        <f>生データ!D806</f>
        <v>23.576879203316832</v>
      </c>
      <c r="E698">
        <f>生データ!E806</f>
        <v>0</v>
      </c>
      <c r="F698">
        <f>IF(生データ!E806="Wr",3000+生データ!F806,IF(生データ!E806="Wb",4000+生データ!F806,生データ!F806))</f>
        <v>286</v>
      </c>
      <c r="G698" t="str">
        <f>生データ!G806</f>
        <v>lc</v>
      </c>
      <c r="H698">
        <f>生データ!H806</f>
        <v>65.599999999999994</v>
      </c>
      <c r="I698">
        <f>生データ!I806</f>
        <v>0</v>
      </c>
      <c r="J698" t="str">
        <f>生データ!J806</f>
        <v>dead</v>
      </c>
      <c r="K698">
        <f>生データ!K806</f>
        <v>0</v>
      </c>
      <c r="L698">
        <f>生データ!L806</f>
        <v>12.2</v>
      </c>
      <c r="M698">
        <f>生データ!M806</f>
        <v>0</v>
      </c>
      <c r="N698">
        <f>生データ!N806</f>
        <v>0</v>
      </c>
      <c r="O698">
        <f>生データ!O806</f>
        <v>0</v>
      </c>
      <c r="P698" t="str">
        <f>生データ!P806</f>
        <v>D</v>
      </c>
      <c r="Q698">
        <f>生データ!Q806</f>
        <v>0</v>
      </c>
      <c r="R698">
        <f>生データ!R806</f>
        <v>0</v>
      </c>
      <c r="S698">
        <f>生データ!S806</f>
        <v>0</v>
      </c>
      <c r="T698">
        <f>生データ!T806</f>
        <v>20.881128533656668</v>
      </c>
      <c r="U698" t="str">
        <f>生データ!U806</f>
        <v>dead</v>
      </c>
      <c r="V698">
        <f>COUNTIF(怪しいデータを手直し!F$2:F$701,Sheet5!F698)</f>
        <v>1</v>
      </c>
    </row>
    <row r="699" spans="1:22">
      <c r="A699">
        <f>生データ!A807</f>
        <v>10</v>
      </c>
      <c r="B699">
        <f>生データ!B807</f>
        <v>-40</v>
      </c>
      <c r="C699">
        <f>生データ!C807</f>
        <v>15.458956323973755</v>
      </c>
      <c r="D699">
        <f>生データ!D807</f>
        <v>-30.151782097610404</v>
      </c>
      <c r="E699">
        <f>生データ!E807</f>
        <v>0</v>
      </c>
      <c r="F699">
        <f>IF(生データ!E807="Wr",3000+生データ!F807,IF(生データ!E807="Wb",4000+生データ!F807,生データ!F807))</f>
        <v>724</v>
      </c>
      <c r="G699" t="str">
        <f>生データ!G807</f>
        <v>lc</v>
      </c>
      <c r="H699">
        <f>生データ!H807</f>
        <v>66.900000000000006</v>
      </c>
      <c r="I699">
        <f>生データ!I807</f>
        <v>0</v>
      </c>
      <c r="J699" t="str">
        <f>生データ!J807</f>
        <v>dead</v>
      </c>
      <c r="K699">
        <f>生データ!K807</f>
        <v>0</v>
      </c>
      <c r="L699">
        <f>生データ!L807</f>
        <v>15.7</v>
      </c>
      <c r="M699">
        <f>生データ!M807</f>
        <v>0</v>
      </c>
      <c r="N699">
        <f>生データ!N807</f>
        <v>0</v>
      </c>
      <c r="O699">
        <f>生データ!O807</f>
        <v>0</v>
      </c>
      <c r="P699" t="str">
        <f>生データ!P807</f>
        <v>D</v>
      </c>
      <c r="Q699">
        <f>生データ!Q807</f>
        <v>0</v>
      </c>
      <c r="R699">
        <f>生データ!R807</f>
        <v>0</v>
      </c>
      <c r="S699">
        <f>生データ!S807</f>
        <v>0</v>
      </c>
      <c r="T699">
        <f>生データ!T807</f>
        <v>21.294931385695598</v>
      </c>
      <c r="U699" t="str">
        <f>生データ!U807</f>
        <v>dead</v>
      </c>
      <c r="V699">
        <f>COUNTIF(怪しいデータを手直し!F$2:F$701,Sheet5!F699)</f>
        <v>1</v>
      </c>
    </row>
    <row r="700" spans="1:22">
      <c r="A700">
        <f>生データ!A808</f>
        <v>20</v>
      </c>
      <c r="B700">
        <f>生データ!B808</f>
        <v>10</v>
      </c>
      <c r="C700">
        <f>生データ!C808</f>
        <v>24.081992358517237</v>
      </c>
      <c r="D700">
        <f>生データ!D808</f>
        <v>14.329945512283251</v>
      </c>
      <c r="E700">
        <f>生データ!E808</f>
        <v>0</v>
      </c>
      <c r="F700">
        <f>IF(生データ!E808="Wr",3000+生データ!F808,IF(生データ!E808="Wb",4000+生データ!F808,生データ!F808))</f>
        <v>158</v>
      </c>
      <c r="G700" t="str">
        <f>生データ!G808</f>
        <v>lc</v>
      </c>
      <c r="H700">
        <f>生データ!H808</f>
        <v>67</v>
      </c>
      <c r="I700">
        <f>生データ!I808</f>
        <v>0</v>
      </c>
      <c r="J700" t="str">
        <f>生データ!J808</f>
        <v>dead</v>
      </c>
      <c r="K700">
        <f>生データ!K808</f>
        <v>0</v>
      </c>
      <c r="L700">
        <f>生データ!L808</f>
        <v>11.4</v>
      </c>
      <c r="M700">
        <f>生データ!M808</f>
        <v>0</v>
      </c>
      <c r="N700">
        <f>生データ!N808</f>
        <v>0</v>
      </c>
      <c r="O700">
        <f>生データ!O808</f>
        <v>0</v>
      </c>
      <c r="P700" t="str">
        <f>生データ!P808</f>
        <v>D</v>
      </c>
      <c r="Q700">
        <f>生データ!Q808</f>
        <v>0</v>
      </c>
      <c r="R700">
        <f>生データ!R808</f>
        <v>0</v>
      </c>
      <c r="S700">
        <f>生データ!S808</f>
        <v>0</v>
      </c>
      <c r="T700">
        <f>生データ!T808</f>
        <v>21.326762374313976</v>
      </c>
      <c r="U700" t="str">
        <f>生データ!U808</f>
        <v>dead</v>
      </c>
      <c r="V700">
        <f>COUNTIF(怪しいデータを手直し!F$2:F$701,Sheet5!F700)</f>
        <v>1</v>
      </c>
    </row>
    <row r="701" spans="1:22">
      <c r="A701">
        <f>生データ!A809</f>
        <v>30</v>
      </c>
      <c r="B701">
        <f>生データ!B809</f>
        <v>10</v>
      </c>
      <c r="C701">
        <f>生データ!C809</f>
        <v>31.896743692831674</v>
      </c>
      <c r="D701">
        <f>生データ!D809</f>
        <v>17.510168004924175</v>
      </c>
      <c r="E701">
        <f>生データ!E809</f>
        <v>0</v>
      </c>
      <c r="F701">
        <f>IF(生データ!E809="Wr",3000+生データ!F809,IF(生データ!E809="Wb",4000+生データ!F809,生データ!F809))</f>
        <v>224</v>
      </c>
      <c r="G701" t="str">
        <f>生データ!G809</f>
        <v>bp</v>
      </c>
      <c r="H701">
        <f>生データ!H809</f>
        <v>68.8</v>
      </c>
      <c r="I701">
        <f>生データ!I809</f>
        <v>0</v>
      </c>
      <c r="J701">
        <f>生データ!J809</f>
        <v>68.5</v>
      </c>
      <c r="K701">
        <f>生データ!K809</f>
        <v>0</v>
      </c>
      <c r="L701">
        <f>生データ!L809</f>
        <v>7.3</v>
      </c>
      <c r="M701">
        <f>生データ!M809</f>
        <v>3.2</v>
      </c>
      <c r="N701">
        <f>生データ!N809</f>
        <v>0</v>
      </c>
      <c r="O701">
        <f>生データ!O809</f>
        <v>0</v>
      </c>
      <c r="P701" t="str">
        <f>生データ!P809</f>
        <v>L</v>
      </c>
      <c r="Q701">
        <f>生データ!Q809</f>
        <v>0</v>
      </c>
      <c r="R701" t="str">
        <f>生データ!R809</f>
        <v>dead Ht=9.3</v>
      </c>
      <c r="S701">
        <f>生データ!S809</f>
        <v>0</v>
      </c>
      <c r="T701">
        <f>生データ!T809</f>
        <v>21.899720169444798</v>
      </c>
      <c r="U701">
        <f>生データ!U809</f>
        <v>21.804227203589662</v>
      </c>
      <c r="V701">
        <f>COUNTIF(怪しいデータを手直し!F$2:F$701,Sheet5!F701)</f>
        <v>1</v>
      </c>
    </row>
    <row r="702" spans="1:22">
      <c r="A702">
        <f>生データ!A810</f>
        <v>10</v>
      </c>
      <c r="B702">
        <f>生データ!B810</f>
        <v>-10</v>
      </c>
      <c r="C702">
        <f>生データ!C810</f>
        <v>16.700577497173406</v>
      </c>
      <c r="D702">
        <f>生データ!D810</f>
        <v>-0.72791565745859188</v>
      </c>
      <c r="E702">
        <f>生データ!E810</f>
        <v>0</v>
      </c>
      <c r="F702">
        <f>IF(生データ!E810="Wr",3000+生データ!F810,IF(生データ!E810="Wb",4000+生データ!F810,生データ!F810))</f>
        <v>408</v>
      </c>
      <c r="G702" t="str">
        <f>生データ!G810</f>
        <v>lc</v>
      </c>
      <c r="H702">
        <f>生データ!H810</f>
        <v>69.2</v>
      </c>
      <c r="I702">
        <f>生データ!I810</f>
        <v>0</v>
      </c>
      <c r="J702" t="str">
        <f>生データ!J810</f>
        <v>dead</v>
      </c>
      <c r="K702">
        <f>生データ!K810</f>
        <v>0</v>
      </c>
      <c r="L702">
        <f>生データ!L810</f>
        <v>13.5</v>
      </c>
      <c r="M702">
        <f>生データ!M810</f>
        <v>0</v>
      </c>
      <c r="N702">
        <f>生データ!N810</f>
        <v>0</v>
      </c>
      <c r="O702">
        <f>生データ!O810</f>
        <v>0</v>
      </c>
      <c r="P702" t="str">
        <f>生データ!P810</f>
        <v>D</v>
      </c>
      <c r="Q702">
        <f>生データ!Q810</f>
        <v>0</v>
      </c>
      <c r="R702">
        <f>生データ!R810</f>
        <v>0</v>
      </c>
      <c r="S702">
        <f>生データ!S810</f>
        <v>0</v>
      </c>
      <c r="T702">
        <f>生データ!T810</f>
        <v>22.027044123918316</v>
      </c>
      <c r="U702" t="str">
        <f>生データ!U810</f>
        <v>dead</v>
      </c>
      <c r="V702">
        <f>COUNTIF(怪しいデータを手直し!F$2:F$701,Sheet5!F702)</f>
        <v>1</v>
      </c>
    </row>
    <row r="703" spans="1:22">
      <c r="A703">
        <f>生データ!A811</f>
        <v>20</v>
      </c>
      <c r="B703">
        <f>生データ!B811</f>
        <v>-30</v>
      </c>
      <c r="C703">
        <f>生データ!C811</f>
        <v>25.194452297598396</v>
      </c>
      <c r="D703">
        <f>生データ!D811</f>
        <v>-23.933295219017086</v>
      </c>
      <c r="E703">
        <f>生データ!E811</f>
        <v>0</v>
      </c>
      <c r="F703">
        <f>IF(生データ!E811="Wr",3000+生データ!F811,IF(生データ!E811="Wb",4000+生データ!F811,生データ!F811))</f>
        <v>638</v>
      </c>
      <c r="G703" t="str">
        <f>生データ!G811</f>
        <v>lc</v>
      </c>
      <c r="H703">
        <f>生データ!H811</f>
        <v>69.8</v>
      </c>
      <c r="I703">
        <f>生データ!I811</f>
        <v>0</v>
      </c>
      <c r="J703" t="str">
        <f>生データ!J811</f>
        <v>dead</v>
      </c>
      <c r="K703">
        <f>生データ!K811</f>
        <v>0</v>
      </c>
      <c r="L703">
        <f>生データ!L811</f>
        <v>14.6</v>
      </c>
      <c r="M703">
        <f>生データ!M811</f>
        <v>0</v>
      </c>
      <c r="N703">
        <f>生データ!N811</f>
        <v>0</v>
      </c>
      <c r="O703">
        <f>生データ!O811</f>
        <v>0</v>
      </c>
      <c r="P703" t="str">
        <f>生データ!P811</f>
        <v>D</v>
      </c>
      <c r="Q703">
        <f>生データ!Q811</f>
        <v>0</v>
      </c>
      <c r="R703">
        <f>生データ!R811</f>
        <v>0</v>
      </c>
      <c r="S703">
        <f>生データ!S811</f>
        <v>0</v>
      </c>
      <c r="T703">
        <f>生データ!T811</f>
        <v>22.218030055628589</v>
      </c>
      <c r="U703" t="str">
        <f>生データ!U811</f>
        <v>dead</v>
      </c>
      <c r="V703">
        <f>COUNTIF(怪しいデータを手直し!F$2:F$701,Sheet5!F703)</f>
        <v>1</v>
      </c>
    </row>
    <row r="704" spans="1:22">
      <c r="A704">
        <f>生データ!A812</f>
        <v>40</v>
      </c>
      <c r="B704">
        <f>生データ!B812</f>
        <v>-30</v>
      </c>
      <c r="C704">
        <f>生データ!C812</f>
        <v>47.825175149350287</v>
      </c>
      <c r="D704">
        <f>生データ!D812</f>
        <v>-23.723873104039001</v>
      </c>
      <c r="E704">
        <f>生データ!E812</f>
        <v>0</v>
      </c>
      <c r="F704">
        <f>IF(生データ!E812="Wr",3000+生データ!F812,IF(生データ!E812="Wb",4000+生データ!F812,生データ!F812))</f>
        <v>697</v>
      </c>
      <c r="G704" t="str">
        <f>生データ!G812</f>
        <v>bp</v>
      </c>
      <c r="H704">
        <f>生データ!H812</f>
        <v>71.2</v>
      </c>
      <c r="I704">
        <f>生データ!I812</f>
        <v>0</v>
      </c>
      <c r="J704">
        <f>生データ!J812</f>
        <v>18</v>
      </c>
      <c r="K704">
        <f>生データ!K812</f>
        <v>0</v>
      </c>
      <c r="L704">
        <f>生データ!L812</f>
        <v>5.5</v>
      </c>
      <c r="M704">
        <f>生データ!M812</f>
        <v>1.9</v>
      </c>
      <c r="N704">
        <f>生データ!N812</f>
        <v>0</v>
      </c>
      <c r="O704">
        <f>生データ!O812</f>
        <v>0</v>
      </c>
      <c r="P704" t="str">
        <f>生データ!P812</f>
        <v>L</v>
      </c>
      <c r="Q704">
        <f>生データ!Q812</f>
        <v>0</v>
      </c>
      <c r="R704">
        <f>生データ!R812</f>
        <v>0</v>
      </c>
      <c r="S704">
        <f>生データ!S812</f>
        <v>0</v>
      </c>
      <c r="T704">
        <f>生データ!T812</f>
        <v>22.663663896285897</v>
      </c>
      <c r="U704">
        <f>生データ!U812</f>
        <v>5.7295779513082321</v>
      </c>
      <c r="V704">
        <f>COUNTIF(怪しいデータを手直し!F$2:F$701,Sheet5!F704)</f>
        <v>1</v>
      </c>
    </row>
    <row r="705" spans="1:22">
      <c r="A705">
        <f>生データ!A813</f>
        <v>0</v>
      </c>
      <c r="B705">
        <f>生データ!B813</f>
        <v>30</v>
      </c>
      <c r="C705">
        <f>生データ!C813</f>
        <v>8.4116641956156712</v>
      </c>
      <c r="D705">
        <f>生データ!D813</f>
        <v>38.288269613612911</v>
      </c>
      <c r="E705">
        <f>生データ!E813</f>
        <v>0</v>
      </c>
      <c r="F705">
        <f>IF(生データ!E813="Wr",3000+生データ!F813,IF(生データ!E813="Wb",4000+生データ!F813,生データ!F813))</f>
        <v>60</v>
      </c>
      <c r="G705" t="str">
        <f>生データ!G813</f>
        <v>lc</v>
      </c>
      <c r="H705">
        <f>生データ!H813</f>
        <v>71.5</v>
      </c>
      <c r="I705">
        <f>生データ!I813</f>
        <v>0</v>
      </c>
      <c r="J705" t="str">
        <f>生データ!J813</f>
        <v>dead</v>
      </c>
      <c r="K705">
        <f>生データ!K813</f>
        <v>0</v>
      </c>
      <c r="L705">
        <f>生データ!L813</f>
        <v>13.1</v>
      </c>
      <c r="M705">
        <f>生データ!M813</f>
        <v>0</v>
      </c>
      <c r="N705">
        <f>生データ!N813</f>
        <v>0</v>
      </c>
      <c r="O705">
        <f>生データ!O813</f>
        <v>0</v>
      </c>
      <c r="P705" t="str">
        <f>生データ!P813</f>
        <v>D</v>
      </c>
      <c r="Q705">
        <f>生データ!Q813</f>
        <v>0</v>
      </c>
      <c r="R705">
        <f>生データ!R813</f>
        <v>0</v>
      </c>
      <c r="S705">
        <f>生データ!S813</f>
        <v>0</v>
      </c>
      <c r="T705">
        <f>生データ!T813</f>
        <v>22.759156862141033</v>
      </c>
      <c r="U705" t="str">
        <f>生データ!U813</f>
        <v>dead</v>
      </c>
      <c r="V705">
        <f>COUNTIF(怪しいデータを手直し!F$2:F$701,Sheet5!F705)</f>
        <v>1</v>
      </c>
    </row>
    <row r="706" spans="1:22">
      <c r="A706">
        <f>生データ!A814</f>
        <v>0</v>
      </c>
      <c r="B706">
        <f>生データ!B814</f>
        <v>0</v>
      </c>
      <c r="C706">
        <f>生データ!C814</f>
        <v>5.1128726289895026</v>
      </c>
      <c r="D706">
        <f>生データ!D814</f>
        <v>4.974456640370116</v>
      </c>
      <c r="E706">
        <f>生データ!E814</f>
        <v>0</v>
      </c>
      <c r="F706">
        <f>IF(生データ!E814="Wr",3000+生データ!F814,IF(生データ!E814="Wb",4000+生データ!F814,生データ!F814))</f>
        <v>16</v>
      </c>
      <c r="G706" t="str">
        <f>生データ!G814</f>
        <v>lc</v>
      </c>
      <c r="H706">
        <f>生データ!H814</f>
        <v>72.2</v>
      </c>
      <c r="I706">
        <f>生データ!I814</f>
        <v>0</v>
      </c>
      <c r="J706" t="str">
        <f>生データ!J814</f>
        <v>dead</v>
      </c>
      <c r="K706">
        <f>生データ!K814</f>
        <v>0</v>
      </c>
      <c r="L706">
        <f>生データ!L814</f>
        <v>9.8000000000000007</v>
      </c>
      <c r="M706">
        <f>生データ!M814</f>
        <v>0</v>
      </c>
      <c r="N706">
        <f>生データ!N814</f>
        <v>0</v>
      </c>
      <c r="O706">
        <f>生データ!O814</f>
        <v>0</v>
      </c>
      <c r="P706" t="str">
        <f>生データ!P814</f>
        <v>D</v>
      </c>
      <c r="Q706">
        <f>生データ!Q814</f>
        <v>0</v>
      </c>
      <c r="R706" t="str">
        <f>生データ!R814</f>
        <v>broken</v>
      </c>
      <c r="S706">
        <f>生データ!S814</f>
        <v>0</v>
      </c>
      <c r="T706">
        <f>生データ!T814</f>
        <v>22.981973782469687</v>
      </c>
      <c r="U706" t="str">
        <f>生データ!U814</f>
        <v>dead</v>
      </c>
      <c r="V706">
        <f>COUNTIF(怪しいデータを手直し!F$2:F$701,Sheet5!F706)</f>
        <v>1</v>
      </c>
    </row>
    <row r="707" spans="1:22">
      <c r="A707">
        <f>生データ!A815</f>
        <v>20</v>
      </c>
      <c r="B707">
        <f>生データ!B815</f>
        <v>-20</v>
      </c>
      <c r="C707">
        <f>生データ!C815</f>
        <v>28.465129140768692</v>
      </c>
      <c r="D707">
        <f>生データ!D815</f>
        <v>-16.499565697864465</v>
      </c>
      <c r="E707">
        <f>生データ!E815</f>
        <v>0</v>
      </c>
      <c r="F707">
        <f>IF(生データ!E815="Wr",3000+生データ!F815,IF(生データ!E815="Wb",4000+生データ!F815,生データ!F815))</f>
        <v>559</v>
      </c>
      <c r="G707" t="str">
        <f>生データ!G815</f>
        <v>lc</v>
      </c>
      <c r="H707">
        <f>生データ!H815</f>
        <v>73</v>
      </c>
      <c r="I707">
        <f>生データ!I815</f>
        <v>0</v>
      </c>
      <c r="J707" t="str">
        <f>生データ!J815</f>
        <v>dead</v>
      </c>
      <c r="K707">
        <f>生データ!K815</f>
        <v>0</v>
      </c>
      <c r="L707">
        <f>生データ!L815</f>
        <v>3</v>
      </c>
      <c r="M707">
        <f>生データ!M815</f>
        <v>0</v>
      </c>
      <c r="N707">
        <f>生データ!N815</f>
        <v>0</v>
      </c>
      <c r="O707">
        <f>生データ!O815</f>
        <v>0</v>
      </c>
      <c r="P707" t="str">
        <f>生データ!P815</f>
        <v>D</v>
      </c>
      <c r="Q707">
        <f>生データ!Q815</f>
        <v>0</v>
      </c>
      <c r="R707">
        <f>生データ!R815</f>
        <v>0</v>
      </c>
      <c r="S707">
        <f>生データ!S815</f>
        <v>0</v>
      </c>
      <c r="T707">
        <f>生データ!T815</f>
        <v>23.236621691416719</v>
      </c>
      <c r="U707" t="str">
        <f>生データ!U815</f>
        <v>dead</v>
      </c>
      <c r="V707">
        <f>COUNTIF(怪しいデータを手直し!F$2:F$701,Sheet5!F707)</f>
        <v>1</v>
      </c>
    </row>
    <row r="708" spans="1:22">
      <c r="A708">
        <f>生データ!A816</f>
        <v>10</v>
      </c>
      <c r="B708">
        <f>生データ!B816</f>
        <v>-30</v>
      </c>
      <c r="C708">
        <f>生データ!C816</f>
        <v>10.670995073625223</v>
      </c>
      <c r="D708">
        <f>生データ!D816</f>
        <v>-20.197424387494433</v>
      </c>
      <c r="E708">
        <f>生データ!E816</f>
        <v>0</v>
      </c>
      <c r="F708">
        <f>IF(生データ!E816="Wr",3000+生データ!F816,IF(生データ!E816="Wb",4000+生データ!F816,生データ!F816))</f>
        <v>617</v>
      </c>
      <c r="G708" t="str">
        <f>生データ!G816</f>
        <v>lc</v>
      </c>
      <c r="H708">
        <f>生データ!H816</f>
        <v>73</v>
      </c>
      <c r="I708">
        <f>生データ!I816</f>
        <v>0</v>
      </c>
      <c r="J708" t="str">
        <f>生データ!J816</f>
        <v>dead</v>
      </c>
      <c r="K708">
        <f>生データ!K816</f>
        <v>0</v>
      </c>
      <c r="L708">
        <f>生データ!L816</f>
        <v>13.7</v>
      </c>
      <c r="M708">
        <f>生データ!M816</f>
        <v>0</v>
      </c>
      <c r="N708">
        <f>生データ!N816</f>
        <v>0</v>
      </c>
      <c r="O708">
        <f>生データ!O816</f>
        <v>0</v>
      </c>
      <c r="P708" t="str">
        <f>生データ!P816</f>
        <v>D</v>
      </c>
      <c r="Q708">
        <f>生データ!Q816</f>
        <v>0</v>
      </c>
      <c r="R708">
        <f>生データ!R816</f>
        <v>0</v>
      </c>
      <c r="S708">
        <f>生データ!S816</f>
        <v>0</v>
      </c>
      <c r="T708">
        <f>生データ!T816</f>
        <v>23.236621691416719</v>
      </c>
      <c r="U708" t="str">
        <f>生データ!U816</f>
        <v>dead</v>
      </c>
      <c r="V708">
        <f>COUNTIF(怪しいデータを手直し!F$2:F$701,Sheet5!F708)</f>
        <v>1</v>
      </c>
    </row>
    <row r="709" spans="1:22">
      <c r="A709">
        <f>生データ!A817</f>
        <v>40</v>
      </c>
      <c r="B709">
        <f>生データ!B817</f>
        <v>10</v>
      </c>
      <c r="C709">
        <f>生データ!C817</f>
        <v>44.877625007161186</v>
      </c>
      <c r="D709">
        <f>生データ!D817</f>
        <v>16.837663182661874</v>
      </c>
      <c r="E709">
        <f>生データ!E817</f>
        <v>0</v>
      </c>
      <c r="F709">
        <f>IF(生データ!E817="Wr",3000+生データ!F817,IF(生データ!E817="Wb",4000+生データ!F817,生データ!F817))</f>
        <v>283</v>
      </c>
      <c r="G709" t="str">
        <f>生データ!G817</f>
        <v>lc</v>
      </c>
      <c r="H709">
        <f>生データ!H817</f>
        <v>73.400000000000006</v>
      </c>
      <c r="I709">
        <f>生データ!I817</f>
        <v>0</v>
      </c>
      <c r="J709" t="str">
        <f>生データ!J817</f>
        <v>dead</v>
      </c>
      <c r="K709">
        <f>生データ!K817</f>
        <v>0</v>
      </c>
      <c r="L709">
        <f>生データ!L817</f>
        <v>15.9</v>
      </c>
      <c r="M709">
        <f>生データ!M817</f>
        <v>0</v>
      </c>
      <c r="N709">
        <f>生データ!N817</f>
        <v>0</v>
      </c>
      <c r="O709">
        <f>生データ!O817</f>
        <v>0</v>
      </c>
      <c r="P709" t="str">
        <f>生データ!P817</f>
        <v>D</v>
      </c>
      <c r="Q709">
        <f>生データ!Q817</f>
        <v>0</v>
      </c>
      <c r="R709">
        <f>生データ!R817</f>
        <v>0</v>
      </c>
      <c r="S709">
        <f>生データ!S817</f>
        <v>0</v>
      </c>
      <c r="T709">
        <f>生データ!T817</f>
        <v>23.363945645890237</v>
      </c>
      <c r="U709" t="str">
        <f>生データ!U817</f>
        <v>dead</v>
      </c>
      <c r="V709">
        <f>COUNTIF(怪しいデータを手直し!F$2:F$701,Sheet5!F709)</f>
        <v>1</v>
      </c>
    </row>
    <row r="710" spans="1:22">
      <c r="A710">
        <f>生データ!A818</f>
        <v>40</v>
      </c>
      <c r="B710">
        <f>生データ!B818</f>
        <v>-30</v>
      </c>
      <c r="C710">
        <f>生データ!C818</f>
        <v>41.448771966454686</v>
      </c>
      <c r="D710">
        <f>生データ!D818</f>
        <v>-26.34615792902456</v>
      </c>
      <c r="E710">
        <f>生データ!E818</f>
        <v>0</v>
      </c>
      <c r="F710">
        <f>IF(生データ!E818="Wr",3000+生データ!F818,IF(生データ!E818="Wb",4000+生データ!F818,生データ!F818))</f>
        <v>693</v>
      </c>
      <c r="G710" t="str">
        <f>生データ!G818</f>
        <v>lc</v>
      </c>
      <c r="H710">
        <f>生データ!H818</f>
        <v>75.5</v>
      </c>
      <c r="I710">
        <f>生データ!I818</f>
        <v>0</v>
      </c>
      <c r="J710" t="str">
        <f>生データ!J818</f>
        <v>dead</v>
      </c>
      <c r="K710">
        <f>生データ!K818</f>
        <v>0</v>
      </c>
      <c r="L710">
        <f>生データ!L818</f>
        <v>14.5</v>
      </c>
      <c r="M710">
        <f>生データ!M818</f>
        <v>0</v>
      </c>
      <c r="N710">
        <f>生データ!N818</f>
        <v>0</v>
      </c>
      <c r="O710">
        <f>生データ!O818</f>
        <v>0</v>
      </c>
      <c r="P710" t="str">
        <f>生データ!P818</f>
        <v>D</v>
      </c>
      <c r="Q710">
        <f>生データ!Q818</f>
        <v>0</v>
      </c>
      <c r="R710">
        <f>生データ!R818</f>
        <v>0</v>
      </c>
      <c r="S710">
        <f>生データ!S818</f>
        <v>0</v>
      </c>
      <c r="T710">
        <f>生データ!T818</f>
        <v>24.032396406876195</v>
      </c>
      <c r="U710" t="str">
        <f>生データ!U818</f>
        <v>dead</v>
      </c>
      <c r="V710">
        <f>COUNTIF(怪しいデータを手直し!F$2:F$701,Sheet5!F710)</f>
        <v>1</v>
      </c>
    </row>
    <row r="711" spans="1:22">
      <c r="A711">
        <f>生データ!A819</f>
        <v>10</v>
      </c>
      <c r="B711">
        <f>生データ!B819</f>
        <v>-50</v>
      </c>
      <c r="C711">
        <f>生データ!C819</f>
        <v>11.451037265159524</v>
      </c>
      <c r="D711">
        <f>生データ!D819</f>
        <v>-46.139995316284079</v>
      </c>
      <c r="E711">
        <f>生データ!E819</f>
        <v>0</v>
      </c>
      <c r="F711">
        <f>IF(生データ!E819="Wr",3000+生データ!F819,IF(生データ!E819="Wb",4000+生データ!F819,生データ!F819))</f>
        <v>812</v>
      </c>
      <c r="G711" t="str">
        <f>生データ!G819</f>
        <v>lc</v>
      </c>
      <c r="H711">
        <f>生データ!H819</f>
        <v>76.5</v>
      </c>
      <c r="I711">
        <f>生データ!I819</f>
        <v>0</v>
      </c>
      <c r="J711">
        <f>生データ!J819</f>
        <v>78.2</v>
      </c>
      <c r="K711">
        <f>生データ!K819</f>
        <v>0</v>
      </c>
      <c r="L711">
        <f>生データ!L819</f>
        <v>16</v>
      </c>
      <c r="M711">
        <f>生データ!M819</f>
        <v>4.5999999999999996</v>
      </c>
      <c r="N711">
        <f>生データ!N819</f>
        <v>0</v>
      </c>
      <c r="O711">
        <f>生データ!O819</f>
        <v>0</v>
      </c>
      <c r="P711" t="str">
        <f>生データ!P819</f>
        <v>L</v>
      </c>
      <c r="Q711">
        <f>生データ!Q819</f>
        <v>0</v>
      </c>
      <c r="R711">
        <f>生データ!R819</f>
        <v>0</v>
      </c>
      <c r="S711">
        <f>生データ!S819</f>
        <v>0</v>
      </c>
      <c r="T711">
        <f>生データ!T819</f>
        <v>24.350706293059986</v>
      </c>
      <c r="U711">
        <f>生データ!U819</f>
        <v>24.891833099572434</v>
      </c>
      <c r="V711">
        <f>COUNTIF(怪しいデータを手直し!F$2:F$701,Sheet5!F711)</f>
        <v>1</v>
      </c>
    </row>
    <row r="712" spans="1:22">
      <c r="A712">
        <f>生データ!A820</f>
        <v>20</v>
      </c>
      <c r="B712">
        <f>生データ!B820</f>
        <v>-30</v>
      </c>
      <c r="C712">
        <f>生データ!C820</f>
        <v>23.287444262669794</v>
      </c>
      <c r="D712">
        <f>生データ!D820</f>
        <v>-25.263316014950586</v>
      </c>
      <c r="E712">
        <f>生データ!E820</f>
        <v>0</v>
      </c>
      <c r="F712">
        <f>IF(生データ!E820="Wr",3000+生データ!F820,IF(生データ!E820="Wb",4000+生データ!F820,生データ!F820))</f>
        <v>640</v>
      </c>
      <c r="G712" t="str">
        <f>生データ!G820</f>
        <v>lc</v>
      </c>
      <c r="H712">
        <f>生データ!H820</f>
        <v>78.5</v>
      </c>
      <c r="I712">
        <f>生データ!I820</f>
        <v>0</v>
      </c>
      <c r="J712" t="str">
        <f>生データ!J820</f>
        <v>dead</v>
      </c>
      <c r="K712">
        <f>生データ!K820</f>
        <v>0</v>
      </c>
      <c r="L712">
        <f>生データ!L820</f>
        <v>15.7</v>
      </c>
      <c r="M712">
        <f>生データ!M820</f>
        <v>0</v>
      </c>
      <c r="N712">
        <f>生データ!N820</f>
        <v>0</v>
      </c>
      <c r="O712">
        <f>生データ!O820</f>
        <v>0</v>
      </c>
      <c r="P712" t="str">
        <f>生データ!P820</f>
        <v>D</v>
      </c>
      <c r="Q712">
        <f>生データ!Q820</f>
        <v>0</v>
      </c>
      <c r="R712">
        <f>生データ!R820</f>
        <v>0</v>
      </c>
      <c r="S712">
        <f>生データ!S820</f>
        <v>0</v>
      </c>
      <c r="T712">
        <f>生データ!T820</f>
        <v>24.98732606542757</v>
      </c>
      <c r="U712" t="str">
        <f>生データ!U820</f>
        <v>dead</v>
      </c>
      <c r="V712">
        <f>COUNTIF(怪しいデータを手直し!F$2:F$701,Sheet5!F712)</f>
        <v>1</v>
      </c>
    </row>
    <row r="713" spans="1:22">
      <c r="A713">
        <f>生データ!A821</f>
        <v>10</v>
      </c>
      <c r="B713">
        <f>生データ!B821</f>
        <v>-40</v>
      </c>
      <c r="C713">
        <f>生データ!C821</f>
        <v>15.09772605013295</v>
      </c>
      <c r="D713">
        <f>生データ!D821</f>
        <v>-34.417277624868319</v>
      </c>
      <c r="E713">
        <f>生データ!E821</f>
        <v>0</v>
      </c>
      <c r="F713">
        <f>IF(生データ!E821="Wr",3000+生データ!F821,IF(生データ!E821="Wb",4000+生データ!F821,生データ!F821))</f>
        <v>725</v>
      </c>
      <c r="G713" t="str">
        <f>生データ!G821</f>
        <v>lc</v>
      </c>
      <c r="H713">
        <f>生データ!H821</f>
        <v>79.5</v>
      </c>
      <c r="I713">
        <f>生データ!I821</f>
        <v>0</v>
      </c>
      <c r="J713" t="str">
        <f>生データ!J821</f>
        <v>dead</v>
      </c>
      <c r="K713">
        <f>生データ!K821</f>
        <v>0</v>
      </c>
      <c r="L713">
        <f>生データ!L821</f>
        <v>15.3</v>
      </c>
      <c r="M713">
        <f>生データ!M821</f>
        <v>0</v>
      </c>
      <c r="N713">
        <f>生データ!N821</f>
        <v>0</v>
      </c>
      <c r="O713">
        <f>生データ!O821</f>
        <v>0</v>
      </c>
      <c r="P713" t="str">
        <f>生データ!P821</f>
        <v>D</v>
      </c>
      <c r="Q713">
        <f>生データ!Q821</f>
        <v>0</v>
      </c>
      <c r="R713">
        <f>生データ!R821</f>
        <v>0</v>
      </c>
      <c r="S713">
        <f>生データ!S821</f>
        <v>0</v>
      </c>
      <c r="T713">
        <f>生データ!T821</f>
        <v>25.305635951611361</v>
      </c>
      <c r="U713" t="str">
        <f>生データ!U821</f>
        <v>dead</v>
      </c>
      <c r="V713">
        <f>COUNTIF(怪しいデータを手直し!F$2:F$701,Sheet5!F713)</f>
        <v>1</v>
      </c>
    </row>
    <row r="714" spans="1:22">
      <c r="A714">
        <f>生データ!A822</f>
        <v>20</v>
      </c>
      <c r="B714">
        <f>生データ!B822</f>
        <v>0</v>
      </c>
      <c r="C714">
        <f>生データ!C822</f>
        <v>26.439860963064383</v>
      </c>
      <c r="D714">
        <f>生データ!D822</f>
        <v>0.88215122082297992</v>
      </c>
      <c r="E714">
        <f>生データ!E822</f>
        <v>0</v>
      </c>
      <c r="F714">
        <f>IF(生データ!E822="Wr",3000+生データ!F822,IF(生データ!E822="Wb",4000+生データ!F822,生データ!F822))</f>
        <v>116</v>
      </c>
      <c r="G714" t="str">
        <f>生データ!G822</f>
        <v>pt</v>
      </c>
      <c r="H714">
        <f>生データ!H822</f>
        <v>80</v>
      </c>
      <c r="I714">
        <f>生データ!I822</f>
        <v>0</v>
      </c>
      <c r="J714" t="str">
        <f>生データ!J822</f>
        <v>dead</v>
      </c>
      <c r="K714">
        <f>生データ!K822</f>
        <v>0</v>
      </c>
      <c r="L714">
        <f>生データ!L822</f>
        <v>1.8</v>
      </c>
      <c r="M714">
        <f>生データ!M822</f>
        <v>0</v>
      </c>
      <c r="N714">
        <f>生データ!N822</f>
        <v>0</v>
      </c>
      <c r="O714">
        <f>生データ!O822</f>
        <v>0</v>
      </c>
      <c r="P714" t="str">
        <f>生データ!P822</f>
        <v>D</v>
      </c>
      <c r="Q714">
        <f>生データ!Q822</f>
        <v>0</v>
      </c>
      <c r="R714" t="str">
        <f>生データ!R822</f>
        <v>broken,gbh at  1m-H</v>
      </c>
      <c r="S714">
        <f>生データ!S822</f>
        <v>0</v>
      </c>
      <c r="T714">
        <f>生データ!T822</f>
        <v>25.464790894703256</v>
      </c>
      <c r="U714" t="str">
        <f>生データ!U822</f>
        <v>dead</v>
      </c>
      <c r="V714">
        <f>COUNTIF(怪しいデータを手直し!F$2:F$701,Sheet5!F714)</f>
        <v>1</v>
      </c>
    </row>
    <row r="715" spans="1:22">
      <c r="A715">
        <f>生データ!A823</f>
        <v>40</v>
      </c>
      <c r="B715">
        <f>生データ!B823</f>
        <v>20</v>
      </c>
      <c r="C715">
        <f>生データ!C823</f>
        <v>48.156732809019061</v>
      </c>
      <c r="D715">
        <f>生データ!D823</f>
        <v>26.181056034521198</v>
      </c>
      <c r="E715">
        <f>生データ!E823</f>
        <v>0</v>
      </c>
      <c r="F715">
        <f>IF(生データ!E823="Wr",3000+生データ!F823,IF(生データ!E823="Wb",4000+生データ!F823,生データ!F823))</f>
        <v>287</v>
      </c>
      <c r="G715" t="str">
        <f>生データ!G823</f>
        <v>lc</v>
      </c>
      <c r="H715">
        <f>生データ!H823</f>
        <v>80.400000000000006</v>
      </c>
      <c r="I715">
        <f>生データ!I823</f>
        <v>0</v>
      </c>
      <c r="J715" t="str">
        <f>生データ!J823</f>
        <v>dead</v>
      </c>
      <c r="K715">
        <f>生データ!K823</f>
        <v>0</v>
      </c>
      <c r="L715">
        <f>生データ!L823</f>
        <v>18.5</v>
      </c>
      <c r="M715">
        <f>生データ!M823</f>
        <v>0</v>
      </c>
      <c r="N715">
        <f>生データ!N823</f>
        <v>0</v>
      </c>
      <c r="O715">
        <f>生データ!O823</f>
        <v>0</v>
      </c>
      <c r="P715" t="str">
        <f>生データ!P823</f>
        <v>D</v>
      </c>
      <c r="Q715">
        <f>生データ!Q823</f>
        <v>0</v>
      </c>
      <c r="R715">
        <f>生データ!R823</f>
        <v>0</v>
      </c>
      <c r="S715">
        <f>生データ!S823</f>
        <v>0</v>
      </c>
      <c r="T715">
        <f>生データ!T823</f>
        <v>25.592114849176774</v>
      </c>
      <c r="U715" t="str">
        <f>生データ!U823</f>
        <v>dead</v>
      </c>
      <c r="V715">
        <f>COUNTIF(怪しいデータを手直し!F$2:F$701,Sheet5!F715)</f>
        <v>1</v>
      </c>
    </row>
    <row r="716" spans="1:22">
      <c r="A716">
        <f>生データ!A824</f>
        <v>40</v>
      </c>
      <c r="B716">
        <f>生データ!B824</f>
        <v>-20</v>
      </c>
      <c r="C716">
        <f>生データ!C824</f>
        <v>40.793988816431167</v>
      </c>
      <c r="D716">
        <f>生データ!D824</f>
        <v>-19.0753336996158</v>
      </c>
      <c r="E716">
        <f>生データ!E824</f>
        <v>0</v>
      </c>
      <c r="F716">
        <f>IF(生データ!E824="Wr",3000+生データ!F824,IF(生データ!E824="Wb",4000+生データ!F824,生データ!F824))</f>
        <v>512</v>
      </c>
      <c r="G716" t="str">
        <f>生データ!G824</f>
        <v>lc</v>
      </c>
      <c r="H716">
        <f>生データ!H824</f>
        <v>86</v>
      </c>
      <c r="I716">
        <f>生データ!I824</f>
        <v>0</v>
      </c>
      <c r="J716" t="str">
        <f>生データ!J824</f>
        <v>dead</v>
      </c>
      <c r="K716">
        <f>生データ!K824</f>
        <v>0</v>
      </c>
      <c r="L716">
        <f>生データ!L824</f>
        <v>16.5</v>
      </c>
      <c r="M716">
        <f>生データ!M824</f>
        <v>0</v>
      </c>
      <c r="N716">
        <f>生データ!N824</f>
        <v>0</v>
      </c>
      <c r="O716">
        <f>生データ!O824</f>
        <v>0</v>
      </c>
      <c r="P716" t="str">
        <f>生データ!P824</f>
        <v>D</v>
      </c>
      <c r="Q716">
        <f>生データ!Q824</f>
        <v>0</v>
      </c>
      <c r="R716">
        <f>生データ!R824</f>
        <v>0</v>
      </c>
      <c r="S716">
        <f>生データ!S824</f>
        <v>0</v>
      </c>
      <c r="T716">
        <f>生データ!T824</f>
        <v>27.374650211805999</v>
      </c>
      <c r="U716" t="str">
        <f>生データ!U824</f>
        <v>dead</v>
      </c>
      <c r="V716">
        <f>COUNTIF(怪しいデータを手直し!F$2:F$701,Sheet5!F716)</f>
        <v>1</v>
      </c>
    </row>
    <row r="717" spans="1:22">
      <c r="A717">
        <f>生データ!A825</f>
        <v>20</v>
      </c>
      <c r="B717">
        <f>生データ!B825</f>
        <v>-50</v>
      </c>
      <c r="C717">
        <f>生データ!C825</f>
        <v>23.607320227562639</v>
      </c>
      <c r="D717">
        <f>生データ!D825</f>
        <v>-43.356142628275542</v>
      </c>
      <c r="E717">
        <f>生データ!E825</f>
        <v>0</v>
      </c>
      <c r="F717">
        <f>IF(生データ!E825="Wr",3000+生データ!F825,IF(生データ!E825="Wb",4000+生データ!F825,生データ!F825))</f>
        <v>819</v>
      </c>
      <c r="G717" t="str">
        <f>生データ!G825</f>
        <v>lc</v>
      </c>
      <c r="H717">
        <f>生データ!H825</f>
        <v>87.8</v>
      </c>
      <c r="I717">
        <f>生データ!I825</f>
        <v>0</v>
      </c>
      <c r="J717" t="str">
        <f>生データ!J825</f>
        <v>dead</v>
      </c>
      <c r="K717">
        <f>生データ!K825</f>
        <v>0</v>
      </c>
      <c r="L717">
        <f>生データ!L825</f>
        <v>16.899999999999999</v>
      </c>
      <c r="M717">
        <f>生データ!M825</f>
        <v>0</v>
      </c>
      <c r="N717">
        <f>生データ!N825</f>
        <v>0</v>
      </c>
      <c r="O717">
        <f>生データ!O825</f>
        <v>0</v>
      </c>
      <c r="P717" t="str">
        <f>生データ!P825</f>
        <v>D</v>
      </c>
      <c r="Q717">
        <f>生データ!Q825</f>
        <v>0</v>
      </c>
      <c r="R717">
        <f>生データ!R825</f>
        <v>0</v>
      </c>
      <c r="S717">
        <f>生データ!S825</f>
        <v>0</v>
      </c>
      <c r="T717">
        <f>生データ!T825</f>
        <v>27.947608006936822</v>
      </c>
      <c r="U717" t="str">
        <f>生データ!U825</f>
        <v>dead</v>
      </c>
      <c r="V717">
        <f>COUNTIF(怪しいデータを手直し!F$2:F$701,Sheet5!F717)</f>
        <v>1</v>
      </c>
    </row>
    <row r="718" spans="1:22">
      <c r="A718">
        <f>生データ!A826</f>
        <v>0</v>
      </c>
      <c r="B718">
        <f>生データ!B826</f>
        <v>-20</v>
      </c>
      <c r="C718">
        <f>生データ!C826</f>
        <v>8.5366685337559378</v>
      </c>
      <c r="D718">
        <f>生データ!D826</f>
        <v>-10.477273867691553</v>
      </c>
      <c r="E718">
        <f>生データ!E826</f>
        <v>0</v>
      </c>
      <c r="F718">
        <f>IF(生データ!E826="Wr",3000+生データ!F826,IF(生データ!E826="Wb",4000+生データ!F826,生データ!F826))</f>
        <v>590</v>
      </c>
      <c r="G718" t="str">
        <f>生データ!G826</f>
        <v>lc</v>
      </c>
      <c r="H718">
        <f>生データ!H826</f>
        <v>88.5</v>
      </c>
      <c r="I718">
        <f>生データ!I826</f>
        <v>0</v>
      </c>
      <c r="J718" t="str">
        <f>生データ!J826</f>
        <v>dead</v>
      </c>
      <c r="K718">
        <f>生データ!K826</f>
        <v>0</v>
      </c>
      <c r="L718">
        <f>生データ!L826</f>
        <v>8.4</v>
      </c>
      <c r="M718">
        <f>生データ!M826</f>
        <v>0</v>
      </c>
      <c r="N718">
        <f>生データ!N826</f>
        <v>0</v>
      </c>
      <c r="O718">
        <f>生データ!O826</f>
        <v>0</v>
      </c>
      <c r="P718" t="str">
        <f>生データ!P826</f>
        <v>D</v>
      </c>
      <c r="Q718">
        <f>生データ!Q826</f>
        <v>0</v>
      </c>
      <c r="R718" t="str">
        <f>生データ!R826</f>
        <v>broken</v>
      </c>
      <c r="S718">
        <f>生データ!S826</f>
        <v>0</v>
      </c>
      <c r="T718">
        <f>生データ!T826</f>
        <v>28.170424927265476</v>
      </c>
      <c r="U718" t="str">
        <f>生データ!U826</f>
        <v>dead</v>
      </c>
      <c r="V718">
        <f>COUNTIF(怪しいデータを手直し!F$2:F$701,Sheet5!F718)</f>
        <v>1</v>
      </c>
    </row>
    <row r="719" spans="1:22">
      <c r="A719">
        <f>生データ!A827</f>
        <v>20</v>
      </c>
      <c r="B719">
        <f>生データ!B827</f>
        <v>-20</v>
      </c>
      <c r="C719">
        <f>生データ!C827</f>
        <v>27.300589115830448</v>
      </c>
      <c r="D719">
        <f>生データ!D827</f>
        <v>-39.453605858000387</v>
      </c>
      <c r="E719">
        <f>生データ!E827</f>
        <v>0</v>
      </c>
      <c r="F719">
        <f>IF(生データ!E827="Wr",3000+生データ!F827,IF(生データ!E827="Wb",4000+生データ!F827,生データ!F827))</f>
        <v>717</v>
      </c>
      <c r="G719" t="str">
        <f>生データ!G827</f>
        <v>lc</v>
      </c>
      <c r="H719">
        <f>生データ!H827</f>
        <v>90.2</v>
      </c>
      <c r="I719">
        <f>生データ!I827</f>
        <v>0</v>
      </c>
      <c r="J719" t="str">
        <f>生データ!J827</f>
        <v>dead</v>
      </c>
      <c r="K719">
        <f>生データ!K827</f>
        <v>0</v>
      </c>
      <c r="L719">
        <f>生データ!L827</f>
        <v>19.399999999999999</v>
      </c>
      <c r="M719">
        <f>生データ!M827</f>
        <v>0</v>
      </c>
      <c r="N719">
        <f>生データ!N827</f>
        <v>0</v>
      </c>
      <c r="O719">
        <f>生データ!O827</f>
        <v>0</v>
      </c>
      <c r="P719" t="str">
        <f>生データ!P827</f>
        <v>D</v>
      </c>
      <c r="Q719">
        <f>生データ!Q827</f>
        <v>0</v>
      </c>
      <c r="R719">
        <f>生データ!R827</f>
        <v>0</v>
      </c>
      <c r="S719">
        <f>生データ!S827</f>
        <v>0</v>
      </c>
      <c r="T719">
        <f>生データ!T827</f>
        <v>28.71155173377792</v>
      </c>
      <c r="U719" t="str">
        <f>生データ!U827</f>
        <v>dead</v>
      </c>
      <c r="V719">
        <f>COUNTIF(怪しいデータを手直し!F$2:F$701,Sheet5!F719)</f>
        <v>1</v>
      </c>
    </row>
    <row r="720" spans="1:22">
      <c r="A720">
        <f>生データ!A828</f>
        <v>30</v>
      </c>
      <c r="B720">
        <f>生データ!B828</f>
        <v>-20</v>
      </c>
      <c r="C720">
        <f>生データ!C828</f>
        <v>30.741420526021269</v>
      </c>
      <c r="D720">
        <f>生データ!D828</f>
        <v>-33.689937750172362</v>
      </c>
      <c r="E720">
        <f>生データ!E828</f>
        <v>0</v>
      </c>
      <c r="F720">
        <f>IF(生データ!E828="Wr",3000+生データ!F828,IF(生データ!E828="Wb",4000+生データ!F828,生データ!F828))</f>
        <v>713</v>
      </c>
      <c r="G720" t="str">
        <f>生データ!G828</f>
        <v>lc</v>
      </c>
      <c r="H720">
        <f>生データ!H828</f>
        <v>91.4</v>
      </c>
      <c r="I720">
        <f>生データ!I828</f>
        <v>0</v>
      </c>
      <c r="J720" t="str">
        <f>生データ!J828</f>
        <v>dead</v>
      </c>
      <c r="K720">
        <f>生データ!K828</f>
        <v>0</v>
      </c>
      <c r="L720">
        <f>生データ!L828</f>
        <v>16.100000000000001</v>
      </c>
      <c r="M720">
        <f>生データ!M828</f>
        <v>0</v>
      </c>
      <c r="N720">
        <f>生データ!N828</f>
        <v>0</v>
      </c>
      <c r="O720">
        <f>生データ!O828</f>
        <v>0</v>
      </c>
      <c r="P720" t="str">
        <f>生データ!P828</f>
        <v>D</v>
      </c>
      <c r="Q720">
        <f>生データ!Q828</f>
        <v>0</v>
      </c>
      <c r="R720" t="str">
        <f>生データ!R828</f>
        <v>broken</v>
      </c>
      <c r="S720">
        <f>生データ!S828</f>
        <v>0</v>
      </c>
      <c r="T720">
        <f>生データ!T828</f>
        <v>29.09352359719847</v>
      </c>
      <c r="U720" t="str">
        <f>生データ!U828</f>
        <v>dead</v>
      </c>
      <c r="V720">
        <f>COUNTIF(怪しいデータを手直し!F$2:F$701,Sheet5!F720)</f>
        <v>1</v>
      </c>
    </row>
    <row r="721" spans="1:22">
      <c r="A721">
        <f>生データ!A829</f>
        <v>0</v>
      </c>
      <c r="B721">
        <f>生データ!B829</f>
        <v>-20</v>
      </c>
      <c r="C721">
        <f>生データ!C829</f>
        <v>1.8407745955404609</v>
      </c>
      <c r="D721">
        <f>生データ!D829</f>
        <v>-14.422176939971177</v>
      </c>
      <c r="E721">
        <f>生データ!E829</f>
        <v>0</v>
      </c>
      <c r="F721">
        <f>IF(生データ!E829="Wr",3000+生データ!F829,IF(生データ!E829="Wb",4000+生データ!F829,生データ!F829))</f>
        <v>588</v>
      </c>
      <c r="G721" t="str">
        <f>生データ!G829</f>
        <v>lc</v>
      </c>
      <c r="H721">
        <f>生データ!H829</f>
        <v>92</v>
      </c>
      <c r="I721">
        <f>生データ!I829</f>
        <v>0</v>
      </c>
      <c r="J721" t="str">
        <f>生データ!J829</f>
        <v>dead</v>
      </c>
      <c r="K721">
        <f>生データ!K829</f>
        <v>0</v>
      </c>
      <c r="L721">
        <f>生データ!L829</f>
        <v>13.5</v>
      </c>
      <c r="M721">
        <f>生データ!M829</f>
        <v>0</v>
      </c>
      <c r="N721">
        <f>生データ!N829</f>
        <v>0</v>
      </c>
      <c r="O721">
        <f>生データ!O829</f>
        <v>0</v>
      </c>
      <c r="P721" t="str">
        <f>生データ!P829</f>
        <v>D</v>
      </c>
      <c r="Q721">
        <f>生データ!Q829</f>
        <v>0</v>
      </c>
      <c r="R721">
        <f>生データ!R829</f>
        <v>0</v>
      </c>
      <c r="S721">
        <f>生データ!S829</f>
        <v>0</v>
      </c>
      <c r="T721">
        <f>生データ!T829</f>
        <v>29.284509528908742</v>
      </c>
      <c r="U721" t="str">
        <f>生データ!U829</f>
        <v>dead</v>
      </c>
      <c r="V721">
        <f>COUNTIF(怪しいデータを手直し!F$2:F$701,Sheet5!F721)</f>
        <v>1</v>
      </c>
    </row>
    <row r="722" spans="1:22">
      <c r="A722">
        <f>生データ!A830</f>
        <v>0</v>
      </c>
      <c r="B722">
        <f>生データ!B830</f>
        <v>-30</v>
      </c>
      <c r="C722">
        <f>生データ!C830</f>
        <v>3.7272304886527081</v>
      </c>
      <c r="D722">
        <f>生データ!D830</f>
        <v>-27.998115259228051</v>
      </c>
      <c r="E722">
        <f>生データ!E830</f>
        <v>0</v>
      </c>
      <c r="F722">
        <f>IF(生データ!E830="Wr",3000+生データ!F830,IF(生データ!E830="Wb",4000+生データ!F830,生データ!F830))</f>
        <v>606</v>
      </c>
      <c r="G722" t="str">
        <f>生データ!G830</f>
        <v>lc</v>
      </c>
      <c r="H722">
        <f>生データ!H830</f>
        <v>93.6</v>
      </c>
      <c r="I722">
        <f>生データ!I830</f>
        <v>0</v>
      </c>
      <c r="J722" t="str">
        <f>生データ!J830</f>
        <v>dead</v>
      </c>
      <c r="K722">
        <f>生データ!K830</f>
        <v>0</v>
      </c>
      <c r="L722">
        <f>生データ!L830</f>
        <v>18.399999999999999</v>
      </c>
      <c r="M722">
        <f>生データ!M830</f>
        <v>0</v>
      </c>
      <c r="N722">
        <f>生データ!N830</f>
        <v>0</v>
      </c>
      <c r="O722">
        <f>生データ!O830</f>
        <v>0</v>
      </c>
      <c r="P722" t="str">
        <f>生データ!P830</f>
        <v>D</v>
      </c>
      <c r="Q722">
        <f>生データ!Q830</f>
        <v>0</v>
      </c>
      <c r="R722">
        <f>生データ!R830</f>
        <v>0</v>
      </c>
      <c r="S722">
        <f>生データ!S830</f>
        <v>0</v>
      </c>
      <c r="T722">
        <f>生データ!T830</f>
        <v>29.793805346802806</v>
      </c>
      <c r="U722" t="str">
        <f>生データ!U830</f>
        <v>dead</v>
      </c>
      <c r="V722">
        <f>COUNTIF(怪しいデータを手直し!F$2:F$701,Sheet5!F722)</f>
        <v>1</v>
      </c>
    </row>
    <row r="723" spans="1:22">
      <c r="A723">
        <f>生データ!A831</f>
        <v>10</v>
      </c>
      <c r="B723">
        <f>生データ!B831</f>
        <v>-20</v>
      </c>
      <c r="C723">
        <f>生データ!C831</f>
        <v>17.437640230641318</v>
      </c>
      <c r="D723">
        <f>生データ!D831</f>
        <v>-18.478582104623413</v>
      </c>
      <c r="E723">
        <f>生データ!E831</f>
        <v>0</v>
      </c>
      <c r="F723">
        <f>IF(生データ!E831="Wr",3000+生データ!F831,IF(生データ!E831="Wb",4000+生データ!F831,生データ!F831))</f>
        <v>571</v>
      </c>
      <c r="G723" t="str">
        <f>生データ!G831</f>
        <v>lc</v>
      </c>
      <c r="H723">
        <f>生データ!H831</f>
        <v>97.2</v>
      </c>
      <c r="I723">
        <f>生データ!I831</f>
        <v>0</v>
      </c>
      <c r="J723" t="str">
        <f>生データ!J831</f>
        <v>dead</v>
      </c>
      <c r="K723">
        <f>生データ!K831</f>
        <v>0</v>
      </c>
      <c r="L723">
        <f>生データ!L831</f>
        <v>16.3</v>
      </c>
      <c r="M723">
        <f>生データ!M831</f>
        <v>0</v>
      </c>
      <c r="N723">
        <f>生データ!N831</f>
        <v>0</v>
      </c>
      <c r="O723">
        <f>生データ!O831</f>
        <v>0</v>
      </c>
      <c r="P723" t="str">
        <f>生データ!P831</f>
        <v>D</v>
      </c>
      <c r="Q723">
        <f>生データ!Q831</f>
        <v>0</v>
      </c>
      <c r="R723">
        <f>生データ!R831</f>
        <v>0</v>
      </c>
      <c r="S723">
        <f>生データ!S831</f>
        <v>0</v>
      </c>
      <c r="T723">
        <f>生データ!T831</f>
        <v>30.939720937064454</v>
      </c>
      <c r="U723" t="str">
        <f>生データ!U831</f>
        <v>dead</v>
      </c>
      <c r="V723">
        <f>COUNTIF(怪しいデータを手直し!F$2:F$701,Sheet5!F723)</f>
        <v>1</v>
      </c>
    </row>
    <row r="724" spans="1:22">
      <c r="A724">
        <f>生データ!A832</f>
        <v>20</v>
      </c>
      <c r="B724">
        <f>生データ!B832</f>
        <v>10</v>
      </c>
      <c r="C724">
        <f>生データ!C832</f>
        <v>23.07038032055581</v>
      </c>
      <c r="D724">
        <f>生データ!D832</f>
        <v>14.569998788165483</v>
      </c>
      <c r="E724">
        <f>生データ!E832</f>
        <v>0</v>
      </c>
      <c r="F724">
        <f>IF(生データ!E832="Wr",3000+生データ!F832,IF(生データ!E832="Wb",4000+生データ!F832,生データ!F832))</f>
        <v>156</v>
      </c>
      <c r="G724" t="str">
        <f>生データ!G832</f>
        <v>lc</v>
      </c>
      <c r="H724">
        <f>生データ!H832</f>
        <v>97.3</v>
      </c>
      <c r="I724">
        <f>生データ!I832</f>
        <v>0</v>
      </c>
      <c r="J724" t="str">
        <f>生データ!J832</f>
        <v>dead</v>
      </c>
      <c r="K724">
        <f>生データ!K832</f>
        <v>0</v>
      </c>
      <c r="L724">
        <f>生データ!L832</f>
        <v>16.899999999999999</v>
      </c>
      <c r="M724">
        <f>生データ!M832</f>
        <v>0</v>
      </c>
      <c r="N724">
        <f>生データ!N832</f>
        <v>0</v>
      </c>
      <c r="O724">
        <f>生データ!O832</f>
        <v>0</v>
      </c>
      <c r="P724" t="str">
        <f>生データ!P832</f>
        <v>D</v>
      </c>
      <c r="Q724">
        <f>生データ!Q832</f>
        <v>0</v>
      </c>
      <c r="R724">
        <f>生データ!R832</f>
        <v>0</v>
      </c>
      <c r="S724">
        <f>生データ!S832</f>
        <v>0</v>
      </c>
      <c r="T724">
        <f>生データ!T832</f>
        <v>30.971551925682832</v>
      </c>
      <c r="U724" t="str">
        <f>生データ!U832</f>
        <v>dead</v>
      </c>
      <c r="V724">
        <f>COUNTIF(怪しいデータを手直し!F$2:F$701,Sheet5!F724)</f>
        <v>1</v>
      </c>
    </row>
    <row r="725" spans="1:22">
      <c r="A725">
        <f>生データ!A833</f>
        <v>30</v>
      </c>
      <c r="B725">
        <f>生データ!B833</f>
        <v>-50</v>
      </c>
      <c r="C725">
        <f>生データ!C833</f>
        <v>33.914906133753021</v>
      </c>
      <c r="D725">
        <f>生データ!D833</f>
        <v>-40.244402616523288</v>
      </c>
      <c r="E725">
        <f>生データ!E833</f>
        <v>0</v>
      </c>
      <c r="F725">
        <f>IF(生データ!E833="Wr",3000+生データ!F833,IF(生データ!E833="Wb",4000+生データ!F833,生データ!F833))</f>
        <v>821</v>
      </c>
      <c r="G725" t="str">
        <f>生データ!G833</f>
        <v>lc</v>
      </c>
      <c r="H725">
        <f>生データ!H833</f>
        <v>99.5</v>
      </c>
      <c r="I725">
        <f>生データ!I833</f>
        <v>0</v>
      </c>
      <c r="J725" t="str">
        <f>生データ!J833</f>
        <v>dead</v>
      </c>
      <c r="K725">
        <f>生データ!K833</f>
        <v>0</v>
      </c>
      <c r="L725">
        <f>生データ!L833</f>
        <v>18.600000000000001</v>
      </c>
      <c r="M725">
        <f>生データ!M833</f>
        <v>0</v>
      </c>
      <c r="N725">
        <f>生データ!N833</f>
        <v>0</v>
      </c>
      <c r="O725">
        <f>生データ!O833</f>
        <v>0</v>
      </c>
      <c r="P725" t="str">
        <f>生データ!P833</f>
        <v>D</v>
      </c>
      <c r="Q725">
        <f>生データ!Q833</f>
        <v>0</v>
      </c>
      <c r="R725">
        <f>生データ!R833</f>
        <v>0</v>
      </c>
      <c r="S725">
        <f>生データ!S833</f>
        <v>0</v>
      </c>
      <c r="T725">
        <f>生データ!T833</f>
        <v>31.671833675287171</v>
      </c>
      <c r="U725" t="str">
        <f>生データ!U833</f>
        <v>dead</v>
      </c>
      <c r="V725">
        <f>COUNTIF(怪しいデータを手直し!F$2:F$701,Sheet5!F725)</f>
        <v>1</v>
      </c>
    </row>
    <row r="726" spans="1:22">
      <c r="A726">
        <f>生データ!A834</f>
        <v>10</v>
      </c>
      <c r="B726">
        <f>生データ!B834</f>
        <v>-40</v>
      </c>
      <c r="C726">
        <f>生データ!C834</f>
        <v>18.077169041346473</v>
      </c>
      <c r="D726">
        <f>生データ!D834</f>
        <v>-34.59280661733704</v>
      </c>
      <c r="E726">
        <f>生データ!E834</f>
        <v>0</v>
      </c>
      <c r="F726">
        <f>IF(生データ!E834="Wr",3000+生データ!F834,IF(生データ!E834="Wb",4000+生データ!F834,生データ!F834))</f>
        <v>722</v>
      </c>
      <c r="G726" t="str">
        <f>生データ!G834</f>
        <v>lc</v>
      </c>
      <c r="H726">
        <f>生データ!H834</f>
        <v>101.1</v>
      </c>
      <c r="I726">
        <f>生データ!I834</f>
        <v>0</v>
      </c>
      <c r="J726" t="str">
        <f>生データ!J834</f>
        <v>dead</v>
      </c>
      <c r="K726">
        <f>生データ!K834</f>
        <v>0</v>
      </c>
      <c r="L726">
        <f>生データ!L834</f>
        <v>21.4</v>
      </c>
      <c r="M726">
        <f>生データ!M834</f>
        <v>0</v>
      </c>
      <c r="N726">
        <f>生データ!N834</f>
        <v>0</v>
      </c>
      <c r="O726">
        <f>生データ!O834</f>
        <v>0</v>
      </c>
      <c r="P726" t="str">
        <f>生データ!P834</f>
        <v>D</v>
      </c>
      <c r="Q726">
        <f>生データ!Q834</f>
        <v>0</v>
      </c>
      <c r="R726">
        <f>生データ!R834</f>
        <v>0</v>
      </c>
      <c r="S726">
        <f>生データ!S834</f>
        <v>0</v>
      </c>
      <c r="T726">
        <f>生データ!T834</f>
        <v>32.181129493181238</v>
      </c>
      <c r="U726" t="str">
        <f>生データ!U834</f>
        <v>dead</v>
      </c>
      <c r="V726">
        <f>COUNTIF(怪しいデータを手直し!F$2:F$701,Sheet5!F726)</f>
        <v>1</v>
      </c>
    </row>
    <row r="727" spans="1:22">
      <c r="A727">
        <f>生データ!A835</f>
        <v>0</v>
      </c>
      <c r="B727">
        <f>生データ!B835</f>
        <v>-10</v>
      </c>
      <c r="C727">
        <f>生データ!C835</f>
        <v>1.2154303413929617</v>
      </c>
      <c r="D727">
        <f>生データ!D835</f>
        <v>-9.4124380158473588</v>
      </c>
      <c r="E727">
        <f>生データ!E835</f>
        <v>0</v>
      </c>
      <c r="F727">
        <f>IF(生データ!E835="Wr",3000+生データ!F835,IF(生データ!E835="Wb",4000+生データ!F835,生データ!F835))</f>
        <v>405</v>
      </c>
      <c r="G727" t="str">
        <f>生データ!G835</f>
        <v>lc</v>
      </c>
      <c r="H727">
        <f>生データ!H835</f>
        <v>103</v>
      </c>
      <c r="I727">
        <f>生データ!I835</f>
        <v>0</v>
      </c>
      <c r="J727" t="str">
        <f>生データ!J835</f>
        <v>dead</v>
      </c>
      <c r="K727">
        <f>生データ!K835</f>
        <v>0</v>
      </c>
      <c r="L727">
        <f>生データ!L835</f>
        <v>14.6</v>
      </c>
      <c r="M727">
        <f>生データ!M835</f>
        <v>0</v>
      </c>
      <c r="N727">
        <f>生データ!N835</f>
        <v>0</v>
      </c>
      <c r="O727">
        <f>生データ!O835</f>
        <v>0</v>
      </c>
      <c r="P727" t="str">
        <f>生データ!P835</f>
        <v>D</v>
      </c>
      <c r="Q727">
        <f>生データ!Q835</f>
        <v>0</v>
      </c>
      <c r="R727">
        <f>生データ!R835</f>
        <v>0</v>
      </c>
      <c r="S727">
        <f>生データ!S835</f>
        <v>0</v>
      </c>
      <c r="T727">
        <f>生データ!T835</f>
        <v>32.785918276930438</v>
      </c>
      <c r="U727" t="str">
        <f>生データ!U835</f>
        <v>dead</v>
      </c>
      <c r="V727">
        <f>COUNTIF(怪しいデータを手直し!F$2:F$701,Sheet5!F727)</f>
        <v>1</v>
      </c>
    </row>
    <row r="728" spans="1:22">
      <c r="A728">
        <f>生データ!A836</f>
        <v>0</v>
      </c>
      <c r="B728">
        <f>生データ!B836</f>
        <v>-50</v>
      </c>
      <c r="C728">
        <f>生データ!C836</f>
        <v>3.5447906807329383</v>
      </c>
      <c r="D728">
        <f>生データ!D836</f>
        <v>-47.858700442468063</v>
      </c>
      <c r="E728">
        <f>生データ!E836</f>
        <v>0</v>
      </c>
      <c r="F728">
        <f>IF(生データ!E836="Wr",3000+生データ!F836,IF(生データ!E836="Wb",4000+生データ!F836,生データ!F836))</f>
        <v>806</v>
      </c>
      <c r="G728" t="str">
        <f>生データ!G836</f>
        <v>lc</v>
      </c>
      <c r="H728">
        <f>生データ!H836</f>
        <v>103.2</v>
      </c>
      <c r="I728">
        <f>生データ!I836</f>
        <v>0</v>
      </c>
      <c r="J728">
        <f>生データ!J836</f>
        <v>105.3</v>
      </c>
      <c r="K728">
        <f>生データ!K836</f>
        <v>0</v>
      </c>
      <c r="L728">
        <f>生データ!L836</f>
        <v>18.5</v>
      </c>
      <c r="M728">
        <f>生データ!M836</f>
        <v>10.3</v>
      </c>
      <c r="N728">
        <f>生データ!N836</f>
        <v>0</v>
      </c>
      <c r="O728">
        <f>生データ!O836</f>
        <v>0</v>
      </c>
      <c r="P728" t="str">
        <f>生データ!P836</f>
        <v>L</v>
      </c>
      <c r="Q728">
        <f>生データ!Q836</f>
        <v>0</v>
      </c>
      <c r="R728">
        <f>生データ!R836</f>
        <v>0</v>
      </c>
      <c r="S728">
        <f>生データ!S836</f>
        <v>0</v>
      </c>
      <c r="T728">
        <f>生データ!T836</f>
        <v>32.849580254167201</v>
      </c>
      <c r="U728">
        <f>生データ!U836</f>
        <v>33.518031015153156</v>
      </c>
      <c r="V728">
        <f>COUNTIF(怪しいデータを手直し!F$2:F$701,Sheet5!F728)</f>
        <v>1</v>
      </c>
    </row>
    <row r="729" spans="1:22">
      <c r="A729">
        <f>生データ!A837</f>
        <v>30</v>
      </c>
      <c r="B729">
        <f>生データ!B837</f>
        <v>-30</v>
      </c>
      <c r="C729">
        <f>生データ!C837</f>
        <v>36.146983389485356</v>
      </c>
      <c r="D729">
        <f>生データ!D837</f>
        <v>-27.645305435977761</v>
      </c>
      <c r="E729">
        <f>生データ!E837</f>
        <v>0</v>
      </c>
      <c r="F729">
        <f>IF(生データ!E837="Wr",3000+生データ!F837,IF(生データ!E837="Wb",4000+生データ!F837,生データ!F837))</f>
        <v>675</v>
      </c>
      <c r="G729" t="str">
        <f>生データ!G837</f>
        <v>lc</v>
      </c>
      <c r="H729">
        <f>生データ!H837</f>
        <v>104</v>
      </c>
      <c r="I729">
        <f>生データ!I837</f>
        <v>0</v>
      </c>
      <c r="J729" t="str">
        <f>生データ!J837</f>
        <v>dead</v>
      </c>
      <c r="K729">
        <f>生データ!K837</f>
        <v>0</v>
      </c>
      <c r="L729">
        <f>生データ!L837</f>
        <v>2.5</v>
      </c>
      <c r="M729">
        <f>生データ!M837</f>
        <v>0</v>
      </c>
      <c r="N729">
        <f>生データ!N837</f>
        <v>0</v>
      </c>
      <c r="O729">
        <f>生データ!O837</f>
        <v>0</v>
      </c>
      <c r="P729" t="str">
        <f>生データ!P837</f>
        <v>D</v>
      </c>
      <c r="Q729">
        <f>生データ!Q837</f>
        <v>0</v>
      </c>
      <c r="R729" t="str">
        <f>生データ!R837</f>
        <v>gbh at 0.8m H</v>
      </c>
      <c r="S729">
        <f>生データ!S837</f>
        <v>0</v>
      </c>
      <c r="T729">
        <f>生データ!T837</f>
        <v>33.104228163114229</v>
      </c>
      <c r="U729" t="str">
        <f>生データ!U837</f>
        <v>dead</v>
      </c>
      <c r="V729">
        <f>COUNTIF(怪しいデータを手直し!F$2:F$701,Sheet5!F729)</f>
        <v>1</v>
      </c>
    </row>
    <row r="730" spans="1:22">
      <c r="A730">
        <f>生データ!A838</f>
        <v>0</v>
      </c>
      <c r="B730">
        <f>生データ!B838</f>
        <v>-40</v>
      </c>
      <c r="C730">
        <f>生データ!C838</f>
        <v>6.0081109655701512</v>
      </c>
      <c r="D730">
        <f>生データ!D838</f>
        <v>-33.485829144334737</v>
      </c>
      <c r="E730">
        <f>生データ!E838</f>
        <v>0</v>
      </c>
      <c r="F730">
        <f>IF(生データ!E838="Wr",3000+生データ!F838,IF(生データ!E838="Wb",4000+生データ!F838,生データ!F838))</f>
        <v>727</v>
      </c>
      <c r="G730" t="str">
        <f>生データ!G838</f>
        <v>lc</v>
      </c>
      <c r="H730">
        <f>生データ!H838</f>
        <v>117</v>
      </c>
      <c r="I730">
        <f>生データ!I838</f>
        <v>0</v>
      </c>
      <c r="J730" t="str">
        <f>生データ!J838</f>
        <v>dead</v>
      </c>
      <c r="K730">
        <f>生データ!K838</f>
        <v>0</v>
      </c>
      <c r="L730">
        <f>生データ!L838</f>
        <v>21</v>
      </c>
      <c r="M730">
        <f>生データ!M838</f>
        <v>0</v>
      </c>
      <c r="N730">
        <f>生データ!N838</f>
        <v>0</v>
      </c>
      <c r="O730">
        <f>生データ!O838</f>
        <v>0</v>
      </c>
      <c r="P730" t="str">
        <f>生データ!P838</f>
        <v>D</v>
      </c>
      <c r="Q730">
        <f>生データ!Q838</f>
        <v>0</v>
      </c>
      <c r="R730">
        <f>生データ!R838</f>
        <v>0</v>
      </c>
      <c r="S730">
        <f>生データ!S838</f>
        <v>0</v>
      </c>
      <c r="T730">
        <f>生データ!T838</f>
        <v>37.242256683503513</v>
      </c>
      <c r="U730" t="str">
        <f>生データ!U838</f>
        <v>dead</v>
      </c>
      <c r="V730">
        <f>COUNTIF(怪しいデータを手直し!F$2:F$701,Sheet5!F730)</f>
        <v>1</v>
      </c>
    </row>
    <row r="731" spans="1:22">
      <c r="A731">
        <f>生データ!A839</f>
        <v>0</v>
      </c>
      <c r="B731">
        <f>生データ!B839</f>
        <v>-40</v>
      </c>
      <c r="C731">
        <f>生データ!C839</f>
        <v>0.80116598442242903</v>
      </c>
      <c r="D731">
        <f>生データ!D839</f>
        <v>-32.577476658584828</v>
      </c>
      <c r="E731">
        <f>生データ!E839</f>
        <v>0</v>
      </c>
      <c r="F731">
        <f>IF(生データ!E839="Wr",3000+生データ!F839,IF(生データ!E839="Wb",4000+生データ!F839,生データ!F839))</f>
        <v>731</v>
      </c>
      <c r="G731" t="str">
        <f>生データ!G839</f>
        <v>lc</v>
      </c>
      <c r="H731">
        <f>生データ!H839</f>
        <v>118.5</v>
      </c>
      <c r="I731">
        <f>生データ!I839</f>
        <v>0</v>
      </c>
      <c r="J731" t="str">
        <f>生データ!J839</f>
        <v>dead</v>
      </c>
      <c r="K731">
        <f>生データ!K839</f>
        <v>0</v>
      </c>
      <c r="L731">
        <f>生データ!L839</f>
        <v>14.6</v>
      </c>
      <c r="M731">
        <f>生データ!M839</f>
        <v>0</v>
      </c>
      <c r="N731">
        <f>生データ!N839</f>
        <v>0</v>
      </c>
      <c r="O731">
        <f>生データ!O839</f>
        <v>0</v>
      </c>
      <c r="P731" t="str">
        <f>生データ!P839</f>
        <v>D</v>
      </c>
      <c r="Q731">
        <f>生データ!Q839</f>
        <v>0</v>
      </c>
      <c r="R731" t="str">
        <f>生データ!R839</f>
        <v>broken</v>
      </c>
      <c r="S731">
        <f>生データ!S839</f>
        <v>0</v>
      </c>
      <c r="T731">
        <f>生データ!T839</f>
        <v>37.719721512779195</v>
      </c>
      <c r="U731" t="str">
        <f>生データ!U839</f>
        <v>dead</v>
      </c>
      <c r="V731">
        <f>COUNTIF(怪しいデータを手直し!F$2:F$701,Sheet5!F731)</f>
        <v>1</v>
      </c>
    </row>
    <row r="732" spans="1:22">
      <c r="A732">
        <f>生データ!A840</f>
        <v>0</v>
      </c>
      <c r="B732">
        <f>生データ!B840</f>
        <v>-10</v>
      </c>
      <c r="C732">
        <f>生データ!C840</f>
        <v>2.7557223334190488</v>
      </c>
      <c r="D732">
        <f>生データ!D840</f>
        <v>-4.5915903981766064</v>
      </c>
      <c r="E732">
        <f>生データ!E840</f>
        <v>0</v>
      </c>
      <c r="F732">
        <f>IF(生データ!E840="Wr",3000+生データ!F840,IF(生データ!E840="Wb",4000+生データ!F840,生データ!F840))</f>
        <v>404</v>
      </c>
      <c r="G732" t="str">
        <f>生データ!G840</f>
        <v>lc</v>
      </c>
      <c r="H732">
        <f>生データ!H840</f>
        <v>127.8</v>
      </c>
      <c r="I732">
        <f>生データ!I840</f>
        <v>0</v>
      </c>
      <c r="J732" t="str">
        <f>生データ!J840</f>
        <v>dead</v>
      </c>
      <c r="K732">
        <f>生データ!K840</f>
        <v>0</v>
      </c>
      <c r="L732">
        <f>生データ!L840</f>
        <v>5.4</v>
      </c>
      <c r="M732">
        <f>生データ!M840</f>
        <v>0</v>
      </c>
      <c r="N732">
        <f>生データ!N840</f>
        <v>0</v>
      </c>
      <c r="O732">
        <f>生データ!O840</f>
        <v>0</v>
      </c>
      <c r="P732" t="str">
        <f>生データ!P840</f>
        <v>D</v>
      </c>
      <c r="Q732">
        <f>生データ!Q840</f>
        <v>0</v>
      </c>
      <c r="R732" t="str">
        <f>生データ!R840</f>
        <v>broken</v>
      </c>
      <c r="S732">
        <f>生データ!S840</f>
        <v>0</v>
      </c>
      <c r="T732">
        <f>生データ!T840</f>
        <v>40.680003454288446</v>
      </c>
      <c r="U732" t="str">
        <f>生データ!U840</f>
        <v>dead</v>
      </c>
      <c r="V732">
        <f>COUNTIF(怪しいデータを手直し!F$2:F$701,Sheet5!F732)</f>
        <v>1</v>
      </c>
    </row>
    <row r="733" spans="1:22">
      <c r="A733">
        <f>生データ!A841</f>
        <v>10</v>
      </c>
      <c r="B733">
        <f>生データ!B841</f>
        <v>-30</v>
      </c>
      <c r="C733">
        <f>生データ!C841</f>
        <v>12.339531167012069</v>
      </c>
      <c r="D733">
        <f>生データ!D841</f>
        <v>-29.699835939788905</v>
      </c>
      <c r="E733">
        <f>生データ!E841</f>
        <v>0</v>
      </c>
      <c r="F733">
        <f>IF(生データ!E841="Wr",3000+生データ!F841,IF(生データ!E841="Wb",4000+生データ!F841,生データ!F841))</f>
        <v>626</v>
      </c>
      <c r="G733" t="str">
        <f>生データ!G841</f>
        <v>lc</v>
      </c>
      <c r="H733">
        <f>生データ!H841</f>
        <v>135</v>
      </c>
      <c r="I733">
        <f>生データ!I841</f>
        <v>0</v>
      </c>
      <c r="J733" t="str">
        <f>生データ!J841</f>
        <v>dead</v>
      </c>
      <c r="K733">
        <f>生データ!K841</f>
        <v>0</v>
      </c>
      <c r="L733">
        <f>生データ!L841</f>
        <v>3.2</v>
      </c>
      <c r="M733">
        <f>生データ!M841</f>
        <v>0</v>
      </c>
      <c r="N733">
        <f>生データ!N841</f>
        <v>0</v>
      </c>
      <c r="O733">
        <f>生データ!O841</f>
        <v>0</v>
      </c>
      <c r="P733" t="str">
        <f>生データ!P841</f>
        <v>D</v>
      </c>
      <c r="Q733">
        <f>生データ!Q841</f>
        <v>0</v>
      </c>
      <c r="R733" t="str">
        <f>生データ!R841</f>
        <v>broken</v>
      </c>
      <c r="S733">
        <f>生データ!S841</f>
        <v>0</v>
      </c>
      <c r="T733">
        <f>生データ!T841</f>
        <v>42.971834634811742</v>
      </c>
      <c r="U733" t="str">
        <f>生データ!U841</f>
        <v>dead</v>
      </c>
      <c r="V733">
        <f>COUNTIF(怪しいデータを手直し!F$2:F$701,Sheet5!F733)</f>
        <v>1</v>
      </c>
    </row>
  </sheetData>
  <sortState ref="A3:V841">
    <sortCondition ref="V2"/>
  </sortState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52"/>
  <sheetViews>
    <sheetView zoomScale="70" zoomScaleNormal="70" workbookViewId="0">
      <selection activeCell="H35" sqref="H35"/>
    </sheetView>
  </sheetViews>
  <sheetFormatPr defaultRowHeight="13"/>
  <sheetData>
    <row r="1" spans="1:17">
      <c r="A1" s="63">
        <v>702</v>
      </c>
      <c r="B1" s="65">
        <v>1</v>
      </c>
      <c r="C1" s="65">
        <v>4</v>
      </c>
      <c r="D1" s="64">
        <v>4</v>
      </c>
      <c r="E1" s="65">
        <v>1</v>
      </c>
      <c r="F1" s="65">
        <v>2</v>
      </c>
      <c r="G1" s="65"/>
      <c r="H1" s="65">
        <v>2</v>
      </c>
      <c r="I1" s="65">
        <v>1</v>
      </c>
      <c r="J1" s="65"/>
      <c r="K1" s="65"/>
      <c r="L1" s="65"/>
      <c r="M1" s="66">
        <v>15</v>
      </c>
      <c r="N1" s="50">
        <v>16</v>
      </c>
      <c r="O1">
        <v>4.6473243382833438</v>
      </c>
      <c r="P1" t="s">
        <v>297</v>
      </c>
      <c r="Q1">
        <v>14.260282901033822</v>
      </c>
    </row>
    <row r="2" spans="1:17">
      <c r="A2" s="63">
        <v>347</v>
      </c>
      <c r="B2" s="64">
        <v>2</v>
      </c>
      <c r="C2" s="64">
        <v>2</v>
      </c>
      <c r="D2" s="64">
        <v>1</v>
      </c>
      <c r="E2" s="64"/>
      <c r="F2" s="64">
        <v>1</v>
      </c>
      <c r="G2" s="64"/>
      <c r="H2" s="64"/>
      <c r="I2" s="64"/>
      <c r="J2" s="64"/>
      <c r="K2" s="64"/>
      <c r="L2" s="64"/>
      <c r="M2" s="66">
        <v>6</v>
      </c>
      <c r="N2" s="50">
        <v>26</v>
      </c>
      <c r="O2">
        <v>8.5625359383439683</v>
      </c>
    </row>
    <row r="3" spans="1:17">
      <c r="A3" s="63">
        <v>212</v>
      </c>
      <c r="B3" s="64">
        <v>1</v>
      </c>
      <c r="C3" s="64"/>
      <c r="D3" s="64"/>
      <c r="E3" s="64">
        <v>1</v>
      </c>
      <c r="F3" s="64"/>
      <c r="G3" s="64"/>
      <c r="H3" s="64"/>
      <c r="I3" s="64"/>
      <c r="J3" s="64"/>
      <c r="K3" s="64"/>
      <c r="L3" s="64"/>
      <c r="M3" s="66">
        <v>2</v>
      </c>
      <c r="N3" s="50">
        <v>28</v>
      </c>
    </row>
    <row r="4" spans="1:17">
      <c r="A4" s="63">
        <v>358</v>
      </c>
      <c r="B4" s="65">
        <v>2</v>
      </c>
      <c r="C4" s="64">
        <v>2</v>
      </c>
      <c r="D4" s="65">
        <v>1</v>
      </c>
      <c r="E4" s="65"/>
      <c r="F4" s="65"/>
      <c r="G4" s="65"/>
      <c r="H4" s="65"/>
      <c r="I4" s="65"/>
      <c r="J4" s="65"/>
      <c r="K4" s="65"/>
      <c r="L4" s="65"/>
      <c r="M4" s="66">
        <v>5</v>
      </c>
      <c r="N4" s="50">
        <v>35</v>
      </c>
      <c r="O4">
        <v>3.4059157821665602</v>
      </c>
      <c r="P4" t="s">
        <v>297</v>
      </c>
      <c r="Q4">
        <v>4.1061975317709001</v>
      </c>
    </row>
    <row r="5" spans="1:17">
      <c r="A5" s="63">
        <v>112</v>
      </c>
      <c r="B5" s="64">
        <v>2</v>
      </c>
      <c r="C5" s="64"/>
      <c r="D5" s="64"/>
      <c r="E5" s="64"/>
      <c r="F5" s="64">
        <v>1</v>
      </c>
      <c r="G5" s="64"/>
      <c r="H5" s="64"/>
      <c r="I5" s="64"/>
      <c r="J5" s="64"/>
      <c r="K5" s="64"/>
      <c r="L5" s="64"/>
      <c r="M5" s="66">
        <v>3</v>
      </c>
      <c r="N5" s="50">
        <v>40</v>
      </c>
      <c r="O5">
        <v>8.7853528586726242</v>
      </c>
    </row>
    <row r="6" spans="1:17">
      <c r="A6" s="63">
        <v>146</v>
      </c>
      <c r="B6" s="65">
        <v>4</v>
      </c>
      <c r="C6" s="65">
        <v>3</v>
      </c>
      <c r="D6" s="64">
        <v>1</v>
      </c>
      <c r="E6" s="65">
        <v>1</v>
      </c>
      <c r="F6" s="65"/>
      <c r="G6" s="65"/>
      <c r="H6" s="65"/>
      <c r="I6" s="65"/>
      <c r="J6" s="65"/>
      <c r="K6" s="65">
        <v>1</v>
      </c>
      <c r="L6" s="65"/>
      <c r="M6" s="66">
        <v>10</v>
      </c>
      <c r="N6" s="50">
        <v>41</v>
      </c>
      <c r="O6">
        <v>5.9842258602552647</v>
      </c>
      <c r="P6" t="s">
        <v>297</v>
      </c>
      <c r="Q6">
        <v>19.098593171027442</v>
      </c>
    </row>
    <row r="7" spans="1:17">
      <c r="A7" s="63">
        <v>507</v>
      </c>
      <c r="B7" s="65">
        <v>1</v>
      </c>
      <c r="C7" s="65">
        <v>2</v>
      </c>
      <c r="D7" s="64">
        <v>1</v>
      </c>
      <c r="E7" s="65"/>
      <c r="F7" s="65"/>
      <c r="G7" s="65"/>
      <c r="H7" s="65">
        <v>1</v>
      </c>
      <c r="I7" s="65"/>
      <c r="J7" s="65"/>
      <c r="K7" s="65"/>
      <c r="L7" s="65"/>
      <c r="M7" s="66">
        <v>5</v>
      </c>
      <c r="N7" s="50">
        <v>44</v>
      </c>
      <c r="O7">
        <v>5.2521131220325463</v>
      </c>
      <c r="P7" t="s">
        <v>298</v>
      </c>
      <c r="Q7">
        <v>7.7030992456477341</v>
      </c>
    </row>
    <row r="8" spans="1:17">
      <c r="A8" s="63">
        <v>435</v>
      </c>
      <c r="B8" s="64">
        <v>4</v>
      </c>
      <c r="C8" s="64"/>
      <c r="D8" s="64"/>
      <c r="E8" s="64">
        <v>1</v>
      </c>
      <c r="F8" s="64"/>
      <c r="G8" s="64"/>
      <c r="H8" s="64"/>
      <c r="I8" s="64"/>
      <c r="J8" s="64"/>
      <c r="K8" s="64"/>
      <c r="L8" s="64"/>
      <c r="M8" s="66">
        <v>5</v>
      </c>
      <c r="N8" s="50">
        <v>47</v>
      </c>
      <c r="O8">
        <v>7.3211273822271856</v>
      </c>
    </row>
    <row r="9" spans="1:17">
      <c r="A9" s="63">
        <v>265</v>
      </c>
      <c r="B9" s="64">
        <v>3</v>
      </c>
      <c r="C9" s="64"/>
      <c r="D9" s="64">
        <v>4</v>
      </c>
      <c r="E9" s="64">
        <v>2</v>
      </c>
      <c r="F9" s="64"/>
      <c r="G9" s="64"/>
      <c r="H9" s="64"/>
      <c r="I9" s="64">
        <v>1</v>
      </c>
      <c r="J9" s="64"/>
      <c r="K9" s="64"/>
      <c r="L9" s="64"/>
      <c r="M9" s="66">
        <v>10</v>
      </c>
      <c r="N9" s="50">
        <v>47</v>
      </c>
      <c r="O9">
        <v>14.928733662019782</v>
      </c>
    </row>
    <row r="10" spans="1:17">
      <c r="A10" s="63">
        <v>245</v>
      </c>
      <c r="B10" s="64">
        <v>3</v>
      </c>
      <c r="C10" s="64">
        <v>4</v>
      </c>
      <c r="D10" s="64">
        <v>1</v>
      </c>
      <c r="E10" s="64">
        <v>1</v>
      </c>
      <c r="F10" s="64"/>
      <c r="G10" s="64"/>
      <c r="H10" s="64"/>
      <c r="I10" s="64"/>
      <c r="J10" s="64"/>
      <c r="K10" s="64"/>
      <c r="L10" s="64"/>
      <c r="M10" s="66">
        <v>9</v>
      </c>
      <c r="N10" s="50">
        <v>57</v>
      </c>
      <c r="O10">
        <v>7.4484513367007015</v>
      </c>
    </row>
    <row r="11" spans="1:17">
      <c r="A11" s="63">
        <v>302</v>
      </c>
      <c r="B11" s="64">
        <v>14</v>
      </c>
      <c r="C11" s="64">
        <v>8</v>
      </c>
      <c r="D11" s="64">
        <v>3</v>
      </c>
      <c r="E11" s="64">
        <v>1</v>
      </c>
      <c r="F11" s="64">
        <v>1</v>
      </c>
      <c r="G11" s="64"/>
      <c r="H11" s="64">
        <v>1</v>
      </c>
      <c r="I11" s="64"/>
      <c r="J11" s="64"/>
      <c r="K11" s="64"/>
      <c r="L11" s="64"/>
      <c r="M11" s="66">
        <v>28</v>
      </c>
      <c r="N11" s="50">
        <v>57</v>
      </c>
      <c r="O11">
        <v>12.923381379061903</v>
      </c>
    </row>
    <row r="12" spans="1:17">
      <c r="A12" s="63">
        <v>453</v>
      </c>
      <c r="B12" s="65">
        <v>3</v>
      </c>
      <c r="C12" s="65">
        <v>3</v>
      </c>
      <c r="D12" s="65"/>
      <c r="E12" s="64">
        <v>2</v>
      </c>
      <c r="F12" s="65"/>
      <c r="G12" s="65"/>
      <c r="H12" s="65">
        <v>1</v>
      </c>
      <c r="I12" s="65"/>
      <c r="J12" s="65"/>
      <c r="K12" s="65"/>
      <c r="L12" s="65"/>
      <c r="M12" s="66">
        <v>9</v>
      </c>
      <c r="N12" s="50">
        <v>66</v>
      </c>
      <c r="O12">
        <v>7.4802823253190809</v>
      </c>
      <c r="P12" t="s">
        <v>297</v>
      </c>
      <c r="Q12">
        <v>13.846480048994895</v>
      </c>
    </row>
    <row r="13" spans="1:17">
      <c r="A13" s="63">
        <v>195</v>
      </c>
      <c r="B13" s="64">
        <v>2</v>
      </c>
      <c r="C13" s="64">
        <v>4</v>
      </c>
      <c r="D13" s="64">
        <v>3</v>
      </c>
      <c r="E13" s="64">
        <v>1</v>
      </c>
      <c r="F13" s="64">
        <v>1</v>
      </c>
      <c r="G13" s="64">
        <v>1</v>
      </c>
      <c r="H13" s="64">
        <v>1</v>
      </c>
      <c r="I13" s="64"/>
      <c r="J13" s="64"/>
      <c r="K13" s="64"/>
      <c r="L13" s="64"/>
      <c r="M13" s="66">
        <v>13</v>
      </c>
      <c r="N13" s="50">
        <v>67</v>
      </c>
      <c r="O13">
        <v>12.541409515641352</v>
      </c>
    </row>
    <row r="14" spans="1:17">
      <c r="A14" s="63">
        <v>202</v>
      </c>
      <c r="B14" s="65">
        <v>1</v>
      </c>
      <c r="C14" s="65"/>
      <c r="D14" s="65"/>
      <c r="E14" s="65"/>
      <c r="F14" s="65"/>
      <c r="G14" s="65"/>
      <c r="H14" s="64">
        <v>2</v>
      </c>
      <c r="I14" s="65"/>
      <c r="J14" s="65"/>
      <c r="K14" s="65">
        <v>1</v>
      </c>
      <c r="L14" s="65"/>
      <c r="M14" s="66">
        <v>4</v>
      </c>
      <c r="N14" s="50">
        <v>70</v>
      </c>
      <c r="P14" t="s">
        <v>299</v>
      </c>
    </row>
    <row r="15" spans="1:17">
      <c r="A15" s="63">
        <v>546</v>
      </c>
      <c r="B15" s="65">
        <v>9</v>
      </c>
      <c r="C15" s="65">
        <v>4</v>
      </c>
      <c r="D15" s="65">
        <v>1</v>
      </c>
      <c r="E15" s="64">
        <v>3</v>
      </c>
      <c r="F15" s="65"/>
      <c r="G15" s="65"/>
      <c r="H15" s="65"/>
      <c r="I15" s="65">
        <v>1</v>
      </c>
      <c r="J15" s="65"/>
      <c r="K15" s="65"/>
      <c r="L15" s="65"/>
      <c r="M15" s="66">
        <v>18</v>
      </c>
      <c r="N15" s="50">
        <v>75</v>
      </c>
      <c r="O15">
        <v>7.0346484846617745</v>
      </c>
      <c r="P15" t="s">
        <v>297</v>
      </c>
      <c r="Q15">
        <v>15.278874536821952</v>
      </c>
    </row>
    <row r="16" spans="1:17">
      <c r="A16" s="63">
        <v>460</v>
      </c>
      <c r="B16" s="64">
        <v>2</v>
      </c>
      <c r="C16" s="64">
        <v>4</v>
      </c>
      <c r="D16" s="64">
        <v>7</v>
      </c>
      <c r="E16" s="64">
        <v>1</v>
      </c>
      <c r="F16" s="64">
        <v>1</v>
      </c>
      <c r="G16" s="64"/>
      <c r="H16" s="64"/>
      <c r="I16" s="64"/>
      <c r="J16" s="64"/>
      <c r="K16" s="64"/>
      <c r="L16" s="64"/>
      <c r="M16" s="66">
        <v>15</v>
      </c>
      <c r="N16" s="50">
        <v>75</v>
      </c>
      <c r="O16">
        <v>8.1169020976866619</v>
      </c>
    </row>
    <row r="17" spans="1:17">
      <c r="A17" s="63">
        <v>364</v>
      </c>
      <c r="B17" s="64">
        <v>2</v>
      </c>
      <c r="C17" s="64">
        <v>3</v>
      </c>
      <c r="D17" s="64">
        <v>1</v>
      </c>
      <c r="E17" s="64">
        <v>1</v>
      </c>
      <c r="F17" s="64"/>
      <c r="G17" s="64"/>
      <c r="H17" s="64"/>
      <c r="I17" s="64"/>
      <c r="J17" s="64"/>
      <c r="K17" s="64"/>
      <c r="L17" s="64"/>
      <c r="M17" s="66">
        <v>7</v>
      </c>
      <c r="N17" s="50">
        <v>79</v>
      </c>
      <c r="O17">
        <v>6.9391555188066372</v>
      </c>
    </row>
    <row r="18" spans="1:17">
      <c r="A18" s="63">
        <v>170</v>
      </c>
      <c r="B18" s="64">
        <v>1</v>
      </c>
      <c r="C18" s="64">
        <v>1</v>
      </c>
      <c r="D18" s="64">
        <v>1</v>
      </c>
      <c r="E18" s="64"/>
      <c r="F18" s="64"/>
      <c r="G18" s="64"/>
      <c r="H18" s="64"/>
      <c r="I18" s="64">
        <v>1</v>
      </c>
      <c r="J18" s="64"/>
      <c r="K18" s="64"/>
      <c r="L18" s="64"/>
      <c r="M18" s="66">
        <v>4</v>
      </c>
      <c r="N18" s="50">
        <v>82</v>
      </c>
      <c r="O18">
        <v>15.597184423005743</v>
      </c>
    </row>
    <row r="19" spans="1:17">
      <c r="A19" s="63">
        <v>562</v>
      </c>
      <c r="B19" s="64">
        <v>2</v>
      </c>
      <c r="C19" s="64">
        <v>1</v>
      </c>
      <c r="D19" s="64">
        <v>2</v>
      </c>
      <c r="E19" s="64"/>
      <c r="F19" s="64"/>
      <c r="G19" s="64">
        <v>1</v>
      </c>
      <c r="H19" s="64"/>
      <c r="I19" s="64"/>
      <c r="J19" s="64"/>
      <c r="K19" s="64"/>
      <c r="L19" s="64"/>
      <c r="M19" s="66">
        <v>6</v>
      </c>
      <c r="N19" s="50">
        <v>86</v>
      </c>
      <c r="O19">
        <v>11.459155902616464</v>
      </c>
    </row>
    <row r="20" spans="1:17">
      <c r="A20" s="63">
        <v>646</v>
      </c>
      <c r="B20" s="64"/>
      <c r="C20" s="64">
        <v>3</v>
      </c>
      <c r="D20" s="64">
        <v>1</v>
      </c>
      <c r="E20" s="64">
        <v>1</v>
      </c>
      <c r="F20" s="64">
        <v>1</v>
      </c>
      <c r="G20" s="64">
        <v>1</v>
      </c>
      <c r="H20" s="64"/>
      <c r="I20" s="64"/>
      <c r="J20" s="64">
        <v>1</v>
      </c>
      <c r="K20" s="64"/>
      <c r="L20" s="64"/>
      <c r="M20" s="66">
        <v>8</v>
      </c>
      <c r="N20" s="50">
        <v>98</v>
      </c>
      <c r="O20">
        <v>16.615776058793873</v>
      </c>
    </row>
    <row r="21" spans="1:17">
      <c r="A21" s="63">
        <v>411</v>
      </c>
      <c r="B21" s="64">
        <v>2</v>
      </c>
      <c r="C21" s="64">
        <v>4</v>
      </c>
      <c r="D21" s="64">
        <v>1</v>
      </c>
      <c r="E21" s="64"/>
      <c r="F21" s="64">
        <v>1</v>
      </c>
      <c r="G21" s="64"/>
      <c r="H21" s="64"/>
      <c r="I21" s="64"/>
      <c r="J21" s="64"/>
      <c r="K21" s="64"/>
      <c r="L21" s="64"/>
      <c r="M21" s="66">
        <v>8</v>
      </c>
      <c r="N21" s="50">
        <v>103</v>
      </c>
      <c r="O21">
        <v>9.0081697790012765</v>
      </c>
    </row>
    <row r="22" spans="1:17">
      <c r="A22" s="63">
        <v>176</v>
      </c>
      <c r="B22" s="64">
        <v>2</v>
      </c>
      <c r="C22" s="64">
        <v>1</v>
      </c>
      <c r="D22" s="64"/>
      <c r="E22" s="64">
        <v>3</v>
      </c>
      <c r="F22" s="64"/>
      <c r="G22" s="64">
        <v>2</v>
      </c>
      <c r="H22" s="64"/>
      <c r="I22" s="64"/>
      <c r="J22" s="64"/>
      <c r="K22" s="64"/>
      <c r="L22" s="64"/>
      <c r="M22" s="66">
        <v>8</v>
      </c>
      <c r="N22" s="50">
        <v>103</v>
      </c>
      <c r="O22">
        <v>10.663381187156988</v>
      </c>
    </row>
    <row r="23" spans="1:17">
      <c r="A23" s="63">
        <v>4</v>
      </c>
      <c r="B23" s="65">
        <v>6</v>
      </c>
      <c r="C23" s="65">
        <v>4</v>
      </c>
      <c r="D23" s="65">
        <v>2</v>
      </c>
      <c r="E23" s="64">
        <v>1</v>
      </c>
      <c r="F23" s="65">
        <v>1</v>
      </c>
      <c r="G23" s="65"/>
      <c r="H23" s="65"/>
      <c r="I23" s="65"/>
      <c r="J23" s="65"/>
      <c r="K23" s="65"/>
      <c r="L23" s="65"/>
      <c r="M23" s="66">
        <v>14</v>
      </c>
      <c r="N23" s="50">
        <v>110</v>
      </c>
      <c r="O23">
        <v>7.8940851773580096</v>
      </c>
      <c r="P23" t="s">
        <v>297</v>
      </c>
      <c r="Q23">
        <v>8.2760570407785572</v>
      </c>
    </row>
    <row r="24" spans="1:17">
      <c r="A24" s="63">
        <v>19</v>
      </c>
      <c r="B24" s="65">
        <v>2</v>
      </c>
      <c r="C24" s="65">
        <v>1</v>
      </c>
      <c r="D24" s="64">
        <v>2</v>
      </c>
      <c r="E24" s="65"/>
      <c r="F24" s="65"/>
      <c r="G24" s="65">
        <v>2</v>
      </c>
      <c r="H24" s="65"/>
      <c r="I24" s="65"/>
      <c r="J24" s="65"/>
      <c r="K24" s="65"/>
      <c r="L24" s="65"/>
      <c r="M24" s="66">
        <v>7</v>
      </c>
      <c r="N24" s="50">
        <v>111</v>
      </c>
      <c r="O24">
        <v>4.45633840657307</v>
      </c>
      <c r="P24" t="s">
        <v>297</v>
      </c>
      <c r="Q24">
        <v>11.045353050577537</v>
      </c>
    </row>
    <row r="25" spans="1:17">
      <c r="A25" s="63">
        <v>678</v>
      </c>
      <c r="B25" s="65">
        <v>5</v>
      </c>
      <c r="C25" s="65">
        <v>5</v>
      </c>
      <c r="D25" s="65">
        <v>1</v>
      </c>
      <c r="E25" s="64">
        <v>6</v>
      </c>
      <c r="F25" s="65"/>
      <c r="G25" s="65"/>
      <c r="H25" s="65">
        <v>1</v>
      </c>
      <c r="I25" s="65"/>
      <c r="J25" s="65"/>
      <c r="K25" s="65"/>
      <c r="L25" s="65"/>
      <c r="M25" s="66">
        <v>18</v>
      </c>
      <c r="N25" s="50">
        <v>114</v>
      </c>
      <c r="O25">
        <v>7.0346484846617745</v>
      </c>
      <c r="P25" t="s">
        <v>297</v>
      </c>
      <c r="Q25">
        <v>13.209860276627314</v>
      </c>
    </row>
    <row r="26" spans="1:17">
      <c r="A26" s="63">
        <v>37</v>
      </c>
      <c r="B26" s="64">
        <v>2</v>
      </c>
      <c r="C26" s="64">
        <v>1</v>
      </c>
      <c r="D26" s="64">
        <v>3</v>
      </c>
      <c r="E26" s="64"/>
      <c r="F26" s="64"/>
      <c r="G26" s="64"/>
      <c r="H26" s="64">
        <v>1</v>
      </c>
      <c r="I26" s="64">
        <v>1</v>
      </c>
      <c r="J26" s="64"/>
      <c r="K26" s="64">
        <v>1</v>
      </c>
      <c r="L26" s="64"/>
      <c r="M26" s="66">
        <v>9</v>
      </c>
      <c r="N26" s="50">
        <v>117</v>
      </c>
      <c r="O26">
        <v>18.239156478331207</v>
      </c>
    </row>
    <row r="27" spans="1:17">
      <c r="A27" s="63">
        <v>430</v>
      </c>
      <c r="B27" s="64"/>
      <c r="C27" s="64"/>
      <c r="D27" s="64">
        <v>1</v>
      </c>
      <c r="E27" s="64"/>
      <c r="F27" s="64">
        <v>2</v>
      </c>
      <c r="G27" s="64"/>
      <c r="H27" s="64"/>
      <c r="I27" s="64"/>
      <c r="J27" s="64"/>
      <c r="K27" s="64"/>
      <c r="L27" s="64"/>
      <c r="M27" s="66">
        <v>3</v>
      </c>
      <c r="N27" s="50">
        <v>120</v>
      </c>
      <c r="O27">
        <v>9.3901416424218258</v>
      </c>
    </row>
    <row r="28" spans="1:17">
      <c r="A28" s="63">
        <v>423</v>
      </c>
      <c r="B28" s="64"/>
      <c r="C28" s="64">
        <v>2</v>
      </c>
      <c r="D28" s="64"/>
      <c r="E28" s="64">
        <v>1</v>
      </c>
      <c r="F28" s="64"/>
      <c r="G28" s="64">
        <v>1</v>
      </c>
      <c r="H28" s="64"/>
      <c r="I28" s="64"/>
      <c r="J28" s="64"/>
      <c r="K28" s="64"/>
      <c r="L28" s="64"/>
      <c r="M28" s="66">
        <v>4</v>
      </c>
      <c r="N28" s="50">
        <v>120</v>
      </c>
      <c r="O28">
        <v>11.618310845708359</v>
      </c>
    </row>
    <row r="29" spans="1:17">
      <c r="A29" s="63">
        <v>94</v>
      </c>
      <c r="B29" s="64">
        <v>4</v>
      </c>
      <c r="C29" s="64">
        <v>3</v>
      </c>
      <c r="D29" s="64"/>
      <c r="E29" s="64"/>
      <c r="F29" s="64"/>
      <c r="G29" s="64"/>
      <c r="H29" s="64">
        <v>2</v>
      </c>
      <c r="I29" s="64"/>
      <c r="J29" s="64"/>
      <c r="K29" s="64"/>
      <c r="L29" s="64"/>
      <c r="M29" s="66">
        <v>9</v>
      </c>
      <c r="N29" s="50">
        <v>120</v>
      </c>
      <c r="O29">
        <v>12.923381379061903</v>
      </c>
    </row>
    <row r="30" spans="1:17">
      <c r="A30" s="63">
        <v>608</v>
      </c>
      <c r="B30" s="64">
        <v>1</v>
      </c>
      <c r="C30" s="64">
        <v>1</v>
      </c>
      <c r="D30" s="64">
        <v>1</v>
      </c>
      <c r="E30" s="64"/>
      <c r="F30" s="64"/>
      <c r="G30" s="64"/>
      <c r="H30" s="64"/>
      <c r="I30" s="64"/>
      <c r="J30" s="64">
        <v>1</v>
      </c>
      <c r="K30" s="64"/>
      <c r="L30" s="64"/>
      <c r="M30" s="66">
        <v>4</v>
      </c>
      <c r="N30" s="50">
        <v>133</v>
      </c>
      <c r="O30">
        <v>16.456621115701978</v>
      </c>
    </row>
    <row r="31" spans="1:17">
      <c r="A31" s="63">
        <v>574</v>
      </c>
      <c r="B31" s="64"/>
      <c r="C31" s="64"/>
      <c r="D31" s="64">
        <v>1</v>
      </c>
      <c r="E31" s="64"/>
      <c r="F31" s="64"/>
      <c r="G31" s="64">
        <v>1</v>
      </c>
      <c r="H31" s="64"/>
      <c r="I31" s="64">
        <v>1</v>
      </c>
      <c r="J31" s="64"/>
      <c r="K31" s="64"/>
      <c r="L31" s="64"/>
      <c r="M31" s="66">
        <v>3</v>
      </c>
      <c r="N31" s="50">
        <v>138</v>
      </c>
      <c r="O31">
        <v>14.228451912415444</v>
      </c>
    </row>
    <row r="32" spans="1:17">
      <c r="A32" s="63">
        <v>527</v>
      </c>
      <c r="B32" s="64">
        <v>5</v>
      </c>
      <c r="C32" s="64">
        <v>6</v>
      </c>
      <c r="D32" s="64">
        <v>1</v>
      </c>
      <c r="E32" s="64"/>
      <c r="F32" s="64"/>
      <c r="G32" s="64"/>
      <c r="H32" s="64"/>
      <c r="I32" s="64"/>
      <c r="J32" s="64"/>
      <c r="K32" s="64">
        <v>1</v>
      </c>
      <c r="L32" s="64"/>
      <c r="M32" s="66">
        <v>13</v>
      </c>
      <c r="N32" s="50">
        <v>138</v>
      </c>
      <c r="O32">
        <v>19.034931193790683</v>
      </c>
    </row>
    <row r="33" spans="1:17">
      <c r="A33" s="63">
        <v>224</v>
      </c>
      <c r="B33" s="64">
        <v>1</v>
      </c>
      <c r="C33" s="64">
        <v>4</v>
      </c>
      <c r="D33" s="64">
        <v>4</v>
      </c>
      <c r="E33" s="64">
        <v>3</v>
      </c>
      <c r="F33" s="64">
        <v>1</v>
      </c>
      <c r="G33" s="64">
        <v>1</v>
      </c>
      <c r="H33" s="64"/>
      <c r="I33" s="64"/>
      <c r="J33" s="64"/>
      <c r="K33" s="64"/>
      <c r="L33" s="64">
        <v>1</v>
      </c>
      <c r="M33" s="66">
        <v>15</v>
      </c>
      <c r="N33" s="50">
        <v>141</v>
      </c>
      <c r="O33">
        <v>21.899720169444798</v>
      </c>
    </row>
    <row r="34" spans="1:17">
      <c r="A34" s="63">
        <v>284</v>
      </c>
      <c r="B34" s="64"/>
      <c r="C34" s="64"/>
      <c r="D34" s="64"/>
      <c r="E34" s="64"/>
      <c r="F34" s="64"/>
      <c r="G34" s="64"/>
      <c r="H34" s="64"/>
      <c r="I34" s="64">
        <v>1</v>
      </c>
      <c r="J34" s="64"/>
      <c r="K34" s="64"/>
      <c r="L34" s="64"/>
      <c r="M34" s="66">
        <v>1</v>
      </c>
      <c r="N34" s="50">
        <v>145</v>
      </c>
    </row>
    <row r="35" spans="1:17">
      <c r="A35" s="63">
        <v>696</v>
      </c>
      <c r="B35" s="64">
        <v>1</v>
      </c>
      <c r="C35" s="64"/>
      <c r="D35" s="64">
        <v>1</v>
      </c>
      <c r="E35" s="64">
        <v>1</v>
      </c>
      <c r="F35" s="64"/>
      <c r="G35" s="64">
        <v>1</v>
      </c>
      <c r="H35" s="64"/>
      <c r="I35" s="64"/>
      <c r="J35" s="64">
        <v>1</v>
      </c>
      <c r="K35" s="64"/>
      <c r="L35" s="64"/>
      <c r="M35" s="66">
        <v>5</v>
      </c>
      <c r="N35" s="50">
        <v>152</v>
      </c>
      <c r="O35">
        <v>16.233804195373324</v>
      </c>
    </row>
    <row r="36" spans="1:17">
      <c r="A36" s="63">
        <v>139</v>
      </c>
      <c r="B36" s="65">
        <v>3</v>
      </c>
      <c r="C36" s="65">
        <v>3</v>
      </c>
      <c r="D36" s="65">
        <v>4</v>
      </c>
      <c r="E36" s="65"/>
      <c r="F36" s="64">
        <v>1</v>
      </c>
      <c r="G36" s="65">
        <v>1</v>
      </c>
      <c r="H36" s="65"/>
      <c r="I36" s="65"/>
      <c r="J36" s="65"/>
      <c r="K36" s="65"/>
      <c r="L36" s="65"/>
      <c r="M36" s="66">
        <v>12</v>
      </c>
      <c r="N36" s="50">
        <v>161</v>
      </c>
      <c r="O36">
        <v>8.4670429724888319</v>
      </c>
      <c r="P36" t="s">
        <v>297</v>
      </c>
      <c r="Q36">
        <v>11.140846016432674</v>
      </c>
    </row>
    <row r="37" spans="1:17">
      <c r="A37" t="s">
        <v>300</v>
      </c>
      <c r="B37" t="s">
        <v>282</v>
      </c>
      <c r="C37" t="s">
        <v>283</v>
      </c>
      <c r="D37" t="s">
        <v>284</v>
      </c>
      <c r="E37" t="s">
        <v>285</v>
      </c>
      <c r="F37" t="s">
        <v>286</v>
      </c>
      <c r="G37" t="s">
        <v>287</v>
      </c>
      <c r="H37" t="s">
        <v>288</v>
      </c>
      <c r="I37" t="s">
        <v>289</v>
      </c>
      <c r="J37" t="s">
        <v>290</v>
      </c>
      <c r="K37" t="s">
        <v>291</v>
      </c>
      <c r="L37" t="s">
        <v>292</v>
      </c>
      <c r="M37" t="s">
        <v>159</v>
      </c>
      <c r="N37" t="s">
        <v>295</v>
      </c>
      <c r="O37" t="s">
        <v>296</v>
      </c>
    </row>
    <row r="38" spans="1:17">
      <c r="A38" s="63">
        <v>50</v>
      </c>
      <c r="B38" s="50">
        <v>2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>
        <v>2</v>
      </c>
      <c r="N38" s="50"/>
    </row>
    <row r="39" spans="1:17">
      <c r="A39" s="63">
        <v>105</v>
      </c>
      <c r="B39" s="50"/>
      <c r="C39" s="50">
        <v>1</v>
      </c>
      <c r="D39" s="50"/>
      <c r="E39" s="50"/>
      <c r="F39" s="50"/>
      <c r="G39" s="50"/>
      <c r="H39" s="50"/>
      <c r="I39" s="50"/>
      <c r="J39" s="50"/>
      <c r="K39" s="50"/>
      <c r="L39" s="50"/>
      <c r="M39" s="50">
        <v>1</v>
      </c>
      <c r="N39" s="50"/>
    </row>
    <row r="40" spans="1:17">
      <c r="A40" s="63">
        <v>111</v>
      </c>
      <c r="B40" s="50">
        <v>3</v>
      </c>
      <c r="C40" s="50"/>
      <c r="D40" s="50">
        <v>1</v>
      </c>
      <c r="E40" s="50"/>
      <c r="F40" s="50"/>
      <c r="G40" s="50"/>
      <c r="H40" s="50"/>
      <c r="I40" s="50"/>
      <c r="J40" s="50"/>
      <c r="K40" s="50"/>
      <c r="L40" s="50"/>
      <c r="M40" s="50">
        <v>4</v>
      </c>
      <c r="N40" s="50"/>
    </row>
    <row r="41" spans="1:17">
      <c r="A41" s="63">
        <v>199</v>
      </c>
      <c r="B41" s="50"/>
      <c r="C41" s="50"/>
      <c r="D41" s="50">
        <v>1</v>
      </c>
      <c r="E41" s="50"/>
      <c r="F41" s="50"/>
      <c r="G41" s="50"/>
      <c r="H41" s="50"/>
      <c r="I41" s="50"/>
      <c r="J41" s="50"/>
      <c r="K41" s="50"/>
      <c r="L41" s="50"/>
      <c r="M41" s="50">
        <v>1</v>
      </c>
      <c r="N41" s="50"/>
    </row>
    <row r="42" spans="1:17">
      <c r="A42" s="63">
        <v>352</v>
      </c>
      <c r="B42" s="50"/>
      <c r="C42" s="50">
        <v>1</v>
      </c>
      <c r="D42" s="50"/>
      <c r="E42" s="50"/>
      <c r="F42" s="50"/>
      <c r="G42" s="50"/>
      <c r="H42" s="50"/>
      <c r="I42" s="50"/>
      <c r="J42" s="50"/>
      <c r="K42" s="50"/>
      <c r="L42" s="50"/>
      <c r="M42" s="50">
        <v>1</v>
      </c>
      <c r="N42" s="50"/>
    </row>
    <row r="43" spans="1:17">
      <c r="A43" s="63">
        <v>409</v>
      </c>
      <c r="B43" s="50"/>
      <c r="C43" s="50"/>
      <c r="D43" s="50"/>
      <c r="E43" s="50"/>
      <c r="F43" s="50"/>
      <c r="G43" s="50"/>
      <c r="H43" s="50">
        <v>1</v>
      </c>
      <c r="I43" s="50"/>
      <c r="J43" s="50"/>
      <c r="K43" s="50"/>
      <c r="L43" s="50"/>
      <c r="M43" s="50">
        <v>1</v>
      </c>
      <c r="N43" s="50"/>
    </row>
    <row r="44" spans="1:17">
      <c r="A44" s="63">
        <v>418</v>
      </c>
      <c r="B44" s="50"/>
      <c r="C44" s="50"/>
      <c r="D44" s="50">
        <v>1</v>
      </c>
      <c r="E44" s="50"/>
      <c r="F44" s="50"/>
      <c r="G44" s="50">
        <v>1</v>
      </c>
      <c r="H44" s="50"/>
      <c r="I44" s="50"/>
      <c r="J44" s="50"/>
      <c r="K44" s="50"/>
      <c r="L44" s="50"/>
      <c r="M44" s="50">
        <v>2</v>
      </c>
      <c r="N44" s="50"/>
    </row>
    <row r="45" spans="1:17">
      <c r="A45" s="63">
        <v>427</v>
      </c>
      <c r="B45" s="50"/>
      <c r="C45" s="50">
        <v>1</v>
      </c>
      <c r="D45" s="50">
        <v>1</v>
      </c>
      <c r="E45" s="50"/>
      <c r="F45" s="50"/>
      <c r="G45" s="50"/>
      <c r="H45" s="50"/>
      <c r="I45" s="50"/>
      <c r="J45" s="50"/>
      <c r="K45" s="50"/>
      <c r="L45" s="50"/>
      <c r="M45" s="50">
        <v>2</v>
      </c>
      <c r="N45" s="50"/>
    </row>
    <row r="46" spans="1:17">
      <c r="A46" s="63">
        <v>443</v>
      </c>
      <c r="B46" s="50">
        <v>5</v>
      </c>
      <c r="C46" s="50">
        <v>1</v>
      </c>
      <c r="D46" s="50"/>
      <c r="E46" s="50"/>
      <c r="F46" s="50"/>
      <c r="G46" s="50"/>
      <c r="H46" s="50"/>
      <c r="I46" s="50"/>
      <c r="J46" s="50"/>
      <c r="K46" s="50"/>
      <c r="L46" s="50"/>
      <c r="M46" s="50">
        <v>6</v>
      </c>
      <c r="N46" s="50"/>
    </row>
    <row r="47" spans="1:17">
      <c r="A47" s="63">
        <v>446</v>
      </c>
      <c r="B47" s="50">
        <v>1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>
        <v>1</v>
      </c>
      <c r="N47" s="50"/>
    </row>
    <row r="48" spans="1:17">
      <c r="A48" s="63">
        <v>501</v>
      </c>
      <c r="B48" s="50">
        <v>2</v>
      </c>
      <c r="C48" s="50">
        <v>2</v>
      </c>
      <c r="D48" s="50"/>
      <c r="E48" s="50">
        <v>1</v>
      </c>
      <c r="F48" s="50"/>
      <c r="G48" s="50"/>
      <c r="H48" s="50"/>
      <c r="I48" s="50"/>
      <c r="J48" s="50"/>
      <c r="K48" s="50"/>
      <c r="L48" s="50"/>
      <c r="M48" s="50">
        <v>5</v>
      </c>
      <c r="N48" s="50"/>
    </row>
    <row r="49" spans="1:14">
      <c r="A49" s="63">
        <v>581</v>
      </c>
      <c r="B49" s="50"/>
      <c r="C49" s="50"/>
      <c r="D49" s="50"/>
      <c r="E49" s="50">
        <v>1</v>
      </c>
      <c r="F49" s="50"/>
      <c r="G49" s="50"/>
      <c r="H49" s="50"/>
      <c r="I49" s="50"/>
      <c r="J49" s="50"/>
      <c r="K49" s="50"/>
      <c r="L49" s="50"/>
      <c r="M49" s="50">
        <v>1</v>
      </c>
      <c r="N49" s="50"/>
    </row>
    <row r="50" spans="1:14">
      <c r="A50" s="63">
        <v>828</v>
      </c>
      <c r="B50" s="50"/>
      <c r="C50" s="50">
        <v>1</v>
      </c>
      <c r="D50" s="50"/>
      <c r="E50" s="50"/>
      <c r="F50" s="50"/>
      <c r="G50" s="50"/>
      <c r="H50" s="50"/>
      <c r="I50" s="50"/>
      <c r="J50" s="50"/>
      <c r="K50" s="50"/>
      <c r="L50" s="50"/>
      <c r="M50" s="50">
        <v>1</v>
      </c>
      <c r="N50" s="50"/>
    </row>
    <row r="51" spans="1:14">
      <c r="A51" s="63">
        <v>4747</v>
      </c>
      <c r="B51" s="50">
        <v>1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>
        <v>1</v>
      </c>
      <c r="N51" s="50"/>
    </row>
    <row r="52" spans="1:14">
      <c r="A52" s="63">
        <v>4778</v>
      </c>
      <c r="B52" s="50">
        <v>2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>
        <v>2</v>
      </c>
      <c r="N52" s="50"/>
    </row>
  </sheetData>
  <sortState ref="A1:Q52">
    <sortCondition ref="N2"/>
  </sortState>
  <phoneticPr fontId="2"/>
  <conditionalFormatting sqref="B13:L37">
    <cfRule type="colorScale" priority="4">
      <colorScale>
        <cfvo type="min"/>
        <cfvo type="max"/>
        <color rgb="FFFCFCFF"/>
        <color rgb="FFF8696B"/>
      </colorScale>
    </cfRule>
  </conditionalFormatting>
  <conditionalFormatting sqref="M37">
    <cfRule type="colorScale" priority="6">
      <colorScale>
        <cfvo type="min"/>
        <cfvo type="max"/>
        <color rgb="FFFCFCFF"/>
        <color rgb="FF63BE7B"/>
      </colorScale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{67C24749-DC6B-4B73-A2BD-1CE6C3B1F5F8}</x14:id>
        </ext>
      </extLst>
    </cfRule>
  </conditionalFormatting>
  <conditionalFormatting sqref="B1:L36">
    <cfRule type="colorScale" priority="3">
      <colorScale>
        <cfvo type="min"/>
        <cfvo type="max"/>
        <color rgb="FFFCFCFF"/>
        <color rgb="FFF8696B"/>
      </colorScale>
    </cfRule>
  </conditionalFormatting>
  <conditionalFormatting sqref="M1:M3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{DD628671-7658-4FE0-A5AA-E5A6A5BE4EDC}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C24749-DC6B-4B73-A2BD-1CE6C3B1F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M37</xm:sqref>
        </x14:conditionalFormatting>
        <x14:conditionalFormatting xmlns:xm="http://schemas.microsoft.com/office/excel/2006/main">
          <x14:cfRule type="dataBar" id="{DD628671-7658-4FE0-A5AA-E5A6A5BE4E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M1:M36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2"/>
  <sheetViews>
    <sheetView tabSelected="1" workbookViewId="0">
      <selection activeCell="K121" sqref="K121:R252"/>
    </sheetView>
  </sheetViews>
  <sheetFormatPr defaultRowHeight="13"/>
  <sheetData>
    <row r="1" spans="1:8">
      <c r="A1" t="s">
        <v>301</v>
      </c>
      <c r="B1" t="s">
        <v>212</v>
      </c>
      <c r="C1" t="s">
        <v>213</v>
      </c>
      <c r="D1" t="s">
        <v>214</v>
      </c>
      <c r="E1" t="s">
        <v>215</v>
      </c>
      <c r="F1" t="s">
        <v>216</v>
      </c>
      <c r="G1" t="s">
        <v>217</v>
      </c>
      <c r="H1" t="s">
        <v>218</v>
      </c>
    </row>
    <row r="2" spans="1:8">
      <c r="A2">
        <v>2</v>
      </c>
      <c r="B2" t="s">
        <v>219</v>
      </c>
      <c r="C2" t="s">
        <v>220</v>
      </c>
      <c r="D2">
        <v>75</v>
      </c>
      <c r="H2">
        <f t="shared" ref="H2:H33" si="0">MAX(D2:E2)</f>
        <v>75</v>
      </c>
    </row>
    <row r="3" spans="1:8">
      <c r="A3">
        <v>9</v>
      </c>
      <c r="B3" t="s">
        <v>219</v>
      </c>
      <c r="C3" t="s">
        <v>221</v>
      </c>
      <c r="D3">
        <v>49</v>
      </c>
      <c r="E3">
        <v>42</v>
      </c>
      <c r="F3" t="s">
        <v>222</v>
      </c>
      <c r="G3" t="s">
        <v>223</v>
      </c>
      <c r="H3">
        <f t="shared" si="0"/>
        <v>49</v>
      </c>
    </row>
    <row r="4" spans="1:8">
      <c r="A4">
        <v>11</v>
      </c>
      <c r="B4" t="s">
        <v>224</v>
      </c>
      <c r="C4" t="s">
        <v>221</v>
      </c>
      <c r="D4">
        <v>110</v>
      </c>
      <c r="E4">
        <v>55</v>
      </c>
      <c r="F4" t="s">
        <v>222</v>
      </c>
      <c r="G4" t="s">
        <v>222</v>
      </c>
      <c r="H4">
        <f t="shared" si="0"/>
        <v>110</v>
      </c>
    </row>
    <row r="5" spans="1:8">
      <c r="A5">
        <v>20</v>
      </c>
      <c r="B5" t="s">
        <v>224</v>
      </c>
      <c r="C5" t="s">
        <v>221</v>
      </c>
      <c r="D5">
        <v>68</v>
      </c>
      <c r="F5" t="s">
        <v>225</v>
      </c>
      <c r="H5">
        <f t="shared" si="0"/>
        <v>68</v>
      </c>
    </row>
    <row r="6" spans="1:8">
      <c r="A6">
        <v>22</v>
      </c>
      <c r="B6" t="s">
        <v>226</v>
      </c>
      <c r="C6" t="s">
        <v>221</v>
      </c>
      <c r="D6">
        <v>111</v>
      </c>
      <c r="F6" t="s">
        <v>227</v>
      </c>
      <c r="H6">
        <f t="shared" si="0"/>
        <v>111</v>
      </c>
    </row>
    <row r="7" spans="1:8">
      <c r="A7">
        <v>31</v>
      </c>
      <c r="B7" t="s">
        <v>219</v>
      </c>
      <c r="C7" t="s">
        <v>220</v>
      </c>
      <c r="D7">
        <v>29</v>
      </c>
      <c r="H7">
        <f t="shared" si="0"/>
        <v>29</v>
      </c>
    </row>
    <row r="8" spans="1:8">
      <c r="A8">
        <v>32</v>
      </c>
      <c r="B8" t="s">
        <v>228</v>
      </c>
      <c r="C8" t="s">
        <v>220</v>
      </c>
      <c r="D8">
        <v>117</v>
      </c>
      <c r="E8">
        <v>106</v>
      </c>
      <c r="F8" t="s">
        <v>229</v>
      </c>
      <c r="G8" t="s">
        <v>230</v>
      </c>
      <c r="H8">
        <f t="shared" si="0"/>
        <v>117</v>
      </c>
    </row>
    <row r="9" spans="1:8">
      <c r="A9">
        <v>33</v>
      </c>
      <c r="B9" t="s">
        <v>228</v>
      </c>
      <c r="C9" t="s">
        <v>220</v>
      </c>
      <c r="D9">
        <v>90</v>
      </c>
      <c r="H9">
        <f t="shared" si="0"/>
        <v>90</v>
      </c>
    </row>
    <row r="10" spans="1:8">
      <c r="A10">
        <v>34</v>
      </c>
      <c r="B10" t="s">
        <v>231</v>
      </c>
      <c r="C10" t="s">
        <v>220</v>
      </c>
      <c r="D10">
        <v>107</v>
      </c>
      <c r="E10">
        <v>73</v>
      </c>
      <c r="F10" t="s">
        <v>232</v>
      </c>
      <c r="G10" t="s">
        <v>232</v>
      </c>
      <c r="H10">
        <f t="shared" si="0"/>
        <v>107</v>
      </c>
    </row>
    <row r="11" spans="1:8">
      <c r="A11">
        <v>37</v>
      </c>
      <c r="B11" t="s">
        <v>233</v>
      </c>
      <c r="C11" t="s">
        <v>220</v>
      </c>
      <c r="D11">
        <v>107</v>
      </c>
      <c r="H11">
        <f t="shared" si="0"/>
        <v>107</v>
      </c>
    </row>
    <row r="12" spans="1:8">
      <c r="A12">
        <v>38</v>
      </c>
      <c r="B12" t="s">
        <v>234</v>
      </c>
      <c r="C12" t="s">
        <v>220</v>
      </c>
      <c r="D12">
        <v>27</v>
      </c>
      <c r="E12">
        <v>24</v>
      </c>
      <c r="F12" t="s">
        <v>222</v>
      </c>
      <c r="G12" t="s">
        <v>222</v>
      </c>
      <c r="H12">
        <f t="shared" si="0"/>
        <v>27</v>
      </c>
    </row>
    <row r="13" spans="1:8">
      <c r="A13">
        <v>91</v>
      </c>
      <c r="B13" t="s">
        <v>231</v>
      </c>
      <c r="C13" t="s">
        <v>220</v>
      </c>
      <c r="D13">
        <v>107</v>
      </c>
      <c r="E13">
        <v>86</v>
      </c>
      <c r="F13" t="s">
        <v>222</v>
      </c>
      <c r="G13" t="s">
        <v>222</v>
      </c>
      <c r="H13">
        <f t="shared" si="0"/>
        <v>107</v>
      </c>
    </row>
    <row r="14" spans="1:8">
      <c r="A14">
        <v>94</v>
      </c>
      <c r="B14" t="s">
        <v>235</v>
      </c>
      <c r="C14" t="s">
        <v>220</v>
      </c>
      <c r="D14">
        <v>120</v>
      </c>
      <c r="E14">
        <v>120</v>
      </c>
      <c r="F14" t="s">
        <v>227</v>
      </c>
      <c r="G14" t="s">
        <v>236</v>
      </c>
      <c r="H14">
        <f t="shared" si="0"/>
        <v>120</v>
      </c>
    </row>
    <row r="15" spans="1:8">
      <c r="A15">
        <v>95</v>
      </c>
      <c r="B15" t="s">
        <v>231</v>
      </c>
      <c r="C15" t="s">
        <v>220</v>
      </c>
      <c r="D15">
        <v>12</v>
      </c>
      <c r="E15">
        <v>12</v>
      </c>
      <c r="G15" t="s">
        <v>237</v>
      </c>
      <c r="H15">
        <f t="shared" si="0"/>
        <v>12</v>
      </c>
    </row>
    <row r="16" spans="1:8">
      <c r="A16">
        <v>112</v>
      </c>
      <c r="B16" t="s">
        <v>219</v>
      </c>
      <c r="C16" t="s">
        <v>220</v>
      </c>
      <c r="D16">
        <v>40</v>
      </c>
      <c r="E16">
        <v>40</v>
      </c>
      <c r="F16" t="s">
        <v>225</v>
      </c>
      <c r="G16" t="s">
        <v>225</v>
      </c>
      <c r="H16">
        <f t="shared" si="0"/>
        <v>40</v>
      </c>
    </row>
    <row r="17" spans="1:8">
      <c r="A17">
        <v>133</v>
      </c>
      <c r="B17" t="s">
        <v>226</v>
      </c>
      <c r="C17" t="s">
        <v>220</v>
      </c>
      <c r="D17">
        <v>50</v>
      </c>
      <c r="E17">
        <v>51</v>
      </c>
      <c r="F17" t="s">
        <v>238</v>
      </c>
      <c r="G17" t="s">
        <v>238</v>
      </c>
      <c r="H17">
        <f t="shared" si="0"/>
        <v>51</v>
      </c>
    </row>
    <row r="18" spans="1:8">
      <c r="A18">
        <v>135</v>
      </c>
      <c r="B18" t="s">
        <v>234</v>
      </c>
      <c r="C18" t="s">
        <v>239</v>
      </c>
      <c r="D18">
        <v>161</v>
      </c>
      <c r="E18">
        <v>68</v>
      </c>
      <c r="F18" t="s">
        <v>222</v>
      </c>
      <c r="G18" t="s">
        <v>222</v>
      </c>
      <c r="H18">
        <f t="shared" si="0"/>
        <v>161</v>
      </c>
    </row>
    <row r="19" spans="1:8">
      <c r="A19">
        <v>139</v>
      </c>
      <c r="B19" t="s">
        <v>219</v>
      </c>
      <c r="C19" t="s">
        <v>239</v>
      </c>
      <c r="D19">
        <v>101</v>
      </c>
      <c r="F19" t="s">
        <v>240</v>
      </c>
      <c r="H19">
        <f t="shared" si="0"/>
        <v>101</v>
      </c>
    </row>
    <row r="20" spans="1:8">
      <c r="A20">
        <v>142</v>
      </c>
      <c r="B20" t="s">
        <v>235</v>
      </c>
      <c r="C20" t="s">
        <v>239</v>
      </c>
      <c r="D20">
        <v>35</v>
      </c>
      <c r="E20">
        <v>34</v>
      </c>
      <c r="H20">
        <f t="shared" si="0"/>
        <v>35</v>
      </c>
    </row>
    <row r="21" spans="1:8">
      <c r="A21">
        <v>144</v>
      </c>
      <c r="B21" t="s">
        <v>231</v>
      </c>
      <c r="C21" t="s">
        <v>239</v>
      </c>
      <c r="D21">
        <v>59</v>
      </c>
      <c r="E21">
        <v>62</v>
      </c>
      <c r="H21">
        <f t="shared" si="0"/>
        <v>62</v>
      </c>
    </row>
    <row r="22" spans="1:8">
      <c r="A22">
        <v>149</v>
      </c>
      <c r="B22" t="s">
        <v>235</v>
      </c>
      <c r="C22" t="s">
        <v>239</v>
      </c>
      <c r="D22">
        <v>41</v>
      </c>
      <c r="F22" t="s">
        <v>225</v>
      </c>
      <c r="H22">
        <f t="shared" si="0"/>
        <v>41</v>
      </c>
    </row>
    <row r="23" spans="1:8">
      <c r="A23">
        <v>151</v>
      </c>
      <c r="B23" t="s">
        <v>231</v>
      </c>
      <c r="C23" t="s">
        <v>239</v>
      </c>
      <c r="D23">
        <v>22</v>
      </c>
      <c r="H23">
        <f t="shared" si="0"/>
        <v>22</v>
      </c>
    </row>
    <row r="24" spans="1:8">
      <c r="A24">
        <v>151</v>
      </c>
      <c r="B24" t="s">
        <v>234</v>
      </c>
      <c r="C24" t="s">
        <v>239</v>
      </c>
      <c r="D24">
        <v>40</v>
      </c>
      <c r="E24">
        <v>22</v>
      </c>
      <c r="F24" t="s">
        <v>222</v>
      </c>
      <c r="G24" t="s">
        <v>222</v>
      </c>
      <c r="H24">
        <f t="shared" si="0"/>
        <v>40</v>
      </c>
    </row>
    <row r="25" spans="1:8">
      <c r="A25">
        <v>152</v>
      </c>
      <c r="B25" t="s">
        <v>231</v>
      </c>
      <c r="C25" t="s">
        <v>239</v>
      </c>
      <c r="D25">
        <v>39</v>
      </c>
      <c r="E25">
        <v>29</v>
      </c>
      <c r="G25" t="s">
        <v>222</v>
      </c>
      <c r="H25">
        <f t="shared" si="0"/>
        <v>39</v>
      </c>
    </row>
    <row r="26" spans="1:8">
      <c r="A26">
        <v>170</v>
      </c>
      <c r="B26" t="s">
        <v>219</v>
      </c>
      <c r="C26" t="s">
        <v>239</v>
      </c>
      <c r="D26">
        <v>82</v>
      </c>
      <c r="E26">
        <v>82</v>
      </c>
      <c r="G26" t="s">
        <v>237</v>
      </c>
      <c r="H26">
        <f t="shared" si="0"/>
        <v>82</v>
      </c>
    </row>
    <row r="27" spans="1:8">
      <c r="A27">
        <v>171</v>
      </c>
      <c r="B27" t="s">
        <v>219</v>
      </c>
      <c r="C27" t="s">
        <v>239</v>
      </c>
      <c r="D27">
        <v>22</v>
      </c>
      <c r="E27">
        <v>22</v>
      </c>
      <c r="G27" t="s">
        <v>237</v>
      </c>
      <c r="H27">
        <f t="shared" si="0"/>
        <v>22</v>
      </c>
    </row>
    <row r="28" spans="1:8">
      <c r="A28">
        <v>174</v>
      </c>
      <c r="B28" t="s">
        <v>219</v>
      </c>
      <c r="C28" t="s">
        <v>239</v>
      </c>
      <c r="D28">
        <v>39</v>
      </c>
      <c r="E28">
        <v>39</v>
      </c>
      <c r="H28">
        <f t="shared" si="0"/>
        <v>39</v>
      </c>
    </row>
    <row r="29" spans="1:8">
      <c r="A29">
        <v>176</v>
      </c>
      <c r="B29" t="s">
        <v>231</v>
      </c>
      <c r="C29" t="s">
        <v>239</v>
      </c>
      <c r="D29">
        <v>70</v>
      </c>
      <c r="E29">
        <v>51</v>
      </c>
      <c r="F29" t="s">
        <v>241</v>
      </c>
      <c r="G29" t="s">
        <v>222</v>
      </c>
      <c r="H29">
        <f t="shared" si="0"/>
        <v>70</v>
      </c>
    </row>
    <row r="30" spans="1:8">
      <c r="A30">
        <v>177</v>
      </c>
      <c r="B30" t="s">
        <v>234</v>
      </c>
      <c r="C30" t="s">
        <v>239</v>
      </c>
      <c r="D30">
        <v>94</v>
      </c>
      <c r="E30">
        <v>94</v>
      </c>
      <c r="F30" t="s">
        <v>225</v>
      </c>
      <c r="H30">
        <f t="shared" si="0"/>
        <v>94</v>
      </c>
    </row>
    <row r="31" spans="1:8">
      <c r="A31">
        <v>178</v>
      </c>
      <c r="B31" t="s">
        <v>219</v>
      </c>
      <c r="C31" t="s">
        <v>239</v>
      </c>
      <c r="D31">
        <v>47</v>
      </c>
      <c r="E31">
        <v>25</v>
      </c>
      <c r="G31" t="s">
        <v>237</v>
      </c>
      <c r="H31">
        <f t="shared" si="0"/>
        <v>47</v>
      </c>
    </row>
    <row r="32" spans="1:8">
      <c r="A32">
        <v>179</v>
      </c>
      <c r="B32" t="s">
        <v>219</v>
      </c>
      <c r="C32" t="s">
        <v>239</v>
      </c>
      <c r="D32">
        <v>103</v>
      </c>
      <c r="E32">
        <v>97</v>
      </c>
      <c r="F32" t="s">
        <v>242</v>
      </c>
      <c r="G32" t="s">
        <v>243</v>
      </c>
      <c r="H32">
        <f t="shared" si="0"/>
        <v>103</v>
      </c>
    </row>
    <row r="33" spans="1:8">
      <c r="A33">
        <v>187</v>
      </c>
      <c r="B33" t="s">
        <v>224</v>
      </c>
      <c r="C33" t="s">
        <v>239</v>
      </c>
      <c r="D33">
        <v>56</v>
      </c>
      <c r="E33">
        <v>51</v>
      </c>
      <c r="F33" t="s">
        <v>222</v>
      </c>
      <c r="G33" t="s">
        <v>222</v>
      </c>
      <c r="H33">
        <f t="shared" si="0"/>
        <v>56</v>
      </c>
    </row>
    <row r="34" spans="1:8">
      <c r="A34">
        <v>191</v>
      </c>
      <c r="B34" t="s">
        <v>226</v>
      </c>
      <c r="C34" t="s">
        <v>239</v>
      </c>
      <c r="D34">
        <v>63</v>
      </c>
      <c r="F34">
        <v>0.04</v>
      </c>
      <c r="H34">
        <f t="shared" ref="H34:H65" si="1">MAX(D34:E34)</f>
        <v>63</v>
      </c>
    </row>
    <row r="35" spans="1:8">
      <c r="A35">
        <v>193</v>
      </c>
      <c r="B35" t="s">
        <v>219</v>
      </c>
      <c r="C35" t="s">
        <v>239</v>
      </c>
      <c r="D35">
        <v>42</v>
      </c>
      <c r="E35">
        <v>45</v>
      </c>
      <c r="H35">
        <f t="shared" si="1"/>
        <v>45</v>
      </c>
    </row>
    <row r="36" spans="1:8">
      <c r="A36">
        <v>195</v>
      </c>
      <c r="B36" t="s">
        <v>219</v>
      </c>
      <c r="C36" t="s">
        <v>239</v>
      </c>
      <c r="D36">
        <v>67</v>
      </c>
      <c r="F36" t="s">
        <v>244</v>
      </c>
      <c r="H36">
        <f t="shared" si="1"/>
        <v>67</v>
      </c>
    </row>
    <row r="37" spans="1:8">
      <c r="A37">
        <v>197</v>
      </c>
      <c r="B37" t="s">
        <v>235</v>
      </c>
      <c r="C37" t="s">
        <v>239</v>
      </c>
      <c r="D37">
        <v>43</v>
      </c>
      <c r="F37" t="s">
        <v>225</v>
      </c>
      <c r="H37">
        <f t="shared" si="1"/>
        <v>43</v>
      </c>
    </row>
    <row r="38" spans="1:8">
      <c r="A38">
        <v>203</v>
      </c>
      <c r="C38" t="s">
        <v>239</v>
      </c>
      <c r="D38">
        <v>70</v>
      </c>
      <c r="F38" t="s">
        <v>225</v>
      </c>
      <c r="H38">
        <f t="shared" si="1"/>
        <v>70</v>
      </c>
    </row>
    <row r="39" spans="1:8">
      <c r="A39">
        <v>212</v>
      </c>
      <c r="B39" t="s">
        <v>226</v>
      </c>
      <c r="C39" t="s">
        <v>239</v>
      </c>
      <c r="D39">
        <v>28</v>
      </c>
      <c r="F39" t="s">
        <v>225</v>
      </c>
      <c r="H39">
        <f t="shared" si="1"/>
        <v>28</v>
      </c>
    </row>
    <row r="40" spans="1:8">
      <c r="A40">
        <v>220</v>
      </c>
      <c r="B40" t="s">
        <v>219</v>
      </c>
      <c r="C40" t="s">
        <v>239</v>
      </c>
      <c r="D40">
        <v>68</v>
      </c>
      <c r="F40" t="s">
        <v>245</v>
      </c>
      <c r="H40">
        <f t="shared" si="1"/>
        <v>68</v>
      </c>
    </row>
    <row r="41" spans="1:8">
      <c r="A41">
        <v>221</v>
      </c>
      <c r="B41" t="s">
        <v>219</v>
      </c>
      <c r="C41" t="s">
        <v>239</v>
      </c>
      <c r="D41">
        <v>97</v>
      </c>
      <c r="F41" t="s">
        <v>246</v>
      </c>
      <c r="H41">
        <f t="shared" si="1"/>
        <v>97</v>
      </c>
    </row>
    <row r="42" spans="1:8">
      <c r="A42">
        <v>223</v>
      </c>
      <c r="B42" t="s">
        <v>235</v>
      </c>
      <c r="C42" t="s">
        <v>239</v>
      </c>
      <c r="D42">
        <v>45</v>
      </c>
      <c r="E42">
        <v>45</v>
      </c>
      <c r="H42">
        <f t="shared" si="1"/>
        <v>45</v>
      </c>
    </row>
    <row r="43" spans="1:8">
      <c r="A43">
        <v>224</v>
      </c>
      <c r="B43" t="s">
        <v>219</v>
      </c>
      <c r="C43" t="s">
        <v>239</v>
      </c>
      <c r="D43">
        <v>122</v>
      </c>
      <c r="E43">
        <v>141</v>
      </c>
      <c r="F43" t="s">
        <v>247</v>
      </c>
      <c r="G43" t="s">
        <v>248</v>
      </c>
      <c r="H43">
        <f t="shared" si="1"/>
        <v>141</v>
      </c>
    </row>
    <row r="44" spans="1:8">
      <c r="A44">
        <v>228</v>
      </c>
      <c r="B44" t="s">
        <v>219</v>
      </c>
      <c r="C44" t="s">
        <v>239</v>
      </c>
      <c r="D44">
        <v>107</v>
      </c>
      <c r="H44">
        <f t="shared" si="1"/>
        <v>107</v>
      </c>
    </row>
    <row r="45" spans="1:8">
      <c r="A45">
        <v>245</v>
      </c>
      <c r="B45" t="s">
        <v>219</v>
      </c>
      <c r="C45" t="s">
        <v>239</v>
      </c>
      <c r="D45">
        <v>57</v>
      </c>
      <c r="E45">
        <v>47</v>
      </c>
      <c r="F45" t="s">
        <v>249</v>
      </c>
      <c r="G45" t="s">
        <v>249</v>
      </c>
      <c r="H45">
        <f t="shared" si="1"/>
        <v>57</v>
      </c>
    </row>
    <row r="46" spans="1:8">
      <c r="A46">
        <v>253</v>
      </c>
      <c r="B46" t="s">
        <v>219</v>
      </c>
      <c r="C46" t="s">
        <v>239</v>
      </c>
      <c r="D46">
        <v>36</v>
      </c>
      <c r="E46">
        <v>32</v>
      </c>
      <c r="G46" t="s">
        <v>237</v>
      </c>
      <c r="H46">
        <f t="shared" si="1"/>
        <v>36</v>
      </c>
    </row>
    <row r="47" spans="1:8">
      <c r="A47">
        <v>264</v>
      </c>
      <c r="B47" t="s">
        <v>219</v>
      </c>
      <c r="C47" t="s">
        <v>239</v>
      </c>
      <c r="D47">
        <v>42</v>
      </c>
      <c r="E47">
        <v>45</v>
      </c>
      <c r="H47">
        <f t="shared" si="1"/>
        <v>45</v>
      </c>
    </row>
    <row r="48" spans="1:8">
      <c r="A48">
        <v>265</v>
      </c>
      <c r="B48" t="s">
        <v>219</v>
      </c>
      <c r="C48" t="s">
        <v>239</v>
      </c>
      <c r="D48">
        <v>47</v>
      </c>
      <c r="E48">
        <v>46</v>
      </c>
      <c r="H48">
        <f t="shared" si="1"/>
        <v>47</v>
      </c>
    </row>
    <row r="49" spans="1:8">
      <c r="A49">
        <v>267</v>
      </c>
      <c r="B49" t="s">
        <v>219</v>
      </c>
      <c r="C49" t="s">
        <v>239</v>
      </c>
      <c r="D49">
        <v>35</v>
      </c>
      <c r="H49">
        <f t="shared" si="1"/>
        <v>35</v>
      </c>
    </row>
    <row r="50" spans="1:8">
      <c r="A50">
        <v>284</v>
      </c>
      <c r="B50" t="s">
        <v>224</v>
      </c>
      <c r="C50" t="s">
        <v>239</v>
      </c>
      <c r="D50">
        <v>145</v>
      </c>
      <c r="F50" t="s">
        <v>238</v>
      </c>
      <c r="H50">
        <f t="shared" si="1"/>
        <v>145</v>
      </c>
    </row>
    <row r="51" spans="1:8">
      <c r="A51">
        <v>299</v>
      </c>
      <c r="B51" t="s">
        <v>219</v>
      </c>
      <c r="C51" t="s">
        <v>239</v>
      </c>
      <c r="D51">
        <v>39</v>
      </c>
      <c r="E51">
        <v>19</v>
      </c>
      <c r="F51" t="s">
        <v>225</v>
      </c>
      <c r="G51" t="s">
        <v>250</v>
      </c>
      <c r="H51">
        <f t="shared" si="1"/>
        <v>39</v>
      </c>
    </row>
    <row r="52" spans="1:8">
      <c r="A52">
        <v>302</v>
      </c>
      <c r="B52" t="s">
        <v>219</v>
      </c>
      <c r="C52" t="s">
        <v>239</v>
      </c>
      <c r="D52">
        <v>57</v>
      </c>
      <c r="E52">
        <v>55</v>
      </c>
      <c r="H52">
        <f t="shared" si="1"/>
        <v>57</v>
      </c>
    </row>
    <row r="53" spans="1:8">
      <c r="A53">
        <v>347</v>
      </c>
      <c r="B53" t="s">
        <v>219</v>
      </c>
      <c r="C53" t="s">
        <v>239</v>
      </c>
      <c r="D53">
        <v>21</v>
      </c>
      <c r="E53">
        <v>26</v>
      </c>
      <c r="F53" t="s">
        <v>227</v>
      </c>
      <c r="G53" t="s">
        <v>227</v>
      </c>
      <c r="H53">
        <f t="shared" si="1"/>
        <v>26</v>
      </c>
    </row>
    <row r="54" spans="1:8">
      <c r="A54">
        <v>359</v>
      </c>
      <c r="B54" t="s">
        <v>219</v>
      </c>
      <c r="C54" t="s">
        <v>239</v>
      </c>
      <c r="D54">
        <v>35</v>
      </c>
      <c r="E54">
        <v>18</v>
      </c>
      <c r="G54" t="s">
        <v>251</v>
      </c>
      <c r="H54">
        <f t="shared" si="1"/>
        <v>35</v>
      </c>
    </row>
    <row r="55" spans="1:8">
      <c r="A55">
        <v>364</v>
      </c>
      <c r="B55" t="s">
        <v>219</v>
      </c>
      <c r="C55" t="s">
        <v>239</v>
      </c>
      <c r="D55">
        <v>79</v>
      </c>
      <c r="E55">
        <v>79</v>
      </c>
      <c r="H55">
        <f t="shared" si="1"/>
        <v>79</v>
      </c>
    </row>
    <row r="56" spans="1:8">
      <c r="A56">
        <v>411</v>
      </c>
      <c r="B56" t="s">
        <v>219</v>
      </c>
      <c r="C56" t="s">
        <v>239</v>
      </c>
      <c r="D56">
        <v>103</v>
      </c>
      <c r="E56">
        <v>82</v>
      </c>
      <c r="F56" t="s">
        <v>222</v>
      </c>
      <c r="G56" t="s">
        <v>222</v>
      </c>
      <c r="H56">
        <f t="shared" si="1"/>
        <v>103</v>
      </c>
    </row>
    <row r="57" spans="1:8">
      <c r="A57">
        <v>413</v>
      </c>
      <c r="B57" t="s">
        <v>231</v>
      </c>
      <c r="C57" t="s">
        <v>239</v>
      </c>
      <c r="D57">
        <v>46</v>
      </c>
      <c r="F57" t="s">
        <v>252</v>
      </c>
      <c r="H57">
        <f t="shared" si="1"/>
        <v>46</v>
      </c>
    </row>
    <row r="58" spans="1:8">
      <c r="A58">
        <v>422</v>
      </c>
      <c r="B58" t="s">
        <v>219</v>
      </c>
      <c r="C58" t="s">
        <v>239</v>
      </c>
      <c r="D58">
        <v>29</v>
      </c>
      <c r="F58" t="s">
        <v>253</v>
      </c>
      <c r="H58">
        <f t="shared" si="1"/>
        <v>29</v>
      </c>
    </row>
    <row r="59" spans="1:8">
      <c r="A59">
        <v>423</v>
      </c>
      <c r="B59" t="s">
        <v>235</v>
      </c>
      <c r="C59" t="s">
        <v>239</v>
      </c>
      <c r="D59">
        <v>120</v>
      </c>
      <c r="E59">
        <v>30</v>
      </c>
      <c r="F59" t="s">
        <v>254</v>
      </c>
      <c r="G59" t="s">
        <v>255</v>
      </c>
      <c r="H59">
        <f t="shared" si="1"/>
        <v>120</v>
      </c>
    </row>
    <row r="60" spans="1:8">
      <c r="A60">
        <v>430</v>
      </c>
      <c r="B60" t="s">
        <v>235</v>
      </c>
      <c r="C60" t="s">
        <v>239</v>
      </c>
      <c r="D60">
        <v>120</v>
      </c>
      <c r="F60" t="s">
        <v>252</v>
      </c>
      <c r="H60">
        <f t="shared" si="1"/>
        <v>120</v>
      </c>
    </row>
    <row r="61" spans="1:8">
      <c r="A61">
        <v>435</v>
      </c>
      <c r="B61" t="s">
        <v>219</v>
      </c>
      <c r="C61" t="s">
        <v>239</v>
      </c>
      <c r="D61">
        <v>47</v>
      </c>
      <c r="F61" t="s">
        <v>252</v>
      </c>
      <c r="H61">
        <f t="shared" si="1"/>
        <v>47</v>
      </c>
    </row>
    <row r="62" spans="1:8">
      <c r="A62">
        <v>451</v>
      </c>
      <c r="B62" t="s">
        <v>219</v>
      </c>
      <c r="C62" t="s">
        <v>239</v>
      </c>
      <c r="D62">
        <v>34</v>
      </c>
      <c r="E62">
        <v>34</v>
      </c>
      <c r="H62">
        <f t="shared" si="1"/>
        <v>34</v>
      </c>
    </row>
    <row r="63" spans="1:8">
      <c r="A63">
        <v>452</v>
      </c>
      <c r="B63" t="s">
        <v>219</v>
      </c>
      <c r="C63" t="s">
        <v>239</v>
      </c>
      <c r="D63">
        <v>66</v>
      </c>
      <c r="F63" t="s">
        <v>225</v>
      </c>
      <c r="H63">
        <f t="shared" si="1"/>
        <v>66</v>
      </c>
    </row>
    <row r="64" spans="1:8">
      <c r="A64">
        <v>460</v>
      </c>
      <c r="B64" t="s">
        <v>228</v>
      </c>
      <c r="C64" t="s">
        <v>239</v>
      </c>
      <c r="D64">
        <v>75</v>
      </c>
      <c r="E64">
        <v>75</v>
      </c>
      <c r="F64" t="s">
        <v>252</v>
      </c>
      <c r="G64" t="s">
        <v>252</v>
      </c>
      <c r="H64">
        <f t="shared" si="1"/>
        <v>75</v>
      </c>
    </row>
    <row r="65" spans="1:8">
      <c r="A65">
        <v>505</v>
      </c>
      <c r="B65" t="s">
        <v>219</v>
      </c>
      <c r="C65" t="s">
        <v>239</v>
      </c>
      <c r="D65">
        <v>44</v>
      </c>
      <c r="E65">
        <v>44</v>
      </c>
      <c r="H65">
        <f t="shared" si="1"/>
        <v>44</v>
      </c>
    </row>
    <row r="66" spans="1:8">
      <c r="A66">
        <v>527</v>
      </c>
      <c r="B66" t="s">
        <v>219</v>
      </c>
      <c r="C66" t="s">
        <v>239</v>
      </c>
      <c r="D66">
        <v>138</v>
      </c>
      <c r="F66" t="s">
        <v>256</v>
      </c>
      <c r="H66">
        <f t="shared" ref="H66:H97" si="2">MAX(D66:E66)</f>
        <v>138</v>
      </c>
    </row>
    <row r="67" spans="1:8">
      <c r="A67">
        <v>533</v>
      </c>
      <c r="B67" t="s">
        <v>219</v>
      </c>
      <c r="C67" t="s">
        <v>239</v>
      </c>
      <c r="D67">
        <v>70</v>
      </c>
      <c r="E67">
        <v>65</v>
      </c>
      <c r="F67" t="s">
        <v>252</v>
      </c>
      <c r="G67" t="s">
        <v>257</v>
      </c>
      <c r="H67">
        <f t="shared" si="2"/>
        <v>70</v>
      </c>
    </row>
    <row r="68" spans="1:8">
      <c r="A68">
        <v>547</v>
      </c>
      <c r="B68" t="s">
        <v>258</v>
      </c>
      <c r="C68" t="s">
        <v>239</v>
      </c>
      <c r="D68">
        <v>73</v>
      </c>
      <c r="E68">
        <v>75</v>
      </c>
      <c r="H68">
        <f t="shared" si="2"/>
        <v>75</v>
      </c>
    </row>
    <row r="69" spans="1:8">
      <c r="A69">
        <v>560</v>
      </c>
      <c r="B69" t="s">
        <v>219</v>
      </c>
      <c r="C69" t="s">
        <v>239</v>
      </c>
      <c r="D69">
        <v>31</v>
      </c>
      <c r="H69">
        <f t="shared" si="2"/>
        <v>31</v>
      </c>
    </row>
    <row r="70" spans="1:8">
      <c r="A70">
        <v>562</v>
      </c>
      <c r="B70" t="s">
        <v>231</v>
      </c>
      <c r="C70" t="s">
        <v>239</v>
      </c>
      <c r="D70">
        <v>99</v>
      </c>
      <c r="H70">
        <f t="shared" si="2"/>
        <v>99</v>
      </c>
    </row>
    <row r="71" spans="1:8">
      <c r="A71">
        <v>562</v>
      </c>
      <c r="B71" t="s">
        <v>231</v>
      </c>
      <c r="C71" t="s">
        <v>239</v>
      </c>
      <c r="D71">
        <v>86</v>
      </c>
      <c r="E71">
        <v>61</v>
      </c>
      <c r="F71" t="s">
        <v>229</v>
      </c>
      <c r="G71" t="s">
        <v>230</v>
      </c>
      <c r="H71">
        <f t="shared" si="2"/>
        <v>86</v>
      </c>
    </row>
    <row r="72" spans="1:8">
      <c r="A72">
        <v>574</v>
      </c>
      <c r="B72" t="s">
        <v>231</v>
      </c>
      <c r="C72" t="s">
        <v>239</v>
      </c>
      <c r="D72">
        <v>89</v>
      </c>
      <c r="F72" t="s">
        <v>252</v>
      </c>
      <c r="H72">
        <f t="shared" si="2"/>
        <v>89</v>
      </c>
    </row>
    <row r="73" spans="1:8">
      <c r="A73">
        <v>575</v>
      </c>
      <c r="B73" t="s">
        <v>258</v>
      </c>
      <c r="C73" t="s">
        <v>239</v>
      </c>
      <c r="D73">
        <v>138</v>
      </c>
      <c r="F73" t="s">
        <v>229</v>
      </c>
      <c r="H73">
        <f t="shared" si="2"/>
        <v>138</v>
      </c>
    </row>
    <row r="74" spans="1:8">
      <c r="A74">
        <v>608</v>
      </c>
      <c r="B74" t="s">
        <v>235</v>
      </c>
      <c r="C74" t="s">
        <v>239</v>
      </c>
      <c r="D74">
        <v>133</v>
      </c>
      <c r="H74">
        <f t="shared" si="2"/>
        <v>133</v>
      </c>
    </row>
    <row r="75" spans="1:8">
      <c r="A75">
        <v>611</v>
      </c>
      <c r="B75" t="s">
        <v>231</v>
      </c>
      <c r="C75" t="s">
        <v>239</v>
      </c>
      <c r="D75">
        <v>29</v>
      </c>
      <c r="E75">
        <v>29</v>
      </c>
      <c r="H75">
        <f t="shared" si="2"/>
        <v>29</v>
      </c>
    </row>
    <row r="76" spans="1:8">
      <c r="A76">
        <v>644</v>
      </c>
      <c r="B76" t="s">
        <v>219</v>
      </c>
      <c r="C76" t="s">
        <v>239</v>
      </c>
      <c r="D76">
        <v>74</v>
      </c>
      <c r="H76">
        <f t="shared" si="2"/>
        <v>74</v>
      </c>
    </row>
    <row r="77" spans="1:8">
      <c r="A77">
        <v>646</v>
      </c>
      <c r="B77" t="s">
        <v>219</v>
      </c>
      <c r="C77" t="s">
        <v>239</v>
      </c>
      <c r="D77">
        <v>98</v>
      </c>
      <c r="F77" t="s">
        <v>259</v>
      </c>
      <c r="H77">
        <f t="shared" si="2"/>
        <v>98</v>
      </c>
    </row>
    <row r="78" spans="1:8">
      <c r="A78">
        <v>677</v>
      </c>
      <c r="B78" t="s">
        <v>219</v>
      </c>
      <c r="C78" t="s">
        <v>239</v>
      </c>
      <c r="D78">
        <v>114</v>
      </c>
      <c r="F78" t="s">
        <v>225</v>
      </c>
      <c r="H78">
        <f t="shared" si="2"/>
        <v>114</v>
      </c>
    </row>
    <row r="79" spans="1:8">
      <c r="A79">
        <v>688</v>
      </c>
      <c r="B79" t="s">
        <v>235</v>
      </c>
      <c r="C79" t="s">
        <v>239</v>
      </c>
      <c r="D79">
        <v>54</v>
      </c>
      <c r="F79" t="s">
        <v>252</v>
      </c>
      <c r="H79">
        <f t="shared" si="2"/>
        <v>54</v>
      </c>
    </row>
    <row r="80" spans="1:8">
      <c r="A80">
        <v>696</v>
      </c>
      <c r="B80" t="s">
        <v>258</v>
      </c>
      <c r="C80" t="s">
        <v>239</v>
      </c>
      <c r="D80">
        <v>152</v>
      </c>
      <c r="F80" t="s">
        <v>256</v>
      </c>
      <c r="H80">
        <f t="shared" si="2"/>
        <v>152</v>
      </c>
    </row>
    <row r="81" spans="1:8">
      <c r="A81">
        <v>699</v>
      </c>
      <c r="B81" t="s">
        <v>231</v>
      </c>
      <c r="C81" t="s">
        <v>239</v>
      </c>
      <c r="D81">
        <v>49</v>
      </c>
      <c r="E81">
        <v>46</v>
      </c>
      <c r="G81" t="s">
        <v>237</v>
      </c>
      <c r="H81">
        <f t="shared" si="2"/>
        <v>49</v>
      </c>
    </row>
    <row r="82" spans="1:8">
      <c r="A82">
        <v>706</v>
      </c>
      <c r="B82" t="s">
        <v>219</v>
      </c>
      <c r="C82" t="s">
        <v>239</v>
      </c>
      <c r="D82">
        <v>16</v>
      </c>
      <c r="F82" t="s">
        <v>253</v>
      </c>
      <c r="H82">
        <f t="shared" si="2"/>
        <v>16</v>
      </c>
    </row>
    <row r="83" spans="1:8">
      <c r="A83">
        <v>1000</v>
      </c>
      <c r="B83" t="s">
        <v>226</v>
      </c>
      <c r="C83" t="s">
        <v>239</v>
      </c>
      <c r="D83">
        <v>123</v>
      </c>
      <c r="F83">
        <v>0.12</v>
      </c>
      <c r="H83">
        <f t="shared" si="2"/>
        <v>123</v>
      </c>
    </row>
    <row r="84" spans="1:8">
      <c r="A84">
        <v>26</v>
      </c>
      <c r="B84" t="s">
        <v>228</v>
      </c>
      <c r="C84" t="s">
        <v>260</v>
      </c>
      <c r="D84">
        <v>15</v>
      </c>
      <c r="H84">
        <f t="shared" si="2"/>
        <v>15</v>
      </c>
    </row>
    <row r="85" spans="1:8">
      <c r="A85">
        <v>44</v>
      </c>
      <c r="B85" t="s">
        <v>224</v>
      </c>
      <c r="C85" t="s">
        <v>152</v>
      </c>
      <c r="D85">
        <v>13</v>
      </c>
      <c r="H85">
        <f t="shared" si="2"/>
        <v>13</v>
      </c>
    </row>
    <row r="86" spans="1:8">
      <c r="A86">
        <v>52</v>
      </c>
      <c r="B86" t="s">
        <v>226</v>
      </c>
      <c r="C86" t="s">
        <v>152</v>
      </c>
      <c r="D86">
        <v>25</v>
      </c>
      <c r="H86">
        <f t="shared" si="2"/>
        <v>25</v>
      </c>
    </row>
    <row r="87" spans="1:8">
      <c r="A87">
        <v>65</v>
      </c>
      <c r="B87" t="s">
        <v>258</v>
      </c>
      <c r="C87" t="s">
        <v>152</v>
      </c>
      <c r="D87">
        <v>23</v>
      </c>
      <c r="H87">
        <f t="shared" si="2"/>
        <v>23</v>
      </c>
    </row>
    <row r="88" spans="1:8">
      <c r="A88">
        <v>66</v>
      </c>
      <c r="B88" t="s">
        <v>231</v>
      </c>
      <c r="C88" t="s">
        <v>152</v>
      </c>
      <c r="D88">
        <v>27</v>
      </c>
      <c r="E88">
        <v>27</v>
      </c>
      <c r="G88" t="s">
        <v>237</v>
      </c>
      <c r="H88">
        <f t="shared" si="2"/>
        <v>27</v>
      </c>
    </row>
    <row r="89" spans="1:8">
      <c r="A89">
        <v>69</v>
      </c>
      <c r="B89" t="s">
        <v>235</v>
      </c>
      <c r="C89" t="s">
        <v>152</v>
      </c>
      <c r="D89">
        <v>24</v>
      </c>
      <c r="H89">
        <f t="shared" si="2"/>
        <v>24</v>
      </c>
    </row>
    <row r="90" spans="1:8">
      <c r="A90">
        <v>70</v>
      </c>
      <c r="B90" t="s">
        <v>235</v>
      </c>
      <c r="C90" t="s">
        <v>152</v>
      </c>
      <c r="D90">
        <v>23</v>
      </c>
      <c r="H90">
        <f t="shared" si="2"/>
        <v>23</v>
      </c>
    </row>
    <row r="91" spans="1:8">
      <c r="A91">
        <v>74</v>
      </c>
      <c r="B91" t="s">
        <v>226</v>
      </c>
      <c r="C91" t="s">
        <v>152</v>
      </c>
      <c r="D91">
        <v>36</v>
      </c>
      <c r="E91">
        <v>36</v>
      </c>
      <c r="G91" t="s">
        <v>237</v>
      </c>
      <c r="H91">
        <f t="shared" si="2"/>
        <v>36</v>
      </c>
    </row>
    <row r="92" spans="1:8">
      <c r="A92">
        <v>79</v>
      </c>
      <c r="B92" t="s">
        <v>224</v>
      </c>
      <c r="C92" t="s">
        <v>152</v>
      </c>
      <c r="D92">
        <v>27</v>
      </c>
      <c r="E92">
        <v>27</v>
      </c>
      <c r="G92" t="s">
        <v>237</v>
      </c>
      <c r="H92">
        <f t="shared" si="2"/>
        <v>27</v>
      </c>
    </row>
    <row r="93" spans="1:8">
      <c r="A93">
        <v>84</v>
      </c>
      <c r="B93" t="s">
        <v>219</v>
      </c>
      <c r="C93" t="s">
        <v>152</v>
      </c>
      <c r="D93">
        <v>23</v>
      </c>
      <c r="E93">
        <v>23</v>
      </c>
      <c r="G93" t="s">
        <v>237</v>
      </c>
      <c r="H93">
        <f t="shared" si="2"/>
        <v>23</v>
      </c>
    </row>
    <row r="94" spans="1:8">
      <c r="A94">
        <v>97</v>
      </c>
      <c r="B94" t="s">
        <v>234</v>
      </c>
      <c r="C94" t="s">
        <v>152</v>
      </c>
      <c r="D94">
        <v>31</v>
      </c>
      <c r="E94">
        <v>31</v>
      </c>
      <c r="H94">
        <f t="shared" si="2"/>
        <v>31</v>
      </c>
    </row>
    <row r="95" spans="1:8">
      <c r="A95">
        <v>185</v>
      </c>
      <c r="B95" t="s">
        <v>219</v>
      </c>
      <c r="C95" t="s">
        <v>152</v>
      </c>
      <c r="D95">
        <v>27</v>
      </c>
      <c r="E95">
        <v>27</v>
      </c>
      <c r="H95">
        <f t="shared" si="2"/>
        <v>27</v>
      </c>
    </row>
    <row r="96" spans="1:8">
      <c r="A96">
        <v>213</v>
      </c>
      <c r="B96" t="s">
        <v>219</v>
      </c>
      <c r="C96" t="s">
        <v>152</v>
      </c>
      <c r="D96">
        <v>17</v>
      </c>
      <c r="E96">
        <v>17</v>
      </c>
      <c r="H96">
        <f t="shared" si="2"/>
        <v>17</v>
      </c>
    </row>
    <row r="97" spans="1:8">
      <c r="A97">
        <v>233</v>
      </c>
      <c r="B97" t="s">
        <v>219</v>
      </c>
      <c r="C97" t="s">
        <v>152</v>
      </c>
      <c r="D97">
        <v>27</v>
      </c>
      <c r="E97">
        <v>23</v>
      </c>
      <c r="H97">
        <f t="shared" si="2"/>
        <v>27</v>
      </c>
    </row>
    <row r="98" spans="1:8">
      <c r="A98">
        <v>237</v>
      </c>
      <c r="B98" t="s">
        <v>219</v>
      </c>
      <c r="C98" t="s">
        <v>152</v>
      </c>
      <c r="D98">
        <v>47</v>
      </c>
      <c r="E98">
        <v>24</v>
      </c>
      <c r="G98" t="s">
        <v>237</v>
      </c>
      <c r="H98">
        <f t="shared" ref="H98:H132" si="3">MAX(D98:E98)</f>
        <v>47</v>
      </c>
    </row>
    <row r="99" spans="1:8">
      <c r="A99">
        <v>285</v>
      </c>
      <c r="B99" t="s">
        <v>219</v>
      </c>
      <c r="C99" t="s">
        <v>152</v>
      </c>
      <c r="D99">
        <v>151</v>
      </c>
      <c r="E99">
        <v>143</v>
      </c>
      <c r="F99" t="s">
        <v>261</v>
      </c>
      <c r="G99" t="s">
        <v>261</v>
      </c>
      <c r="H99">
        <f t="shared" si="3"/>
        <v>151</v>
      </c>
    </row>
    <row r="100" spans="1:8">
      <c r="A100">
        <v>354</v>
      </c>
      <c r="B100" t="s">
        <v>219</v>
      </c>
      <c r="C100" t="s">
        <v>152</v>
      </c>
      <c r="D100">
        <v>24</v>
      </c>
      <c r="E100">
        <v>24</v>
      </c>
      <c r="H100">
        <f t="shared" si="3"/>
        <v>24</v>
      </c>
    </row>
    <row r="101" spans="1:8">
      <c r="A101">
        <v>420</v>
      </c>
      <c r="B101" t="s">
        <v>219</v>
      </c>
      <c r="C101" t="s">
        <v>152</v>
      </c>
      <c r="D101">
        <v>32</v>
      </c>
      <c r="H101">
        <f t="shared" si="3"/>
        <v>32</v>
      </c>
    </row>
    <row r="102" spans="1:8">
      <c r="A102">
        <v>658</v>
      </c>
      <c r="B102" t="s">
        <v>219</v>
      </c>
      <c r="C102" t="s">
        <v>152</v>
      </c>
      <c r="D102">
        <v>26</v>
      </c>
      <c r="H102">
        <f t="shared" si="3"/>
        <v>26</v>
      </c>
    </row>
    <row r="103" spans="1:8">
      <c r="A103">
        <v>712</v>
      </c>
      <c r="B103" t="s">
        <v>219</v>
      </c>
      <c r="C103" t="s">
        <v>152</v>
      </c>
      <c r="D103">
        <v>25</v>
      </c>
      <c r="H103">
        <f t="shared" si="3"/>
        <v>25</v>
      </c>
    </row>
    <row r="104" spans="1:8">
      <c r="A104">
        <v>729</v>
      </c>
      <c r="B104" t="s">
        <v>219</v>
      </c>
      <c r="C104" t="s">
        <v>152</v>
      </c>
      <c r="D104">
        <v>157</v>
      </c>
      <c r="H104">
        <f t="shared" si="3"/>
        <v>157</v>
      </c>
    </row>
    <row r="105" spans="1:8">
      <c r="A105">
        <v>729</v>
      </c>
      <c r="B105" t="s">
        <v>226</v>
      </c>
      <c r="C105" t="s">
        <v>152</v>
      </c>
      <c r="D105">
        <v>71</v>
      </c>
      <c r="E105">
        <v>156</v>
      </c>
      <c r="F105" t="s">
        <v>237</v>
      </c>
      <c r="H105">
        <f t="shared" si="3"/>
        <v>156</v>
      </c>
    </row>
    <row r="106" spans="1:8">
      <c r="A106">
        <v>806</v>
      </c>
      <c r="B106" t="s">
        <v>219</v>
      </c>
      <c r="C106" t="s">
        <v>152</v>
      </c>
      <c r="D106">
        <v>288</v>
      </c>
      <c r="E106">
        <v>19</v>
      </c>
      <c r="F106" t="s">
        <v>238</v>
      </c>
      <c r="G106" t="s">
        <v>262</v>
      </c>
      <c r="H106">
        <f t="shared" si="3"/>
        <v>288</v>
      </c>
    </row>
    <row r="107" spans="1:8">
      <c r="A107">
        <v>818</v>
      </c>
      <c r="B107" t="s">
        <v>219</v>
      </c>
      <c r="C107" t="s">
        <v>152</v>
      </c>
      <c r="D107">
        <v>181</v>
      </c>
      <c r="E107">
        <v>25</v>
      </c>
      <c r="G107" t="s">
        <v>237</v>
      </c>
      <c r="H107">
        <f t="shared" si="3"/>
        <v>181</v>
      </c>
    </row>
    <row r="108" spans="1:8">
      <c r="A108">
        <v>826</v>
      </c>
      <c r="B108" t="s">
        <v>219</v>
      </c>
      <c r="C108" t="s">
        <v>152</v>
      </c>
      <c r="D108">
        <v>64</v>
      </c>
      <c r="E108">
        <v>34</v>
      </c>
      <c r="F108" t="s">
        <v>238</v>
      </c>
      <c r="G108" t="s">
        <v>262</v>
      </c>
      <c r="H108">
        <f t="shared" si="3"/>
        <v>64</v>
      </c>
    </row>
    <row r="109" spans="1:8">
      <c r="A109" t="s">
        <v>263</v>
      </c>
      <c r="B109" t="s">
        <v>264</v>
      </c>
      <c r="C109" t="s">
        <v>152</v>
      </c>
      <c r="D109">
        <v>45</v>
      </c>
      <c r="E109">
        <v>77</v>
      </c>
      <c r="F109" t="s">
        <v>265</v>
      </c>
      <c r="H109">
        <f t="shared" si="3"/>
        <v>77</v>
      </c>
    </row>
    <row r="110" spans="1:8">
      <c r="A110" t="s">
        <v>266</v>
      </c>
      <c r="C110" t="s">
        <v>267</v>
      </c>
      <c r="D110">
        <v>68</v>
      </c>
      <c r="E110">
        <v>71</v>
      </c>
      <c r="H110">
        <f t="shared" si="3"/>
        <v>71</v>
      </c>
    </row>
    <row r="111" spans="1:8">
      <c r="A111">
        <v>117</v>
      </c>
      <c r="B111" t="s">
        <v>235</v>
      </c>
      <c r="C111" t="s">
        <v>149</v>
      </c>
      <c r="D111">
        <v>73</v>
      </c>
      <c r="E111">
        <v>33</v>
      </c>
      <c r="F111" t="s">
        <v>268</v>
      </c>
      <c r="G111" t="s">
        <v>269</v>
      </c>
      <c r="H111">
        <f t="shared" si="3"/>
        <v>73</v>
      </c>
    </row>
    <row r="112" spans="1:8">
      <c r="A112">
        <v>117</v>
      </c>
      <c r="C112" t="s">
        <v>149</v>
      </c>
      <c r="D112">
        <v>50</v>
      </c>
      <c r="E112">
        <v>40</v>
      </c>
      <c r="F112" t="s">
        <v>270</v>
      </c>
      <c r="G112" t="s">
        <v>270</v>
      </c>
      <c r="H112">
        <f t="shared" si="3"/>
        <v>50</v>
      </c>
    </row>
    <row r="113" spans="1:8">
      <c r="A113">
        <v>121</v>
      </c>
      <c r="B113" t="s">
        <v>235</v>
      </c>
      <c r="C113" t="s">
        <v>149</v>
      </c>
      <c r="D113">
        <v>40</v>
      </c>
      <c r="E113">
        <v>40</v>
      </c>
      <c r="F113" t="s">
        <v>238</v>
      </c>
      <c r="G113" t="s">
        <v>238</v>
      </c>
      <c r="H113">
        <f t="shared" si="3"/>
        <v>40</v>
      </c>
    </row>
    <row r="114" spans="1:8">
      <c r="A114">
        <v>122</v>
      </c>
      <c r="B114" t="s">
        <v>235</v>
      </c>
      <c r="C114" t="s">
        <v>149</v>
      </c>
      <c r="D114">
        <v>40</v>
      </c>
      <c r="E114">
        <v>41</v>
      </c>
      <c r="H114">
        <f t="shared" si="3"/>
        <v>41</v>
      </c>
    </row>
    <row r="115" spans="1:8">
      <c r="A115">
        <v>132</v>
      </c>
      <c r="B115" t="s">
        <v>235</v>
      </c>
      <c r="C115" t="s">
        <v>149</v>
      </c>
      <c r="D115">
        <v>38</v>
      </c>
      <c r="H115">
        <f t="shared" si="3"/>
        <v>38</v>
      </c>
    </row>
    <row r="116" spans="1:8">
      <c r="A116">
        <v>160</v>
      </c>
      <c r="B116" t="s">
        <v>219</v>
      </c>
      <c r="C116" t="s">
        <v>149</v>
      </c>
      <c r="D116">
        <v>42</v>
      </c>
      <c r="E116">
        <v>34</v>
      </c>
      <c r="F116" t="s">
        <v>222</v>
      </c>
      <c r="G116" t="s">
        <v>222</v>
      </c>
      <c r="H116">
        <f t="shared" si="3"/>
        <v>42</v>
      </c>
    </row>
    <row r="117" spans="1:8">
      <c r="A117">
        <v>255</v>
      </c>
      <c r="B117" t="s">
        <v>219</v>
      </c>
      <c r="C117" t="s">
        <v>149</v>
      </c>
      <c r="D117">
        <v>39</v>
      </c>
      <c r="E117">
        <v>32</v>
      </c>
      <c r="G117" t="s">
        <v>237</v>
      </c>
      <c r="H117">
        <f t="shared" si="3"/>
        <v>39</v>
      </c>
    </row>
    <row r="118" spans="1:8">
      <c r="A118">
        <v>258</v>
      </c>
      <c r="B118" t="s">
        <v>219</v>
      </c>
      <c r="C118" t="s">
        <v>149</v>
      </c>
      <c r="D118">
        <v>31</v>
      </c>
      <c r="E118">
        <v>27</v>
      </c>
      <c r="G118" t="s">
        <v>237</v>
      </c>
      <c r="H118">
        <f t="shared" si="3"/>
        <v>31</v>
      </c>
    </row>
    <row r="119" spans="1:8">
      <c r="A119">
        <v>510</v>
      </c>
      <c r="B119" t="s">
        <v>219</v>
      </c>
      <c r="C119" t="s">
        <v>149</v>
      </c>
      <c r="D119">
        <v>44</v>
      </c>
      <c r="E119">
        <v>36</v>
      </c>
      <c r="F119" t="s">
        <v>271</v>
      </c>
      <c r="G119" t="s">
        <v>271</v>
      </c>
      <c r="H119">
        <f t="shared" si="3"/>
        <v>44</v>
      </c>
    </row>
    <row r="120" spans="1:8">
      <c r="A120">
        <v>514</v>
      </c>
      <c r="B120" t="s">
        <v>219</v>
      </c>
      <c r="C120" t="s">
        <v>149</v>
      </c>
      <c r="D120">
        <v>42</v>
      </c>
      <c r="E120">
        <v>42</v>
      </c>
      <c r="H120">
        <f t="shared" si="3"/>
        <v>42</v>
      </c>
    </row>
    <row r="121" spans="1:8">
      <c r="A121">
        <v>526</v>
      </c>
      <c r="B121" t="s">
        <v>219</v>
      </c>
      <c r="C121" t="s">
        <v>149</v>
      </c>
      <c r="D121">
        <v>92</v>
      </c>
      <c r="F121" t="s">
        <v>272</v>
      </c>
      <c r="H121">
        <f t="shared" si="3"/>
        <v>92</v>
      </c>
    </row>
    <row r="122" spans="1:8">
      <c r="A122">
        <v>660</v>
      </c>
      <c r="B122" t="s">
        <v>235</v>
      </c>
      <c r="C122" t="s">
        <v>149</v>
      </c>
      <c r="D122">
        <v>23</v>
      </c>
      <c r="H122">
        <f t="shared" si="3"/>
        <v>23</v>
      </c>
    </row>
    <row r="123" spans="1:8">
      <c r="A123">
        <v>264.5</v>
      </c>
      <c r="B123" t="s">
        <v>273</v>
      </c>
      <c r="D123">
        <v>39</v>
      </c>
      <c r="E123">
        <v>34</v>
      </c>
      <c r="F123" s="61" t="s">
        <v>274</v>
      </c>
      <c r="G123" t="s">
        <v>275</v>
      </c>
      <c r="H123">
        <f t="shared" si="3"/>
        <v>39</v>
      </c>
    </row>
    <row r="124" spans="1:8">
      <c r="A124">
        <v>265.10000000000002</v>
      </c>
      <c r="B124" t="s">
        <v>219</v>
      </c>
      <c r="D124">
        <v>39</v>
      </c>
      <c r="F124" t="s">
        <v>276</v>
      </c>
      <c r="H124">
        <f t="shared" si="3"/>
        <v>39</v>
      </c>
    </row>
    <row r="125" spans="1:8">
      <c r="A125">
        <v>265.2</v>
      </c>
      <c r="B125" t="s">
        <v>219</v>
      </c>
      <c r="D125">
        <v>38</v>
      </c>
      <c r="F125" t="s">
        <v>276</v>
      </c>
      <c r="H125">
        <f t="shared" si="3"/>
        <v>38</v>
      </c>
    </row>
    <row r="126" spans="1:8">
      <c r="A126">
        <v>3000</v>
      </c>
      <c r="D126">
        <v>129</v>
      </c>
      <c r="E126">
        <v>71</v>
      </c>
      <c r="F126" t="s">
        <v>237</v>
      </c>
      <c r="G126" t="s">
        <v>237</v>
      </c>
      <c r="H126">
        <f t="shared" si="3"/>
        <v>129</v>
      </c>
    </row>
    <row r="127" spans="1:8">
      <c r="A127">
        <v>3001</v>
      </c>
      <c r="D127">
        <v>129</v>
      </c>
      <c r="E127">
        <v>123</v>
      </c>
      <c r="F127" t="s">
        <v>255</v>
      </c>
      <c r="G127" t="s">
        <v>255</v>
      </c>
      <c r="H127">
        <f t="shared" si="3"/>
        <v>129</v>
      </c>
    </row>
    <row r="128" spans="1:8">
      <c r="A128">
        <v>3001.5</v>
      </c>
      <c r="D128">
        <v>102</v>
      </c>
      <c r="F128" t="s">
        <v>237</v>
      </c>
      <c r="H128">
        <f t="shared" si="3"/>
        <v>102</v>
      </c>
    </row>
    <row r="129" spans="1:8">
      <c r="A129">
        <v>3002.7</v>
      </c>
      <c r="D129">
        <v>52</v>
      </c>
      <c r="F129" t="s">
        <v>255</v>
      </c>
      <c r="H129">
        <f t="shared" si="3"/>
        <v>52</v>
      </c>
    </row>
    <row r="130" spans="1:8">
      <c r="A130">
        <v>3003</v>
      </c>
      <c r="D130">
        <v>180</v>
      </c>
      <c r="F130" t="s">
        <v>238</v>
      </c>
      <c r="H130">
        <f t="shared" si="3"/>
        <v>180</v>
      </c>
    </row>
    <row r="131" spans="1:8">
      <c r="A131" t="s">
        <v>277</v>
      </c>
      <c r="D131">
        <v>77</v>
      </c>
      <c r="F131" t="s">
        <v>225</v>
      </c>
      <c r="H131">
        <f t="shared" si="3"/>
        <v>77</v>
      </c>
    </row>
    <row r="132" spans="1:8">
      <c r="A132" t="s">
        <v>278</v>
      </c>
      <c r="D132">
        <v>71</v>
      </c>
      <c r="E132">
        <v>68</v>
      </c>
      <c r="H132">
        <f t="shared" si="3"/>
        <v>71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</vt:i4>
      </vt:variant>
    </vt:vector>
  </HeadingPairs>
  <TitlesOfParts>
    <vt:vector size="16" baseType="lpstr">
      <vt:lpstr>int0904</vt:lpstr>
      <vt:lpstr>Sheet4</vt:lpstr>
      <vt:lpstr>怪しいデータを手直し</vt:lpstr>
      <vt:lpstr>生データ</vt:lpstr>
      <vt:lpstr>Sheet1</vt:lpstr>
      <vt:lpstr>Sheet7</vt:lpstr>
      <vt:lpstr>Sheet8</vt:lpstr>
      <vt:lpstr>Sheet9</vt:lpstr>
      <vt:lpstr>int0115</vt:lpstr>
      <vt:lpstr>sprout</vt:lpstr>
      <vt:lpstr>Sheet2</vt:lpstr>
      <vt:lpstr>Sheet5</vt:lpstr>
      <vt:lpstr>age_sprout</vt:lpstr>
      <vt:lpstr>age_data</vt:lpstr>
      <vt:lpstr>怪しいデータを手直し!Print_Titles</vt:lpstr>
      <vt:lpstr>生データ!Print_Titles</vt:lpstr>
    </vt:vector>
  </TitlesOfParts>
  <Company>新潟大学農学部附属演習林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本間　航介</dc:creator>
  <cp:lastModifiedBy>岡部桃子</cp:lastModifiedBy>
  <cp:lastPrinted>2004-07-07T07:36:10Z</cp:lastPrinted>
  <dcterms:created xsi:type="dcterms:W3CDTF">2001-07-28T22:08:26Z</dcterms:created>
  <dcterms:modified xsi:type="dcterms:W3CDTF">2019-03-09T06:50:21Z</dcterms:modified>
</cp:coreProperties>
</file>